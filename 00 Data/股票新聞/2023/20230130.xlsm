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
    </mc:Choice>
  </mc:AlternateContent>
  <xr:revisionPtr revIDLastSave="0" documentId="13_ncr:1_{60B8A159-6EC7-4B2D-81C1-D67701CACFFF}" xr6:coauthVersionLast="47" xr6:coauthVersionMax="47" xr10:uidLastSave="{00000000-0000-0000-0000-000000000000}"/>
  <bookViews>
    <workbookView xWindow="-108" yWindow="-108" windowWidth="30936" windowHeight="16896" activeTab="5"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 i="7" l="1"/>
  <c r="F2" i="5" a="1"/>
  <c r="F2" i="5" s="1"/>
  <c r="C2" i="7" a="1"/>
  <c r="B2" i="7" a="1"/>
  <c r="C3" i="7" a="1"/>
  <c r="C15" i="7" a="1"/>
  <c r="B7" i="7" a="1"/>
  <c r="B19" i="7" a="1"/>
  <c r="B22" i="7" a="1"/>
  <c r="C20" i="7" a="1"/>
  <c r="C21" i="7" a="1"/>
  <c r="C22" i="7" a="1"/>
  <c r="C11" i="7" a="1"/>
  <c r="B4" i="7" a="1"/>
  <c r="C13" i="7" a="1"/>
  <c r="C16" i="7" a="1"/>
  <c r="B20" i="7" a="1"/>
  <c r="C17" i="7" a="1"/>
  <c r="B21" i="7" a="1"/>
  <c r="C6" i="7" a="1"/>
  <c r="B10" i="7" a="1"/>
  <c r="C19" i="7" a="1"/>
  <c r="B11" i="7" a="1"/>
  <c r="C8" i="7" a="1"/>
  <c r="C9" i="7" a="1"/>
  <c r="B14" i="7" a="1"/>
  <c r="B3" i="7" a="1"/>
  <c r="B16" i="7" a="1"/>
  <c r="B17" i="7" a="1"/>
  <c r="B6" i="7" a="1"/>
  <c r="C4" i="7" a="1"/>
  <c r="B8" i="7" a="1"/>
  <c r="C18" i="7" a="1"/>
  <c r="C7" i="7" a="1"/>
  <c r="B9" i="7" a="1"/>
  <c r="B12" i="7" a="1"/>
  <c r="B13" i="7" a="1"/>
  <c r="C10" i="7" a="1"/>
  <c r="B15" i="7" a="1"/>
  <c r="B5" i="7" a="1"/>
  <c r="C14" i="7" a="1"/>
  <c r="C5" i="7" a="1"/>
  <c r="C12" i="7" a="1"/>
  <c r="B18" i="7" a="1"/>
  <c r="C2" i="7" l="1"/>
  <c r="B2" i="7"/>
  <c r="B18" i="7"/>
  <c r="C12" i="7"/>
  <c r="C5" i="7"/>
  <c r="C14" i="7"/>
  <c r="B5" i="7"/>
  <c r="B15" i="7"/>
  <c r="C10" i="7"/>
  <c r="B13" i="7"/>
  <c r="B12" i="7"/>
  <c r="B9" i="7"/>
  <c r="C7" i="7"/>
  <c r="C18" i="7"/>
  <c r="B8" i="7"/>
  <c r="C4" i="7"/>
  <c r="B6" i="7"/>
  <c r="B17" i="7"/>
  <c r="B16" i="7"/>
  <c r="B3" i="7"/>
  <c r="B14" i="7"/>
  <c r="C9" i="7"/>
  <c r="C8" i="7"/>
  <c r="B11" i="7"/>
  <c r="C19" i="7"/>
  <c r="B10" i="7"/>
  <c r="C6" i="7"/>
  <c r="B21" i="7"/>
  <c r="C17" i="7"/>
  <c r="B20" i="7"/>
  <c r="C16" i="7"/>
  <c r="C13" i="7"/>
  <c r="B4" i="7"/>
  <c r="C11" i="7"/>
  <c r="C22" i="7"/>
  <c r="C21" i="7"/>
  <c r="C20" i="7"/>
  <c r="B22" i="7"/>
  <c r="B19" i="7"/>
  <c r="B7" i="7"/>
  <c r="C15" i="7"/>
  <c r="C3" i="7"/>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<sst xmlns="http://schemas.openxmlformats.org/spreadsheetml/2006/main" count="6419" uniqueCount="3537">
  <si>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</si>
  <si>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</si>
  <si>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</si>
  <si>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</si>
  <si>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</si>
  <si>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</si>
  <si>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</si>
  <si>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</si>
  <si>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</si>
  <si>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</si>
  <si>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</si>
  <si>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</si>
  <si>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</si>
  <si>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</si>
  <si>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</si>
  <si>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</si>
  <si>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</si>
  <si>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</si>
  <si>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</si>
  <si>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</si>
  <si>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</si>
  <si>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</si>
  <si>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</si>
  <si>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</si>
  <si>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</si>
  <si>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</si>
  <si>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</si>
  <si>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</si>
  <si>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</si>
  <si>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</si>
  <si>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</si>
  <si>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</si>
  <si>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</si>
  <si>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</si>
  <si>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</si>
  <si>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</si>
  <si>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</si>
  <si>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</si>
  <si>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</si>
  <si>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</si>
  <si>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</si>
  <si>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</si>
  <si>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</si>
  <si>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</si>
  <si>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</si>
  <si>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</si>
  <si>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</si>
  <si>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</si>
  <si>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</si>
  <si>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</si>
  <si>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</si>
  <si>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</si>
  <si>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</si>
  <si>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</si>
  <si>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</si>
  <si>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</si>
  <si>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</si>
  <si>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</si>
  <si>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</si>
  <si>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</si>
  <si>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</si>
  <si>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</si>
  <si>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</si>
  <si>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</si>
  <si>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</si>
  <si>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</si>
  <si>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</si>
  <si>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</si>
  <si>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</si>
  <si>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</si>
  <si>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</si>
  <si>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</si>
  <si>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</si>
  <si>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</si>
  <si>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</si>
  <si>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</si>
  <si>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</si>
  <si>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</si>
  <si>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</si>
  <si>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</si>
  <si>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</si>
  <si>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</si>
  <si>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</si>
  <si>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</si>
  <si>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</si>
  <si>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</si>
  <si>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</si>
  <si>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</si>
  <si>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</si>
  <si>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</si>
  <si>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</si>
  <si>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</si>
  <si>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</si>
  <si>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</si>
  <si>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</si>
  <si>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</si>
  <si>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</si>
  <si>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</si>
  <si>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</si>
  <si>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</si>
  <si>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</si>
  <si>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</si>
  <si>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</si>
  <si>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</si>
  <si>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</si>
  <si>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</si>
  <si>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</si>
  <si>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</si>
  <si>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</si>
  <si>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</si>
  <si>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</si>
  <si>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</si>
  <si>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</si>
  <si>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</si>
  <si>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</si>
  <si>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</si>
  <si>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</si>
  <si>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</si>
  <si>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</si>
  <si>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</si>
  <si>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</si>
  <si>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</si>
  <si>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</si>
  <si>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</si>
  <si>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</si>
  <si>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</si>
  <si>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</si>
  <si>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</si>
  <si>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</si>
  <si>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</si>
  <si>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</si>
  <si>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</si>
  <si>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</si>
  <si>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</si>
  <si>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</si>
  <si>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</si>
  <si>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</si>
  <si>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</si>
  <si>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</si>
  <si>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</si>
  <si>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</si>
  <si>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</si>
  <si>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</si>
  <si>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</si>
  <si>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</si>
  <si>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</si>
  <si>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</si>
  <si>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</si>
  <si>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</si>
  <si>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</si>
  <si>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</si>
  <si>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</si>
  <si>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</si>
  <si>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</si>
  <si>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</si>
  <si>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</si>
  <si>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</si>
  <si>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</si>
  <si>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</si>
  <si>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</si>
  <si>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</si>
  <si>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</si>
  <si>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</si>
  <si>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</si>
  <si>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</si>
  <si>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</si>
  <si>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</si>
  <si>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</si>
  <si>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</si>
  <si>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</si>
  <si>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</si>
  <si>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</si>
  <si>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</si>
  <si>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</si>
  <si>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</si>
  <si>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</si>
  <si>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</si>
  <si>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</si>
  <si>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</si>
  <si>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</si>
  <si>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</si>
  <si>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</si>
  <si>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</si>
  <si>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</si>
  <si>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</si>
  <si>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</si>
  <si>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</si>
  <si>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</si>
  <si>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</si>
  <si>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</si>
  <si>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</si>
  <si>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</si>
  <si>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</si>
  <si>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</si>
  <si>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</si>
  <si>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</si>
  <si>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</si>
  <si>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</si>
  <si>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</si>
  <si>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</si>
  <si>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</si>
  <si>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</si>
  <si>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</si>
  <si>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</si>
  <si>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</si>
  <si>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</si>
  <si>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</si>
  <si>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</si>
  <si>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</si>
  <si>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</si>
  <si>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</si>
  <si>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</si>
  <si>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</si>
  <si>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</si>
  <si>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</si>
  <si>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</si>
  <si>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</si>
  <si>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</si>
  <si>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</si>
  <si>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</si>
  <si>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</si>
  <si>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</si>
  <si>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</si>
  <si>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</si>
  <si>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</si>
  <si>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</si>
  <si>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</si>
  <si>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</si>
  <si>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</si>
  <si>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</si>
  <si>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</si>
  <si>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</si>
  <si>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</si>
  <si>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</si>
  <si>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</si>
  <si>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</si>
  <si>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</si>
  <si>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</si>
  <si>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</si>
  <si>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</si>
  <si>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</si>
  <si>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</si>
  <si>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</si>
  <si>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</si>
  <si>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</si>
  <si>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</si>
  <si>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</si>
  <si>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</si>
  <si>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</si>
  <si>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</si>
  <si>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</si>
  <si>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</si>
  <si>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</si>
  <si>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</si>
  <si>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</si>
  <si>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</si>
  <si>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</si>
  <si>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</si>
  <si>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</si>
  <si>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</si>
  <si>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</si>
  <si>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</si>
  <si>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</si>
  <si>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</si>
  <si>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</si>
  <si>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</si>
  <si>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</si>
  <si>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</si>
  <si>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</si>
  <si>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</si>
  <si>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</si>
  <si>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</si>
  <si>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</si>
  <si>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</si>
  <si>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</si>
  <si>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</si>
  <si>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</si>
  <si>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</si>
  <si>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</si>
  <si>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</si>
  <si>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</si>
  <si>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</si>
  <si>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</si>
  <si>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</si>
  <si>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</si>
  <si>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</si>
  <si>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</si>
  <si>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</si>
  <si>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</si>
  <si>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</si>
  <si>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</si>
  <si>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</si>
  <si>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</si>
  <si>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</si>
  <si>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</si>
  <si>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</si>
  <si>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</si>
  <si>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</si>
  <si>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</si>
  <si>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</si>
  <si>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</si>
  <si>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</si>
  <si>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</si>
  <si>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</si>
  <si>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</si>
  <si>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</si>
  <si>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</si>
  <si>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</si>
  <si>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</si>
  <si>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</si>
  <si>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</si>
  <si>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</si>
  <si>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</si>
  <si>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</si>
  <si>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</si>
  <si>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</si>
  <si>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</si>
  <si>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</si>
  <si>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</si>
  <si>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</si>
  <si>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</si>
  <si>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</si>
  <si>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</si>
  <si>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</si>
  <si>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</si>
  <si>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</si>
  <si>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</si>
  <si>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</si>
  <si>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</si>
  <si>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</si>
  <si>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</si>
  <si>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</si>
  <si>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</si>
  <si>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</si>
  <si>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</si>
  <si>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</si>
  <si>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</si>
  <si>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</si>
  <si>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</si>
  <si>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</si>
  <si>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</si>
  <si>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</si>
  <si>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</si>
  <si>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</si>
  <si>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</si>
  <si>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</si>
  <si>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</si>
  <si>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</si>
  <si>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</si>
  <si>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</si>
  <si>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</si>
  <si>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</si>
  <si>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</si>
  <si>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</si>
  <si>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</si>
  <si>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</si>
  <si>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</si>
  <si>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</si>
  <si>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</si>
  <si>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</si>
  <si>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</si>
  <si>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</si>
  <si>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</si>
  <si>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</si>
  <si>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</si>
  <si>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</si>
  <si>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</si>
  <si>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</si>
  <si>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</si>
  <si>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</si>
  <si>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</si>
  <si>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</si>
  <si>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</si>
  <si>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</si>
  <si>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</si>
  <si>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</si>
  <si>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</si>
  <si>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</si>
  <si>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</si>
  <si>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</si>
  <si>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</si>
  <si>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</si>
  <si>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</si>
  <si>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</si>
  <si>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</si>
  <si>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</si>
  <si>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</si>
  <si>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</si>
  <si>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</si>
  <si>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</si>
  <si>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</si>
  <si>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</si>
  <si>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</si>
  <si>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</si>
  <si>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</si>
  <si>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</si>
  <si>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</si>
  <si>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</si>
  <si>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</si>
  <si>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</si>
  <si>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</si>
  <si>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</si>
  <si>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</si>
  <si>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</si>
  <si>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</si>
  <si>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</si>
  <si>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</si>
  <si>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</si>
  <si>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</si>
  <si>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</si>
  <si>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</si>
  <si>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</si>
  <si>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</si>
  <si>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</si>
  <si>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</si>
  <si>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</si>
  <si>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</si>
  <si>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</si>
  <si>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</si>
  <si>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</si>
  <si>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</si>
  <si>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</si>
  <si>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</si>
  <si>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</si>
  <si>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</si>
  <si>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</si>
  <si>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</si>
  <si>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</si>
  <si>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</si>
  <si>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</si>
  <si>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</si>
  <si>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</si>
  <si>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</si>
  <si>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</si>
  <si>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</si>
  <si>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</si>
  <si>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</si>
  <si>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</si>
  <si>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</si>
  <si>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</si>
  <si>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</si>
  <si>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</si>
  <si>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</si>
  <si>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</si>
  <si>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</si>
  <si>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</si>
  <si>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</si>
  <si>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</si>
  <si>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</si>
  <si>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</si>
  <si>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</si>
  <si>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</si>
  <si>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</si>
  <si>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</si>
  <si>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</si>
  <si>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</si>
  <si>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</si>
  <si>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</si>
  <si>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</si>
  <si>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</si>
  <si>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</si>
  <si>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</si>
  <si>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</si>
  <si>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</si>
  <si>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</si>
  <si>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</si>
  <si>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</si>
  <si>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</si>
  <si>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</si>
  <si>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</si>
  <si>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</si>
  <si>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</si>
  <si>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</si>
  <si>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</si>
  <si>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</si>
  <si>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</si>
  <si>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</si>
  <si>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</si>
  <si>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</si>
  <si>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</si>
  <si>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</si>
  <si>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</si>
  <si>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</si>
  <si>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</si>
  <si>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</si>
  <si>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</si>
  <si>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</si>
  <si>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</si>
  <si>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</si>
  <si>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</si>
  <si>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</si>
  <si>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</si>
  <si>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</si>
  <si>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</si>
  <si>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</si>
  <si>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</si>
  <si>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</si>
  <si>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</si>
  <si>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</si>
  <si>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</si>
  <si>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</si>
  <si>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</si>
  <si>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</si>
  <si>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</si>
  <si>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</si>
  <si>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</si>
  <si>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</si>
  <si>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</si>
  <si>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</si>
  <si>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</si>
  <si>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</si>
  <si>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</si>
  <si>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</si>
  <si>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</si>
  <si>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</si>
  <si>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</si>
  <si>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</si>
  <si>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</si>
  <si>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</si>
  <si>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</si>
  <si>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</si>
  <si>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</si>
  <si>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</si>
  <si>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</si>
  <si>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</si>
  <si>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</si>
  <si>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</si>
  <si>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</si>
  <si>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</si>
  <si>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</si>
  <si>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</si>
  <si>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</si>
  <si>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</si>
  <si>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</si>
  <si>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</si>
  <si>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</si>
  <si>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</si>
  <si>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</si>
  <si>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</si>
  <si>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</si>
  <si>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</si>
  <si>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</si>
  <si>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</si>
  <si>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</si>
  <si>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</si>
  <si>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</si>
  <si>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</si>
  <si>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</si>
  <si>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</si>
  <si>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</si>
  <si>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</si>
  <si>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</si>
  <si>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</si>
  <si>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</si>
  <si>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</si>
  <si>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</si>
  <si>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</si>
  <si>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</si>
  <si>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</si>
  <si>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</si>
  <si>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</si>
  <si>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</si>
  <si>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</si>
  <si>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</si>
  <si>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</si>
  <si>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</si>
  <si>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</si>
  <si>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</si>
  <si>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</si>
  <si>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</si>
  <si>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</si>
  <si>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</si>
  <si>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</si>
  <si>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</si>
  <si>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</si>
  <si>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</si>
  <si>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</si>
  <si>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</si>
  <si>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</si>
  <si>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</si>
  <si>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</si>
  <si>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</si>
  <si>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</si>
  <si>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</si>
  <si>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</si>
  <si>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</si>
  <si>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</si>
  <si>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</si>
  <si>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</si>
  <si>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</si>
  <si>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</si>
  <si>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</si>
  <si>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</si>
  <si>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</si>
  <si>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</si>
  <si>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</si>
  <si>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</si>
  <si>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</si>
  <si>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</si>
  <si>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</si>
  <si>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</si>
  <si>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</si>
  <si>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</si>
  <si>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</si>
  <si>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</si>
  <si>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</si>
  <si>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</si>
  <si>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</si>
  <si>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</si>
  <si>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</si>
  <si>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</si>
  <si>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</si>
  <si>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</si>
  <si>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</si>
  <si>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</si>
  <si>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</si>
  <si>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</si>
  <si>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</si>
  <si>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</si>
  <si>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</si>
  <si>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</si>
  <si>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</si>
  <si>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</si>
  <si>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</si>
  <si>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</si>
  <si>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</si>
  <si>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</si>
  <si>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</si>
  <si>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</si>
  <si>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</si>
  <si>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</si>
  <si>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</si>
  <si>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</si>
  <si>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</si>
  <si>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</si>
  <si>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</si>
  <si>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</si>
  <si>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</si>
  <si>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</si>
  <si>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</si>
  <si>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</si>
  <si>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</si>
  <si>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</si>
  <si>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</si>
  <si>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</si>
  <si>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</si>
  <si>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</si>
  <si>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</si>
  <si>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</si>
  <si>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</si>
  <si>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</si>
  <si>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</si>
  <si>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</si>
  <si>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</si>
  <si>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</si>
  <si>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</si>
  <si>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</si>
  <si>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</si>
  <si>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</si>
  <si>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</si>
  <si>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</si>
  <si>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</si>
  <si>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</si>
  <si>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</si>
  <si>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</si>
  <si>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</si>
  <si>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</si>
  <si>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</si>
  <si>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</si>
  <si>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</si>
  <si>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</si>
  <si>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</si>
  <si>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</si>
  <si>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</si>
  <si>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</si>
  <si>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</si>
  <si>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</si>
  <si>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</si>
  <si>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</si>
  <si>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</si>
  <si>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</si>
  <si>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</si>
  <si>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</si>
  <si>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</si>
  <si>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</si>
  <si>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</si>
  <si>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</si>
  <si>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</si>
  <si>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</si>
  <si>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</si>
  <si>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</si>
  <si>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</si>
  <si>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</si>
  <si>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</si>
  <si>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</si>
  <si>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</si>
  <si>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</si>
  <si>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</si>
  <si>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</si>
  <si>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</si>
  <si>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</si>
  <si>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</si>
  <si>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</si>
  <si>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</si>
  <si>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</si>
  <si>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</si>
  <si>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</si>
  <si>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</si>
  <si>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</si>
  <si>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</si>
  <si>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</si>
  <si>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</si>
  <si>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</si>
  <si>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</si>
  <si>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</si>
  <si>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</si>
  <si>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</si>
  <si>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</si>
  <si>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</si>
  <si>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</si>
  <si>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</si>
  <si>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</si>
  <si>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</si>
  <si>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</si>
  <si>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</si>
  <si>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</si>
  <si>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</si>
  <si>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</si>
  <si>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</si>
  <si>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</si>
  <si>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</si>
  <si>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</si>
  <si>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</si>
  <si>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</si>
  <si>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</si>
  <si>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</si>
  <si>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</si>
  <si>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</si>
  <si>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</si>
  <si>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</si>
  <si>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</si>
  <si>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</si>
  <si>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</si>
  <si>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</si>
  <si>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</si>
  <si>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</si>
  <si>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</si>
  <si>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</si>
  <si>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</si>
  <si>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</si>
  <si>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</si>
  <si>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</si>
  <si>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</si>
  <si>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</si>
  <si>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</si>
  <si>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</si>
  <si>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</si>
  <si>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</si>
  <si>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</si>
  <si>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</si>
  <si>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</si>
  <si>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</si>
  <si>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</si>
  <si>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</si>
  <si>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</si>
  <si>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</si>
  <si>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</si>
  <si>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</si>
  <si>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</si>
  <si>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</si>
  <si>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</si>
  <si>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</si>
  <si>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</si>
  <si>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</si>
  <si>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</si>
  <si>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</si>
  <si>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</si>
  <si>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</si>
  <si>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</si>
  <si>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</si>
  <si>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</si>
  <si>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</si>
  <si>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</si>
  <si>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</si>
  <si>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</si>
  <si>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</si>
  <si>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</si>
  <si>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</si>
  <si>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</si>
  <si>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</si>
  <si>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</si>
  <si>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</si>
  <si>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</si>
  <si>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</si>
  <si>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</si>
  <si>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</si>
  <si>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</si>
  <si>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</si>
  <si>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</si>
  <si>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</si>
  <si>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</si>
  <si>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</si>
  <si>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</si>
  <si>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</si>
  <si>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</si>
  <si>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</si>
  <si>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</si>
  <si>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</si>
  <si>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</si>
  <si>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</si>
  <si>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</si>
  <si>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</si>
  <si>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</si>
  <si>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</si>
  <si>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</si>
  <si>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</si>
  <si>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</si>
  <si>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</si>
  <si>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</si>
  <si>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</si>
  <si>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</si>
  <si>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</si>
  <si>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</si>
  <si>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</si>
  <si>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</si>
  <si>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</si>
  <si>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</si>
  <si>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</si>
  <si>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</si>
  <si>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</si>
  <si>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</si>
  <si>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</si>
  <si>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</si>
  <si>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</si>
  <si>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</si>
  <si>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</si>
  <si>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</si>
  <si>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</si>
  <si>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</si>
  <si>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</si>
  <si>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</si>
  <si>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</si>
  <si>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</si>
  <si>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</si>
  <si>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</si>
  <si>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</si>
  <si>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</si>
  <si>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</si>
  <si>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</si>
  <si>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</si>
  <si>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</si>
  <si>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</si>
  <si>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</si>
  <si>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</si>
  <si>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</si>
  <si>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</si>
  <si>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</si>
  <si>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</si>
  <si>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</si>
  <si>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</si>
  <si>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</si>
  <si>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</si>
  <si>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</si>
  <si>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</si>
  <si>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</si>
  <si>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</si>
  <si>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</si>
  <si>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</si>
  <si>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</si>
  <si>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</si>
  <si>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</si>
  <si>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</si>
  <si>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</si>
  <si>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</si>
  <si>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</si>
  <si>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</si>
  <si>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</si>
  <si>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</si>
  <si>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</si>
  <si>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</si>
  <si>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</si>
  <si>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</si>
  <si>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</si>
  <si>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</si>
  <si>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</si>
  <si>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</si>
  <si>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</si>
  <si>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</si>
  <si>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</si>
  <si>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</si>
  <si>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</si>
  <si>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</si>
  <si>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</si>
  <si>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</si>
  <si>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</si>
  <si>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</si>
  <si>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</si>
  <si>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</si>
  <si>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</si>
  <si>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</si>
  <si>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</si>
  <si>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</si>
  <si>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</si>
  <si>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</si>
  <si>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</si>
  <si>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</si>
  <si>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</si>
  <si>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</si>
  <si>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</si>
  <si>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</si>
  <si>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</si>
  <si>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</si>
  <si>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</si>
  <si>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</si>
  <si>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</si>
  <si>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</si>
  <si>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</si>
  <si>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</si>
  <si>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</si>
  <si>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</si>
  <si>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</si>
  <si>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</si>
  <si>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</si>
  <si>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</si>
  <si>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</si>
  <si>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</si>
  <si>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</si>
  <si>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</si>
  <si>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</si>
  <si>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</si>
  <si>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</si>
  <si>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</si>
  <si>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</si>
  <si>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</si>
  <si>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</si>
  <si>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</si>
  <si>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</si>
  <si>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</si>
  <si>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</si>
  <si>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</si>
  <si>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</si>
  <si>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</si>
  <si>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</si>
  <si>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</si>
  <si>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</si>
  <si>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</si>
  <si>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</si>
  <si>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</si>
  <si>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</si>
  <si>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</si>
  <si>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</si>
  <si>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</si>
  <si>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</si>
  <si>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</si>
  <si>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</si>
  <si>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</si>
  <si>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</si>
  <si>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</si>
  <si>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</si>
  <si>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</si>
  <si>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</si>
  <si>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</si>
  <si>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</si>
  <si>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</si>
  <si>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</si>
  <si>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</si>
  <si>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</si>
  <si>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</si>
  <si>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</si>
  <si>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</si>
  <si>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</si>
  <si>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</si>
  <si>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</si>
  <si>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</si>
  <si>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</si>
  <si>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</si>
  <si>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</si>
  <si>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</si>
  <si>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</si>
  <si>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</si>
  <si>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</si>
  <si>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</si>
  <si>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</si>
  <si>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</si>
  <si>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</si>
  <si>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</si>
  <si>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</si>
  <si>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</si>
  <si>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</si>
  <si>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</si>
  <si>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</si>
  <si>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</si>
  <si>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</si>
  <si>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</si>
  <si>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</si>
  <si>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</si>
  <si>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</si>
  <si>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</si>
  <si>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</si>
  <si>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</si>
  <si>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</si>
  <si>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</si>
  <si>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</si>
  <si>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</si>
  <si>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</si>
  <si>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</si>
  <si>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</si>
  <si>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</si>
  <si>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</si>
  <si>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</si>
  <si>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</si>
  <si>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</si>
  <si>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</si>
  <si>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</si>
  <si>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</si>
  <si>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</si>
  <si>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</si>
  <si>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</si>
  <si>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</si>
  <si>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</si>
  <si>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</si>
  <si>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</si>
  <si>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</si>
  <si>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</si>
  <si>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</si>
  <si>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</si>
  <si>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</si>
  <si>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</si>
  <si>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</si>
  <si>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</si>
  <si>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</si>
  <si>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</si>
  <si>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</si>
  <si>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</si>
  <si>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</si>
  <si>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</si>
  <si>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</si>
  <si>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</si>
  <si>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</si>
  <si>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</si>
  <si>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</si>
  <si>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</si>
  <si>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</si>
  <si>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</si>
  <si>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</si>
  <si>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</si>
  <si>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</si>
  <si>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</si>
  <si>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</si>
  <si>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</si>
  <si>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</si>
  <si>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</si>
  <si>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</si>
  <si>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</si>
  <si>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</si>
  <si>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</si>
  <si>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</si>
  <si>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</si>
  <si>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</si>
  <si>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</si>
  <si>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</si>
  <si>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</si>
  <si>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</si>
  <si>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</si>
  <si>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</si>
  <si>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</si>
  <si>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</si>
  <si>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</si>
  <si>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</si>
  <si>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</si>
  <si>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</si>
  <si>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</si>
  <si>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</si>
  <si>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</si>
  <si>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</si>
  <si>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</si>
  <si>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</si>
  <si>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</si>
  <si>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</si>
  <si>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</si>
  <si>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</si>
  <si>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</si>
  <si>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</si>
  <si>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</si>
  <si>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</si>
  <si>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</si>
  <si>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</si>
  <si>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</si>
  <si>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</si>
  <si>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</si>
  <si>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</si>
  <si>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</si>
  <si>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</si>
  <si>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</si>
  <si>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</si>
  <si>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</si>
  <si>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</si>
  <si>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</si>
  <si>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</si>
  <si>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</si>
  <si>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</si>
  <si>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</si>
  <si>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</si>
  <si>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</si>
  <si>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</si>
  <si>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</si>
  <si>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</si>
  <si>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</si>
  <si>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</si>
  <si>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</si>
  <si>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</si>
  <si>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</si>
  <si>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</si>
  <si>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</si>
  <si>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</si>
  <si>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</si>
  <si>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</si>
  <si>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</si>
  <si>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</si>
  <si>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</si>
  <si>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</si>
  <si>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</si>
  <si>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</si>
  <si>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</si>
  <si>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</si>
  <si>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</si>
  <si>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</si>
  <si>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</si>
  <si>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</si>
  <si>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</si>
  <si>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</si>
  <si>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</si>
  <si>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</si>
  <si>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</si>
  <si>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</si>
  <si>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</si>
  <si>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</si>
  <si>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</si>
  <si>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</si>
  <si>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</si>
  <si>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</si>
  <si>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</si>
  <si>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</si>
  <si>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</si>
  <si>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</si>
  <si>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</si>
  <si>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</si>
  <si>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</si>
  <si>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</si>
  <si>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</si>
  <si>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</si>
  <si>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</si>
  <si>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</si>
  <si>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</si>
  <si>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</si>
  <si>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</si>
  <si>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</si>
  <si>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</si>
  <si>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</si>
  <si>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</si>
  <si>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</si>
  <si>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</si>
  <si>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</si>
  <si>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</si>
  <si>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</si>
  <si>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</si>
  <si>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</si>
  <si>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</si>
  <si>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</si>
  <si>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</si>
  <si>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</si>
  <si>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</si>
  <si>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</si>
  <si>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</si>
  <si>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</si>
  <si>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</si>
  <si>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</si>
  <si>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</si>
  <si>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</si>
  <si>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</si>
  <si>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</si>
  <si>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</si>
  <si>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</si>
  <si>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</si>
  <si>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</si>
  <si>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</si>
  <si>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</si>
  <si>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</si>
  <si>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</si>
  <si>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</si>
  <si>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</si>
  <si>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</si>
  <si>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</si>
  <si>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</si>
  <si>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</si>
  <si>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</si>
  <si>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</si>
  <si>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</si>
  <si>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</si>
  <si>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</si>
  <si>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</si>
  <si>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</si>
  <si>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</si>
  <si>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</si>
  <si>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</si>
  <si>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</si>
  <si>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</si>
  <si>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</si>
  <si>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</si>
  <si>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</si>
  <si>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</si>
  <si>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</si>
  <si>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</si>
  <si>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</si>
  <si>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</si>
  <si>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</si>
  <si>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</si>
  <si>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</si>
  <si>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</si>
  <si>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</si>
  <si>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</si>
  <si>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</si>
  <si>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</si>
  <si>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</si>
  <si>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</si>
  <si>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</si>
  <si>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</si>
  <si>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</si>
  <si>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</si>
  <si>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</si>
  <si>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</si>
  <si>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</si>
  <si>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</si>
  <si>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</si>
  <si>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</si>
  <si>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</si>
  <si>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</si>
  <si>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</si>
  <si>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</si>
  <si>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</si>
  <si>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</si>
  <si>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</si>
  <si>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</si>
  <si>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</si>
  <si>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</si>
  <si>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</si>
  <si>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</si>
  <si>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</si>
  <si>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</si>
  <si>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</si>
  <si>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</si>
  <si>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</si>
  <si>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</si>
  <si>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</si>
  <si>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</si>
  <si>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</si>
  <si>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</si>
  <si>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</si>
  <si>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</si>
  <si>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</si>
  <si>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</si>
  <si>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</si>
  <si>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</si>
  <si>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</si>
  <si>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</si>
  <si>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</si>
  <si>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</si>
  <si>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</si>
  <si>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</si>
  <si>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</si>
  <si>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</si>
  <si>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</si>
  <si>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</si>
  <si>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</si>
  <si>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</si>
  <si>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</si>
  <si>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</si>
  <si>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</si>
  <si>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</si>
  <si>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</si>
  <si>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</si>
  <si>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</si>
  <si>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</si>
  <si>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</si>
  <si>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</si>
  <si>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</si>
  <si>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</si>
  <si>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</si>
  <si>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</si>
  <si>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</si>
  <si>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</si>
  <si>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</si>
  <si>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</si>
  <si>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</si>
  <si>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</si>
  <si>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</si>
  <si>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</si>
  <si>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</si>
  <si>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</si>
  <si>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</si>
  <si>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</si>
  <si>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</si>
  <si>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</si>
  <si>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</si>
  <si>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</si>
  <si>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</si>
  <si>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</si>
  <si>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</si>
  <si>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</si>
  <si>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</si>
  <si>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</si>
  <si>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</si>
  <si>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</si>
  <si>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</si>
  <si>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</si>
  <si>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</si>
  <si>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</si>
  <si>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</si>
  <si>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</si>
  <si>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</si>
  <si>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</si>
  <si>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</si>
  <si>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</si>
  <si>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</si>
  <si>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</si>
  <si>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</si>
  <si>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</si>
  <si>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</si>
  <si>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</si>
  <si>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</si>
  <si>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</si>
  <si>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</si>
  <si>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</si>
  <si>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</si>
  <si>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</si>
  <si>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</si>
  <si>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</si>
  <si>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</si>
  <si>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</si>
  <si>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</si>
  <si>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</si>
  <si>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</si>
  <si>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</si>
  <si>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</si>
  <si>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</si>
  <si>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</si>
  <si>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</si>
  <si>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</si>
  <si>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</si>
  <si>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</si>
  <si>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</si>
  <si>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</si>
  <si>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</si>
  <si>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</si>
  <si>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</si>
  <si>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</si>
  <si>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</si>
  <si>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</si>
  <si>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</si>
  <si>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</si>
  <si>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</si>
  <si>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</si>
  <si>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</si>
  <si>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</si>
  <si>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</si>
  <si>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</si>
  <si>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</si>
  <si>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</si>
  <si>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</si>
  <si>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</si>
  <si>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</si>
  <si>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</si>
  <si>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</si>
  <si>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</si>
  <si>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</si>
  <si>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</si>
  <si>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</si>
  <si>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</si>
  <si>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</si>
  <si>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</si>
  <si>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</si>
  <si>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</si>
  <si>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</si>
  <si>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</si>
  <si>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</si>
  <si>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</si>
  <si>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</si>
  <si>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</si>
  <si>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</si>
  <si>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</si>
  <si>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</si>
  <si>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</si>
  <si>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</si>
  <si>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</si>
  <si>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</si>
  <si>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</si>
  <si>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</si>
  <si>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</si>
  <si>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</si>
  <si>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</si>
  <si>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</si>
  <si>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</si>
  <si>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</si>
  <si>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</si>
  <si>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</si>
  <si>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</si>
  <si>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</si>
  <si>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</si>
  <si>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</si>
  <si>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</si>
  <si>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</si>
  <si>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</si>
  <si>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</si>
  <si>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</si>
  <si>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</si>
  <si>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</si>
  <si>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</si>
  <si>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</si>
  <si>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</si>
  <si>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</si>
  <si>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</si>
  <si>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</si>
  <si>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</si>
  <si>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</si>
  <si>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</si>
  <si>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</si>
  <si>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</si>
  <si>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</si>
  <si>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</si>
  <si>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</si>
  <si>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</si>
  <si>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</si>
  <si>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</si>
  <si>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</si>
  <si>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</si>
  <si>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</si>
  <si>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</si>
  <si>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</si>
  <si>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</si>
  <si>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</si>
  <si>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</si>
  <si>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</si>
  <si>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</si>
  <si>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</si>
  <si>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</si>
  <si>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</si>
  <si>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</si>
  <si>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</si>
  <si>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</si>
  <si>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</si>
  <si>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</si>
  <si>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</si>
  <si>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</si>
  <si>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</si>
  <si>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</si>
  <si>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</si>
  <si>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</si>
  <si>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</si>
  <si>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</si>
  <si>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</si>
  <si>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</si>
  <si>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</si>
  <si>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</si>
  <si>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</si>
  <si>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</si>
  <si>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</si>
  <si>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</si>
  <si>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</si>
  <si>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</si>
  <si>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</si>
  <si>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</si>
  <si>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</si>
  <si>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</si>
  <si>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</si>
  <si>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</si>
  <si>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</si>
  <si>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</si>
  <si>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</si>
  <si>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</si>
  <si>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</si>
  <si>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</si>
  <si>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</si>
  <si>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</si>
  <si>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</si>
  <si>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</si>
  <si>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</si>
  <si>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</si>
  <si>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</si>
  <si>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</si>
  <si>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</si>
  <si>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</si>
  <si>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</si>
  <si>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</si>
  <si>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</si>
  <si>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</si>
  <si>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</si>
  <si>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</si>
  <si>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</si>
  <si>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</si>
  <si>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</si>
  <si>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</si>
  <si>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</si>
  <si>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</si>
  <si>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</si>
  <si>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</si>
  <si>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</si>
  <si>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</si>
  <si>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</si>
  <si>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</si>
  <si>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</si>
  <si>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</si>
  <si>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</si>
  <si>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</si>
  <si>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</si>
  <si>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</si>
  <si>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</si>
  <si>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</si>
  <si>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</si>
  <si>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</si>
  <si>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</si>
  <si>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</si>
  <si>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</si>
  <si>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</si>
  <si>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</si>
  <si>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</si>
  <si>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</si>
  <si>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</si>
  <si>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</si>
  <si>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</si>
  <si>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</si>
  <si>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</si>
  <si>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</si>
  <si>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</si>
  <si>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</si>
  <si>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</si>
  <si>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</si>
  <si>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</si>
  <si>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</si>
  <si>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</si>
  <si>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</si>
  <si>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</si>
  <si>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</si>
  <si>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</si>
  <si>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</si>
  <si>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</si>
  <si>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</si>
  <si>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</si>
  <si>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</si>
  <si>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</si>
  <si>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</si>
  <si>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</si>
  <si>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</si>
  <si>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</si>
  <si>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</si>
  <si>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</si>
  <si>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</si>
  <si>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</si>
  <si>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</si>
  <si>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</si>
  <si>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</si>
  <si>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</si>
  <si>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</si>
  <si>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</si>
  <si>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</si>
  <si>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</si>
  <si>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</si>
  <si>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</si>
  <si>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</si>
  <si>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</si>
  <si>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</si>
  <si>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</si>
  <si>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</si>
  <si>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</si>
  <si>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</si>
  <si>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</si>
  <si>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</si>
  <si>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</si>
  <si>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</si>
  <si>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</si>
  <si>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</si>
  <si>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</si>
  <si>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</si>
  <si>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</si>
  <si>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</si>
  <si>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</si>
  <si>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</si>
  <si>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</si>
  <si>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</si>
  <si>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</si>
  <si>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</si>
  <si>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</si>
  <si>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</si>
  <si>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</si>
  <si>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</si>
  <si>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</si>
  <si>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</si>
  <si>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</si>
  <si>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</si>
  <si>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</si>
  <si>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</si>
  <si>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</si>
  <si>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</si>
  <si>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</si>
  <si>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</si>
  <si>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</si>
  <si>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</si>
  <si>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</si>
  <si>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</si>
  <si>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</si>
  <si>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</si>
  <si>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</si>
  <si>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</si>
  <si>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</si>
  <si>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</si>
  <si>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</si>
  <si>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</si>
  <si>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</si>
  <si>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</si>
  <si>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</si>
  <si>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</si>
  <si>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</si>
  <si>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</si>
  <si>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</si>
  <si>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</si>
  <si>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</si>
  <si>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</si>
  <si>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</si>
  <si>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</si>
  <si>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</si>
  <si>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</si>
  <si>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</si>
  <si>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</si>
  <si>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</si>
  <si>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</si>
  <si>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</si>
  <si>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</si>
  <si>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</si>
  <si>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</si>
  <si>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</si>
  <si>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</si>
  <si>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</si>
  <si>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</si>
  <si>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</si>
  <si>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</si>
  <si>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</si>
  <si>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</si>
  <si>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</si>
  <si>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</si>
  <si>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</si>
  <si>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</si>
  <si>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</si>
  <si>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</si>
  <si>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</si>
  <si>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</si>
  <si>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</si>
  <si>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</si>
  <si>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</si>
  <si>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</si>
  <si>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</si>
  <si>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</si>
  <si>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</si>
  <si>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</si>
  <si>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</si>
  <si>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</si>
  <si>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</si>
  <si>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</si>
  <si>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</si>
  <si>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</si>
  <si>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</si>
  <si>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</si>
  <si>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</si>
  <si>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</si>
  <si>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</si>
  <si>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</si>
  <si>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</si>
  <si>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</si>
  <si>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</si>
  <si>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</si>
  <si>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</si>
  <si>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</si>
  <si>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</si>
  <si>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</si>
  <si>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</si>
  <si>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</si>
  <si>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</si>
  <si>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</si>
  <si>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</si>
  <si>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</si>
  <si>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</si>
  <si>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</si>
  <si>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</si>
  <si>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</si>
  <si>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</si>
  <si>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</si>
  <si>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</si>
  <si>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</si>
  <si>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</si>
  <si>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</si>
  <si>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</si>
  <si>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</si>
  <si>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</si>
  <si>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</si>
  <si>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</si>
  <si>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</si>
  <si>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</si>
  <si>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</si>
  <si>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</si>
  <si>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</si>
  <si>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</si>
  <si>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</si>
  <si>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</si>
  <si>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</si>
  <si>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</si>
  <si>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</si>
  <si>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</si>
  <si>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</si>
  <si>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</si>
  <si>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</si>
  <si>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</si>
  <si>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</si>
  <si>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</si>
  <si>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</si>
  <si>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</si>
  <si>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</si>
  <si>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</si>
  <si>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</si>
  <si>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</si>
  <si>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</si>
  <si>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</si>
  <si>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</si>
  <si>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</si>
  <si>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</si>
  <si>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</si>
  <si>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</si>
  <si>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</si>
  <si>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</si>
  <si>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</si>
  <si>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</si>
  <si>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</si>
  <si>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</si>
  <si>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</si>
  <si>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</si>
  <si>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</si>
  <si>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</si>
  <si>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</si>
  <si>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</si>
  <si>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</si>
  <si>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</si>
  <si>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</si>
  <si>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</si>
  <si>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</si>
  <si>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</si>
  <si>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</si>
  <si>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</si>
  <si>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</si>
  <si>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</si>
  <si>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</si>
  <si>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</si>
  <si>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</si>
  <si>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</si>
  <si>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</si>
  <si>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</si>
  <si>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</si>
  <si>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</si>
  <si>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</si>
  <si>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</si>
  <si>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</si>
  <si>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</si>
  <si>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</si>
  <si>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</si>
  <si>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</si>
  <si>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</si>
  <si>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</si>
  <si>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</si>
  <si>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</si>
  <si>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</si>
  <si>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</si>
  <si>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</si>
  <si>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</si>
  <si>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</si>
  <si>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</si>
  <si>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</si>
  <si>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</si>
  <si>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</si>
  <si>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</si>
  <si>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</si>
  <si>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</si>
  <si>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</si>
  <si>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</si>
  <si>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</si>
  <si>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</si>
  <si>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</si>
  <si>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</si>
  <si>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</si>
  <si>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</si>
  <si>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</si>
  <si>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</si>
  <si>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</si>
  <si>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</si>
  <si>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</si>
  <si>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</si>
  <si>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</si>
  <si>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</si>
  <si>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</si>
  <si>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</si>
  <si>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</si>
  <si>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</si>
  <si>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</si>
  <si>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</si>
  <si>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</si>
  <si>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</si>
  <si>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</si>
  <si>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</si>
  <si>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</si>
  <si>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</si>
  <si>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</si>
  <si>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</si>
  <si>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</si>
  <si>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</si>
  <si>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</si>
  <si>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</si>
  <si>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</si>
  <si>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</si>
  <si>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</si>
  <si>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</si>
  <si>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</si>
  <si>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</si>
  <si>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</si>
  <si>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</si>
  <si>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</si>
  <si>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</si>
  <si>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</si>
  <si>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</si>
  <si>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</si>
  <si>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</si>
  <si>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</si>
  <si>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</si>
  <si>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</si>
  <si>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</si>
  <si>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</si>
  <si>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</si>
  <si>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</si>
  <si>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</si>
  <si>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</si>
  <si>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</si>
  <si>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</si>
  <si>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</si>
  <si>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</si>
  <si>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</si>
  <si>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</si>
  <si>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</si>
  <si>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</si>
  <si>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</si>
  <si>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</si>
  <si>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</si>
  <si>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</si>
  <si>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</si>
  <si>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</si>
  <si>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</si>
  <si>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</si>
  <si>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</si>
  <si>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</si>
  <si>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</si>
  <si>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</si>
  <si>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</si>
  <si>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</si>
  <si>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</si>
  <si>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</si>
  <si>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</si>
  <si>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</si>
  <si>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</si>
  <si>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</si>
  <si>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</si>
  <si>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</si>
  <si>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</si>
  <si>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</si>
  <si>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</si>
  <si>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</si>
  <si>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</si>
  <si>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</si>
  <si>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</si>
  <si>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</si>
  <si>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</si>
  <si>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</si>
  <si>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</si>
  <si>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</si>
  <si>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</si>
  <si>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</si>
  <si>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</si>
  <si>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</si>
  <si>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</si>
  <si>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</si>
  <si>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</si>
  <si>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</si>
  <si>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</si>
  <si>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</si>
  <si>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</si>
  <si>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</si>
  <si>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</si>
  <si>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</si>
  <si>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</si>
  <si>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</si>
  <si>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</si>
  <si>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</si>
  <si>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</si>
  <si>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</si>
  <si>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</si>
  <si>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</si>
  <si>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</si>
  <si>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</si>
  <si>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</si>
  <si>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</si>
  <si>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</si>
  <si>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</si>
  <si>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</si>
  <si>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</si>
  <si>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</si>
  <si>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</si>
  <si>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</si>
  <si>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</si>
  <si>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</si>
  <si>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</si>
  <si>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</si>
  <si>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</si>
  <si>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</si>
  <si>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</si>
  <si>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</si>
  <si>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</si>
  <si>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</si>
  <si>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</si>
  <si>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</si>
  <si>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</si>
  <si>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</si>
  <si>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</si>
  <si>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</si>
  <si>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</si>
  <si>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</si>
  <si>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</si>
  <si>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</si>
  <si>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</si>
  <si>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</si>
  <si>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</si>
  <si>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</si>
  <si>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</si>
  <si>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</si>
  <si>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</si>
  <si>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</si>
  <si>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</si>
  <si>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</si>
  <si>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</si>
  <si>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</si>
  <si>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</si>
  <si>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</si>
  <si>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</si>
  <si>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</si>
  <si>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</si>
  <si>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</si>
  <si>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</si>
  <si>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</si>
  <si>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</si>
  <si>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</si>
  <si>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</si>
  <si>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</si>
  <si>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</si>
  <si>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</si>
  <si>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</si>
  <si>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</si>
  <si>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</si>
  <si>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</si>
  <si>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</si>
  <si>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</si>
  <si>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</si>
  <si>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</si>
  <si>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</si>
  <si>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</si>
  <si>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</si>
  <si>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</si>
  <si>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</si>
  <si>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</si>
  <si>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</si>
  <si>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</si>
  <si>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</si>
  <si>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</si>
  <si>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</si>
  <si>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</si>
  <si>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</si>
  <si>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</si>
  <si>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</si>
  <si>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</si>
  <si>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</si>
  <si>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</si>
  <si>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</si>
  <si>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</si>
  <si>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</si>
  <si>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</si>
  <si>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</si>
  <si>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</si>
  <si>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</si>
  <si>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</si>
  <si>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</si>
  <si>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</si>
  <si>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</si>
  <si>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</si>
  <si>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</si>
  <si>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</si>
  <si>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</si>
  <si>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</si>
  <si>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</si>
  <si>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</si>
  <si>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</si>
  <si>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</si>
  <si>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</si>
  <si>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</si>
  <si>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</si>
  <si>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</si>
  <si>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</si>
  <si>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</si>
  <si>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</si>
  <si>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</si>
  <si>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</si>
  <si>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</si>
  <si>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</si>
  <si>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</si>
  <si>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</si>
  <si>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</si>
  <si>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</si>
  <si>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</si>
  <si>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</si>
  <si>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</si>
  <si>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</si>
  <si>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</si>
  <si>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</si>
  <si>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</si>
  <si>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</si>
  <si>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</si>
  <si>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</si>
  <si>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</si>
  <si>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</si>
  <si>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</si>
  <si>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</si>
  <si>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</si>
  <si>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</si>
  <si>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</si>
  <si>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</si>
  <si>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</si>
  <si>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</si>
  <si>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</si>
  <si>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</si>
  <si>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</si>
  <si>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</si>
  <si>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</si>
  <si>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</si>
  <si>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</si>
  <si>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</si>
  <si>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</si>
  <si>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</si>
  <si>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</si>
  <si>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</si>
  <si>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</si>
  <si>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</si>
  <si>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</si>
  <si>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</si>
  <si>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</si>
  <si>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</si>
  <si>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</si>
  <si>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</si>
  <si>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</si>
  <si>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</si>
  <si>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</si>
  <si>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</si>
  <si>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</si>
  <si>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</si>
  <si>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</si>
  <si>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</si>
  <si>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</si>
  <si>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</si>
  <si>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</si>
  <si>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</si>
  <si>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</si>
  <si>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</si>
  <si>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</si>
  <si>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</si>
  <si>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</si>
  <si>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</si>
  <si>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</si>
  <si>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</si>
  <si>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</si>
  <si>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</si>
  <si>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</si>
  <si>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</si>
  <si>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</si>
  <si>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</si>
  <si>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</si>
  <si>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</si>
  <si>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</si>
  <si>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</si>
  <si>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</si>
  <si>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</si>
  <si>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</si>
  <si>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</si>
  <si>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</si>
  <si>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</si>
  <si>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</si>
  <si>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</si>
  <si>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</si>
  <si>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</si>
  <si>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</si>
  <si>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</si>
  <si>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</si>
  <si>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</si>
  <si>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</si>
  <si>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</si>
  <si>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</si>
  <si>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</si>
  <si>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</si>
  <si>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</si>
  <si>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</si>
  <si>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</si>
  <si>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</si>
  <si>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</si>
  <si>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</si>
  <si>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</si>
  <si>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</si>
  <si>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</si>
  <si>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</si>
  <si>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</si>
  <si>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</si>
  <si>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</si>
  <si>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</si>
  <si>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</si>
  <si>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</si>
  <si>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</si>
  <si>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</si>
  <si>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</si>
  <si>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</si>
  <si>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</si>
  <si>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</si>
  <si>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</si>
  <si>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</si>
  <si>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</si>
  <si>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</si>
  <si>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</si>
  <si>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</si>
  <si>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</si>
  <si>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</si>
  <si>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</si>
  <si>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</si>
  <si>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</si>
  <si>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</si>
  <si>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</si>
  <si>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</si>
  <si>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</si>
  <si>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</si>
  <si>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</si>
  <si>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</si>
  <si>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</si>
  <si>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</si>
  <si>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</si>
  <si>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</si>
  <si>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</si>
  <si>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</si>
  <si>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</si>
  <si>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</si>
  <si>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</si>
  <si>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</si>
  <si>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</si>
  <si>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</si>
  <si>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</si>
  <si>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</si>
  <si>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</si>
  <si>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</si>
  <si>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</si>
  <si>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</si>
  <si>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</si>
  <si>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</si>
  <si>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</si>
  <si>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</si>
  <si>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</si>
  <si>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</si>
  <si>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</si>
  <si>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</si>
  <si>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</si>
  <si>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</si>
  <si>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</si>
  <si>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</si>
  <si>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</si>
  <si>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</si>
  <si>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</si>
  <si>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</si>
  <si>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</si>
  <si>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</si>
  <si>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</si>
  <si>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</si>
  <si>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</si>
  <si>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</si>
  <si>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</si>
  <si>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</si>
  <si>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</si>
  <si>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</si>
  <si>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</si>
  <si>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</si>
  <si>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</si>
  <si>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</si>
  <si>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</si>
  <si>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</si>
  <si>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</si>
  <si>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</si>
  <si>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</si>
  <si>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</si>
  <si>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</si>
  <si>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</si>
  <si>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</si>
  <si>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</si>
  <si>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</si>
  <si>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</si>
  <si>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</si>
  <si>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</si>
  <si>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</si>
  <si>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</si>
  <si>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</si>
  <si>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</si>
  <si>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</si>
  <si>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</si>
  <si>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</si>
  <si>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</si>
  <si>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</si>
  <si>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</si>
  <si>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</si>
  <si>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</si>
  <si>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</si>
  <si>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</si>
  <si>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</si>
  <si>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</si>
  <si>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</si>
  <si>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</si>
  <si>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</si>
  <si>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</si>
  <si>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</si>
  <si>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</si>
  <si>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</si>
  <si>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</si>
  <si>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</si>
  <si>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</si>
  <si>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</si>
  <si>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</si>
  <si>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</si>
  <si>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</si>
  <si>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</si>
  <si>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</si>
  <si>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</si>
  <si>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</si>
  <si>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</si>
  <si>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</si>
  <si>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</si>
  <si>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</si>
  <si>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</si>
  <si>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</si>
  <si>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</si>
  <si>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</si>
  <si>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</si>
  <si>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</si>
  <si>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</si>
  <si>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</si>
  <si>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</si>
  <si>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</si>
  <si>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</si>
  <si>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</si>
  <si>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</si>
  <si>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</si>
  <si>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</si>
  <si>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</si>
  <si>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</si>
  <si>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</si>
  <si>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</si>
  <si>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</si>
  <si>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</si>
  <si>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</si>
  <si>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</si>
  <si>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</si>
  <si>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</si>
  <si>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</si>
  <si>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</si>
  <si>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</si>
  <si>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</si>
  <si>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</si>
  <si>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</si>
  <si>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</si>
  <si>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</si>
  <si>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</si>
  <si>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</si>
  <si>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</si>
  <si>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</si>
  <si>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</si>
  <si>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</si>
  <si>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</si>
  <si>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</si>
  <si>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</si>
  <si>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</si>
  <si>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</si>
  <si>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</si>
  <si>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</si>
  <si>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</si>
  <si>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</si>
  <si>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</si>
  <si>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</si>
  <si>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</si>
  <si>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</si>
  <si>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</si>
  <si>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</si>
  <si>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</si>
  <si>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</si>
  <si>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</si>
  <si>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</si>
  <si>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</si>
  <si>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</si>
  <si>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</si>
  <si>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</si>
  <si>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</si>
  <si>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</si>
  <si>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</si>
  <si>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</si>
  <si>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</si>
  <si>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</si>
  <si>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</si>
  <si>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</si>
  <si>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</si>
  <si>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</si>
  <si>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</si>
  <si>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</si>
  <si>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</si>
  <si>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</si>
  <si>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</si>
  <si>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</si>
  <si>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</si>
  <si>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</si>
  <si>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</si>
  <si>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</si>
  <si>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</si>
  <si>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</si>
  <si>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</si>
  <si>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</si>
  <si>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</si>
  <si>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</si>
  <si>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</si>
  <si>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</si>
  <si>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</si>
  <si>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</si>
  <si>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</si>
  <si>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</si>
  <si>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</si>
  <si>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</si>
  <si>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</si>
  <si>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</si>
  <si>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</si>
  <si>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</si>
  <si>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</si>
  <si>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</si>
  <si>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</si>
  <si>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</si>
  <si>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</si>
  <si>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</si>
  <si>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</si>
  <si>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</si>
  <si>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</si>
  <si>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</si>
  <si>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</si>
  <si>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</si>
  <si>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</si>
  <si>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</si>
  <si>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</si>
  <si>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</si>
  <si>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</si>
  <si>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</si>
  <si>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</si>
  <si>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</si>
  <si>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</si>
  <si>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</si>
  <si>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</si>
  <si>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</si>
  <si>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</si>
  <si>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</si>
  <si>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</si>
  <si>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</si>
  <si>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</si>
  <si>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</si>
  <si>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</si>
  <si>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</si>
  <si>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</si>
  <si>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</si>
  <si>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</si>
  <si>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</si>
  <si>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</si>
  <si>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</si>
  <si>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</si>
  <si>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</si>
  <si>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</si>
  <si>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</si>
  <si>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</si>
  <si>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</si>
  <si>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</si>
  <si>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</si>
  <si>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</si>
  <si>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</si>
  <si>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</si>
  <si>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</si>
  <si>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</si>
  <si>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</si>
  <si>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</si>
  <si>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</si>
  <si>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</si>
  <si>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</si>
  <si>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</si>
  <si>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</si>
  <si>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</si>
  <si>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</si>
  <si>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</si>
  <si>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</si>
  <si>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</si>
  <si>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</si>
  <si>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</si>
  <si>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</si>
  <si>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</si>
  <si>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</si>
  <si>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</si>
  <si>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</si>
  <si>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</si>
  <si>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</si>
  <si>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</si>
  <si>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</si>
  <si>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</si>
  <si>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</si>
  <si>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</si>
  <si>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</si>
  <si>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</si>
  <si>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</si>
  <si>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</si>
  <si>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</si>
  <si>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</si>
  <si>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</si>
  <si>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</si>
  <si>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</si>
  <si>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</si>
  <si>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</si>
  <si>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</si>
  <si>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</si>
  <si>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</si>
  <si>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</si>
  <si>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</si>
  <si>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</si>
  <si>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</si>
  <si>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</si>
  <si>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</si>
  <si>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</si>
  <si>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</si>
  <si>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</si>
  <si>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</si>
  <si>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</si>
  <si>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</si>
  <si>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</si>
  <si>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</si>
  <si>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</si>
  <si>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</si>
  <si>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</si>
  <si>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</si>
  <si>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</si>
  <si>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</si>
  <si>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</si>
  <si>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</si>
  <si>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</si>
  <si>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</si>
  <si>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</si>
  <si>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</si>
  <si>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</si>
  <si>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</si>
  <si>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</si>
  <si>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</si>
  <si>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</si>
  <si>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</si>
  <si>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</si>
  <si>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</si>
  <si>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</si>
  <si>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</si>
  <si>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</si>
  <si>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</si>
  <si>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</si>
  <si>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</si>
  <si>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</si>
  <si>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</si>
  <si>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</si>
  <si>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</si>
  <si>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</si>
  <si>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</si>
  <si>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</si>
  <si>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</si>
  <si>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</si>
  <si>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</si>
  <si>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</si>
  <si>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</si>
  <si>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</si>
  <si>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</si>
  <si>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</si>
  <si>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</si>
  <si>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</si>
  <si>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</si>
  <si>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</si>
  <si>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</si>
  <si>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</si>
  <si>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</si>
  <si>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</si>
  <si>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</si>
  <si>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</si>
  <si>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</si>
  <si>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</si>
  <si>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</si>
  <si>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</si>
  <si>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</si>
  <si>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</si>
  <si>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</si>
  <si>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</si>
  <si>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</si>
  <si>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</si>
  <si>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</si>
  <si>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</si>
  <si>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</si>
  <si>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</si>
  <si>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</si>
  <si>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</si>
  <si>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</si>
  <si>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</si>
  <si>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</si>
  <si>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</si>
  <si>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</si>
  <si>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</si>
  <si>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</si>
  <si>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</si>
  <si>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</si>
  <si>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</si>
  <si>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</si>
  <si>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</si>
  <si>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</si>
  <si>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</si>
  <si>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</si>
  <si>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</si>
  <si>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</si>
  <si>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</si>
  <si>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</si>
  <si>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</si>
  <si>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</si>
  <si>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</si>
  <si>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</si>
  <si>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</si>
  <si>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</si>
  <si>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</si>
  <si>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</si>
  <si>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</si>
  <si>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</si>
  <si>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</si>
  <si>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</si>
  <si>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</si>
  <si>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</si>
  <si>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</si>
  <si>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</si>
  <si>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</si>
  <si>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</si>
  <si>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</si>
  <si>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</si>
  <si>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</si>
  <si>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</si>
  <si>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</si>
  <si>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</si>
  <si>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</si>
  <si>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</si>
  <si>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</si>
  <si>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</si>
  <si>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</si>
  <si>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</si>
  <si>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</si>
  <si>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</si>
  <si>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</si>
  <si>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</si>
  <si>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</si>
  <si>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</si>
  <si>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</si>
  <si>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</si>
  <si>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</si>
  <si>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</si>
  <si>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</si>
  <si>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</si>
  <si>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</si>
  <si>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</si>
  <si>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</si>
  <si>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</si>
  <si>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</si>
  <si>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</si>
  <si>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</si>
  <si>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</si>
  <si>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</si>
  <si>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</si>
  <si>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</si>
  <si>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</si>
  <si>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</si>
  <si>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</si>
  <si>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</si>
  <si>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</si>
  <si>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</si>
  <si>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</si>
  <si>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</si>
  <si>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</si>
  <si>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</si>
  <si>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</si>
  <si>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</si>
  <si>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</si>
  <si>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</si>
  <si>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</si>
  <si>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</si>
  <si>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</si>
  <si>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</si>
  <si>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</si>
  <si>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</si>
  <si>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</si>
  <si>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</si>
  <si>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</si>
  <si>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</si>
  <si>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</si>
  <si>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</si>
  <si>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</si>
  <si>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</si>
  <si>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</si>
  <si>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</si>
  <si>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</si>
  <si>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</si>
  <si>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</si>
  <si>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</si>
  <si>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</si>
  <si>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</si>
  <si>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</si>
  <si>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</si>
  <si>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</si>
  <si>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</si>
  <si>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</si>
  <si>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</si>
  <si>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</si>
  <si>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</si>
  <si>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</si>
  <si>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</si>
  <si>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</si>
  <si>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</si>
  <si>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</si>
  <si>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</si>
  <si>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</si>
  <si>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</si>
  <si>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</si>
  <si>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</si>
  <si>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</si>
  <si>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</si>
  <si>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</si>
  <si>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</si>
  <si>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</si>
  <si>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</si>
  <si>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</si>
  <si>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</si>
  <si>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</si>
  <si>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</si>
  <si>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</si>
  <si>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</si>
  <si>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</si>
  <si>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</si>
  <si>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</si>
  <si>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</si>
  <si>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</si>
  <si>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</si>
  <si>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</si>
  <si>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</si>
  <si>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</si>
  <si>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</si>
  <si>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</si>
  <si>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</si>
  <si>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</si>
  <si>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</si>
  <si>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</si>
  <si>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</si>
  <si>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</si>
  <si>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</si>
  <si>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</si>
  <si>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</si>
  <si>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</si>
  <si>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</si>
  <si>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</si>
  <si>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</si>
  <si>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</si>
  <si>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</si>
  <si>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</si>
  <si>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</si>
  <si>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</si>
  <si>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</si>
  <si>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</si>
  <si>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</si>
  <si>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</si>
  <si>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</si>
  <si>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</si>
  <si>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</si>
  <si>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</si>
  <si>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</si>
  <si>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</si>
  <si>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</si>
  <si>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</si>
  <si>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</si>
  <si>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</si>
  <si>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</si>
  <si>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</si>
  <si>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</si>
  <si>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</si>
  <si>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</si>
  <si>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</si>
  <si>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</si>
  <si>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</si>
  <si>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</si>
  <si>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</si>
  <si>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</si>
  <si>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</si>
  <si>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</si>
  <si>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</si>
  <si>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</si>
  <si>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</si>
  <si>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</si>
  <si>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</si>
  <si>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</si>
  <si>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</si>
  <si>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</si>
  <si>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</si>
  <si>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</si>
  <si>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</si>
  <si>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</si>
  <si>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</si>
  <si>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</si>
  <si>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</si>
  <si>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</si>
  <si>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</si>
  <si>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</si>
  <si>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</si>
  <si>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</si>
  <si>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</si>
  <si>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</si>
  <si>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</si>
  <si>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</si>
  <si>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</si>
  <si>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</si>
  <si>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</si>
  <si>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</si>
  <si>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</si>
  <si>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</si>
  <si>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</si>
  <si>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</si>
  <si>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</si>
  <si>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</si>
  <si>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</si>
  <si>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</si>
  <si>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</si>
  <si>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</si>
  <si>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</si>
  <si>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</si>
  <si>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</si>
  <si>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</si>
  <si>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</si>
  <si>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</si>
  <si>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</si>
  <si>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</si>
  <si>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</si>
  <si>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</si>
  <si>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</si>
  <si>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</si>
  <si>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</si>
  <si>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</si>
  <si>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</si>
  <si>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</si>
  <si>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</si>
  <si>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</si>
  <si>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</si>
  <si>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</si>
  <si>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</si>
  <si>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</si>
  <si>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</si>
  <si>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</si>
  <si>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</si>
  <si>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</si>
  <si>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</si>
  <si>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</si>
  <si>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</si>
  <si>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</si>
  <si>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</si>
  <si>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</si>
  <si>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</si>
  <si>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</si>
  <si>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</si>
  <si>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</si>
  <si>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</si>
  <si>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</si>
  <si>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</si>
  <si>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</si>
  <si>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</si>
  <si>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</si>
  <si>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</si>
  <si>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</si>
  <si>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</si>
  <si>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</si>
  <si>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</si>
  <si>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</si>
  <si>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</si>
  <si>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</si>
  <si>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</si>
  <si>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</si>
  <si>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</si>
  <si>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</si>
  <si>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</si>
  <si>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</si>
  <si>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</si>
  <si>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</si>
  <si>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</si>
  <si>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</si>
  <si>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</si>
  <si>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</si>
  <si>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</si>
  <si>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</si>
  <si>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</si>
  <si>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</si>
  <si>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</si>
  <si>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</si>
  <si>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</si>
  <si>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</si>
  <si>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</si>
  <si>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</si>
  <si>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</si>
  <si>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</si>
  <si>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</si>
  <si>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</si>
  <si>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</si>
  <si>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</si>
  <si>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</si>
  <si>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</si>
  <si>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</si>
  <si>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</si>
  <si>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</si>
  <si>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</si>
  <si>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</si>
  <si>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</si>
  <si>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</si>
  <si>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</si>
  <si>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</si>
  <si>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</si>
  <si>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</si>
  <si>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</si>
  <si>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</si>
  <si>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</si>
  <si>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</si>
  <si>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</si>
  <si>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</si>
  <si>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</si>
  <si>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</si>
  <si>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</si>
  <si>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</si>
  <si>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</si>
  <si>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</si>
  <si>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</si>
  <si>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</si>
  <si>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</si>
  <si>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</si>
  <si>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</si>
  <si>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</si>
  <si>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</si>
  <si>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</si>
  <si>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</si>
  <si>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</si>
  <si>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</si>
  <si>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</si>
  <si>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</si>
  <si>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</si>
  <si>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</si>
  <si>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</si>
  <si>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</si>
  <si>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</si>
  <si>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</si>
  <si>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</si>
  <si>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</si>
  <si>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</si>
  <si>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</si>
  <si>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</si>
  <si>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</si>
  <si>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</si>
  <si>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</si>
  <si>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</si>
  <si>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</si>
  <si>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</si>
  <si>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</si>
  <si>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</si>
  <si>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</si>
  <si>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</si>
  <si>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</si>
  <si>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</si>
  <si>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</si>
  <si>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</si>
  <si>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</si>
  <si>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</si>
  <si>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</si>
  <si>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</si>
  <si>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</si>
  <si>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</si>
  <si>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</si>
  <si>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</si>
  <si>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</si>
  <si>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</si>
  <si>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</si>
  <si>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</si>
  <si>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</si>
  <si>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</si>
  <si>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</si>
  <si>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</si>
  <si>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</si>
  <si>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</si>
  <si>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</si>
  <si>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</si>
  <si>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</si>
  <si>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</si>
  <si>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</si>
  <si>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</si>
  <si>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</si>
  <si>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</si>
  <si>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</si>
  <si>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</si>
  <si>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</si>
  <si>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</si>
  <si>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</si>
  <si>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</si>
  <si>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</si>
  <si>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</si>
  <si>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</si>
  <si>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</si>
  <si>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</si>
  <si>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</si>
  <si>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</si>
  <si>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</si>
  <si>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</si>
  <si>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</si>
  <si>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</si>
  <si>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</si>
  <si>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</si>
  <si>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</si>
  <si>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</si>
  <si>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</si>
  <si>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</si>
  <si>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</si>
  <si>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</si>
  <si>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</si>
  <si>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</si>
  <si>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</si>
  <si>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</si>
  <si>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</si>
  <si>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</si>
  <si>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</si>
  <si>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</si>
  <si>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</si>
  <si>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</si>
  <si>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</si>
  <si>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</si>
  <si>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</si>
  <si>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</si>
  <si>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</si>
  <si>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</si>
  <si>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</si>
  <si>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</si>
  <si>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</si>
  <si>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</si>
  <si>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</si>
  <si>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</si>
  <si>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</si>
  <si>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</si>
  <si>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</si>
  <si>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</si>
  <si>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</si>
  <si>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</si>
  <si>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</si>
  <si>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</si>
  <si>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</si>
  <si>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</si>
  <si>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</si>
  <si>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</si>
  <si>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</si>
  <si>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</si>
  <si>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</si>
  <si>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</si>
  <si>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</si>
  <si>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</si>
  <si>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</si>
  <si>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</si>
  <si>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</si>
  <si>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</si>
  <si>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</si>
  <si>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</si>
  <si>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</si>
  <si>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</si>
  <si>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</si>
  <si>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</si>
  <si>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</si>
  <si>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</si>
  <si>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</si>
  <si>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</si>
  <si>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</si>
  <si>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</si>
  <si>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</si>
  <si>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</si>
  <si>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</si>
  <si>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</si>
  <si>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</si>
  <si>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</si>
  <si>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</si>
  <si>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</si>
  <si>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</si>
  <si>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</si>
  <si>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</si>
  <si>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</si>
  <si>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</si>
  <si>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</si>
  <si>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</si>
  <si>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</si>
  <si>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</si>
  <si>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</si>
  <si>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</si>
  <si>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</si>
  <si>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</si>
  <si>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</si>
  <si>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</si>
  <si>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</si>
  <si>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</si>
  <si>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</si>
  <si>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</si>
  <si>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</si>
  <si>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</si>
  <si>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</si>
  <si>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</si>
  <si>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</si>
  <si>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</si>
  <si>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</si>
  <si>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</si>
  <si>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</si>
  <si>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</si>
  <si>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</si>
  <si>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</si>
  <si>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</si>
  <si>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</si>
  <si>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</si>
  <si>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</si>
  <si>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</si>
  <si>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</si>
  <si>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</si>
  <si>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</si>
  <si>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</si>
  <si>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</si>
  <si>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</si>
  <si>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</si>
  <si>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</si>
  <si>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</si>
  <si>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</si>
  <si>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</si>
  <si>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</si>
  <si>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</si>
  <si>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</si>
  <si>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</si>
  <si>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</si>
  <si>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</si>
  <si>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</si>
  <si>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</si>
  <si>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</si>
  <si>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</si>
  <si>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</si>
  <si>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</si>
  <si>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</si>
  <si>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</si>
  <si>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</si>
  <si>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</si>
  <si>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</si>
  <si>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</si>
  <si>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</si>
  <si>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</si>
  <si>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</si>
  <si>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</si>
  <si>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</si>
  <si>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</si>
  <si>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</si>
  <si>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</si>
  <si>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</si>
  <si>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</si>
  <si>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</si>
  <si>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</si>
  <si>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</si>
  <si>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</si>
  <si>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</si>
  <si>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</si>
  <si>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</si>
  <si>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</si>
  <si>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</si>
  <si>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</si>
  <si>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</si>
  <si>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</si>
  <si>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</si>
  <si>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</si>
  <si>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</si>
  <si>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</si>
  <si>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</si>
  <si>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</si>
  <si>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</si>
  <si>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</si>
  <si>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</si>
  <si>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</si>
  <si>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</si>
  <si>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</si>
  <si>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</si>
  <si>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</si>
  <si>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</si>
  <si>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</si>
  <si>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</si>
  <si>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</si>
  <si>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</si>
  <si>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</si>
  <si>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</si>
  <si>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</si>
  <si>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</si>
  <si>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</si>
  <si>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</si>
  <si>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</si>
  <si>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</si>
  <si>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</si>
  <si>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</si>
  <si>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</si>
  <si>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</si>
  <si>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</si>
  <si>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</si>
  <si>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</si>
  <si>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</si>
  <si>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</si>
  <si>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</si>
  <si>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</si>
  <si>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</si>
  <si>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</si>
  <si>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</si>
  <si>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</si>
  <si>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</si>
  <si>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</si>
  <si>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</si>
  <si>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</si>
  <si>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</si>
  <si>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</si>
  <si>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</si>
  <si>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</si>
  <si>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</si>
  <si>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</si>
  <si>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</si>
  <si>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</si>
  <si>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</si>
  <si>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</si>
  <si>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</si>
  <si>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</si>
  <si>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</si>
  <si>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</si>
  <si>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</si>
  <si>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</si>
  <si>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</si>
  <si>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</si>
  <si>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</si>
  <si>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</si>
  <si>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</si>
  <si>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</si>
  <si>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</si>
  <si>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</si>
  <si>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</si>
  <si>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</si>
  <si>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</si>
  <si>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</si>
  <si>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</si>
  <si>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</si>
  <si>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</si>
  <si>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</si>
  <si>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</si>
  <si>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</si>
  <si>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</si>
  <si>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</si>
  <si>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</si>
  <si>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</si>
  <si>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</si>
  <si>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</si>
  <si>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</si>
  <si>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</si>
  <si>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</si>
  <si>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</si>
  <si>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</si>
  <si>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</si>
  <si>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</si>
  <si>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</si>
  <si>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</si>
  <si>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</si>
  <si>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</si>
  <si>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</si>
  <si>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</si>
  <si>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</si>
  <si>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</si>
  <si>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</si>
  <si>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</si>
  <si>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</si>
  <si>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</si>
  <si>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</si>
  <si>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</si>
  <si>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</si>
  <si>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</si>
  <si>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</si>
  <si>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</si>
  <si>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</si>
  <si>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</si>
  <si>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</si>
  <si>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</si>
  <si>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</si>
  <si>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</si>
  <si>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</si>
  <si>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</si>
  <si>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</si>
  <si>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</si>
  <si>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</si>
  <si>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</si>
  <si>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</si>
  <si>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</si>
  <si>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</si>
  <si>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</si>
  <si>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</si>
  <si>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</si>
  <si>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</si>
  <si>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</si>
  <si>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</si>
  <si>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</si>
  <si>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</si>
  <si>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</si>
  <si>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</si>
  <si>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</si>
  <si>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</si>
  <si>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</si>
  <si>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</si>
  <si>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</si>
  <si>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</si>
  <si>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</si>
  <si>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</si>
  <si>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</si>
  <si>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</si>
  <si>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</si>
  <si>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</si>
  <si>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</si>
  <si>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</si>
  <si>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</si>
  <si>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</si>
  <si>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</si>
  <si>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</si>
  <si>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</si>
  <si>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</si>
  <si>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</si>
  <si>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</si>
  <si>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</si>
  <si>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</si>
  <si>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</si>
  <si>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</si>
  <si>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</si>
  <si>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</si>
  <si>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</si>
  <si>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</si>
  <si>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</si>
  <si>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</si>
  <si>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</si>
  <si>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</si>
  <si>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</si>
  <si>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</si>
  <si>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</si>
  <si>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</si>
  <si>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</si>
  <si>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</si>
  <si>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</si>
  <si>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</si>
  <si>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</si>
  <si>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</si>
  <si>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</si>
  <si>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</si>
  <si>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</si>
  <si>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</si>
  <si>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</si>
  <si>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</si>
  <si>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</si>
  <si>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</si>
  <si>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</si>
  <si>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</si>
  <si>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</si>
  <si>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</si>
  <si>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</si>
  <si>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</si>
  <si>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</si>
  <si>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</si>
  <si>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</si>
  <si>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</si>
  <si>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</si>
  <si>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</si>
  <si>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</si>
  <si>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</si>
  <si>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</si>
  <si>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</si>
  <si>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</si>
  <si>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</si>
  <si>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</si>
  <si>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</si>
  <si>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</si>
  <si>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</si>
  <si>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</si>
  <si>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</si>
  <si>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</si>
  <si>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</si>
  <si>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</si>
  <si>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</si>
  <si>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</si>
  <si>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</si>
  <si>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</si>
  <si>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</si>
  <si>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</si>
  <si>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</si>
  <si>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</si>
  <si>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</si>
  <si>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</si>
  <si>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</si>
  <si>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</si>
  <si>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</si>
  <si>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</si>
  <si>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</si>
  <si>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</si>
  <si>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</si>
  <si>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</si>
  <si>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</si>
  <si>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</si>
  <si>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</si>
  <si>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</si>
  <si>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</si>
  <si>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</si>
  <si>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</si>
  <si>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</si>
  <si>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</si>
  <si>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</si>
  <si>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</si>
  <si>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</si>
  <si>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</si>
  <si>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</si>
  <si>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</si>
  <si>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</si>
  <si>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</si>
  <si>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</si>
  <si>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</si>
  <si>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</si>
  <si>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</si>
  <si>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</si>
  <si>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</si>
  <si>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</si>
  <si>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</si>
  <si>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</si>
  <si>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</si>
  <si>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</si>
  <si>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</si>
  <si>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</si>
  <si>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</si>
  <si>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</si>
  <si>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</si>
  <si>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</si>
  <si>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</si>
  <si>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</si>
  <si>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</si>
  <si>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</si>
  <si>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</si>
  <si>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</si>
  <si>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</si>
  <si>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</si>
  <si>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</si>
  <si>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</si>
  <si>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</si>
  <si>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</si>
  <si>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</si>
  <si>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</si>
  <si>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</si>
  <si>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</si>
  <si>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</si>
  <si>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</si>
  <si>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</si>
  <si>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</si>
  <si>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</si>
  <si>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</si>
  <si>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</si>
  <si>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</si>
  <si>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</si>
  <si>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</si>
  <si>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</si>
  <si>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</si>
  <si>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</si>
  <si>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</si>
  <si>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</si>
  <si>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</si>
  <si>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</si>
  <si>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</si>
  <si>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</si>
  <si>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</si>
  <si>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</si>
  <si>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</si>
  <si>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</si>
  <si>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</si>
  <si>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</si>
  <si>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</si>
  <si>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</si>
  <si>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</si>
  <si>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</si>
  <si>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</si>
  <si>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</si>
  <si>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</si>
  <si>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</si>
  <si>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</si>
  <si>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</si>
  <si>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</si>
  <si>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</si>
  <si>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</si>
  <si>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</si>
  <si>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</si>
  <si>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</si>
  <si>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</si>
  <si>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</si>
  <si>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</si>
  <si>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</si>
  <si>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</si>
  <si>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</si>
  <si>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</si>
  <si>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</si>
  <si>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</si>
  <si>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</si>
  <si>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</si>
  <si>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</si>
  <si>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</si>
  <si>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</si>
  <si>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</si>
  <si>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</si>
  <si>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</si>
  <si>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</si>
  <si>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</si>
  <si>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</si>
  <si>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</si>
  <si>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</si>
  <si>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</si>
  <si>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</si>
  <si>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</si>
  <si>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</si>
  <si>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</si>
  <si>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</si>
  <si>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</si>
  <si>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</si>
  <si>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</si>
  <si>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</si>
  <si>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</si>
  <si>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</si>
  <si>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</si>
  <si>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</si>
  <si>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</si>
  <si>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</si>
  <si>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</si>
  <si>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</si>
  <si>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</si>
  <si>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</si>
  <si>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</si>
  <si>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</si>
  <si>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</si>
  <si>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</si>
  <si>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</si>
  <si>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</si>
  <si>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</si>
  <si>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</si>
  <si>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</si>
  <si>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</si>
  <si>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</si>
  <si>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</si>
  <si>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</si>
  <si>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</si>
  <si>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</si>
  <si>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</si>
  <si>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</si>
  <si>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</si>
  <si>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</si>
  <si>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</si>
  <si>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轉讓方式</t>
  </si>
  <si>
    <t>台亞</t>
    <phoneticPr fontId="2" type="noConversion"/>
  </si>
  <si>
    <t>112/01/10</t>
  </si>
  <si>
    <t>112/02/02</t>
  </si>
  <si>
    <t>建榮工業材料股份有限公司股票(代號：5340)因連續3個營業日達本中心作業要點第四條第一項第一款經本中心公布注意交易資訊，爰自112年01月10日起10個營業日(112年01月10日至112年02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</si>
  <si>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【新聞出錯請更新瀏覽器版本】</t>
  </si>
  <si>
    <t>1.到官網下載最新的Stable通道的driver，x64版本</t>
  </si>
  <si>
    <t>https://developer.microsoft.com/zh-tw/microsoft-edge/tools/webdriver/</t>
  </si>
  <si>
    <t>3.複製到下面的文件夾中</t>
  </si>
  <si>
    <t>C:\Users\AppData\Local\SeleniumBasic</t>
  </si>
  <si>
    <t>2.然後將壓縮包內的msedgedriver.exe重命名為</t>
    <phoneticPr fontId="2" type="noConversion"/>
  </si>
  <si>
    <t>edgedriver.exe</t>
    <phoneticPr fontId="2" type="noConversion"/>
  </si>
  <si>
    <t>大綜</t>
  </si>
  <si>
    <t>沒有資料</t>
  </si>
  <si>
    <t>口罩管控 最快本周鬆綁</t>
  </si>
  <si>
    <t>台翰接新單 毛利率看增</t>
  </si>
  <si>
    <t>和泰車/裕隆看車市 轉向樂觀</t>
  </si>
  <si>
    <t>松下停產藍光光碟片 中環/錸德將迎轉單</t>
  </si>
  <si>
    <t>無塵室工程四強 訂單火熱</t>
  </si>
  <si>
    <t>全新業績 將逐月回升</t>
  </si>
  <si>
    <t>大綜衝營運 雙引擎熱轉</t>
  </si>
  <si>
    <t>昇達科夠利 去年EPS 4.36元</t>
  </si>
  <si>
    <t>辛耘 今年營收拚攀峰</t>
  </si>
  <si>
    <t>閎康國際化布局奏效 業績將水漲船高</t>
  </si>
  <si>
    <t>乙盛-KY 車用營收看增</t>
  </si>
  <si>
    <t>胡連喊衝 大陸接單倍增</t>
  </si>
  <si>
    <t>復盛應用 今年營運樂觀</t>
  </si>
  <si>
    <t>志強-KY印尼新廠下半年投產 出貨添動能</t>
  </si>
  <si>
    <t>燁聯盤價大漲 不銹鋼看旺</t>
  </si>
  <si>
    <t>最近六個營業日累積收盤價漲幅達58.70%﹝第一款﹞。</t>
  </si>
  <si>
    <t>最近六個營業日之累積週轉率為80.96%。且01月30日之週轉率為20.37%﹝第十款﹞。</t>
  </si>
  <si>
    <t>最近六個營業日之累積週轉率為61.47%。且01月30日之週轉率為20.51%﹝第十款﹞。</t>
  </si>
  <si>
    <t>當日本益比為152.46、股價淨值比為16.86且為其所屬產業類別股價淨值比之5.4倍、當日週轉率達5.44%(第六款)</t>
  </si>
  <si>
    <t>最近六個營業日(自當日之前一個營業日起)之當日沖銷成交量占總成交量比率達77.75%，當日之前一個營業日當日沖銷成交量占總成交量達85.34%（第十三款)</t>
  </si>
  <si>
    <t>最近六個營業日(含當日)累積之最後成交價漲幅達28.76%，當日之成交量較最近六十個營業日日平均成交量放大19.43倍(第三款)當日週轉率達8.37%(第四款)</t>
  </si>
  <si>
    <t>最近六個營業日累積收盤價漲幅達32.29%﹝第一款﹞。</t>
  </si>
  <si>
    <t>最近六個營業日(含當日)累積之最後成交價漲幅達27.35%，當日之成交量較最近六十個營業日日平均成交量放大6.05倍(第三款)當日週轉率達15.72%(第四款)</t>
  </si>
  <si>
    <t>最近六個營業日累積收盤價漲幅達33.01%。且六個營業日起迄兩個營業日收盤價價差達115.00元﹝第一款﹞。六個營業日起迄兩個營業日收盤價價差達115.00元且當日收盤價為最近六個營業日收盤價最高者﹝第十一款﹞ 01月17日之最近六個營業日之當日沖銷成交量占最近六個營業日總成交量比率63.63%，且01月17日當日沖銷成交量占該日總成交量比率67.26%﹝第十三款﹞</t>
  </si>
  <si>
    <t>最近六個營業日之累積週轉率為130.73% 。且01月30日之週轉率為32.83%﹝第十款﹞。01月17日之最近六個營業日之當日沖銷成交量占最近六個營業日總成交量比率74.74%，且01月17日當日沖銷成交量占該日總成交量比率72.66%﹝第十三款﹞</t>
  </si>
  <si>
    <t>公開資訊觀測站公告當日之前一個營業日臺灣存託憑證兩地收盤價溢價73.97 % 且當日收盤價為最近六個營業日收盤價最高者﹝第八款﹞。</t>
  </si>
  <si>
    <t>公開資訊觀測站公告當日之前一個營業日臺灣存託憑證兩地收盤價溢價59.04 % 且當日收盤價為最近六個營業日收盤價最高者﹝第八款﹞。</t>
  </si>
  <si>
    <t>公開資訊觀測站公告當日之前一個營業日臺灣存託憑證兩地收盤價溢價59.73 % 且當日收盤價為最近六個營業日收盤價最高者﹝第八款﹞。</t>
  </si>
  <si>
    <t>裕民元富購</t>
  </si>
  <si>
    <t>泰金寶-DR</t>
  </si>
  <si>
    <t>越南控-DR</t>
  </si>
  <si>
    <t>明輝-DR</t>
  </si>
  <si>
    <t>5340建榮</t>
  </si>
  <si>
    <t>經理人信託</t>
  </si>
  <si>
    <t>董事鉅額逐筆交易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</si>
</sst>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11">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2"/>
  <sheetViews>
    <sheetView topLeftCell="A2027" workbookViewId="0">
      <selection activeCell="B2054" sqref="B2054"/>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row r="2052" spans="1:3" x14ac:dyDescent="0.3">
      <c r="A2052">
        <v>2340</v>
      </c>
      <c r="B2052" t="s">
        <v>3489</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5"/>
  <sheetViews>
    <sheetView workbookViewId="0">
      <selection activeCell="N2" sqref="N2"/>
    </sheetView>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3488</v>
      </c>
      <c r="X1" s="6" t="s">
        <v>3263</v>
      </c>
    </row>
    <row r="2" spans="1:24" x14ac:dyDescent="0.3">
      <c r="A2">
        <v>1268</v>
      </c>
      <c r="B2" t="s">
        <v>2653</v>
      </c>
      <c r="C2" t="s">
        <v>3502</v>
      </c>
      <c r="D2" s="1">
        <v>44957</v>
      </c>
      <c r="F2">
        <v>339042701</v>
      </c>
      <c r="G2" t="s">
        <v>3530</v>
      </c>
      <c r="H2" s="1">
        <v>44957</v>
      </c>
      <c r="I2" s="5" t="s">
        <v>3517</v>
      </c>
      <c r="N2" t="s">
        <v>3446</v>
      </c>
      <c r="O2" t="s">
        <v>3490</v>
      </c>
      <c r="P2" t="s">
        <v>3491</v>
      </c>
      <c r="Q2">
        <v>10</v>
      </c>
      <c r="R2">
        <v>30</v>
      </c>
      <c r="S2" t="s">
        <v>3492</v>
      </c>
      <c r="U2">
        <v>5876</v>
      </c>
      <c r="V2" t="s">
        <v>1471</v>
      </c>
      <c r="W2" t="s">
        <v>3535</v>
      </c>
      <c r="X2" s="1">
        <v>44956</v>
      </c>
    </row>
    <row r="3" spans="1:24" x14ac:dyDescent="0.3">
      <c r="A3">
        <v>1336</v>
      </c>
      <c r="B3" t="s">
        <v>2324</v>
      </c>
      <c r="C3" t="s">
        <v>3503</v>
      </c>
      <c r="D3" s="1">
        <v>44957</v>
      </c>
      <c r="F3">
        <v>2465</v>
      </c>
      <c r="G3" t="s">
        <v>734</v>
      </c>
      <c r="H3" s="1">
        <v>44957</v>
      </c>
      <c r="I3" s="5" t="s">
        <v>3518</v>
      </c>
      <c r="U3">
        <v>6804</v>
      </c>
      <c r="V3" t="s">
        <v>3232</v>
      </c>
      <c r="W3" t="s">
        <v>3536</v>
      </c>
      <c r="X3" s="1">
        <v>44956</v>
      </c>
    </row>
    <row r="4" spans="1:24" x14ac:dyDescent="0.3">
      <c r="A4">
        <v>2201</v>
      </c>
      <c r="B4" t="s">
        <v>515</v>
      </c>
      <c r="C4" t="s">
        <v>3504</v>
      </c>
      <c r="D4" s="1">
        <v>44957</v>
      </c>
      <c r="F4">
        <v>3027</v>
      </c>
      <c r="G4" t="s">
        <v>942</v>
      </c>
      <c r="H4" s="1">
        <v>44957</v>
      </c>
      <c r="I4" s="5" t="s">
        <v>3519</v>
      </c>
    </row>
    <row r="5" spans="1:24" x14ac:dyDescent="0.3">
      <c r="A5">
        <v>2207</v>
      </c>
      <c r="B5" t="s">
        <v>521</v>
      </c>
      <c r="C5" t="s">
        <v>3504</v>
      </c>
      <c r="D5" s="1">
        <v>44957</v>
      </c>
      <c r="F5">
        <v>3228</v>
      </c>
      <c r="G5" t="s">
        <v>1975</v>
      </c>
      <c r="H5" s="1">
        <v>44957</v>
      </c>
      <c r="I5" s="5" t="s">
        <v>3520</v>
      </c>
    </row>
    <row r="6" spans="1:24" x14ac:dyDescent="0.3">
      <c r="A6">
        <v>2323</v>
      </c>
      <c r="B6" t="s">
        <v>800</v>
      </c>
      <c r="C6" t="s">
        <v>3505</v>
      </c>
      <c r="D6" s="1">
        <v>44957</v>
      </c>
      <c r="F6">
        <v>3693</v>
      </c>
      <c r="G6" t="s">
        <v>2128</v>
      </c>
      <c r="H6" s="1">
        <v>44957</v>
      </c>
      <c r="I6" s="5" t="s">
        <v>3521</v>
      </c>
    </row>
    <row r="7" spans="1:24" x14ac:dyDescent="0.3">
      <c r="A7">
        <v>2349</v>
      </c>
      <c r="B7" t="s">
        <v>804</v>
      </c>
      <c r="C7" t="s">
        <v>3505</v>
      </c>
      <c r="D7" s="1">
        <v>44957</v>
      </c>
      <c r="F7">
        <v>6612</v>
      </c>
      <c r="G7" t="s">
        <v>1913</v>
      </c>
      <c r="H7" s="1">
        <v>44957</v>
      </c>
      <c r="I7" s="5" t="s">
        <v>3522</v>
      </c>
    </row>
    <row r="8" spans="1:24" x14ac:dyDescent="0.3">
      <c r="A8">
        <v>2404</v>
      </c>
      <c r="B8" t="s">
        <v>1221</v>
      </c>
      <c r="C8" t="s">
        <v>3506</v>
      </c>
      <c r="D8" s="1">
        <v>44957</v>
      </c>
      <c r="F8">
        <v>6689</v>
      </c>
      <c r="G8" t="s">
        <v>3154</v>
      </c>
      <c r="H8" s="1">
        <v>44957</v>
      </c>
      <c r="I8" s="5" t="s">
        <v>3523</v>
      </c>
    </row>
    <row r="9" spans="1:24" x14ac:dyDescent="0.3">
      <c r="A9">
        <v>2455</v>
      </c>
      <c r="B9" t="s">
        <v>935</v>
      </c>
      <c r="C9" t="s">
        <v>3507</v>
      </c>
      <c r="D9" s="1">
        <v>44957</v>
      </c>
      <c r="F9">
        <v>6788</v>
      </c>
      <c r="G9" t="s">
        <v>3033</v>
      </c>
      <c r="H9" s="1">
        <v>44957</v>
      </c>
      <c r="I9" s="5" t="s">
        <v>3524</v>
      </c>
    </row>
    <row r="10" spans="1:24" x14ac:dyDescent="0.3">
      <c r="A10">
        <v>2704</v>
      </c>
      <c r="B10" t="s">
        <v>1398</v>
      </c>
      <c r="C10" t="s">
        <v>3502</v>
      </c>
      <c r="D10" s="1">
        <v>44957</v>
      </c>
      <c r="F10">
        <v>8478</v>
      </c>
      <c r="G10" t="s">
        <v>1609</v>
      </c>
      <c r="H10" s="1">
        <v>44957</v>
      </c>
      <c r="I10" s="5" t="s">
        <v>3525</v>
      </c>
    </row>
    <row r="11" spans="1:24" x14ac:dyDescent="0.3">
      <c r="A11">
        <v>2707</v>
      </c>
      <c r="B11" t="s">
        <v>1403</v>
      </c>
      <c r="C11" t="s">
        <v>3502</v>
      </c>
      <c r="D11" s="1">
        <v>44957</v>
      </c>
      <c r="F11">
        <v>8996</v>
      </c>
      <c r="G11" t="s">
        <v>244</v>
      </c>
      <c r="H11" s="1">
        <v>44957</v>
      </c>
      <c r="I11" s="5" t="s">
        <v>3526</v>
      </c>
    </row>
    <row r="12" spans="1:24" x14ac:dyDescent="0.3">
      <c r="A12">
        <v>2723</v>
      </c>
      <c r="B12" t="s">
        <v>1406</v>
      </c>
      <c r="C12" t="s">
        <v>3502</v>
      </c>
      <c r="D12" s="1">
        <v>44957</v>
      </c>
      <c r="F12">
        <v>9105</v>
      </c>
      <c r="G12" t="s">
        <v>3531</v>
      </c>
      <c r="H12" s="1">
        <v>44957</v>
      </c>
      <c r="I12" s="5" t="s">
        <v>3527</v>
      </c>
    </row>
    <row r="13" spans="1:24" x14ac:dyDescent="0.3">
      <c r="A13">
        <v>2727</v>
      </c>
      <c r="B13" t="s">
        <v>1408</v>
      </c>
      <c r="C13" t="s">
        <v>3502</v>
      </c>
      <c r="D13" s="1">
        <v>44957</v>
      </c>
      <c r="F13">
        <v>9110</v>
      </c>
      <c r="G13" t="s">
        <v>3532</v>
      </c>
      <c r="H13" s="1">
        <v>44957</v>
      </c>
      <c r="I13" s="5" t="s">
        <v>3528</v>
      </c>
    </row>
    <row r="14" spans="1:24" x14ac:dyDescent="0.3">
      <c r="A14" t="s">
        <v>3501</v>
      </c>
      <c r="B14" t="s">
        <v>3500</v>
      </c>
      <c r="C14" t="s">
        <v>3508</v>
      </c>
      <c r="D14" s="1">
        <v>44957</v>
      </c>
      <c r="F14">
        <v>911608</v>
      </c>
      <c r="G14" t="s">
        <v>3533</v>
      </c>
      <c r="H14" s="1">
        <v>44957</v>
      </c>
      <c r="I14" s="5" t="s">
        <v>3529</v>
      </c>
    </row>
    <row r="15" spans="1:24" x14ac:dyDescent="0.3">
      <c r="A15">
        <v>3491</v>
      </c>
      <c r="B15" t="s">
        <v>2260</v>
      </c>
      <c r="C15" t="s">
        <v>3509</v>
      </c>
      <c r="D15" s="1">
        <v>44957</v>
      </c>
    </row>
    <row r="16" spans="1:24" x14ac:dyDescent="0.3">
      <c r="A16">
        <v>3583</v>
      </c>
      <c r="B16" t="s">
        <v>628</v>
      </c>
      <c r="C16" t="s">
        <v>3510</v>
      </c>
      <c r="D16" s="1">
        <v>44957</v>
      </c>
    </row>
    <row r="17" spans="1:4" x14ac:dyDescent="0.3">
      <c r="A17">
        <v>3587</v>
      </c>
      <c r="B17" t="s">
        <v>2571</v>
      </c>
      <c r="C17" t="s">
        <v>3511</v>
      </c>
      <c r="D17" s="1">
        <v>44957</v>
      </c>
    </row>
    <row r="18" spans="1:4" x14ac:dyDescent="0.3">
      <c r="A18">
        <v>5243</v>
      </c>
      <c r="B18" t="s">
        <v>882</v>
      </c>
      <c r="C18" t="s">
        <v>3512</v>
      </c>
      <c r="D18" s="1">
        <v>44957</v>
      </c>
    </row>
    <row r="19" spans="1:4" x14ac:dyDescent="0.3">
      <c r="A19">
        <v>6139</v>
      </c>
      <c r="B19" t="s">
        <v>1254</v>
      </c>
      <c r="C19" t="s">
        <v>3506</v>
      </c>
      <c r="D19" s="1">
        <v>44957</v>
      </c>
    </row>
    <row r="20" spans="1:4" x14ac:dyDescent="0.3">
      <c r="A20">
        <v>6196</v>
      </c>
      <c r="B20" t="s">
        <v>1256</v>
      </c>
      <c r="C20" t="s">
        <v>3506</v>
      </c>
      <c r="D20" s="1">
        <v>44957</v>
      </c>
    </row>
    <row r="21" spans="1:4" x14ac:dyDescent="0.3">
      <c r="A21">
        <v>6279</v>
      </c>
      <c r="B21" t="s">
        <v>2436</v>
      </c>
      <c r="C21" t="s">
        <v>3513</v>
      </c>
      <c r="D21" s="1">
        <v>44957</v>
      </c>
    </row>
    <row r="22" spans="1:4" x14ac:dyDescent="0.3">
      <c r="A22">
        <v>6670</v>
      </c>
      <c r="B22" t="s">
        <v>1581</v>
      </c>
      <c r="C22" t="s">
        <v>3514</v>
      </c>
      <c r="D22" s="1">
        <v>44957</v>
      </c>
    </row>
    <row r="23" spans="1:4" x14ac:dyDescent="0.3">
      <c r="A23">
        <v>6691</v>
      </c>
      <c r="B23" t="s">
        <v>3156</v>
      </c>
      <c r="C23" t="s">
        <v>3506</v>
      </c>
      <c r="D23" s="1">
        <v>44957</v>
      </c>
    </row>
    <row r="24" spans="1:4" x14ac:dyDescent="0.3">
      <c r="A24">
        <v>6768</v>
      </c>
      <c r="B24" t="s">
        <v>1587</v>
      </c>
      <c r="C24" t="s">
        <v>3515</v>
      </c>
      <c r="D24" s="1">
        <v>44957</v>
      </c>
    </row>
    <row r="25" spans="1:4" x14ac:dyDescent="0.3">
      <c r="A25">
        <v>9957</v>
      </c>
      <c r="B25" t="s">
        <v>3001</v>
      </c>
      <c r="C25" t="s">
        <v>3516</v>
      </c>
      <c r="D25" s="1">
        <v>44957</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D25:I32"/>
  <sheetViews>
    <sheetView topLeftCell="A13" workbookViewId="0">
      <selection activeCell="K30" sqref="K30"/>
    </sheetView>
  </sheetViews>
  <sheetFormatPr defaultRowHeight="15" x14ac:dyDescent="0.3"/>
  <sheetData>
    <row r="25" spans="4:9" ht="16.2" x14ac:dyDescent="0.3">
      <c r="D25" s="8" t="s">
        <v>3493</v>
      </c>
    </row>
    <row r="26" spans="4:9" ht="16.2" x14ac:dyDescent="0.3">
      <c r="D26" s="9" t="s">
        <v>3494</v>
      </c>
    </row>
    <row r="27" spans="4:9" x14ac:dyDescent="0.3">
      <c r="D27" s="10" t="s">
        <v>3495</v>
      </c>
    </row>
    <row r="28" spans="4:9" ht="16.2" x14ac:dyDescent="0.3">
      <c r="D28" s="9"/>
    </row>
    <row r="29" spans="4:9" ht="16.2" x14ac:dyDescent="0.3">
      <c r="D29" s="9" t="s">
        <v>3498</v>
      </c>
      <c r="I29" t="s">
        <v>3499</v>
      </c>
    </row>
    <row r="30" spans="4:9" ht="16.2" x14ac:dyDescent="0.3">
      <c r="D30" s="9"/>
    </row>
    <row r="31" spans="4:9" ht="16.2" x14ac:dyDescent="0.3">
      <c r="D31" s="9" t="s">
        <v>3496</v>
      </c>
    </row>
    <row r="32" spans="4:9" ht="16.2" x14ac:dyDescent="0.3">
      <c r="D32" s="9" t="s">
        <v>3497</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25"/>
  <sheetViews>
    <sheetView workbookViewId="0">
      <selection sqref="A1:D25"/>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1268</v>
      </c>
      <c r="B2" t="s">
        <v>2653</v>
      </c>
      <c r="C2" t="s">
        <v>3502</v>
      </c>
      <c r="D2" s="1">
        <v>44957</v>
      </c>
    </row>
    <row r="3" spans="1:4" x14ac:dyDescent="0.3">
      <c r="A3">
        <v>1336</v>
      </c>
      <c r="B3" t="s">
        <v>2324</v>
      </c>
      <c r="C3" t="s">
        <v>3503</v>
      </c>
      <c r="D3" s="1">
        <v>44957</v>
      </c>
    </row>
    <row r="4" spans="1:4" x14ac:dyDescent="0.3">
      <c r="A4">
        <v>2201</v>
      </c>
      <c r="B4" t="s">
        <v>515</v>
      </c>
      <c r="C4" t="s">
        <v>3504</v>
      </c>
      <c r="D4" s="1">
        <v>44957</v>
      </c>
    </row>
    <row r="5" spans="1:4" x14ac:dyDescent="0.3">
      <c r="A5">
        <v>2207</v>
      </c>
      <c r="B5" t="s">
        <v>521</v>
      </c>
      <c r="C5" t="s">
        <v>3504</v>
      </c>
      <c r="D5" s="1">
        <v>44957</v>
      </c>
    </row>
    <row r="6" spans="1:4" x14ac:dyDescent="0.3">
      <c r="A6">
        <v>2323</v>
      </c>
      <c r="B6" t="s">
        <v>800</v>
      </c>
      <c r="C6" t="s">
        <v>3505</v>
      </c>
      <c r="D6" s="1">
        <v>44957</v>
      </c>
    </row>
    <row r="7" spans="1:4" x14ac:dyDescent="0.3">
      <c r="A7">
        <v>2349</v>
      </c>
      <c r="B7" t="s">
        <v>804</v>
      </c>
      <c r="C7" t="s">
        <v>3505</v>
      </c>
      <c r="D7" s="1">
        <v>44957</v>
      </c>
    </row>
    <row r="8" spans="1:4" x14ac:dyDescent="0.3">
      <c r="A8">
        <v>2404</v>
      </c>
      <c r="B8" t="s">
        <v>1221</v>
      </c>
      <c r="C8" t="s">
        <v>3506</v>
      </c>
      <c r="D8" s="1">
        <v>44957</v>
      </c>
    </row>
    <row r="9" spans="1:4" x14ac:dyDescent="0.3">
      <c r="A9">
        <v>2455</v>
      </c>
      <c r="B9" t="s">
        <v>935</v>
      </c>
      <c r="C9" t="s">
        <v>3507</v>
      </c>
      <c r="D9" s="1">
        <v>44957</v>
      </c>
    </row>
    <row r="10" spans="1:4" x14ac:dyDescent="0.3">
      <c r="A10">
        <v>2704</v>
      </c>
      <c r="B10" t="s">
        <v>1398</v>
      </c>
      <c r="C10" t="s">
        <v>3502</v>
      </c>
      <c r="D10" s="1">
        <v>44957</v>
      </c>
    </row>
    <row r="11" spans="1:4" x14ac:dyDescent="0.3">
      <c r="A11">
        <v>2707</v>
      </c>
      <c r="B11" t="s">
        <v>1403</v>
      </c>
      <c r="C11" t="s">
        <v>3502</v>
      </c>
      <c r="D11" s="1">
        <v>44957</v>
      </c>
    </row>
    <row r="12" spans="1:4" x14ac:dyDescent="0.3">
      <c r="A12">
        <v>2723</v>
      </c>
      <c r="B12" t="s">
        <v>1406</v>
      </c>
      <c r="C12" t="s">
        <v>3502</v>
      </c>
      <c r="D12" s="1">
        <v>44957</v>
      </c>
    </row>
    <row r="13" spans="1:4" x14ac:dyDescent="0.3">
      <c r="A13">
        <v>2727</v>
      </c>
      <c r="B13" t="s">
        <v>1408</v>
      </c>
      <c r="C13" t="s">
        <v>3502</v>
      </c>
      <c r="D13" s="1">
        <v>44957</v>
      </c>
    </row>
    <row r="14" spans="1:4" x14ac:dyDescent="0.3">
      <c r="A14" t="s">
        <v>3501</v>
      </c>
      <c r="B14" t="s">
        <v>3500</v>
      </c>
      <c r="C14" t="s">
        <v>3508</v>
      </c>
      <c r="D14" s="1">
        <v>44957</v>
      </c>
    </row>
    <row r="15" spans="1:4" x14ac:dyDescent="0.3">
      <c r="A15">
        <v>3491</v>
      </c>
      <c r="B15" t="s">
        <v>2260</v>
      </c>
      <c r="C15" t="s">
        <v>3509</v>
      </c>
      <c r="D15" s="1">
        <v>44957</v>
      </c>
    </row>
    <row r="16" spans="1:4" x14ac:dyDescent="0.3">
      <c r="A16">
        <v>3583</v>
      </c>
      <c r="B16" t="s">
        <v>628</v>
      </c>
      <c r="C16" t="s">
        <v>3510</v>
      </c>
      <c r="D16" s="1">
        <v>44957</v>
      </c>
    </row>
    <row r="17" spans="1:4" x14ac:dyDescent="0.3">
      <c r="A17">
        <v>3587</v>
      </c>
      <c r="B17" t="s">
        <v>2571</v>
      </c>
      <c r="C17" t="s">
        <v>3511</v>
      </c>
      <c r="D17" s="1">
        <v>44957</v>
      </c>
    </row>
    <row r="18" spans="1:4" x14ac:dyDescent="0.3">
      <c r="A18">
        <v>5243</v>
      </c>
      <c r="B18" t="s">
        <v>882</v>
      </c>
      <c r="C18" t="s">
        <v>3512</v>
      </c>
      <c r="D18" s="1">
        <v>44957</v>
      </c>
    </row>
    <row r="19" spans="1:4" x14ac:dyDescent="0.3">
      <c r="A19">
        <v>6139</v>
      </c>
      <c r="B19" t="s">
        <v>1254</v>
      </c>
      <c r="C19" t="s">
        <v>3506</v>
      </c>
      <c r="D19" s="1">
        <v>44957</v>
      </c>
    </row>
    <row r="20" spans="1:4" x14ac:dyDescent="0.3">
      <c r="A20">
        <v>6196</v>
      </c>
      <c r="B20" t="s">
        <v>1256</v>
      </c>
      <c r="C20" t="s">
        <v>3506</v>
      </c>
      <c r="D20" s="1">
        <v>44957</v>
      </c>
    </row>
    <row r="21" spans="1:4" x14ac:dyDescent="0.3">
      <c r="A21">
        <v>6279</v>
      </c>
      <c r="B21" t="s">
        <v>2436</v>
      </c>
      <c r="C21" t="s">
        <v>3513</v>
      </c>
      <c r="D21" s="1">
        <v>44957</v>
      </c>
    </row>
    <row r="22" spans="1:4" x14ac:dyDescent="0.3">
      <c r="A22">
        <v>6670</v>
      </c>
      <c r="B22" t="s">
        <v>1581</v>
      </c>
      <c r="C22" t="s">
        <v>3514</v>
      </c>
      <c r="D22" s="1">
        <v>44957</v>
      </c>
    </row>
    <row r="23" spans="1:4" x14ac:dyDescent="0.3">
      <c r="A23">
        <v>6691</v>
      </c>
      <c r="B23" t="s">
        <v>3156</v>
      </c>
      <c r="C23" t="s">
        <v>3506</v>
      </c>
      <c r="D23" s="1">
        <v>44957</v>
      </c>
    </row>
    <row r="24" spans="1:4" x14ac:dyDescent="0.3">
      <c r="A24">
        <v>6768</v>
      </c>
      <c r="B24" t="s">
        <v>1587</v>
      </c>
      <c r="C24" t="s">
        <v>3515</v>
      </c>
      <c r="D24" s="1">
        <v>44957</v>
      </c>
    </row>
    <row r="25" spans="1:4" x14ac:dyDescent="0.3">
      <c r="A25">
        <v>9957</v>
      </c>
      <c r="B25" t="s">
        <v>3001</v>
      </c>
      <c r="C25" t="s">
        <v>3516</v>
      </c>
      <c r="D25" s="1">
        <v>44957</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4"/>
  <sheetViews>
    <sheetView workbookViewId="0">
      <selection activeCell="I42" sqref="I42"/>
    </sheetView>
  </sheetViews>
  <sheetFormatPr defaultRowHeight="15" x14ac:dyDescent="0.3"/>
  <sheetData>
    <row r="1" spans="1:4" x14ac:dyDescent="0.3">
      <c r="A1" t="s">
        <v>0</v>
      </c>
      <c r="B1" t="s">
        <v>1</v>
      </c>
      <c r="C1" t="s">
        <v>3263</v>
      </c>
      <c r="D1" t="s">
        <v>3440</v>
      </c>
    </row>
    <row r="2" spans="1:4" x14ac:dyDescent="0.3">
      <c r="A2">
        <v>339042701</v>
      </c>
      <c r="B2" t="s">
        <v>3530</v>
      </c>
      <c r="C2" s="1">
        <v>44957</v>
      </c>
      <c r="D2" t="s">
        <v>3517</v>
      </c>
    </row>
    <row r="3" spans="1:4" x14ac:dyDescent="0.3">
      <c r="A3">
        <v>2465</v>
      </c>
      <c r="B3" t="s">
        <v>734</v>
      </c>
      <c r="C3" s="1">
        <v>44957</v>
      </c>
      <c r="D3" t="s">
        <v>3518</v>
      </c>
    </row>
    <row r="4" spans="1:4" x14ac:dyDescent="0.3">
      <c r="A4">
        <v>3027</v>
      </c>
      <c r="B4" t="s">
        <v>942</v>
      </c>
      <c r="C4" s="1">
        <v>44957</v>
      </c>
      <c r="D4" t="s">
        <v>3519</v>
      </c>
    </row>
    <row r="5" spans="1:4" x14ac:dyDescent="0.3">
      <c r="A5">
        <v>3228</v>
      </c>
      <c r="B5" t="s">
        <v>1975</v>
      </c>
      <c r="C5" s="1">
        <v>44957</v>
      </c>
      <c r="D5" t="s">
        <v>3520</v>
      </c>
    </row>
    <row r="6" spans="1:4" x14ac:dyDescent="0.3">
      <c r="A6">
        <v>3693</v>
      </c>
      <c r="B6" t="s">
        <v>2128</v>
      </c>
      <c r="C6" s="1">
        <v>44957</v>
      </c>
      <c r="D6" t="s">
        <v>3521</v>
      </c>
    </row>
    <row r="7" spans="1:4" x14ac:dyDescent="0.3">
      <c r="A7">
        <v>6612</v>
      </c>
      <c r="B7" t="s">
        <v>1913</v>
      </c>
      <c r="C7" s="1">
        <v>44957</v>
      </c>
      <c r="D7" t="s">
        <v>3522</v>
      </c>
    </row>
    <row r="8" spans="1:4" x14ac:dyDescent="0.3">
      <c r="A8">
        <v>6689</v>
      </c>
      <c r="B8" t="s">
        <v>3154</v>
      </c>
      <c r="C8" s="1">
        <v>44957</v>
      </c>
      <c r="D8" t="s">
        <v>3523</v>
      </c>
    </row>
    <row r="9" spans="1:4" x14ac:dyDescent="0.3">
      <c r="A9">
        <v>6788</v>
      </c>
      <c r="B9" t="s">
        <v>3033</v>
      </c>
      <c r="C9" s="1">
        <v>44957</v>
      </c>
      <c r="D9" t="s">
        <v>3524</v>
      </c>
    </row>
    <row r="10" spans="1:4" x14ac:dyDescent="0.3">
      <c r="A10">
        <v>8478</v>
      </c>
      <c r="B10" t="s">
        <v>1609</v>
      </c>
      <c r="C10" s="1">
        <v>44957</v>
      </c>
      <c r="D10" t="s">
        <v>3525</v>
      </c>
    </row>
    <row r="11" spans="1:4" x14ac:dyDescent="0.3">
      <c r="A11">
        <v>8996</v>
      </c>
      <c r="B11" t="s">
        <v>244</v>
      </c>
      <c r="C11" s="1">
        <v>44957</v>
      </c>
      <c r="D11" t="s">
        <v>3526</v>
      </c>
    </row>
    <row r="12" spans="1:4" x14ac:dyDescent="0.3">
      <c r="A12">
        <v>9105</v>
      </c>
      <c r="B12" t="s">
        <v>3531</v>
      </c>
      <c r="C12" s="1">
        <v>44957</v>
      </c>
      <c r="D12" t="s">
        <v>3527</v>
      </c>
    </row>
    <row r="13" spans="1:4" x14ac:dyDescent="0.3">
      <c r="A13">
        <v>9110</v>
      </c>
      <c r="B13" t="s">
        <v>3532</v>
      </c>
      <c r="C13" s="1">
        <v>44957</v>
      </c>
      <c r="D13" t="s">
        <v>3528</v>
      </c>
    </row>
    <row r="14" spans="1:4" x14ac:dyDescent="0.3">
      <c r="A14">
        <v>911608</v>
      </c>
      <c r="B14" t="s">
        <v>3533</v>
      </c>
      <c r="C14" s="1">
        <v>44957</v>
      </c>
      <c r="D14" t="s">
        <v>3529</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J22"/>
  <sheetViews>
    <sheetView tabSelected="1" workbookViewId="0">
      <selection activeCell="B2" sqref="B2"/>
    </sheetView>
  </sheetViews>
  <sheetFormatPr defaultRowHeight="15" x14ac:dyDescent="0.3"/>
  <sheetData>
    <row r="1" spans="1:10" x14ac:dyDescent="0.3">
      <c r="F1" t="s">
        <v>3442</v>
      </c>
      <c r="G1" t="s">
        <v>3443</v>
      </c>
      <c r="H1" t="s">
        <v>3444</v>
      </c>
      <c r="I1" t="s">
        <v>3444</v>
      </c>
    </row>
    <row r="2" spans="1:10" x14ac:dyDescent="0.3">
      <c r="A2" t="s">
        <v>3534</v>
      </c>
      <c r="B2" t="str" cm="1">
        <f t="array" ref="B2">splittext($A2,TRUE)</f>
        <v>5340</v>
      </c>
      <c r="C2" t="str" cm="1">
        <f t="array" ref="C2">splittext($A2,FALSE)</f>
        <v>建榮</v>
      </c>
      <c r="D2" s="1">
        <f ca="1">DATE(YEAR(TODAY()),MONTH(TODAY()),DAY(TODAY()))</f>
        <v>44957</v>
      </c>
      <c r="E2" t="s">
        <v>3446</v>
      </c>
      <c r="F2" t="s">
        <v>3490</v>
      </c>
      <c r="G2" t="s">
        <v>3491</v>
      </c>
      <c r="H2">
        <v>10</v>
      </c>
      <c r="I2">
        <v>30</v>
      </c>
      <c r="J2" t="s">
        <v>3492</v>
      </c>
    </row>
    <row r="3" spans="1:10" x14ac:dyDescent="0.3">
      <c r="B3" t="str" cm="1">
        <f t="array" ref="B3">splittext($A3,TRUE)</f>
        <v/>
      </c>
      <c r="C3" t="str" cm="1">
        <f t="array" ref="C3">splittext($A3,FALSE)</f>
        <v/>
      </c>
      <c r="D3" s="1"/>
    </row>
    <row r="4" spans="1:10" x14ac:dyDescent="0.3">
      <c r="B4" t="str" cm="1">
        <f t="array" ref="B4">splittext($A4,TRUE)</f>
        <v/>
      </c>
      <c r="C4" t="str" cm="1">
        <f t="array" ref="C4">splittext($A4,FALSE)</f>
        <v/>
      </c>
      <c r="D4" s="1"/>
    </row>
    <row r="5" spans="1:10" x14ac:dyDescent="0.3">
      <c r="B5" t="str" cm="1">
        <f t="array" ref="B5">splittext($A5,TRUE)</f>
        <v/>
      </c>
      <c r="C5" t="str" cm="1">
        <f t="array" ref="C5">splittext($A5,FALSE)</f>
        <v/>
      </c>
      <c r="D5" s="1"/>
    </row>
    <row r="6" spans="1:10" x14ac:dyDescent="0.3">
      <c r="B6" t="str" cm="1">
        <f t="array" ref="B6">splittext($A6,TRUE)</f>
        <v/>
      </c>
      <c r="C6" t="str" cm="1">
        <f t="array" ref="C6">splittext($A6,FALSE)</f>
        <v/>
      </c>
      <c r="D6" s="1"/>
    </row>
    <row r="7" spans="1:10" x14ac:dyDescent="0.3">
      <c r="B7" t="str" cm="1">
        <f t="array" ref="B7">splittext($A7,TRUE)</f>
        <v/>
      </c>
      <c r="C7" t="str" cm="1">
        <f t="array" ref="C7">splittext($A7,FALSE)</f>
        <v/>
      </c>
      <c r="D7" s="1"/>
    </row>
    <row r="8" spans="1:10" x14ac:dyDescent="0.3">
      <c r="B8" t="str" cm="1">
        <f t="array" ref="B8">splittext($A8,TRUE)</f>
        <v/>
      </c>
      <c r="C8" t="str" cm="1">
        <f t="array" ref="C8">splittext($A8,FALSE)</f>
        <v/>
      </c>
      <c r="D8" s="1"/>
    </row>
    <row r="9" spans="1:10" x14ac:dyDescent="0.3">
      <c r="B9" t="str" cm="1">
        <f t="array" ref="B9">splittext($A9,TRUE)</f>
        <v/>
      </c>
      <c r="C9" t="str" cm="1">
        <f t="array" ref="C9">splittext($A9,FALSE)</f>
        <v/>
      </c>
      <c r="D9" s="1"/>
    </row>
    <row r="10" spans="1:10" x14ac:dyDescent="0.3">
      <c r="B10" t="str" cm="1">
        <f t="array" ref="B10">splittext($A10,TRUE)</f>
        <v/>
      </c>
      <c r="C10" t="str" cm="1">
        <f t="array" ref="C10">splittext($A10,FALSE)</f>
        <v/>
      </c>
      <c r="D10" s="1"/>
    </row>
    <row r="11" spans="1:10" x14ac:dyDescent="0.3">
      <c r="B11" t="str" cm="1">
        <f t="array" ref="B11">splittext($A11,TRUE)</f>
        <v/>
      </c>
      <c r="C11" t="str" cm="1">
        <f t="array" ref="C11">splittext($A11,FALSE)</f>
        <v/>
      </c>
      <c r="D11" s="1"/>
    </row>
    <row r="12" spans="1:10" x14ac:dyDescent="0.3">
      <c r="B12" t="str" cm="1">
        <f t="array" ref="B12">splittext($A12,TRUE)</f>
        <v/>
      </c>
      <c r="C12" t="str" cm="1">
        <f t="array" ref="C12">splittext($A12,FALSE)</f>
        <v/>
      </c>
      <c r="D12" s="1"/>
    </row>
    <row r="13" spans="1:10" x14ac:dyDescent="0.3">
      <c r="B13" t="str" cm="1">
        <f t="array" ref="B13">splittext($A13,TRUE)</f>
        <v/>
      </c>
      <c r="C13" t="str" cm="1">
        <f t="array" ref="C13">splittext($A13,FALSE)</f>
        <v/>
      </c>
      <c r="D13" s="1"/>
    </row>
    <row r="14" spans="1:10" x14ac:dyDescent="0.3">
      <c r="B14" t="str" cm="1">
        <f t="array" ref="B14">splittext($A14,TRUE)</f>
        <v/>
      </c>
      <c r="C14" t="str" cm="1">
        <f t="array" ref="C14">splittext($A14,FALSE)</f>
        <v/>
      </c>
      <c r="D14" s="1"/>
    </row>
    <row r="15" spans="1:10" x14ac:dyDescent="0.3">
      <c r="B15" t="str" cm="1">
        <f t="array" ref="B15">splittext($A15,TRUE)</f>
        <v/>
      </c>
      <c r="C15" t="str" cm="1">
        <f t="array" ref="C15">splittext($A15,FALSE)</f>
        <v/>
      </c>
      <c r="D15" s="1"/>
    </row>
    <row r="16" spans="1:10" x14ac:dyDescent="0.3">
      <c r="B16" t="str" cm="1">
        <f t="array" ref="B16">splittext($A16,TRUE)</f>
        <v/>
      </c>
      <c r="C16" t="str" cm="1">
        <f t="array" ref="C16">splittext($A16,FALSE)</f>
        <v/>
      </c>
      <c r="D16" s="1"/>
    </row>
    <row r="17" spans="2:4" x14ac:dyDescent="0.3">
      <c r="B17" t="str" cm="1">
        <f t="array" ref="B17">splittext($A17,TRUE)</f>
        <v/>
      </c>
      <c r="C17" t="str" cm="1">
        <f t="array" ref="C17">splittext($A17,FALSE)</f>
        <v/>
      </c>
      <c r="D17" s="1"/>
    </row>
    <row r="18" spans="2:4" x14ac:dyDescent="0.3">
      <c r="B18" t="str" cm="1">
        <f t="array" ref="B18">splittext($A18,TRUE)</f>
        <v/>
      </c>
      <c r="C18" t="str" cm="1">
        <f t="array" ref="C18">splittext($A18,FALSE)</f>
        <v/>
      </c>
      <c r="D18" s="1"/>
    </row>
    <row r="19" spans="2:4" x14ac:dyDescent="0.3">
      <c r="B19" t="str" cm="1">
        <f t="array" ref="B19">splittext($A19,TRUE)</f>
        <v/>
      </c>
      <c r="C19" t="str" cm="1">
        <f t="array" ref="C19">splittext($A19,FALSE)</f>
        <v/>
      </c>
      <c r="D19" s="1"/>
    </row>
    <row r="20" spans="2:4" x14ac:dyDescent="0.3">
      <c r="B20" t="str" cm="1">
        <f t="array" ref="B20">splittext($A20,TRUE)</f>
        <v/>
      </c>
      <c r="C20" t="str" cm="1">
        <f t="array" ref="C20">splittext($A20,FALSE)</f>
        <v/>
      </c>
      <c r="D20" s="1"/>
    </row>
    <row r="21" spans="2:4" x14ac:dyDescent="0.3">
      <c r="B21" t="str" cm="1">
        <f t="array" ref="B21">splittext($A21,TRUE)</f>
        <v/>
      </c>
      <c r="C21" t="str" cm="1">
        <f t="array" ref="C21">splittext($A21,FALSE)</f>
        <v/>
      </c>
      <c r="D21" s="1"/>
    </row>
    <row r="22" spans="2:4" x14ac:dyDescent="0.3">
      <c r="B22" t="str" cm="1">
        <f t="array" ref="B22">splittext($A22,TRUE)</f>
        <v/>
      </c>
      <c r="C22" t="str" cm="1">
        <f t="array" ref="C22">splittext($A22,FALSE)</f>
        <v/>
      </c>
      <c r="D22" s="1"/>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3"/>
  <sheetViews>
    <sheetView workbookViewId="0">
      <selection sqref="A1:D3"/>
    </sheetView>
  </sheetViews>
  <sheetFormatPr defaultRowHeight="15" x14ac:dyDescent="0.3"/>
  <sheetData>
    <row r="1" spans="1:4" x14ac:dyDescent="0.3">
      <c r="A1" t="s">
        <v>0</v>
      </c>
      <c r="B1" t="s">
        <v>1</v>
      </c>
      <c r="C1" t="s">
        <v>3488</v>
      </c>
      <c r="D1" t="s">
        <v>3263</v>
      </c>
    </row>
    <row r="2" spans="1:4" x14ac:dyDescent="0.3">
      <c r="A2">
        <v>5876</v>
      </c>
      <c r="B2" t="s">
        <v>1471</v>
      </c>
      <c r="C2" t="s">
        <v>3535</v>
      </c>
      <c r="D2" s="1">
        <v>44956</v>
      </c>
    </row>
    <row r="3" spans="1:4" x14ac:dyDescent="0.3">
      <c r="A3">
        <v>6804</v>
      </c>
      <c r="B3" t="s">
        <v>3232</v>
      </c>
      <c r="C3" t="s">
        <v>3536</v>
      </c>
      <c r="D3" s="1">
        <v>44956</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2023-01-31T06:04:25Z</dcterms:modified>
</cp:coreProperties>
</file>