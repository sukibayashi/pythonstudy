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N\Desktop\斌選股\"/>
    </mc:Choice>
  </mc:AlternateContent>
  <xr:revisionPtr revIDLastSave="0" documentId="13_ncr:1_{A99D2663-4845-4133-A6AC-E79EC3AA6021}" xr6:coauthVersionLast="47" xr6:coauthVersionMax="47" xr10:uidLastSave="{00000000-0000-0000-0000-000000000000}"/>
  <bookViews>
    <workbookView xWindow="-108" yWindow="-108" windowWidth="30936" windowHeight="16896" activeTab="3" xr2:uid="{8102F4C6-E5EA-49DA-94A3-08756FFD9745}"/>
  </bookViews>
  <sheets>
    <sheet name="每日資料" sheetId="3" r:id="rId1"/>
    <sheet name="STOCKS" sheetId="28" r:id="rId2"/>
    <sheet name="STOCKS昨天" sheetId="43" state="hidden" r:id="rId3"/>
    <sheet name="看" sheetId="2" r:id="rId4"/>
    <sheet name="預期" sheetId="12" r:id="rId5"/>
    <sheet name="量大股" sheetId="29" r:id="rId6"/>
    <sheet name="量放大股" sheetId="30" r:id="rId7"/>
    <sheet name="成交重心股" sheetId="31" r:id="rId8"/>
    <sheet name="強勢股" sheetId="32" r:id="rId9"/>
    <sheet name="五日強勢股" sheetId="33" r:id="rId10"/>
    <sheet name="弱勢股" sheetId="34" r:id="rId11"/>
    <sheet name="五日弱勢股" sheetId="35" r:id="rId12"/>
    <sheet name="主力買進" sheetId="36" r:id="rId13"/>
    <sheet name="主力賣出" sheetId="37" r:id="rId14"/>
    <sheet name="權值股" sheetId="39" r:id="rId15"/>
  </sheets>
  <externalReferences>
    <externalReference r:id="rId16"/>
  </externalReferences>
  <definedNames>
    <definedName name="今日弱勢股">#REF!</definedName>
    <definedName name="今日強勢股">#REF!</definedName>
    <definedName name="平均損失">預期!$L$4</definedName>
    <definedName name="平均獲利">預期!$K$4</definedName>
    <definedName name="盈利勝率">預期!$I$4</definedName>
    <definedName name="損失勝率">預期!$J$4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2" i="2" l="1" a="1"/>
  <c r="S82" i="2" s="1"/>
  <c r="R82" i="2"/>
  <c r="Q82" i="2"/>
  <c r="I82" i="2"/>
  <c r="H82" i="2"/>
  <c r="G82" i="2"/>
  <c r="F82" i="2"/>
  <c r="E82" i="2"/>
  <c r="D82" i="2"/>
  <c r="C82" i="2"/>
  <c r="B82" i="2"/>
  <c r="Z82" i="2"/>
  <c r="O82" i="2"/>
  <c r="N82" i="2"/>
  <c r="M82" i="2"/>
  <c r="L82" i="2"/>
  <c r="K82" i="2"/>
  <c r="X82" i="2" s="1"/>
  <c r="S80" i="2" a="1"/>
  <c r="S80" i="2" s="1"/>
  <c r="R80" i="2"/>
  <c r="Q80" i="2"/>
  <c r="I80" i="2"/>
  <c r="H80" i="2"/>
  <c r="G80" i="2"/>
  <c r="F80" i="2"/>
  <c r="E80" i="2"/>
  <c r="D80" i="2"/>
  <c r="C80" i="2"/>
  <c r="B80" i="2"/>
  <c r="Z80" i="2"/>
  <c r="O80" i="2"/>
  <c r="N80" i="2"/>
  <c r="M80" i="2"/>
  <c r="L80" i="2"/>
  <c r="K80" i="2"/>
  <c r="X80" i="2" s="1"/>
  <c r="S81" i="2" a="1"/>
  <c r="S81" i="2" s="1"/>
  <c r="R81" i="2"/>
  <c r="Q81" i="2"/>
  <c r="I81" i="2"/>
  <c r="H81" i="2"/>
  <c r="G81" i="2"/>
  <c r="F81" i="2"/>
  <c r="E81" i="2"/>
  <c r="D81" i="2"/>
  <c r="C81" i="2"/>
  <c r="B81" i="2"/>
  <c r="Z81" i="2"/>
  <c r="O81" i="2"/>
  <c r="N81" i="2"/>
  <c r="M81" i="2"/>
  <c r="L81" i="2"/>
  <c r="K81" i="2"/>
  <c r="X81" i="2" s="1"/>
  <c r="S79" i="2" a="1"/>
  <c r="S79" i="2" s="1"/>
  <c r="R79" i="2"/>
  <c r="Q79" i="2"/>
  <c r="I79" i="2"/>
  <c r="H79" i="2"/>
  <c r="G79" i="2"/>
  <c r="F79" i="2"/>
  <c r="E79" i="2"/>
  <c r="D79" i="2"/>
  <c r="C79" i="2"/>
  <c r="B79" i="2"/>
  <c r="Z79" i="2"/>
  <c r="O79" i="2"/>
  <c r="N79" i="2"/>
  <c r="M79" i="2"/>
  <c r="L79" i="2"/>
  <c r="K79" i="2"/>
  <c r="X79" i="2" s="1"/>
  <c r="S78" i="2" a="1"/>
  <c r="S78" i="2" s="1"/>
  <c r="R78" i="2"/>
  <c r="Q78" i="2"/>
  <c r="I78" i="2"/>
  <c r="H78" i="2"/>
  <c r="G78" i="2"/>
  <c r="F78" i="2"/>
  <c r="E78" i="2"/>
  <c r="D78" i="2"/>
  <c r="C78" i="2"/>
  <c r="B78" i="2"/>
  <c r="Z78" i="2"/>
  <c r="O78" i="2"/>
  <c r="N78" i="2"/>
  <c r="M78" i="2"/>
  <c r="L78" i="2"/>
  <c r="K78" i="2"/>
  <c r="X78" i="2" s="1"/>
  <c r="S77" i="2" a="1"/>
  <c r="S77" i="2" s="1"/>
  <c r="R77" i="2"/>
  <c r="Q77" i="2"/>
  <c r="I77" i="2"/>
  <c r="H77" i="2"/>
  <c r="G77" i="2"/>
  <c r="F77" i="2"/>
  <c r="E77" i="2"/>
  <c r="D77" i="2"/>
  <c r="C77" i="2"/>
  <c r="B77" i="2"/>
  <c r="K77" i="2"/>
  <c r="X77" i="2" s="1"/>
  <c r="Z77" i="2"/>
  <c r="O77" i="2"/>
  <c r="N77" i="2"/>
  <c r="M77" i="2"/>
  <c r="L77" i="2"/>
  <c r="S76" i="2" a="1"/>
  <c r="S76" i="2" s="1"/>
  <c r="R76" i="2"/>
  <c r="Q76" i="2"/>
  <c r="I76" i="2"/>
  <c r="H76" i="2"/>
  <c r="G76" i="2"/>
  <c r="F76" i="2"/>
  <c r="E76" i="2"/>
  <c r="D76" i="2"/>
  <c r="C76" i="2"/>
  <c r="B76" i="2"/>
  <c r="Z76" i="2"/>
  <c r="O76" i="2"/>
  <c r="N76" i="2"/>
  <c r="M76" i="2"/>
  <c r="L76" i="2"/>
  <c r="K76" i="2"/>
  <c r="X76" i="2" s="1"/>
  <c r="S75" i="2" a="1"/>
  <c r="S75" i="2" s="1"/>
  <c r="R75" i="2"/>
  <c r="Q75" i="2"/>
  <c r="I75" i="2"/>
  <c r="H75" i="2"/>
  <c r="G75" i="2"/>
  <c r="F75" i="2"/>
  <c r="E75" i="2"/>
  <c r="D75" i="2"/>
  <c r="C75" i="2"/>
  <c r="B75" i="2"/>
  <c r="Z75" i="2"/>
  <c r="O75" i="2"/>
  <c r="N75" i="2"/>
  <c r="M75" i="2"/>
  <c r="L75" i="2"/>
  <c r="K75" i="2"/>
  <c r="X75" i="2" s="1"/>
  <c r="S74" i="2" a="1"/>
  <c r="S74" i="2" s="1"/>
  <c r="R74" i="2"/>
  <c r="Q74" i="2"/>
  <c r="I74" i="2"/>
  <c r="H74" i="2"/>
  <c r="G74" i="2"/>
  <c r="F74" i="2"/>
  <c r="E74" i="2"/>
  <c r="D74" i="2"/>
  <c r="C74" i="2"/>
  <c r="B74" i="2"/>
  <c r="Z74" i="2"/>
  <c r="O74" i="2"/>
  <c r="N74" i="2"/>
  <c r="M74" i="2"/>
  <c r="L74" i="2"/>
  <c r="K74" i="2"/>
  <c r="X74" i="2" s="1"/>
  <c r="I73" i="2"/>
  <c r="H73" i="2"/>
  <c r="G73" i="2"/>
  <c r="F73" i="2"/>
  <c r="E73" i="2"/>
  <c r="D73" i="2"/>
  <c r="C73" i="2"/>
  <c r="B73" i="2"/>
  <c r="S73" i="2" a="1"/>
  <c r="S73" i="2" s="1"/>
  <c r="R73" i="2"/>
  <c r="Q73" i="2"/>
  <c r="Z73" i="2"/>
  <c r="O73" i="2"/>
  <c r="N73" i="2"/>
  <c r="M73" i="2"/>
  <c r="L73" i="2"/>
  <c r="K73" i="2"/>
  <c r="X73" i="2" s="1"/>
  <c r="S72" i="2" a="1"/>
  <c r="S72" i="2" s="1"/>
  <c r="R72" i="2"/>
  <c r="Q72" i="2"/>
  <c r="I72" i="2"/>
  <c r="H72" i="2"/>
  <c r="G72" i="2"/>
  <c r="F72" i="2"/>
  <c r="E72" i="2"/>
  <c r="D72" i="2"/>
  <c r="C72" i="2"/>
  <c r="B72" i="2"/>
  <c r="Z72" i="2"/>
  <c r="O72" i="2"/>
  <c r="N72" i="2"/>
  <c r="M72" i="2"/>
  <c r="L72" i="2"/>
  <c r="K72" i="2"/>
  <c r="X72" i="2" s="1"/>
  <c r="Z96" i="2"/>
  <c r="S96" i="2" a="1"/>
  <c r="S96" i="2" s="1"/>
  <c r="R96" i="2"/>
  <c r="Q96" i="2"/>
  <c r="O96" i="2"/>
  <c r="N96" i="2"/>
  <c r="M96" i="2"/>
  <c r="L96" i="2"/>
  <c r="K96" i="2"/>
  <c r="X96" i="2" s="1"/>
  <c r="I96" i="2"/>
  <c r="H96" i="2"/>
  <c r="G96" i="2"/>
  <c r="F96" i="2"/>
  <c r="E96" i="2"/>
  <c r="D96" i="2"/>
  <c r="C96" i="2"/>
  <c r="B96" i="2"/>
  <c r="I95" i="2"/>
  <c r="G95" i="2"/>
  <c r="S95" i="2" a="1"/>
  <c r="S95" i="2" s="1"/>
  <c r="R95" i="2"/>
  <c r="Q95" i="2"/>
  <c r="H95" i="2"/>
  <c r="F95" i="2"/>
  <c r="E95" i="2"/>
  <c r="D95" i="2"/>
  <c r="C95" i="2"/>
  <c r="B95" i="2"/>
  <c r="Z95" i="2"/>
  <c r="O95" i="2"/>
  <c r="N95" i="2"/>
  <c r="M95" i="2"/>
  <c r="L95" i="2"/>
  <c r="K95" i="2"/>
  <c r="X95" i="2" s="1"/>
  <c r="P82" i="2" l="1"/>
  <c r="P80" i="2"/>
  <c r="P81" i="2"/>
  <c r="P79" i="2"/>
  <c r="P78" i="2"/>
  <c r="P77" i="2"/>
  <c r="P76" i="2"/>
  <c r="P75" i="2"/>
  <c r="P74" i="2"/>
  <c r="P95" i="2"/>
  <c r="P73" i="2"/>
  <c r="P72" i="2"/>
  <c r="P96" i="2"/>
  <c r="S91" i="2" l="1" a="1"/>
  <c r="S91" i="2" s="1"/>
  <c r="S90" i="2" a="1"/>
  <c r="S90" i="2" s="1"/>
  <c r="S89" i="2" a="1"/>
  <c r="S89" i="2" s="1"/>
  <c r="S87" i="2" a="1"/>
  <c r="S87" i="2" s="1"/>
  <c r="S86" i="2" a="1"/>
  <c r="S86" i="2" s="1"/>
  <c r="I69" i="2"/>
  <c r="S69" i="2" a="1"/>
  <c r="S69" i="2" s="1"/>
  <c r="R69" i="2"/>
  <c r="Q69" i="2"/>
  <c r="H69" i="2"/>
  <c r="G69" i="2"/>
  <c r="F69" i="2"/>
  <c r="E69" i="2"/>
  <c r="D69" i="2"/>
  <c r="C69" i="2"/>
  <c r="B69" i="2"/>
  <c r="Z69" i="2"/>
  <c r="O69" i="2"/>
  <c r="N69" i="2"/>
  <c r="M69" i="2"/>
  <c r="L69" i="2"/>
  <c r="K69" i="2"/>
  <c r="X69" i="2" s="1"/>
  <c r="B68" i="2"/>
  <c r="C68" i="2"/>
  <c r="D68" i="2"/>
  <c r="E68" i="2"/>
  <c r="F68" i="2"/>
  <c r="G68" i="2"/>
  <c r="H68" i="2"/>
  <c r="I68" i="2"/>
  <c r="K68" i="2"/>
  <c r="X68" i="2" s="1"/>
  <c r="L68" i="2"/>
  <c r="M68" i="2"/>
  <c r="N68" i="2"/>
  <c r="O68" i="2"/>
  <c r="Q68" i="2"/>
  <c r="R68" i="2"/>
  <c r="S68" i="2" a="1"/>
  <c r="S68" i="2" s="1"/>
  <c r="Z68" i="2"/>
  <c r="S65" i="2" a="1"/>
  <c r="S65" i="2" s="1"/>
  <c r="R65" i="2"/>
  <c r="Q65" i="2"/>
  <c r="I65" i="2"/>
  <c r="H65" i="2"/>
  <c r="G65" i="2"/>
  <c r="F65" i="2"/>
  <c r="E65" i="2"/>
  <c r="D65" i="2"/>
  <c r="C65" i="2"/>
  <c r="B65" i="2"/>
  <c r="Z65" i="2"/>
  <c r="O65" i="2"/>
  <c r="N65" i="2"/>
  <c r="M65" i="2"/>
  <c r="L65" i="2"/>
  <c r="K65" i="2"/>
  <c r="X65" i="2" s="1"/>
  <c r="S64" i="2" a="1"/>
  <c r="S64" i="2" s="1"/>
  <c r="R64" i="2"/>
  <c r="Q64" i="2"/>
  <c r="I64" i="2"/>
  <c r="H64" i="2"/>
  <c r="G64" i="2"/>
  <c r="F64" i="2"/>
  <c r="E64" i="2"/>
  <c r="D64" i="2"/>
  <c r="C64" i="2"/>
  <c r="B64" i="2"/>
  <c r="Z64" i="2"/>
  <c r="O64" i="2"/>
  <c r="N64" i="2"/>
  <c r="M64" i="2"/>
  <c r="L64" i="2"/>
  <c r="K64" i="2"/>
  <c r="X64" i="2" s="1"/>
  <c r="S62" i="2" a="1"/>
  <c r="S62" i="2" s="1"/>
  <c r="R62" i="2"/>
  <c r="Q62" i="2"/>
  <c r="I62" i="2"/>
  <c r="H62" i="2"/>
  <c r="G62" i="2"/>
  <c r="F62" i="2"/>
  <c r="E62" i="2"/>
  <c r="D62" i="2"/>
  <c r="C62" i="2"/>
  <c r="B62" i="2"/>
  <c r="Z62" i="2"/>
  <c r="O62" i="2"/>
  <c r="N62" i="2"/>
  <c r="M62" i="2"/>
  <c r="L62" i="2"/>
  <c r="K62" i="2"/>
  <c r="X62" i="2" s="1"/>
  <c r="S61" i="2" a="1"/>
  <c r="S61" i="2" s="1"/>
  <c r="R61" i="2"/>
  <c r="Q61" i="2"/>
  <c r="I61" i="2"/>
  <c r="H61" i="2"/>
  <c r="G61" i="2"/>
  <c r="F61" i="2"/>
  <c r="E61" i="2"/>
  <c r="D61" i="2"/>
  <c r="C61" i="2"/>
  <c r="B61" i="2"/>
  <c r="Z61" i="2"/>
  <c r="O61" i="2"/>
  <c r="N61" i="2"/>
  <c r="M61" i="2"/>
  <c r="L61" i="2"/>
  <c r="K61" i="2"/>
  <c r="X61" i="2" s="1"/>
  <c r="S60" i="2" a="1"/>
  <c r="S60" i="2" s="1"/>
  <c r="R60" i="2"/>
  <c r="Q60" i="2"/>
  <c r="I60" i="2"/>
  <c r="H60" i="2"/>
  <c r="G60" i="2"/>
  <c r="F60" i="2"/>
  <c r="E60" i="2"/>
  <c r="D60" i="2"/>
  <c r="C60" i="2"/>
  <c r="B60" i="2"/>
  <c r="Z60" i="2"/>
  <c r="O60" i="2"/>
  <c r="N60" i="2"/>
  <c r="M60" i="2"/>
  <c r="L60" i="2"/>
  <c r="K60" i="2"/>
  <c r="X60" i="2" s="1"/>
  <c r="S63" i="2" a="1"/>
  <c r="S63" i="2" s="1"/>
  <c r="R63" i="2"/>
  <c r="Q63" i="2"/>
  <c r="I63" i="2"/>
  <c r="H63" i="2"/>
  <c r="G63" i="2"/>
  <c r="F63" i="2"/>
  <c r="E63" i="2"/>
  <c r="D63" i="2"/>
  <c r="C63" i="2"/>
  <c r="B63" i="2"/>
  <c r="Z63" i="2"/>
  <c r="O63" i="2"/>
  <c r="N63" i="2"/>
  <c r="M63" i="2"/>
  <c r="L63" i="2"/>
  <c r="K63" i="2"/>
  <c r="X63" i="2" s="1"/>
  <c r="S59" i="2" a="1"/>
  <c r="S59" i="2" s="1"/>
  <c r="R59" i="2"/>
  <c r="Q59" i="2"/>
  <c r="I59" i="2"/>
  <c r="H59" i="2"/>
  <c r="G59" i="2"/>
  <c r="F59" i="2"/>
  <c r="E59" i="2"/>
  <c r="D59" i="2"/>
  <c r="C59" i="2"/>
  <c r="B59" i="2"/>
  <c r="Z59" i="2"/>
  <c r="O59" i="2"/>
  <c r="N59" i="2"/>
  <c r="M59" i="2"/>
  <c r="L59" i="2"/>
  <c r="K59" i="2"/>
  <c r="X59" i="2" s="1"/>
  <c r="S58" i="2" a="1"/>
  <c r="S58" i="2" s="1"/>
  <c r="R58" i="2"/>
  <c r="Q58" i="2"/>
  <c r="I58" i="2"/>
  <c r="H58" i="2"/>
  <c r="G58" i="2"/>
  <c r="F58" i="2"/>
  <c r="E58" i="2"/>
  <c r="D58" i="2"/>
  <c r="C58" i="2"/>
  <c r="B58" i="2"/>
  <c r="Z58" i="2"/>
  <c r="O58" i="2"/>
  <c r="N58" i="2"/>
  <c r="M58" i="2"/>
  <c r="L58" i="2"/>
  <c r="K58" i="2"/>
  <c r="X58" i="2" s="1"/>
  <c r="S57" i="2" a="1"/>
  <c r="S57" i="2" s="1"/>
  <c r="R57" i="2"/>
  <c r="Q57" i="2"/>
  <c r="I57" i="2"/>
  <c r="H57" i="2"/>
  <c r="G57" i="2"/>
  <c r="F57" i="2"/>
  <c r="E57" i="2"/>
  <c r="D57" i="2"/>
  <c r="C57" i="2"/>
  <c r="B57" i="2"/>
  <c r="Z57" i="2"/>
  <c r="O57" i="2"/>
  <c r="N57" i="2"/>
  <c r="M57" i="2"/>
  <c r="L57" i="2"/>
  <c r="K57" i="2"/>
  <c r="X57" i="2" s="1"/>
  <c r="S56" i="2" a="1"/>
  <c r="S56" i="2" s="1"/>
  <c r="R56" i="2"/>
  <c r="Q56" i="2"/>
  <c r="I56" i="2"/>
  <c r="H56" i="2"/>
  <c r="G56" i="2"/>
  <c r="F56" i="2"/>
  <c r="E56" i="2"/>
  <c r="D56" i="2"/>
  <c r="C56" i="2"/>
  <c r="B56" i="2"/>
  <c r="Z56" i="2"/>
  <c r="O56" i="2"/>
  <c r="N56" i="2"/>
  <c r="M56" i="2"/>
  <c r="L56" i="2"/>
  <c r="K56" i="2"/>
  <c r="X56" i="2" s="1"/>
  <c r="S55" i="2" a="1"/>
  <c r="S55" i="2" s="1"/>
  <c r="R55" i="2"/>
  <c r="Q55" i="2"/>
  <c r="I55" i="2"/>
  <c r="H55" i="2"/>
  <c r="G55" i="2"/>
  <c r="F55" i="2"/>
  <c r="E55" i="2"/>
  <c r="D55" i="2"/>
  <c r="C55" i="2"/>
  <c r="B55" i="2"/>
  <c r="Z55" i="2"/>
  <c r="O55" i="2"/>
  <c r="N55" i="2"/>
  <c r="M55" i="2"/>
  <c r="L55" i="2"/>
  <c r="K55" i="2"/>
  <c r="X55" i="2" s="1"/>
  <c r="P69" i="2" l="1"/>
  <c r="P68" i="2"/>
  <c r="P65" i="2"/>
  <c r="P57" i="2"/>
  <c r="P64" i="2"/>
  <c r="P62" i="2"/>
  <c r="P58" i="2"/>
  <c r="P61" i="2"/>
  <c r="P60" i="2"/>
  <c r="P63" i="2"/>
  <c r="P59" i="2"/>
  <c r="P56" i="2"/>
  <c r="P55" i="2"/>
  <c r="S52" i="2" a="1"/>
  <c r="S52" i="2" s="1"/>
  <c r="R52" i="2"/>
  <c r="Q52" i="2"/>
  <c r="I52" i="2"/>
  <c r="H52" i="2"/>
  <c r="G52" i="2"/>
  <c r="F52" i="2"/>
  <c r="E52" i="2"/>
  <c r="D52" i="2"/>
  <c r="C52" i="2"/>
  <c r="B52" i="2"/>
  <c r="Z52" i="2"/>
  <c r="O52" i="2"/>
  <c r="N52" i="2"/>
  <c r="M52" i="2"/>
  <c r="L52" i="2"/>
  <c r="K52" i="2"/>
  <c r="X52" i="2" s="1"/>
  <c r="S51" i="2" a="1"/>
  <c r="S51" i="2" s="1"/>
  <c r="R51" i="2"/>
  <c r="Q51" i="2"/>
  <c r="I51" i="2"/>
  <c r="H51" i="2"/>
  <c r="G51" i="2"/>
  <c r="F51" i="2"/>
  <c r="E51" i="2"/>
  <c r="D51" i="2"/>
  <c r="C51" i="2"/>
  <c r="B51" i="2"/>
  <c r="Z51" i="2"/>
  <c r="O51" i="2"/>
  <c r="N51" i="2"/>
  <c r="M51" i="2"/>
  <c r="L51" i="2"/>
  <c r="K51" i="2"/>
  <c r="X51" i="2" s="1"/>
  <c r="S50" i="2" a="1"/>
  <c r="S50" i="2" s="1"/>
  <c r="R50" i="2"/>
  <c r="Q50" i="2"/>
  <c r="I50" i="2"/>
  <c r="H50" i="2"/>
  <c r="G50" i="2"/>
  <c r="F50" i="2"/>
  <c r="E50" i="2"/>
  <c r="D50" i="2"/>
  <c r="C50" i="2"/>
  <c r="B50" i="2"/>
  <c r="Z50" i="2"/>
  <c r="O50" i="2"/>
  <c r="N50" i="2"/>
  <c r="M50" i="2"/>
  <c r="L50" i="2"/>
  <c r="K50" i="2"/>
  <c r="X50" i="2" s="1"/>
  <c r="S49" i="2" a="1"/>
  <c r="S49" i="2" s="1"/>
  <c r="R49" i="2"/>
  <c r="Q49" i="2"/>
  <c r="I49" i="2"/>
  <c r="H49" i="2"/>
  <c r="G49" i="2"/>
  <c r="F49" i="2"/>
  <c r="E49" i="2"/>
  <c r="D49" i="2"/>
  <c r="C49" i="2"/>
  <c r="B49" i="2"/>
  <c r="Z49" i="2"/>
  <c r="O49" i="2"/>
  <c r="N49" i="2"/>
  <c r="M49" i="2"/>
  <c r="L49" i="2"/>
  <c r="K49" i="2"/>
  <c r="X49" i="2" s="1"/>
  <c r="S48" i="2" a="1"/>
  <c r="S48" i="2" s="1"/>
  <c r="R48" i="2"/>
  <c r="Q48" i="2"/>
  <c r="I48" i="2"/>
  <c r="H48" i="2"/>
  <c r="G48" i="2"/>
  <c r="F48" i="2"/>
  <c r="E48" i="2"/>
  <c r="D48" i="2"/>
  <c r="C48" i="2"/>
  <c r="B48" i="2"/>
  <c r="Z48" i="2"/>
  <c r="O48" i="2"/>
  <c r="N48" i="2"/>
  <c r="M48" i="2"/>
  <c r="L48" i="2"/>
  <c r="K48" i="2"/>
  <c r="X48" i="2" s="1"/>
  <c r="S47" i="2" a="1"/>
  <c r="S47" i="2" s="1"/>
  <c r="R47" i="2"/>
  <c r="Q47" i="2"/>
  <c r="I47" i="2"/>
  <c r="H47" i="2"/>
  <c r="G47" i="2"/>
  <c r="F47" i="2"/>
  <c r="E47" i="2"/>
  <c r="D47" i="2"/>
  <c r="C47" i="2"/>
  <c r="B47" i="2"/>
  <c r="Z47" i="2"/>
  <c r="O47" i="2"/>
  <c r="N47" i="2"/>
  <c r="M47" i="2"/>
  <c r="L47" i="2"/>
  <c r="K47" i="2"/>
  <c r="X47" i="2" s="1"/>
  <c r="S46" i="2" a="1"/>
  <c r="S46" i="2" s="1"/>
  <c r="R46" i="2"/>
  <c r="Q46" i="2"/>
  <c r="I46" i="2"/>
  <c r="H46" i="2"/>
  <c r="G46" i="2"/>
  <c r="F46" i="2"/>
  <c r="E46" i="2"/>
  <c r="D46" i="2"/>
  <c r="C46" i="2"/>
  <c r="B46" i="2"/>
  <c r="Z46" i="2"/>
  <c r="O46" i="2"/>
  <c r="N46" i="2"/>
  <c r="M46" i="2"/>
  <c r="L46" i="2"/>
  <c r="K46" i="2"/>
  <c r="X46" i="2" s="1"/>
  <c r="S45" i="2" a="1"/>
  <c r="S45" i="2" s="1"/>
  <c r="R45" i="2"/>
  <c r="Q45" i="2"/>
  <c r="I45" i="2"/>
  <c r="H45" i="2"/>
  <c r="G45" i="2"/>
  <c r="F45" i="2"/>
  <c r="E45" i="2"/>
  <c r="D45" i="2"/>
  <c r="C45" i="2"/>
  <c r="B45" i="2"/>
  <c r="Z45" i="2"/>
  <c r="O45" i="2"/>
  <c r="N45" i="2"/>
  <c r="M45" i="2"/>
  <c r="L45" i="2"/>
  <c r="K45" i="2"/>
  <c r="X45" i="2" s="1"/>
  <c r="S44" i="2" a="1"/>
  <c r="S44" i="2" s="1"/>
  <c r="R44" i="2"/>
  <c r="Q44" i="2"/>
  <c r="I44" i="2"/>
  <c r="H44" i="2"/>
  <c r="G44" i="2"/>
  <c r="F44" i="2"/>
  <c r="E44" i="2"/>
  <c r="D44" i="2"/>
  <c r="C44" i="2"/>
  <c r="B44" i="2"/>
  <c r="K44" i="2"/>
  <c r="X44" i="2" s="1"/>
  <c r="L44" i="2"/>
  <c r="M44" i="2"/>
  <c r="N44" i="2"/>
  <c r="O44" i="2"/>
  <c r="Z44" i="2"/>
  <c r="S43" i="2" a="1"/>
  <c r="S43" i="2" s="1"/>
  <c r="R43" i="2"/>
  <c r="Q43" i="2"/>
  <c r="I43" i="2"/>
  <c r="H43" i="2"/>
  <c r="G43" i="2"/>
  <c r="F43" i="2"/>
  <c r="E43" i="2"/>
  <c r="D43" i="2"/>
  <c r="C43" i="2"/>
  <c r="B43" i="2"/>
  <c r="Z43" i="2"/>
  <c r="O43" i="2"/>
  <c r="N43" i="2"/>
  <c r="M43" i="2"/>
  <c r="L43" i="2"/>
  <c r="K43" i="2"/>
  <c r="X43" i="2" s="1"/>
  <c r="S42" i="2" a="1"/>
  <c r="S42" i="2" s="1"/>
  <c r="R42" i="2"/>
  <c r="Q42" i="2"/>
  <c r="I42" i="2"/>
  <c r="H42" i="2"/>
  <c r="G42" i="2"/>
  <c r="F42" i="2"/>
  <c r="E42" i="2"/>
  <c r="D42" i="2"/>
  <c r="C42" i="2"/>
  <c r="B42" i="2"/>
  <c r="Z42" i="2"/>
  <c r="O42" i="2"/>
  <c r="N42" i="2"/>
  <c r="M42" i="2"/>
  <c r="L42" i="2"/>
  <c r="K42" i="2"/>
  <c r="X42" i="2" s="1"/>
  <c r="S41" i="2" a="1"/>
  <c r="S41" i="2" s="1"/>
  <c r="R41" i="2"/>
  <c r="Q41" i="2"/>
  <c r="I41" i="2"/>
  <c r="H41" i="2"/>
  <c r="G41" i="2"/>
  <c r="F41" i="2"/>
  <c r="E41" i="2"/>
  <c r="D41" i="2"/>
  <c r="C41" i="2"/>
  <c r="B41" i="2"/>
  <c r="I37" i="2"/>
  <c r="I38" i="2"/>
  <c r="I36" i="2"/>
  <c r="I35" i="2"/>
  <c r="I34" i="2"/>
  <c r="I33" i="2"/>
  <c r="I32" i="2"/>
  <c r="I31" i="2"/>
  <c r="I30" i="2"/>
  <c r="G38" i="2"/>
  <c r="G37" i="2"/>
  <c r="G36" i="2"/>
  <c r="G35" i="2"/>
  <c r="G34" i="2"/>
  <c r="G33" i="2"/>
  <c r="G32" i="2"/>
  <c r="G31" i="2"/>
  <c r="G30" i="2"/>
  <c r="I27" i="2"/>
  <c r="G27" i="2"/>
  <c r="Z41" i="2"/>
  <c r="O41" i="2"/>
  <c r="N41" i="2"/>
  <c r="M41" i="2"/>
  <c r="L41" i="2"/>
  <c r="K41" i="2"/>
  <c r="X41" i="2" s="1"/>
  <c r="P52" i="2" l="1"/>
  <c r="P51" i="2"/>
  <c r="P50" i="2"/>
  <c r="P43" i="2"/>
  <c r="P49" i="2"/>
  <c r="P44" i="2"/>
  <c r="P48" i="2"/>
  <c r="P47" i="2"/>
  <c r="P46" i="2"/>
  <c r="P45" i="2"/>
  <c r="P41" i="2"/>
  <c r="P42" i="2"/>
  <c r="I24" i="2" l="1"/>
  <c r="I23" i="2"/>
  <c r="I22" i="2"/>
  <c r="I21" i="2"/>
  <c r="I20" i="2"/>
  <c r="I19" i="2"/>
  <c r="G24" i="2"/>
  <c r="G23" i="2"/>
  <c r="G22" i="2"/>
  <c r="G21" i="2"/>
  <c r="G20" i="2"/>
  <c r="G19" i="2"/>
  <c r="I16" i="2"/>
  <c r="I15" i="2"/>
  <c r="I14" i="2"/>
  <c r="G16" i="2"/>
  <c r="G15" i="2"/>
  <c r="G14" i="2"/>
  <c r="I11" i="2"/>
  <c r="I10" i="2"/>
  <c r="I9" i="2"/>
  <c r="I8" i="2"/>
  <c r="I7" i="2"/>
  <c r="I6" i="2"/>
  <c r="I5" i="2"/>
  <c r="I4" i="2"/>
  <c r="I3" i="2"/>
  <c r="G11" i="2"/>
  <c r="G10" i="2"/>
  <c r="G9" i="2"/>
  <c r="G8" i="2"/>
  <c r="G7" i="2"/>
  <c r="G6" i="2"/>
  <c r="G5" i="2"/>
  <c r="G4" i="2"/>
  <c r="G3" i="2"/>
  <c r="S24" i="2" a="1"/>
  <c r="S24" i="2" s="1"/>
  <c r="S23" i="2" a="1"/>
  <c r="S23" i="2" s="1"/>
  <c r="S22" i="2" a="1"/>
  <c r="S22" i="2" s="1"/>
  <c r="S21" i="2" a="1"/>
  <c r="S21" i="2" s="1"/>
  <c r="S20" i="2" a="1"/>
  <c r="S20" i="2" s="1"/>
  <c r="S19" i="2" a="1"/>
  <c r="S19" i="2" s="1"/>
  <c r="S16" i="2" a="1"/>
  <c r="S16" i="2" s="1"/>
  <c r="S15" i="2" a="1"/>
  <c r="S15" i="2" s="1"/>
  <c r="S14" i="2" a="1"/>
  <c r="S14" i="2" s="1"/>
  <c r="S11" i="2" a="1"/>
  <c r="S11" i="2" s="1"/>
  <c r="S10" i="2" a="1"/>
  <c r="S10" i="2" s="1"/>
  <c r="S9" i="2" a="1"/>
  <c r="S9" i="2" s="1"/>
  <c r="S8" i="2" a="1"/>
  <c r="S8" i="2" s="1"/>
  <c r="S7" i="2" a="1"/>
  <c r="S7" i="2" s="1"/>
  <c r="S6" i="2" a="1"/>
  <c r="S6" i="2" s="1"/>
  <c r="S5" i="2" a="1"/>
  <c r="S5" i="2" s="1"/>
  <c r="S4" i="2" a="1"/>
  <c r="S4" i="2" s="1"/>
  <c r="S38" i="2" a="1"/>
  <c r="S38" i="2" s="1"/>
  <c r="R38" i="2"/>
  <c r="Q38" i="2"/>
  <c r="H38" i="2"/>
  <c r="F38" i="2"/>
  <c r="E38" i="2"/>
  <c r="D38" i="2"/>
  <c r="C38" i="2"/>
  <c r="B38" i="2"/>
  <c r="Z38" i="2"/>
  <c r="O38" i="2"/>
  <c r="N38" i="2"/>
  <c r="M38" i="2"/>
  <c r="L38" i="2"/>
  <c r="K38" i="2"/>
  <c r="X38" i="2" s="1"/>
  <c r="S37" i="2" a="1"/>
  <c r="S37" i="2" s="1"/>
  <c r="R37" i="2"/>
  <c r="Q37" i="2"/>
  <c r="H37" i="2"/>
  <c r="F37" i="2"/>
  <c r="E37" i="2"/>
  <c r="D37" i="2"/>
  <c r="C37" i="2"/>
  <c r="B37" i="2"/>
  <c r="Z37" i="2"/>
  <c r="O37" i="2"/>
  <c r="N37" i="2"/>
  <c r="M37" i="2"/>
  <c r="L37" i="2"/>
  <c r="K37" i="2"/>
  <c r="X37" i="2" s="1"/>
  <c r="H36" i="2"/>
  <c r="F36" i="2"/>
  <c r="E36" i="2"/>
  <c r="D36" i="2"/>
  <c r="C36" i="2"/>
  <c r="B36" i="2"/>
  <c r="S36" i="2" a="1"/>
  <c r="S36" i="2" s="1"/>
  <c r="R36" i="2"/>
  <c r="Q36" i="2"/>
  <c r="H35" i="2"/>
  <c r="F35" i="2"/>
  <c r="E35" i="2"/>
  <c r="D35" i="2"/>
  <c r="C35" i="2"/>
  <c r="B35" i="2"/>
  <c r="S35" i="2" a="1"/>
  <c r="S35" i="2" s="1"/>
  <c r="R35" i="2"/>
  <c r="Q35" i="2"/>
  <c r="H34" i="2"/>
  <c r="F34" i="2"/>
  <c r="E34" i="2"/>
  <c r="D34" i="2"/>
  <c r="C34" i="2"/>
  <c r="B34" i="2"/>
  <c r="S34" i="2" a="1"/>
  <c r="S34" i="2" s="1"/>
  <c r="R34" i="2"/>
  <c r="Q34" i="2"/>
  <c r="H33" i="2"/>
  <c r="F33" i="2"/>
  <c r="E33" i="2"/>
  <c r="D33" i="2"/>
  <c r="C33" i="2"/>
  <c r="B33" i="2"/>
  <c r="S33" i="2" a="1"/>
  <c r="S33" i="2" s="1"/>
  <c r="R33" i="2"/>
  <c r="Q33" i="2"/>
  <c r="H32" i="2"/>
  <c r="F32" i="2"/>
  <c r="E32" i="2"/>
  <c r="D32" i="2"/>
  <c r="C32" i="2"/>
  <c r="B32" i="2"/>
  <c r="S32" i="2" a="1"/>
  <c r="S32" i="2" s="1"/>
  <c r="R32" i="2"/>
  <c r="Q32" i="2"/>
  <c r="H31" i="2"/>
  <c r="F31" i="2"/>
  <c r="E31" i="2"/>
  <c r="D31" i="2"/>
  <c r="C31" i="2"/>
  <c r="B31" i="2"/>
  <c r="S31" i="2" a="1"/>
  <c r="S31" i="2" s="1"/>
  <c r="R31" i="2"/>
  <c r="Q31" i="2"/>
  <c r="K31" i="2"/>
  <c r="X31" i="2" s="1"/>
  <c r="K32" i="2"/>
  <c r="X32" i="2" s="1"/>
  <c r="K33" i="2"/>
  <c r="X33" i="2" s="1"/>
  <c r="K34" i="2"/>
  <c r="X34" i="2" s="1"/>
  <c r="K35" i="2"/>
  <c r="X35" i="2" s="1"/>
  <c r="K36" i="2"/>
  <c r="X36" i="2" s="1"/>
  <c r="Z36" i="2"/>
  <c r="O36" i="2"/>
  <c r="N36" i="2"/>
  <c r="M36" i="2"/>
  <c r="L36" i="2"/>
  <c r="Z35" i="2"/>
  <c r="O35" i="2"/>
  <c r="N35" i="2"/>
  <c r="M35" i="2"/>
  <c r="L35" i="2"/>
  <c r="Z34" i="2"/>
  <c r="O34" i="2"/>
  <c r="N34" i="2"/>
  <c r="M34" i="2"/>
  <c r="L34" i="2"/>
  <c r="Z33" i="2"/>
  <c r="O33" i="2"/>
  <c r="N33" i="2"/>
  <c r="M33" i="2"/>
  <c r="L33" i="2"/>
  <c r="Z32" i="2"/>
  <c r="O32" i="2"/>
  <c r="N32" i="2"/>
  <c r="M32" i="2"/>
  <c r="L32" i="2"/>
  <c r="Z31" i="2"/>
  <c r="O31" i="2"/>
  <c r="N31" i="2"/>
  <c r="M31" i="2"/>
  <c r="L31" i="2"/>
  <c r="S3" i="2" a="1"/>
  <c r="S3" i="2" s="1"/>
  <c r="S88" i="2" a="1"/>
  <c r="S88" i="2" s="1"/>
  <c r="S27" i="2" a="1"/>
  <c r="S27" i="2" s="1"/>
  <c r="S30" i="2" a="1"/>
  <c r="S30" i="2" s="1"/>
  <c r="R30" i="2"/>
  <c r="Q30" i="2"/>
  <c r="H30" i="2"/>
  <c r="F30" i="2"/>
  <c r="E30" i="2"/>
  <c r="D30" i="2"/>
  <c r="C30" i="2"/>
  <c r="B30" i="2"/>
  <c r="Z30" i="2"/>
  <c r="O30" i="2"/>
  <c r="N30" i="2"/>
  <c r="M30" i="2"/>
  <c r="L30" i="2"/>
  <c r="K30" i="2"/>
  <c r="X30" i="2" s="1"/>
  <c r="P37" i="2" l="1"/>
  <c r="P38" i="2"/>
  <c r="P36" i="2"/>
  <c r="P35" i="2"/>
  <c r="P32" i="2"/>
  <c r="P31" i="2"/>
  <c r="P33" i="2"/>
  <c r="P34" i="2"/>
  <c r="P30" i="2"/>
  <c r="R27" i="2" l="1"/>
  <c r="Q27" i="2"/>
  <c r="H27" i="2"/>
  <c r="F27" i="2"/>
  <c r="E27" i="2"/>
  <c r="D27" i="2"/>
  <c r="C27" i="2"/>
  <c r="B27" i="2"/>
  <c r="Z27" i="2"/>
  <c r="O27" i="2"/>
  <c r="N27" i="2"/>
  <c r="M27" i="2"/>
  <c r="L27" i="2"/>
  <c r="K27" i="2"/>
  <c r="X27" i="2" s="1"/>
  <c r="P27" i="2" l="1"/>
  <c r="E1744" i="43"/>
  <c r="E1743" i="43"/>
  <c r="E1742" i="43"/>
  <c r="E1741" i="43"/>
  <c r="E1740" i="43"/>
  <c r="E1739" i="43"/>
  <c r="E1738" i="43"/>
  <c r="E1737" i="43"/>
  <c r="E1736" i="43"/>
  <c r="E1735" i="43"/>
  <c r="E1734" i="43"/>
  <c r="E1733" i="43"/>
  <c r="E1732" i="43"/>
  <c r="E1731" i="43"/>
  <c r="E1730" i="43"/>
  <c r="E1729" i="43"/>
  <c r="E1728" i="43"/>
  <c r="E1727" i="43"/>
  <c r="E1726" i="43"/>
  <c r="E1725" i="43"/>
  <c r="E1724" i="43"/>
  <c r="E1723" i="43"/>
  <c r="E1722" i="43"/>
  <c r="E1721" i="43"/>
  <c r="E1720" i="43"/>
  <c r="E1719" i="43"/>
  <c r="E1718" i="43"/>
  <c r="E1717" i="43"/>
  <c r="E1716" i="43"/>
  <c r="E1715" i="43"/>
  <c r="E1714" i="43"/>
  <c r="E1713" i="43"/>
  <c r="E1712" i="43"/>
  <c r="E1711" i="43"/>
  <c r="E1710" i="43"/>
  <c r="E1709" i="43"/>
  <c r="E1708" i="43"/>
  <c r="E1707" i="43"/>
  <c r="E1706" i="43"/>
  <c r="E1705" i="43"/>
  <c r="E1704" i="43"/>
  <c r="E1703" i="43"/>
  <c r="E1702" i="43"/>
  <c r="E1701" i="43"/>
  <c r="E1700" i="43"/>
  <c r="E1699" i="43"/>
  <c r="E1698" i="43"/>
  <c r="E1697" i="43"/>
  <c r="E1696" i="43"/>
  <c r="E1695" i="43"/>
  <c r="E1694" i="43"/>
  <c r="E1693" i="43"/>
  <c r="E1692" i="43"/>
  <c r="E1691" i="43"/>
  <c r="E1690" i="43"/>
  <c r="E1689" i="43"/>
  <c r="E1688" i="43"/>
  <c r="E1687" i="43"/>
  <c r="E1686" i="43"/>
  <c r="E1685" i="43"/>
  <c r="E1684" i="43"/>
  <c r="E1683" i="43"/>
  <c r="E1682" i="43"/>
  <c r="E1681" i="43"/>
  <c r="E1680" i="43"/>
  <c r="E1679" i="43"/>
  <c r="E1678" i="43"/>
  <c r="E1677" i="43"/>
  <c r="E1676" i="43"/>
  <c r="E1675" i="43"/>
  <c r="E1674" i="43"/>
  <c r="E1673" i="43"/>
  <c r="E1672" i="43"/>
  <c r="E1671" i="43"/>
  <c r="E1670" i="43"/>
  <c r="E1669" i="43"/>
  <c r="E1668" i="43"/>
  <c r="E1667" i="43"/>
  <c r="E1666" i="43"/>
  <c r="E1665" i="43"/>
  <c r="E1664" i="43"/>
  <c r="E1663" i="43"/>
  <c r="E1662" i="43"/>
  <c r="E1661" i="43"/>
  <c r="E1660" i="43"/>
  <c r="E1659" i="43"/>
  <c r="E1658" i="43"/>
  <c r="E1657" i="43"/>
  <c r="E1656" i="43"/>
  <c r="E1655" i="43"/>
  <c r="E1654" i="43"/>
  <c r="E1653" i="43"/>
  <c r="E1652" i="43"/>
  <c r="E1651" i="43"/>
  <c r="E1650" i="43"/>
  <c r="E1649" i="43"/>
  <c r="E1648" i="43"/>
  <c r="E1647" i="43"/>
  <c r="E1646" i="43"/>
  <c r="E1645" i="43"/>
  <c r="E1644" i="43"/>
  <c r="E1643" i="43"/>
  <c r="E1642" i="43"/>
  <c r="E1641" i="43"/>
  <c r="E1640" i="43"/>
  <c r="E1639" i="43"/>
  <c r="E1638" i="43"/>
  <c r="E1637" i="43"/>
  <c r="E1636" i="43"/>
  <c r="E1635" i="43"/>
  <c r="E1634" i="43"/>
  <c r="E1633" i="43"/>
  <c r="E1632" i="43"/>
  <c r="E1631" i="43"/>
  <c r="E1630" i="43"/>
  <c r="E1629" i="43"/>
  <c r="E1628" i="43"/>
  <c r="E1627" i="43"/>
  <c r="E1626" i="43"/>
  <c r="E1625" i="43"/>
  <c r="E1624" i="43"/>
  <c r="E1623" i="43"/>
  <c r="E1622" i="43"/>
  <c r="E1621" i="43"/>
  <c r="E1620" i="43"/>
  <c r="E1619" i="43"/>
  <c r="E1618" i="43"/>
  <c r="E1617" i="43"/>
  <c r="E1616" i="43"/>
  <c r="E1615" i="43"/>
  <c r="E1614" i="43"/>
  <c r="E1613" i="43"/>
  <c r="E1612" i="43"/>
  <c r="E1611" i="43"/>
  <c r="E1610" i="43"/>
  <c r="E1609" i="43"/>
  <c r="E1608" i="43"/>
  <c r="E1607" i="43"/>
  <c r="E1606" i="43"/>
  <c r="E1605" i="43"/>
  <c r="E1604" i="43"/>
  <c r="E1603" i="43"/>
  <c r="E1602" i="43"/>
  <c r="E1601" i="43"/>
  <c r="E1600" i="43"/>
  <c r="E1599" i="43"/>
  <c r="E1598" i="43"/>
  <c r="E1597" i="43"/>
  <c r="E1596" i="43"/>
  <c r="E1595" i="43"/>
  <c r="E1594" i="43"/>
  <c r="E1593" i="43"/>
  <c r="E1592" i="43"/>
  <c r="E1591" i="43"/>
  <c r="E1590" i="43"/>
  <c r="E1589" i="43"/>
  <c r="E1588" i="43"/>
  <c r="E1587" i="43"/>
  <c r="E1586" i="43"/>
  <c r="E1585" i="43"/>
  <c r="E1584" i="43"/>
  <c r="E1583" i="43"/>
  <c r="E1582" i="43"/>
  <c r="E1581" i="43"/>
  <c r="E1580" i="43"/>
  <c r="E1579" i="43"/>
  <c r="E1578" i="43"/>
  <c r="E1577" i="43"/>
  <c r="E1576" i="43"/>
  <c r="E1575" i="43"/>
  <c r="E1574" i="43"/>
  <c r="E1573" i="43"/>
  <c r="E1572" i="43"/>
  <c r="E1571" i="43"/>
  <c r="E1570" i="43"/>
  <c r="E1569" i="43"/>
  <c r="E1568" i="43"/>
  <c r="E1567" i="43"/>
  <c r="E1566" i="43"/>
  <c r="E1565" i="43"/>
  <c r="E1564" i="43"/>
  <c r="E1563" i="43"/>
  <c r="E1562" i="43"/>
  <c r="E1561" i="43"/>
  <c r="E1560" i="43"/>
  <c r="E1559" i="43"/>
  <c r="E1558" i="43"/>
  <c r="E1557" i="43"/>
  <c r="E1556" i="43"/>
  <c r="E1555" i="43"/>
  <c r="E1554" i="43"/>
  <c r="E1553" i="43"/>
  <c r="E1552" i="43"/>
  <c r="E1551" i="43"/>
  <c r="E1550" i="43"/>
  <c r="E1549" i="43"/>
  <c r="E1548" i="43"/>
  <c r="E1547" i="43"/>
  <c r="E1546" i="43"/>
  <c r="E1545" i="43"/>
  <c r="E1544" i="43"/>
  <c r="E1543" i="43"/>
  <c r="E1542" i="43"/>
  <c r="E1541" i="43"/>
  <c r="E1540" i="43"/>
  <c r="E1539" i="43"/>
  <c r="E1538" i="43"/>
  <c r="E1537" i="43"/>
  <c r="E1536" i="43"/>
  <c r="E1535" i="43"/>
  <c r="E1534" i="43"/>
  <c r="E1533" i="43"/>
  <c r="E1532" i="43"/>
  <c r="E1531" i="43"/>
  <c r="E1530" i="43"/>
  <c r="E1529" i="43"/>
  <c r="E1528" i="43"/>
  <c r="E1527" i="43"/>
  <c r="E1526" i="43"/>
  <c r="E1525" i="43"/>
  <c r="E1524" i="43"/>
  <c r="E1523" i="43"/>
  <c r="E1522" i="43"/>
  <c r="E1521" i="43"/>
  <c r="E1520" i="43"/>
  <c r="E1519" i="43"/>
  <c r="E1518" i="43"/>
  <c r="E1517" i="43"/>
  <c r="E1516" i="43"/>
  <c r="E1515" i="43"/>
  <c r="E1514" i="43"/>
  <c r="E1513" i="43"/>
  <c r="E1512" i="43"/>
  <c r="E1511" i="43"/>
  <c r="E1510" i="43"/>
  <c r="E1509" i="43"/>
  <c r="E1508" i="43"/>
  <c r="E1507" i="43"/>
  <c r="E1506" i="43"/>
  <c r="E1505" i="43"/>
  <c r="E1504" i="43"/>
  <c r="E1503" i="43"/>
  <c r="E1502" i="43"/>
  <c r="E1501" i="43"/>
  <c r="E1500" i="43"/>
  <c r="E1499" i="43"/>
  <c r="E1498" i="43"/>
  <c r="E1497" i="43"/>
  <c r="E1496" i="43"/>
  <c r="E1495" i="43"/>
  <c r="E1494" i="43"/>
  <c r="E1493" i="43"/>
  <c r="E1492" i="43"/>
  <c r="E1491" i="43"/>
  <c r="E1490" i="43"/>
  <c r="E1489" i="43"/>
  <c r="E1488" i="43"/>
  <c r="E1487" i="43"/>
  <c r="E1486" i="43"/>
  <c r="E1485" i="43"/>
  <c r="E1484" i="43"/>
  <c r="E1483" i="43"/>
  <c r="E1482" i="43"/>
  <c r="E1481" i="43"/>
  <c r="E1480" i="43"/>
  <c r="E1479" i="43"/>
  <c r="E1478" i="43"/>
  <c r="E1477" i="43"/>
  <c r="E1476" i="43"/>
  <c r="E1475" i="43"/>
  <c r="E1474" i="43"/>
  <c r="E1473" i="43"/>
  <c r="E1472" i="43"/>
  <c r="E1471" i="43"/>
  <c r="E1470" i="43"/>
  <c r="E1469" i="43"/>
  <c r="E1468" i="43"/>
  <c r="E1467" i="43"/>
  <c r="E1466" i="43"/>
  <c r="E1465" i="43"/>
  <c r="E1464" i="43"/>
  <c r="E1463" i="43"/>
  <c r="E1462" i="43"/>
  <c r="E1461" i="43"/>
  <c r="E1460" i="43"/>
  <c r="E1459" i="43"/>
  <c r="E1458" i="43"/>
  <c r="E1457" i="43"/>
  <c r="E1456" i="43"/>
  <c r="E1455" i="43"/>
  <c r="E1454" i="43"/>
  <c r="E1453" i="43"/>
  <c r="E1452" i="43"/>
  <c r="E1451" i="43"/>
  <c r="E1450" i="43"/>
  <c r="E1449" i="43"/>
  <c r="E1448" i="43"/>
  <c r="E1447" i="43"/>
  <c r="E1446" i="43"/>
  <c r="E1445" i="43"/>
  <c r="E1444" i="43"/>
  <c r="E1443" i="43"/>
  <c r="E1442" i="43"/>
  <c r="E1441" i="43"/>
  <c r="E1440" i="43"/>
  <c r="E1439" i="43"/>
  <c r="E1438" i="43"/>
  <c r="E1437" i="43"/>
  <c r="E1436" i="43"/>
  <c r="E1435" i="43"/>
  <c r="E1434" i="43"/>
  <c r="E1433" i="43"/>
  <c r="E1432" i="43"/>
  <c r="E1431" i="43"/>
  <c r="E1430" i="43"/>
  <c r="E1429" i="43"/>
  <c r="E1428" i="43"/>
  <c r="E1427" i="43"/>
  <c r="E1426" i="43"/>
  <c r="E1425" i="43"/>
  <c r="E1424" i="43"/>
  <c r="E1423" i="43"/>
  <c r="E1422" i="43"/>
  <c r="E1421" i="43"/>
  <c r="E1420" i="43"/>
  <c r="E1419" i="43"/>
  <c r="E1418" i="43"/>
  <c r="E1417" i="43"/>
  <c r="E1416" i="43"/>
  <c r="E1415" i="43"/>
  <c r="E1414" i="43"/>
  <c r="E1413" i="43"/>
  <c r="E1412" i="43"/>
  <c r="E1411" i="43"/>
  <c r="E1410" i="43"/>
  <c r="E1409" i="43"/>
  <c r="E1408" i="43"/>
  <c r="E1407" i="43"/>
  <c r="E1406" i="43"/>
  <c r="E1405" i="43"/>
  <c r="E1404" i="43"/>
  <c r="E1403" i="43"/>
  <c r="E1402" i="43"/>
  <c r="E1401" i="43"/>
  <c r="E1400" i="43"/>
  <c r="E1399" i="43"/>
  <c r="E1398" i="43"/>
  <c r="E1397" i="43"/>
  <c r="E1396" i="43"/>
  <c r="E1395" i="43"/>
  <c r="E1394" i="43"/>
  <c r="E1393" i="43"/>
  <c r="E1392" i="43"/>
  <c r="E1391" i="43"/>
  <c r="E1390" i="43"/>
  <c r="E1389" i="43"/>
  <c r="E1388" i="43"/>
  <c r="E1387" i="43"/>
  <c r="E1386" i="43"/>
  <c r="E1385" i="43"/>
  <c r="E1384" i="43"/>
  <c r="E1383" i="43"/>
  <c r="E1382" i="43"/>
  <c r="E1381" i="43"/>
  <c r="E1380" i="43"/>
  <c r="E1379" i="43"/>
  <c r="E1378" i="43"/>
  <c r="E1377" i="43"/>
  <c r="E1376" i="43"/>
  <c r="E1375" i="43"/>
  <c r="E1374" i="43"/>
  <c r="E1373" i="43"/>
  <c r="E1372" i="43"/>
  <c r="E1371" i="43"/>
  <c r="E1370" i="43"/>
  <c r="E1369" i="43"/>
  <c r="E1368" i="43"/>
  <c r="E1367" i="43"/>
  <c r="E1366" i="43"/>
  <c r="E1365" i="43"/>
  <c r="E1364" i="43"/>
  <c r="E1363" i="43"/>
  <c r="E1362" i="43"/>
  <c r="E1361" i="43"/>
  <c r="E1360" i="43"/>
  <c r="E1359" i="43"/>
  <c r="E1358" i="43"/>
  <c r="E1357" i="43"/>
  <c r="E1356" i="43"/>
  <c r="E1355" i="43"/>
  <c r="E1354" i="43"/>
  <c r="E1353" i="43"/>
  <c r="E1352" i="43"/>
  <c r="E1351" i="43"/>
  <c r="E1350" i="43"/>
  <c r="E1349" i="43"/>
  <c r="E1348" i="43"/>
  <c r="E1347" i="43"/>
  <c r="E1346" i="43"/>
  <c r="E1345" i="43"/>
  <c r="E1344" i="43"/>
  <c r="E1343" i="43"/>
  <c r="E1342" i="43"/>
  <c r="E1341" i="43"/>
  <c r="E1340" i="43"/>
  <c r="E1339" i="43"/>
  <c r="E1338" i="43"/>
  <c r="E1337" i="43"/>
  <c r="E1336" i="43"/>
  <c r="E1335" i="43"/>
  <c r="E1334" i="43"/>
  <c r="E1333" i="43"/>
  <c r="E1332" i="43"/>
  <c r="E1331" i="43"/>
  <c r="E1330" i="43"/>
  <c r="E1329" i="43"/>
  <c r="E1328" i="43"/>
  <c r="E1327" i="43"/>
  <c r="E1326" i="43"/>
  <c r="E1325" i="43"/>
  <c r="E1324" i="43"/>
  <c r="E1323" i="43"/>
  <c r="E1322" i="43"/>
  <c r="H77" i="39" s="1"/>
  <c r="E1321" i="43"/>
  <c r="E1320" i="43"/>
  <c r="E1319" i="43"/>
  <c r="E1318" i="43"/>
  <c r="E1317" i="43"/>
  <c r="E1316" i="43"/>
  <c r="E1315" i="43"/>
  <c r="E1314" i="43"/>
  <c r="E1313" i="43"/>
  <c r="E1312" i="43"/>
  <c r="E1311" i="43"/>
  <c r="E1310" i="43"/>
  <c r="E1309" i="43"/>
  <c r="E1308" i="43"/>
  <c r="E1307" i="43"/>
  <c r="E1306" i="43"/>
  <c r="E1305" i="43"/>
  <c r="E1304" i="43"/>
  <c r="E1303" i="43"/>
  <c r="E1302" i="43"/>
  <c r="E1301" i="43"/>
  <c r="E1300" i="43"/>
  <c r="E1299" i="43"/>
  <c r="E1298" i="43"/>
  <c r="E1297" i="43"/>
  <c r="E1296" i="43"/>
  <c r="E1295" i="43"/>
  <c r="E1294" i="43"/>
  <c r="E1293" i="43"/>
  <c r="E1292" i="43"/>
  <c r="E1291" i="43"/>
  <c r="E1290" i="43"/>
  <c r="E1289" i="43"/>
  <c r="E1288" i="43"/>
  <c r="E1287" i="43"/>
  <c r="E1286" i="43"/>
  <c r="E1285" i="43"/>
  <c r="E1284" i="43"/>
  <c r="E1283" i="43"/>
  <c r="E1282" i="43"/>
  <c r="E1281" i="43"/>
  <c r="E1280" i="43"/>
  <c r="E1279" i="43"/>
  <c r="E1278" i="43"/>
  <c r="E1277" i="43"/>
  <c r="E1276" i="43"/>
  <c r="E1275" i="43"/>
  <c r="E1274" i="43"/>
  <c r="E1273" i="43"/>
  <c r="E1272" i="43"/>
  <c r="E1271" i="43"/>
  <c r="E1270" i="43"/>
  <c r="E1269" i="43"/>
  <c r="E1268" i="43"/>
  <c r="E1267" i="43"/>
  <c r="E1266" i="43"/>
  <c r="E1265" i="43"/>
  <c r="E1264" i="43"/>
  <c r="E1263" i="43"/>
  <c r="E1262" i="43"/>
  <c r="E1261" i="43"/>
  <c r="E1260" i="43"/>
  <c r="E1259" i="43"/>
  <c r="E1258" i="43"/>
  <c r="E1257" i="43"/>
  <c r="E1256" i="43"/>
  <c r="E1255" i="43"/>
  <c r="E1254" i="43"/>
  <c r="E1253" i="43"/>
  <c r="E1252" i="43"/>
  <c r="E1251" i="43"/>
  <c r="E1250" i="43"/>
  <c r="E1249" i="43"/>
  <c r="E1248" i="43"/>
  <c r="E1247" i="43"/>
  <c r="E1246" i="43"/>
  <c r="E1245" i="43"/>
  <c r="E1244" i="43"/>
  <c r="E1243" i="43"/>
  <c r="E1242" i="43"/>
  <c r="E1241" i="43"/>
  <c r="E1240" i="43"/>
  <c r="E1239" i="43"/>
  <c r="E1238" i="43"/>
  <c r="E1237" i="43"/>
  <c r="E1236" i="43"/>
  <c r="E1235" i="43"/>
  <c r="E1234" i="43"/>
  <c r="E1233" i="43"/>
  <c r="E1232" i="43"/>
  <c r="E1231" i="43"/>
  <c r="E1230" i="43"/>
  <c r="E1229" i="43"/>
  <c r="E1228" i="43"/>
  <c r="E1227" i="43"/>
  <c r="E1226" i="43"/>
  <c r="E1225" i="43"/>
  <c r="E1224" i="43"/>
  <c r="E1223" i="43"/>
  <c r="E1222" i="43"/>
  <c r="E1221" i="43"/>
  <c r="E1220" i="43"/>
  <c r="E1219" i="43"/>
  <c r="E1218" i="43"/>
  <c r="E1217" i="43"/>
  <c r="E1216" i="43"/>
  <c r="E1215" i="43"/>
  <c r="E1214" i="43"/>
  <c r="E1213" i="43"/>
  <c r="E1212" i="43"/>
  <c r="E1211" i="43"/>
  <c r="E1210" i="43"/>
  <c r="E1209" i="43"/>
  <c r="E1208" i="43"/>
  <c r="E1207" i="43"/>
  <c r="E1206" i="43"/>
  <c r="E1205" i="43"/>
  <c r="E1204" i="43"/>
  <c r="H25" i="39" s="1"/>
  <c r="E1203" i="43"/>
  <c r="E1202" i="43"/>
  <c r="E1201" i="43"/>
  <c r="E1200" i="43"/>
  <c r="E1199" i="43"/>
  <c r="E1198" i="43"/>
  <c r="E1197" i="43"/>
  <c r="E1196" i="43"/>
  <c r="E1195" i="43"/>
  <c r="E1194" i="43"/>
  <c r="E1193" i="43"/>
  <c r="E1192" i="43"/>
  <c r="E1191" i="43"/>
  <c r="E1190" i="43"/>
  <c r="E1189" i="43"/>
  <c r="E1188" i="43"/>
  <c r="E1187" i="43"/>
  <c r="E1186" i="43"/>
  <c r="E1185" i="43"/>
  <c r="E1184" i="43"/>
  <c r="E1183" i="43"/>
  <c r="H74" i="39" s="1"/>
  <c r="E1182" i="43"/>
  <c r="E1181" i="43"/>
  <c r="E1180" i="43"/>
  <c r="E1179" i="43"/>
  <c r="H43" i="39" s="1"/>
  <c r="E1178" i="43"/>
  <c r="E1177" i="43"/>
  <c r="E1176" i="43"/>
  <c r="E1175" i="43"/>
  <c r="E1174" i="43"/>
  <c r="H90" i="39" s="1"/>
  <c r="E1173" i="43"/>
  <c r="E1172" i="43"/>
  <c r="E1171" i="43"/>
  <c r="E1170" i="43"/>
  <c r="E1169" i="43"/>
  <c r="E1168" i="43"/>
  <c r="H64" i="39" s="1"/>
  <c r="E1167" i="43"/>
  <c r="E1166" i="43"/>
  <c r="E1165" i="43"/>
  <c r="E1164" i="43"/>
  <c r="E1163" i="43"/>
  <c r="E1162" i="43"/>
  <c r="E1161" i="43"/>
  <c r="E1160" i="43"/>
  <c r="E1159" i="43"/>
  <c r="H53" i="39" s="1"/>
  <c r="E1158" i="43"/>
  <c r="E1157" i="43"/>
  <c r="E1156" i="43"/>
  <c r="E1155" i="43"/>
  <c r="E1154" i="43"/>
  <c r="E1153" i="43"/>
  <c r="E1152" i="43"/>
  <c r="E1151" i="43"/>
  <c r="E1150" i="43"/>
  <c r="E1149" i="43"/>
  <c r="E1148" i="43"/>
  <c r="E1147" i="43"/>
  <c r="E1146" i="43"/>
  <c r="E1145" i="43"/>
  <c r="E1144" i="43"/>
  <c r="E1143" i="43"/>
  <c r="H62" i="39" s="1"/>
  <c r="E1142" i="43"/>
  <c r="E1141" i="43"/>
  <c r="E1140" i="43"/>
  <c r="E1139" i="43"/>
  <c r="E1138" i="43"/>
  <c r="E1137" i="43"/>
  <c r="E1136" i="43"/>
  <c r="E1135" i="43"/>
  <c r="E1134" i="43"/>
  <c r="E1133" i="43"/>
  <c r="E1132" i="43"/>
  <c r="E1131" i="43"/>
  <c r="E1130" i="43"/>
  <c r="E1129" i="43"/>
  <c r="E1128" i="43"/>
  <c r="E1127" i="43"/>
  <c r="E1126" i="43"/>
  <c r="E1125" i="43"/>
  <c r="E1124" i="43"/>
  <c r="E1123" i="43"/>
  <c r="E1122" i="43"/>
  <c r="E1121" i="43"/>
  <c r="E1120" i="43"/>
  <c r="E1119" i="43"/>
  <c r="E1118" i="43"/>
  <c r="E1117" i="43"/>
  <c r="E1116" i="43"/>
  <c r="E1115" i="43"/>
  <c r="E1114" i="43"/>
  <c r="E1113" i="43"/>
  <c r="E1112" i="43"/>
  <c r="E1111" i="43"/>
  <c r="E1110" i="43"/>
  <c r="E1109" i="43"/>
  <c r="E1108" i="43"/>
  <c r="E1107" i="43"/>
  <c r="E1106" i="43"/>
  <c r="E1105" i="43"/>
  <c r="E1104" i="43"/>
  <c r="E1103" i="43"/>
  <c r="E1102" i="43"/>
  <c r="E1101" i="43"/>
  <c r="E1100" i="43"/>
  <c r="E1099" i="43"/>
  <c r="E1098" i="43"/>
  <c r="E1097" i="43"/>
  <c r="E1096" i="43"/>
  <c r="E1095" i="43"/>
  <c r="E1094" i="43"/>
  <c r="E1093" i="43"/>
  <c r="E1092" i="43"/>
  <c r="E1091" i="43"/>
  <c r="E1090" i="43"/>
  <c r="E1089" i="43"/>
  <c r="E1088" i="43"/>
  <c r="E1087" i="43"/>
  <c r="E1086" i="43"/>
  <c r="E1085" i="43"/>
  <c r="H86" i="39" s="1"/>
  <c r="E1084" i="43"/>
  <c r="E1083" i="43"/>
  <c r="E1082" i="43"/>
  <c r="E1081" i="43"/>
  <c r="E1080" i="43"/>
  <c r="E1079" i="43"/>
  <c r="E1078" i="43"/>
  <c r="E1077" i="43"/>
  <c r="E1076" i="43"/>
  <c r="E1075" i="43"/>
  <c r="E1074" i="43"/>
  <c r="E1073" i="43"/>
  <c r="E1072" i="43"/>
  <c r="E1071" i="43"/>
  <c r="E1070" i="43"/>
  <c r="E1069" i="43"/>
  <c r="E1068" i="43"/>
  <c r="E1067" i="43"/>
  <c r="E1066" i="43"/>
  <c r="E1065" i="43"/>
  <c r="E1064" i="43"/>
  <c r="E1063" i="43"/>
  <c r="E1062" i="43"/>
  <c r="E1061" i="43"/>
  <c r="E1060" i="43"/>
  <c r="E1059" i="43"/>
  <c r="E1058" i="43"/>
  <c r="E1057" i="43"/>
  <c r="E1056" i="43"/>
  <c r="E1055" i="43"/>
  <c r="E1054" i="43"/>
  <c r="E1053" i="43"/>
  <c r="E1052" i="43"/>
  <c r="E1051" i="43"/>
  <c r="E1050" i="43"/>
  <c r="E1049" i="43"/>
  <c r="E1048" i="43"/>
  <c r="E1047" i="43"/>
  <c r="E1046" i="43"/>
  <c r="E1045" i="43"/>
  <c r="E1044" i="43"/>
  <c r="E1043" i="43"/>
  <c r="E1042" i="43"/>
  <c r="E1041" i="43"/>
  <c r="E1040" i="43"/>
  <c r="E1039" i="43"/>
  <c r="E1038" i="43"/>
  <c r="E1037" i="43"/>
  <c r="E1036" i="43"/>
  <c r="E1035" i="43"/>
  <c r="E1034" i="43"/>
  <c r="E1033" i="43"/>
  <c r="E1032" i="43"/>
  <c r="E1031" i="43"/>
  <c r="E1030" i="43"/>
  <c r="E1029" i="43"/>
  <c r="E1028" i="43"/>
  <c r="E1027" i="43"/>
  <c r="E1026" i="43"/>
  <c r="E1025" i="43"/>
  <c r="E1024" i="43"/>
  <c r="E1023" i="43"/>
  <c r="E1022" i="43"/>
  <c r="E1021" i="43"/>
  <c r="E1020" i="43"/>
  <c r="E1019" i="43"/>
  <c r="E1018" i="43"/>
  <c r="E1017" i="43"/>
  <c r="E1016" i="43"/>
  <c r="E1015" i="43"/>
  <c r="E1014" i="43"/>
  <c r="E1013" i="43"/>
  <c r="E1012" i="43"/>
  <c r="E1011" i="43"/>
  <c r="E1010" i="43"/>
  <c r="E1009" i="43"/>
  <c r="E1008" i="43"/>
  <c r="E1007" i="43"/>
  <c r="E1006" i="43"/>
  <c r="E1005" i="43"/>
  <c r="E1004" i="43"/>
  <c r="E1003" i="43"/>
  <c r="E1002" i="43"/>
  <c r="E1001" i="43"/>
  <c r="E1000" i="43"/>
  <c r="E999" i="43"/>
  <c r="E998" i="43"/>
  <c r="E997" i="43"/>
  <c r="E996" i="43"/>
  <c r="E995" i="43"/>
  <c r="E994" i="43"/>
  <c r="E993" i="43"/>
  <c r="E992" i="43"/>
  <c r="E991" i="43"/>
  <c r="E990" i="43"/>
  <c r="E989" i="43"/>
  <c r="E988" i="43"/>
  <c r="E987" i="43"/>
  <c r="E986" i="43"/>
  <c r="E985" i="43"/>
  <c r="E984" i="43"/>
  <c r="E983" i="43"/>
  <c r="E982" i="43"/>
  <c r="E981" i="43"/>
  <c r="E980" i="43"/>
  <c r="E979" i="43"/>
  <c r="E978" i="43"/>
  <c r="E977" i="43"/>
  <c r="E976" i="43"/>
  <c r="E975" i="43"/>
  <c r="E974" i="43"/>
  <c r="E973" i="43"/>
  <c r="E972" i="43"/>
  <c r="E971" i="43"/>
  <c r="E970" i="43"/>
  <c r="E969" i="43"/>
  <c r="E968" i="43"/>
  <c r="E967" i="43"/>
  <c r="E966" i="43"/>
  <c r="E965" i="43"/>
  <c r="E964" i="43"/>
  <c r="E963" i="43"/>
  <c r="E962" i="43"/>
  <c r="E961" i="43"/>
  <c r="E960" i="43"/>
  <c r="E959" i="43"/>
  <c r="E958" i="43"/>
  <c r="E957" i="43"/>
  <c r="E956" i="43"/>
  <c r="E955" i="43"/>
  <c r="E954" i="43"/>
  <c r="E953" i="43"/>
  <c r="E952" i="43"/>
  <c r="E951" i="43"/>
  <c r="H63" i="39" s="1"/>
  <c r="E950" i="43"/>
  <c r="E949" i="43"/>
  <c r="E948" i="43"/>
  <c r="E947" i="43"/>
  <c r="E946" i="43"/>
  <c r="E945" i="43"/>
  <c r="E944" i="43"/>
  <c r="E943" i="43"/>
  <c r="E942" i="43"/>
  <c r="E941" i="43"/>
  <c r="E940" i="43"/>
  <c r="E939" i="43"/>
  <c r="E938" i="43"/>
  <c r="E937" i="43"/>
  <c r="E936" i="43"/>
  <c r="E935" i="43"/>
  <c r="H72" i="39" s="1"/>
  <c r="E934" i="43"/>
  <c r="E933" i="43"/>
  <c r="E932" i="43"/>
  <c r="H95" i="39" s="1"/>
  <c r="E931" i="43"/>
  <c r="E930" i="43"/>
  <c r="H50" i="39" s="1"/>
  <c r="E929" i="43"/>
  <c r="E928" i="43"/>
  <c r="E927" i="43"/>
  <c r="H84" i="39" s="1"/>
  <c r="E926" i="43"/>
  <c r="E925" i="43"/>
  <c r="E924" i="43"/>
  <c r="E923" i="43"/>
  <c r="E922" i="43"/>
  <c r="E921" i="43"/>
  <c r="E920" i="43"/>
  <c r="E919" i="43"/>
  <c r="E918" i="43"/>
  <c r="E917" i="43"/>
  <c r="E916" i="43"/>
  <c r="H75" i="39" s="1"/>
  <c r="E915" i="43"/>
  <c r="E914" i="43"/>
  <c r="E913" i="43"/>
  <c r="E912" i="43"/>
  <c r="E911" i="43"/>
  <c r="E910" i="43"/>
  <c r="E909" i="43"/>
  <c r="E908" i="43"/>
  <c r="E907" i="43"/>
  <c r="E906" i="43"/>
  <c r="E905" i="43"/>
  <c r="E904" i="43"/>
  <c r="E903" i="43"/>
  <c r="E902" i="43"/>
  <c r="E901" i="43"/>
  <c r="E900" i="43"/>
  <c r="E899" i="43"/>
  <c r="E898" i="43"/>
  <c r="E897" i="43"/>
  <c r="E896" i="43"/>
  <c r="E895" i="43"/>
  <c r="E894" i="43"/>
  <c r="H20" i="39" s="1"/>
  <c r="E893" i="43"/>
  <c r="E892" i="43"/>
  <c r="E891" i="43"/>
  <c r="E890" i="43"/>
  <c r="E889" i="43"/>
  <c r="E888" i="43"/>
  <c r="E887" i="43"/>
  <c r="E886" i="43"/>
  <c r="E885" i="43"/>
  <c r="E884" i="43"/>
  <c r="E883" i="43"/>
  <c r="E882" i="43"/>
  <c r="E881" i="43"/>
  <c r="E880" i="43"/>
  <c r="E879" i="43"/>
  <c r="E878" i="43"/>
  <c r="E877" i="43"/>
  <c r="E876" i="43"/>
  <c r="E875" i="43"/>
  <c r="E874" i="43"/>
  <c r="E873" i="43"/>
  <c r="E872" i="43"/>
  <c r="E871" i="43"/>
  <c r="E870" i="43"/>
  <c r="E869" i="43"/>
  <c r="H5" i="39" s="1"/>
  <c r="E868" i="43"/>
  <c r="E867" i="43"/>
  <c r="H28" i="39" s="1"/>
  <c r="E866" i="43"/>
  <c r="E865" i="43"/>
  <c r="E864" i="43"/>
  <c r="E863" i="43"/>
  <c r="E862" i="43"/>
  <c r="E861" i="43"/>
  <c r="E860" i="43"/>
  <c r="E859" i="43"/>
  <c r="E858" i="43"/>
  <c r="H100" i="39" s="1"/>
  <c r="E857" i="43"/>
  <c r="E856" i="43"/>
  <c r="H34" i="39" s="1"/>
  <c r="E855" i="43"/>
  <c r="E854" i="43"/>
  <c r="E853" i="43"/>
  <c r="E852" i="43"/>
  <c r="E851" i="43"/>
  <c r="E850" i="43"/>
  <c r="E849" i="43"/>
  <c r="E848" i="43"/>
  <c r="E847" i="43"/>
  <c r="E846" i="43"/>
  <c r="E845" i="43"/>
  <c r="E844" i="43"/>
  <c r="H29" i="39" s="1"/>
  <c r="E843" i="43"/>
  <c r="H49" i="39" s="1"/>
  <c r="E842" i="43"/>
  <c r="E841" i="43"/>
  <c r="H32" i="39" s="1"/>
  <c r="E840" i="43"/>
  <c r="H17" i="39" s="1"/>
  <c r="E839" i="43"/>
  <c r="H59" i="39" s="1"/>
  <c r="E838" i="43"/>
  <c r="E837" i="43"/>
  <c r="H69" i="39" s="1"/>
  <c r="E836" i="43"/>
  <c r="H46" i="39" s="1"/>
  <c r="E835" i="43"/>
  <c r="H16" i="39" s="1"/>
  <c r="E834" i="43"/>
  <c r="H31" i="39" s="1"/>
  <c r="E833" i="43"/>
  <c r="H23" i="39" s="1"/>
  <c r="E832" i="43"/>
  <c r="H45" i="39" s="1"/>
  <c r="E831" i="43"/>
  <c r="H8" i="39" s="1"/>
  <c r="E830" i="43"/>
  <c r="H6" i="39" s="1"/>
  <c r="E829" i="43"/>
  <c r="H39" i="39" s="1"/>
  <c r="E828" i="43"/>
  <c r="E827" i="43"/>
  <c r="E826" i="43"/>
  <c r="E825" i="43"/>
  <c r="E824" i="43"/>
  <c r="E823" i="43"/>
  <c r="E822" i="43"/>
  <c r="E821" i="43"/>
  <c r="E820" i="43"/>
  <c r="E819" i="43"/>
  <c r="E818" i="43"/>
  <c r="E817" i="43"/>
  <c r="H67" i="39" s="1"/>
  <c r="E816" i="43"/>
  <c r="E815" i="43"/>
  <c r="E814" i="43"/>
  <c r="E813" i="43"/>
  <c r="E812" i="43"/>
  <c r="H55" i="39" s="1"/>
  <c r="E811" i="43"/>
  <c r="E810" i="43"/>
  <c r="E809" i="43"/>
  <c r="E808" i="43"/>
  <c r="E807" i="43"/>
  <c r="E806" i="43"/>
  <c r="E805" i="43"/>
  <c r="E804" i="43"/>
  <c r="E803" i="43"/>
  <c r="E802" i="43"/>
  <c r="E801" i="43"/>
  <c r="E800" i="43"/>
  <c r="E799" i="43"/>
  <c r="E798" i="43"/>
  <c r="E797" i="43"/>
  <c r="E796" i="43"/>
  <c r="E795" i="43"/>
  <c r="E794" i="43"/>
  <c r="E793" i="43"/>
  <c r="E792" i="43"/>
  <c r="E791" i="43"/>
  <c r="E790" i="43"/>
  <c r="E789" i="43"/>
  <c r="E788" i="43"/>
  <c r="E787" i="43"/>
  <c r="E786" i="43"/>
  <c r="E785" i="43"/>
  <c r="E784" i="43"/>
  <c r="H85" i="39" s="1"/>
  <c r="E783" i="43"/>
  <c r="E782" i="43"/>
  <c r="H21" i="39" s="1"/>
  <c r="E781" i="43"/>
  <c r="E780" i="43"/>
  <c r="E779" i="43"/>
  <c r="E778" i="43"/>
  <c r="H83" i="39" s="1"/>
  <c r="E777" i="43"/>
  <c r="H35" i="39" s="1"/>
  <c r="E776" i="43"/>
  <c r="E775" i="43"/>
  <c r="E774" i="43"/>
  <c r="E773" i="43"/>
  <c r="E772" i="43"/>
  <c r="H13" i="39" s="1"/>
  <c r="E771" i="43"/>
  <c r="E770" i="43"/>
  <c r="E769" i="43"/>
  <c r="E768" i="43"/>
  <c r="E767" i="43"/>
  <c r="E766" i="43"/>
  <c r="E765" i="43"/>
  <c r="E764" i="43"/>
  <c r="E763" i="43"/>
  <c r="E762" i="43"/>
  <c r="E761" i="43"/>
  <c r="E760" i="43"/>
  <c r="E759" i="43"/>
  <c r="E758" i="43"/>
  <c r="E757" i="43"/>
  <c r="E756" i="43"/>
  <c r="E755" i="43"/>
  <c r="E754" i="43"/>
  <c r="E753" i="43"/>
  <c r="E752" i="43"/>
  <c r="E751" i="43"/>
  <c r="E750" i="43"/>
  <c r="E749" i="43"/>
  <c r="E748" i="43"/>
  <c r="E747" i="43"/>
  <c r="E746" i="43"/>
  <c r="E745" i="43"/>
  <c r="E744" i="43"/>
  <c r="E743" i="43"/>
  <c r="E742" i="43"/>
  <c r="E741" i="43"/>
  <c r="E740" i="43"/>
  <c r="E739" i="43"/>
  <c r="E738" i="43"/>
  <c r="E737" i="43"/>
  <c r="E736" i="43"/>
  <c r="E735" i="43"/>
  <c r="E734" i="43"/>
  <c r="E733" i="43"/>
  <c r="E732" i="43"/>
  <c r="E731" i="43"/>
  <c r="E730" i="43"/>
  <c r="E729" i="43"/>
  <c r="E728" i="43"/>
  <c r="E727" i="43"/>
  <c r="E726" i="43"/>
  <c r="E725" i="43"/>
  <c r="E724" i="43"/>
  <c r="E723" i="43"/>
  <c r="E722" i="43"/>
  <c r="E721" i="43"/>
  <c r="E720" i="43"/>
  <c r="E719" i="43"/>
  <c r="E718" i="43"/>
  <c r="E717" i="43"/>
  <c r="E716" i="43"/>
  <c r="E715" i="43"/>
  <c r="E714" i="43"/>
  <c r="E713" i="43"/>
  <c r="E712" i="43"/>
  <c r="E711" i="43"/>
  <c r="E710" i="43"/>
  <c r="H66" i="39" s="1"/>
  <c r="E709" i="43"/>
  <c r="E708" i="43"/>
  <c r="E707" i="43"/>
  <c r="E706" i="43"/>
  <c r="E705" i="43"/>
  <c r="E704" i="43"/>
  <c r="E703" i="43"/>
  <c r="E702" i="43"/>
  <c r="E701" i="43"/>
  <c r="E700" i="43"/>
  <c r="E699" i="43"/>
  <c r="E698" i="43"/>
  <c r="E697" i="43"/>
  <c r="E696" i="43"/>
  <c r="E695" i="43"/>
  <c r="E694" i="43"/>
  <c r="E693" i="43"/>
  <c r="E692" i="43"/>
  <c r="E691" i="43"/>
  <c r="H70" i="39" s="1"/>
  <c r="E690" i="43"/>
  <c r="E689" i="43"/>
  <c r="E688" i="43"/>
  <c r="E687" i="43"/>
  <c r="E686" i="43"/>
  <c r="E685" i="43"/>
  <c r="E684" i="43"/>
  <c r="E683" i="43"/>
  <c r="E682" i="43"/>
  <c r="E681" i="43"/>
  <c r="E680" i="43"/>
  <c r="H87" i="39" s="1"/>
  <c r="E679" i="43"/>
  <c r="H3" i="39" s="1"/>
  <c r="E678" i="43"/>
  <c r="E677" i="43"/>
  <c r="E676" i="43"/>
  <c r="E675" i="43"/>
  <c r="E674" i="43"/>
  <c r="E673" i="43"/>
  <c r="E672" i="43"/>
  <c r="E671" i="43"/>
  <c r="E670" i="43"/>
  <c r="E669" i="43"/>
  <c r="E668" i="43"/>
  <c r="E667" i="43"/>
  <c r="E666" i="43"/>
  <c r="E665" i="43"/>
  <c r="E664" i="43"/>
  <c r="E663" i="43"/>
  <c r="E662" i="43"/>
  <c r="E661" i="43"/>
  <c r="E660" i="43"/>
  <c r="E659" i="43"/>
  <c r="E658" i="43"/>
  <c r="H93" i="39" s="1"/>
  <c r="E657" i="43"/>
  <c r="E656" i="43"/>
  <c r="E655" i="43"/>
  <c r="E654" i="43"/>
  <c r="E653" i="43"/>
  <c r="E652" i="43"/>
  <c r="E651" i="43"/>
  <c r="E650" i="43"/>
  <c r="E649" i="43"/>
  <c r="E648" i="43"/>
  <c r="E647" i="43"/>
  <c r="E646" i="43"/>
  <c r="H92" i="39" s="1"/>
  <c r="E645" i="43"/>
  <c r="E644" i="43"/>
  <c r="E643" i="43"/>
  <c r="E642" i="43"/>
  <c r="H27" i="39" s="1"/>
  <c r="E641" i="43"/>
  <c r="E640" i="43"/>
  <c r="H82" i="39" s="1"/>
  <c r="E639" i="43"/>
  <c r="E638" i="43"/>
  <c r="E637" i="43"/>
  <c r="E636" i="43"/>
  <c r="E635" i="43"/>
  <c r="E634" i="43"/>
  <c r="E633" i="43"/>
  <c r="E632" i="43"/>
  <c r="E631" i="43"/>
  <c r="E630" i="43"/>
  <c r="E629" i="43"/>
  <c r="E628" i="43"/>
  <c r="E627" i="43"/>
  <c r="E626" i="43"/>
  <c r="E625" i="43"/>
  <c r="E624" i="43"/>
  <c r="E623" i="43"/>
  <c r="E622" i="43"/>
  <c r="E621" i="43"/>
  <c r="E620" i="43"/>
  <c r="E619" i="43"/>
  <c r="E618" i="43"/>
  <c r="H89" i="39" s="1"/>
  <c r="E617" i="43"/>
  <c r="E616" i="43"/>
  <c r="E615" i="43"/>
  <c r="E614" i="43"/>
  <c r="E613" i="43"/>
  <c r="E612" i="43"/>
  <c r="E611" i="43"/>
  <c r="E610" i="43"/>
  <c r="E609" i="43"/>
  <c r="E608" i="43"/>
  <c r="E607" i="43"/>
  <c r="E606" i="43"/>
  <c r="E605" i="43"/>
  <c r="E604" i="43"/>
  <c r="E603" i="43"/>
  <c r="E602" i="43"/>
  <c r="E601" i="43"/>
  <c r="E600" i="43"/>
  <c r="E599" i="43"/>
  <c r="E598" i="43"/>
  <c r="E597" i="43"/>
  <c r="E596" i="43"/>
  <c r="E595" i="43"/>
  <c r="E594" i="43"/>
  <c r="E593" i="43"/>
  <c r="E592" i="43"/>
  <c r="E591" i="43"/>
  <c r="H36" i="39" s="1"/>
  <c r="E590" i="43"/>
  <c r="E589" i="43"/>
  <c r="E588" i="43"/>
  <c r="E587" i="43"/>
  <c r="E586" i="43"/>
  <c r="E585" i="43"/>
  <c r="E584" i="43"/>
  <c r="E583" i="43"/>
  <c r="E582" i="43"/>
  <c r="E581" i="43"/>
  <c r="E580" i="43"/>
  <c r="E579" i="43"/>
  <c r="E578" i="43"/>
  <c r="E577" i="43"/>
  <c r="E576" i="43"/>
  <c r="E575" i="43"/>
  <c r="E574" i="43"/>
  <c r="E573" i="43"/>
  <c r="E572" i="43"/>
  <c r="E571" i="43"/>
  <c r="E570" i="43"/>
  <c r="E569" i="43"/>
  <c r="E568" i="43"/>
  <c r="E567" i="43"/>
  <c r="E566" i="43"/>
  <c r="E565" i="43"/>
  <c r="E564" i="43"/>
  <c r="E563" i="43"/>
  <c r="E562" i="43"/>
  <c r="E561" i="43"/>
  <c r="E560" i="43"/>
  <c r="E559" i="43"/>
  <c r="E558" i="43"/>
  <c r="E557" i="43"/>
  <c r="E556" i="43"/>
  <c r="E555" i="43"/>
  <c r="H44" i="39" s="1"/>
  <c r="E554" i="43"/>
  <c r="E553" i="43"/>
  <c r="E552" i="43"/>
  <c r="H12" i="39" s="1"/>
  <c r="E551" i="43"/>
  <c r="E550" i="43"/>
  <c r="E549" i="43"/>
  <c r="E548" i="43"/>
  <c r="E547" i="43"/>
  <c r="E546" i="43"/>
  <c r="E545" i="43"/>
  <c r="E544" i="43"/>
  <c r="E543" i="43"/>
  <c r="E542" i="43"/>
  <c r="E541" i="43"/>
  <c r="E540" i="43"/>
  <c r="E539" i="43"/>
  <c r="E538" i="43"/>
  <c r="E537" i="43"/>
  <c r="E536" i="43"/>
  <c r="E535" i="43"/>
  <c r="E534" i="43"/>
  <c r="H48" i="39" s="1"/>
  <c r="E533" i="43"/>
  <c r="E532" i="43"/>
  <c r="E531" i="43"/>
  <c r="E530" i="43"/>
  <c r="E529" i="43"/>
  <c r="E528" i="43"/>
  <c r="E527" i="43"/>
  <c r="E526" i="43"/>
  <c r="E525" i="43"/>
  <c r="E524" i="43"/>
  <c r="E523" i="43"/>
  <c r="E522" i="43"/>
  <c r="H24" i="39" s="1"/>
  <c r="E521" i="43"/>
  <c r="E520" i="43"/>
  <c r="E519" i="43"/>
  <c r="E518" i="43"/>
  <c r="E517" i="43"/>
  <c r="E516" i="43"/>
  <c r="E515" i="43"/>
  <c r="E514" i="43"/>
  <c r="E513" i="43"/>
  <c r="E512" i="43"/>
  <c r="H7" i="39" s="1"/>
  <c r="E511" i="43"/>
  <c r="H68" i="39" s="1"/>
  <c r="E510" i="43"/>
  <c r="E509" i="43"/>
  <c r="E508" i="43"/>
  <c r="E507" i="43"/>
  <c r="E506" i="43"/>
  <c r="E505" i="43"/>
  <c r="E504" i="43"/>
  <c r="E503" i="43"/>
  <c r="E502" i="43"/>
  <c r="E501" i="43"/>
  <c r="E500" i="43"/>
  <c r="E499" i="43"/>
  <c r="E498" i="43"/>
  <c r="E497" i="43"/>
  <c r="E496" i="43"/>
  <c r="E495" i="43"/>
  <c r="E494" i="43"/>
  <c r="E493" i="43"/>
  <c r="E492" i="43"/>
  <c r="E491" i="43"/>
  <c r="E490" i="43"/>
  <c r="E489" i="43"/>
  <c r="E488" i="43"/>
  <c r="E487" i="43"/>
  <c r="E486" i="43"/>
  <c r="E485" i="43"/>
  <c r="E484" i="43"/>
  <c r="E483" i="43"/>
  <c r="E482" i="43"/>
  <c r="E481" i="43"/>
  <c r="E480" i="43"/>
  <c r="E479" i="43"/>
  <c r="E478" i="43"/>
  <c r="E477" i="43"/>
  <c r="E476" i="43"/>
  <c r="E475" i="43"/>
  <c r="E474" i="43"/>
  <c r="E473" i="43"/>
  <c r="E472" i="43"/>
  <c r="E471" i="43"/>
  <c r="E470" i="43"/>
  <c r="H54" i="39" s="1"/>
  <c r="E469" i="43"/>
  <c r="E468" i="43"/>
  <c r="E467" i="43"/>
  <c r="E466" i="43"/>
  <c r="E465" i="43"/>
  <c r="E464" i="43"/>
  <c r="E463" i="43"/>
  <c r="E462" i="43"/>
  <c r="E461" i="43"/>
  <c r="E460" i="43"/>
  <c r="E459" i="43"/>
  <c r="E458" i="43"/>
  <c r="E457" i="43"/>
  <c r="E456" i="43"/>
  <c r="E455" i="43"/>
  <c r="H38" i="39" s="1"/>
  <c r="E454" i="43"/>
  <c r="E453" i="43"/>
  <c r="E452" i="43"/>
  <c r="E451" i="43"/>
  <c r="E450" i="43"/>
  <c r="E449" i="43"/>
  <c r="E448" i="43"/>
  <c r="H51" i="39" s="1"/>
  <c r="E447" i="43"/>
  <c r="E446" i="43"/>
  <c r="E445" i="43"/>
  <c r="E444" i="43"/>
  <c r="E443" i="43"/>
  <c r="E442" i="43"/>
  <c r="E441" i="43"/>
  <c r="E440" i="43"/>
  <c r="E439" i="43"/>
  <c r="E438" i="43"/>
  <c r="E437" i="43"/>
  <c r="H58" i="39" s="1"/>
  <c r="E436" i="43"/>
  <c r="E435" i="43"/>
  <c r="E434" i="43"/>
  <c r="E433" i="43"/>
  <c r="E432" i="43"/>
  <c r="E431" i="43"/>
  <c r="E430" i="43"/>
  <c r="E429" i="43"/>
  <c r="E428" i="43"/>
  <c r="E427" i="43"/>
  <c r="E426" i="43"/>
  <c r="E425" i="43"/>
  <c r="E424" i="43"/>
  <c r="E423" i="43"/>
  <c r="H52" i="39" s="1"/>
  <c r="E422" i="43"/>
  <c r="E421" i="43"/>
  <c r="E420" i="43"/>
  <c r="E419" i="43"/>
  <c r="E418" i="43"/>
  <c r="E417" i="43"/>
  <c r="E416" i="43"/>
  <c r="E415" i="43"/>
  <c r="H96" i="39" s="1"/>
  <c r="E414" i="43"/>
  <c r="E413" i="43"/>
  <c r="E412" i="43"/>
  <c r="E411" i="43"/>
  <c r="E410" i="43"/>
  <c r="E409" i="43"/>
  <c r="E408" i="43"/>
  <c r="E407" i="43"/>
  <c r="E406" i="43"/>
  <c r="E405" i="43"/>
  <c r="E404" i="43"/>
  <c r="E403" i="43"/>
  <c r="E402" i="43"/>
  <c r="E401" i="43"/>
  <c r="E400" i="43"/>
  <c r="E399" i="43"/>
  <c r="E398" i="43"/>
  <c r="H37" i="39" s="1"/>
  <c r="E397" i="43"/>
  <c r="E396" i="43"/>
  <c r="H30" i="39" s="1"/>
  <c r="E395" i="43"/>
  <c r="E394" i="43"/>
  <c r="H71" i="39" s="1"/>
  <c r="E393" i="43"/>
  <c r="E392" i="43"/>
  <c r="E391" i="43"/>
  <c r="E390" i="43"/>
  <c r="E389" i="43"/>
  <c r="H40" i="39" s="1"/>
  <c r="E388" i="43"/>
  <c r="H88" i="39" s="1"/>
  <c r="E387" i="43"/>
  <c r="H101" i="39" s="1"/>
  <c r="E386" i="43"/>
  <c r="E385" i="43"/>
  <c r="E384" i="43"/>
  <c r="H80" i="39" s="1"/>
  <c r="E383" i="43"/>
  <c r="E382" i="43"/>
  <c r="H65" i="39" s="1"/>
  <c r="E381" i="43"/>
  <c r="E380" i="43"/>
  <c r="E379" i="43"/>
  <c r="E378" i="43"/>
  <c r="E377" i="43"/>
  <c r="E376" i="43"/>
  <c r="E375" i="43"/>
  <c r="E374" i="43"/>
  <c r="E373" i="43"/>
  <c r="E372" i="43"/>
  <c r="E371" i="43"/>
  <c r="E370" i="43"/>
  <c r="E369" i="43"/>
  <c r="H94" i="39" s="1"/>
  <c r="E368" i="43"/>
  <c r="E367" i="43"/>
  <c r="E366" i="43"/>
  <c r="E365" i="43"/>
  <c r="H19" i="39" s="1"/>
  <c r="E364" i="43"/>
  <c r="E363" i="43"/>
  <c r="E362" i="43"/>
  <c r="E361" i="43"/>
  <c r="E360" i="43"/>
  <c r="E359" i="43"/>
  <c r="E358" i="43"/>
  <c r="H73" i="39" s="1"/>
  <c r="E357" i="43"/>
  <c r="E356" i="43"/>
  <c r="E355" i="43"/>
  <c r="E354" i="43"/>
  <c r="E353" i="43"/>
  <c r="E352" i="43"/>
  <c r="E351" i="43"/>
  <c r="H18" i="39" s="1"/>
  <c r="E350" i="43"/>
  <c r="E349" i="43"/>
  <c r="E348" i="43"/>
  <c r="E347" i="43"/>
  <c r="E346" i="43"/>
  <c r="E345" i="43"/>
  <c r="E344" i="43"/>
  <c r="E343" i="43"/>
  <c r="E342" i="43"/>
  <c r="E341" i="43"/>
  <c r="H98" i="39" s="1"/>
  <c r="E340" i="43"/>
  <c r="E339" i="43"/>
  <c r="E338" i="43"/>
  <c r="H78" i="39" s="1"/>
  <c r="E337" i="43"/>
  <c r="E336" i="43"/>
  <c r="E335" i="43"/>
  <c r="E334" i="43"/>
  <c r="E333" i="43"/>
  <c r="H42" i="39" s="1"/>
  <c r="E332" i="43"/>
  <c r="E331" i="43"/>
  <c r="E330" i="43"/>
  <c r="E329" i="43"/>
  <c r="E328" i="43"/>
  <c r="E327" i="43"/>
  <c r="H4" i="39" s="1"/>
  <c r="E326" i="43"/>
  <c r="E325" i="43"/>
  <c r="E324" i="43"/>
  <c r="E323" i="43"/>
  <c r="E322" i="43"/>
  <c r="E321" i="43"/>
  <c r="H47" i="39" s="1"/>
  <c r="E320" i="43"/>
  <c r="E319" i="43"/>
  <c r="E318" i="43"/>
  <c r="H41" i="39" s="1"/>
  <c r="E317" i="43"/>
  <c r="E316" i="43"/>
  <c r="E315" i="43"/>
  <c r="E314" i="43"/>
  <c r="H81" i="39" s="1"/>
  <c r="E313" i="43"/>
  <c r="E312" i="43"/>
  <c r="E311" i="43"/>
  <c r="E310" i="43"/>
  <c r="H2" i="39" s="1"/>
  <c r="E309" i="43"/>
  <c r="E308" i="43"/>
  <c r="H9" i="39" s="1"/>
  <c r="E307" i="43"/>
  <c r="E306" i="43"/>
  <c r="E305" i="43"/>
  <c r="E304" i="43"/>
  <c r="E303" i="43"/>
  <c r="E302" i="43"/>
  <c r="E301" i="43"/>
  <c r="E300" i="43"/>
  <c r="E299" i="43"/>
  <c r="E298" i="43"/>
  <c r="E297" i="43"/>
  <c r="E296" i="43"/>
  <c r="E295" i="43"/>
  <c r="E294" i="43"/>
  <c r="E293" i="43"/>
  <c r="E292" i="43"/>
  <c r="E291" i="43"/>
  <c r="E290" i="43"/>
  <c r="E289" i="43"/>
  <c r="H26" i="39" s="1"/>
  <c r="E288" i="43"/>
  <c r="E287" i="43"/>
  <c r="E286" i="43"/>
  <c r="E285" i="43"/>
  <c r="E284" i="43"/>
  <c r="E283" i="43"/>
  <c r="E282" i="43"/>
  <c r="E281" i="43"/>
  <c r="E280" i="43"/>
  <c r="E279" i="43"/>
  <c r="E278" i="43"/>
  <c r="E277" i="43"/>
  <c r="E276" i="43"/>
  <c r="E275" i="43"/>
  <c r="E274" i="43"/>
  <c r="E273" i="43"/>
  <c r="E272" i="43"/>
  <c r="E271" i="43"/>
  <c r="E270" i="43"/>
  <c r="E269" i="43"/>
  <c r="E268" i="43"/>
  <c r="E267" i="43"/>
  <c r="E266" i="43"/>
  <c r="H76" i="39" s="1"/>
  <c r="E265" i="43"/>
  <c r="E264" i="43"/>
  <c r="E263" i="43"/>
  <c r="E262" i="43"/>
  <c r="E261" i="43"/>
  <c r="E260" i="43"/>
  <c r="E259" i="43"/>
  <c r="E258" i="43"/>
  <c r="E257" i="43"/>
  <c r="E256" i="43"/>
  <c r="E255" i="43"/>
  <c r="E254" i="43"/>
  <c r="E253" i="43"/>
  <c r="E252" i="43"/>
  <c r="E251" i="43"/>
  <c r="E250" i="43"/>
  <c r="E249" i="43"/>
  <c r="E248" i="43"/>
  <c r="E247" i="43"/>
  <c r="H97" i="39" s="1"/>
  <c r="E246" i="43"/>
  <c r="E245" i="43"/>
  <c r="E244" i="43"/>
  <c r="E243" i="43"/>
  <c r="E242" i="43"/>
  <c r="E241" i="43"/>
  <c r="E240" i="43"/>
  <c r="E239" i="43"/>
  <c r="E238" i="43"/>
  <c r="E237" i="43"/>
  <c r="E236" i="43"/>
  <c r="E235" i="43"/>
  <c r="E234" i="43"/>
  <c r="E233" i="43"/>
  <c r="E232" i="43"/>
  <c r="E231" i="43"/>
  <c r="H14" i="39" s="1"/>
  <c r="E230" i="43"/>
  <c r="E229" i="43"/>
  <c r="E228" i="43"/>
  <c r="E227" i="43"/>
  <c r="E226" i="43"/>
  <c r="E225" i="43"/>
  <c r="E224" i="43"/>
  <c r="E223" i="43"/>
  <c r="E222" i="43"/>
  <c r="E221" i="43"/>
  <c r="E220" i="43"/>
  <c r="E219" i="43"/>
  <c r="H99" i="39" s="1"/>
  <c r="E218" i="43"/>
  <c r="E217" i="43"/>
  <c r="E216" i="43"/>
  <c r="E215" i="43"/>
  <c r="E214" i="43"/>
  <c r="E213" i="43"/>
  <c r="E212" i="43"/>
  <c r="E211" i="43"/>
  <c r="E210" i="43"/>
  <c r="E209" i="43"/>
  <c r="E208" i="43"/>
  <c r="E207" i="43"/>
  <c r="E206" i="43"/>
  <c r="E205" i="43"/>
  <c r="E204" i="43"/>
  <c r="E203" i="43"/>
  <c r="E202" i="43"/>
  <c r="E201" i="43"/>
  <c r="E200" i="43"/>
  <c r="E199" i="43"/>
  <c r="E198" i="43"/>
  <c r="E197" i="43"/>
  <c r="E196" i="43"/>
  <c r="E195" i="43"/>
  <c r="E194" i="43"/>
  <c r="E193" i="43"/>
  <c r="E192" i="43"/>
  <c r="E191" i="43"/>
  <c r="E190" i="43"/>
  <c r="E189" i="43"/>
  <c r="E188" i="43"/>
  <c r="E187" i="43"/>
  <c r="E186" i="43"/>
  <c r="E185" i="43"/>
  <c r="E184" i="43"/>
  <c r="E183" i="43"/>
  <c r="E182" i="43"/>
  <c r="E181" i="43"/>
  <c r="E180" i="43"/>
  <c r="E179" i="43"/>
  <c r="E178" i="43"/>
  <c r="E177" i="43"/>
  <c r="E176" i="43"/>
  <c r="E175" i="43"/>
  <c r="E174" i="43"/>
  <c r="E173" i="43"/>
  <c r="E172" i="43"/>
  <c r="E171" i="43"/>
  <c r="E170" i="43"/>
  <c r="E169" i="43"/>
  <c r="E168" i="43"/>
  <c r="E167" i="43"/>
  <c r="E166" i="43"/>
  <c r="E165" i="43"/>
  <c r="E164" i="43"/>
  <c r="E163" i="43"/>
  <c r="E162" i="43"/>
  <c r="E161" i="43"/>
  <c r="E160" i="43"/>
  <c r="E159" i="43"/>
  <c r="E158" i="43"/>
  <c r="E157" i="43"/>
  <c r="E156" i="43"/>
  <c r="E155" i="43"/>
  <c r="E154" i="43"/>
  <c r="E153" i="43"/>
  <c r="E152" i="43"/>
  <c r="E151" i="43"/>
  <c r="E150" i="43"/>
  <c r="E149" i="43"/>
  <c r="E148" i="43"/>
  <c r="E147" i="43"/>
  <c r="E146" i="43"/>
  <c r="E145" i="43"/>
  <c r="E144" i="43"/>
  <c r="H91" i="39" s="1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H79" i="39" s="1"/>
  <c r="E122" i="43"/>
  <c r="E121" i="43"/>
  <c r="H56" i="39" s="1"/>
  <c r="E120" i="43"/>
  <c r="E119" i="43"/>
  <c r="E118" i="43"/>
  <c r="E117" i="43"/>
  <c r="E116" i="43"/>
  <c r="E115" i="43"/>
  <c r="E114" i="43"/>
  <c r="E113" i="43"/>
  <c r="E112" i="43"/>
  <c r="E111" i="43"/>
  <c r="E110" i="43"/>
  <c r="E109" i="43"/>
  <c r="E108" i="43"/>
  <c r="E107" i="43"/>
  <c r="E106" i="43"/>
  <c r="E105" i="43"/>
  <c r="E104" i="43"/>
  <c r="E103" i="43"/>
  <c r="E102" i="43"/>
  <c r="E101" i="43"/>
  <c r="E100" i="43"/>
  <c r="E99" i="43"/>
  <c r="E98" i="43"/>
  <c r="E97" i="43"/>
  <c r="E96" i="43"/>
  <c r="E95" i="43"/>
  <c r="E94" i="43"/>
  <c r="E93" i="43"/>
  <c r="E92" i="43"/>
  <c r="E91" i="43"/>
  <c r="E90" i="43"/>
  <c r="E89" i="43"/>
  <c r="E88" i="43"/>
  <c r="H57" i="39" s="1"/>
  <c r="E87" i="43"/>
  <c r="E86" i="43"/>
  <c r="E85" i="43"/>
  <c r="E84" i="43"/>
  <c r="E83" i="43"/>
  <c r="E82" i="43"/>
  <c r="E81" i="43"/>
  <c r="E80" i="43"/>
  <c r="E79" i="43"/>
  <c r="E78" i="43"/>
  <c r="E77" i="43"/>
  <c r="E76" i="43"/>
  <c r="E75" i="43"/>
  <c r="E74" i="43"/>
  <c r="E73" i="43"/>
  <c r="E72" i="43"/>
  <c r="E71" i="43"/>
  <c r="E70" i="43"/>
  <c r="E69" i="43"/>
  <c r="E68" i="43"/>
  <c r="E67" i="43"/>
  <c r="E66" i="43"/>
  <c r="E65" i="43"/>
  <c r="E64" i="43"/>
  <c r="E63" i="43"/>
  <c r="E62" i="43"/>
  <c r="E61" i="43"/>
  <c r="E60" i="43"/>
  <c r="E59" i="43"/>
  <c r="E58" i="43"/>
  <c r="E57" i="43"/>
  <c r="E56" i="43"/>
  <c r="E55" i="43"/>
  <c r="E54" i="43"/>
  <c r="E53" i="43"/>
  <c r="E52" i="43"/>
  <c r="E51" i="43"/>
  <c r="E50" i="43"/>
  <c r="E49" i="43"/>
  <c r="E48" i="43"/>
  <c r="E47" i="43"/>
  <c r="H15" i="39" s="1"/>
  <c r="E46" i="43"/>
  <c r="E45" i="43"/>
  <c r="E44" i="43"/>
  <c r="E43" i="43"/>
  <c r="E42" i="43"/>
  <c r="E41" i="43"/>
  <c r="E40" i="43"/>
  <c r="E39" i="43"/>
  <c r="E38" i="43"/>
  <c r="E37" i="43"/>
  <c r="E36" i="43"/>
  <c r="E35" i="43"/>
  <c r="E34" i="43"/>
  <c r="E33" i="43"/>
  <c r="E32" i="43"/>
  <c r="H11" i="39" s="1"/>
  <c r="E31" i="43"/>
  <c r="H10" i="39" s="1"/>
  <c r="E30" i="43"/>
  <c r="E29" i="43"/>
  <c r="E28" i="43"/>
  <c r="E27" i="43"/>
  <c r="E26" i="43"/>
  <c r="E25" i="43"/>
  <c r="E24" i="43"/>
  <c r="E23" i="43"/>
  <c r="E22" i="43"/>
  <c r="E21" i="43"/>
  <c r="E20" i="43"/>
  <c r="E19" i="43"/>
  <c r="E18" i="43"/>
  <c r="E17" i="43"/>
  <c r="E16" i="43"/>
  <c r="E15" i="43"/>
  <c r="E14" i="43"/>
  <c r="H22" i="39" s="1"/>
  <c r="E13" i="43"/>
  <c r="E12" i="43"/>
  <c r="E11" i="43"/>
  <c r="E10" i="43"/>
  <c r="E9" i="43"/>
  <c r="E8" i="43"/>
  <c r="E7" i="43"/>
  <c r="E6" i="43"/>
  <c r="E5" i="43"/>
  <c r="E4" i="43"/>
  <c r="E3" i="43"/>
  <c r="H61" i="39" s="1"/>
  <c r="E2" i="43"/>
  <c r="H33" i="39" s="1"/>
  <c r="G46" i="37"/>
  <c r="I46" i="37" s="1"/>
  <c r="J46" i="37" s="1"/>
  <c r="G40" i="37"/>
  <c r="I40" i="37" s="1"/>
  <c r="J40" i="37" s="1"/>
  <c r="H60" i="39" l="1"/>
  <c r="G100" i="35"/>
  <c r="I100" i="35" s="1"/>
  <c r="J100" i="35" s="1"/>
  <c r="G98" i="35"/>
  <c r="I98" i="35" s="1"/>
  <c r="J98" i="35" s="1"/>
  <c r="K87" i="2"/>
  <c r="K88" i="2"/>
  <c r="K89" i="2"/>
  <c r="K90" i="2"/>
  <c r="K91" i="2"/>
  <c r="K86" i="2"/>
  <c r="K20" i="2"/>
  <c r="K21" i="2"/>
  <c r="K22" i="2"/>
  <c r="K23" i="2"/>
  <c r="K24" i="2"/>
  <c r="K19" i="2"/>
  <c r="K15" i="2"/>
  <c r="K16" i="2"/>
  <c r="K14" i="2"/>
  <c r="K4" i="2"/>
  <c r="K5" i="2"/>
  <c r="K6" i="2"/>
  <c r="K7" i="2"/>
  <c r="K8" i="2"/>
  <c r="K9" i="2"/>
  <c r="K10" i="2"/>
  <c r="K11" i="2"/>
  <c r="K3" i="2"/>
  <c r="Z87" i="2"/>
  <c r="Z88" i="2"/>
  <c r="Z89" i="2"/>
  <c r="Z90" i="2"/>
  <c r="Z91" i="2"/>
  <c r="Z86" i="2"/>
  <c r="Z20" i="2"/>
  <c r="Z21" i="2"/>
  <c r="Z22" i="2"/>
  <c r="Z23" i="2"/>
  <c r="Z24" i="2"/>
  <c r="Z19" i="2"/>
  <c r="Z15" i="2"/>
  <c r="Z16" i="2"/>
  <c r="Z14" i="2"/>
  <c r="Z4" i="2"/>
  <c r="Z5" i="2"/>
  <c r="Z6" i="2"/>
  <c r="Z7" i="2"/>
  <c r="Z8" i="2"/>
  <c r="Z9" i="2"/>
  <c r="Z10" i="2"/>
  <c r="Z11" i="2"/>
  <c r="Z3" i="2"/>
  <c r="E1744" i="28"/>
  <c r="E1743" i="28"/>
  <c r="E1742" i="28"/>
  <c r="E1741" i="28"/>
  <c r="E1740" i="28"/>
  <c r="E1739" i="28"/>
  <c r="E1738" i="28"/>
  <c r="E1737" i="28"/>
  <c r="E1736" i="28"/>
  <c r="E1735" i="28"/>
  <c r="E1734" i="28"/>
  <c r="E1733" i="28"/>
  <c r="E1732" i="28"/>
  <c r="E1731" i="28"/>
  <c r="E1730" i="28"/>
  <c r="E1729" i="28"/>
  <c r="E1728" i="28"/>
  <c r="E1727" i="28"/>
  <c r="E1726" i="28"/>
  <c r="F1726" i="43" s="1"/>
  <c r="G1726" i="43" s="1"/>
  <c r="E1725" i="28"/>
  <c r="E1724" i="28"/>
  <c r="E1723" i="28"/>
  <c r="E1722" i="28"/>
  <c r="E1721" i="28"/>
  <c r="E1720" i="28"/>
  <c r="E1719" i="28"/>
  <c r="E1718" i="28"/>
  <c r="E1717" i="28"/>
  <c r="E1716" i="28"/>
  <c r="E1715" i="28"/>
  <c r="E1714" i="28"/>
  <c r="E1713" i="28"/>
  <c r="E1712" i="28"/>
  <c r="E1711" i="28"/>
  <c r="E1710" i="28"/>
  <c r="E1709" i="28"/>
  <c r="F1709" i="43" s="1"/>
  <c r="G1709" i="43" s="1"/>
  <c r="E1708" i="28"/>
  <c r="E1707" i="28"/>
  <c r="E1706" i="28"/>
  <c r="E1705" i="28"/>
  <c r="E1704" i="28"/>
  <c r="E1703" i="28"/>
  <c r="E1702" i="28"/>
  <c r="E1701" i="28"/>
  <c r="E1700" i="28"/>
  <c r="F1700" i="43" s="1"/>
  <c r="G1700" i="43" s="1"/>
  <c r="E1699" i="28"/>
  <c r="E1698" i="28"/>
  <c r="F1698" i="43" s="1"/>
  <c r="G1698" i="43" s="1"/>
  <c r="E1697" i="28"/>
  <c r="E1696" i="28"/>
  <c r="E1695" i="28"/>
  <c r="E1694" i="28"/>
  <c r="E1693" i="28"/>
  <c r="E1692" i="28"/>
  <c r="E1691" i="28"/>
  <c r="E1690" i="28"/>
  <c r="E1689" i="28"/>
  <c r="E1688" i="28"/>
  <c r="E1687" i="28"/>
  <c r="E1686" i="28"/>
  <c r="E1685" i="28"/>
  <c r="E1684" i="28"/>
  <c r="E1683" i="28"/>
  <c r="E1682" i="28"/>
  <c r="E1681" i="28"/>
  <c r="E1680" i="28"/>
  <c r="F1680" i="43" s="1"/>
  <c r="G1680" i="43" s="1"/>
  <c r="E1679" i="28"/>
  <c r="E1678" i="28"/>
  <c r="E1677" i="28"/>
  <c r="E1676" i="28"/>
  <c r="E1675" i="28"/>
  <c r="E1674" i="28"/>
  <c r="E1673" i="28"/>
  <c r="F1673" i="43" s="1"/>
  <c r="G1673" i="43" s="1"/>
  <c r="E1672" i="28"/>
  <c r="E1671" i="28"/>
  <c r="E1670" i="28"/>
  <c r="E1669" i="28"/>
  <c r="E1668" i="28"/>
  <c r="E1667" i="28"/>
  <c r="E1666" i="28"/>
  <c r="E1665" i="28"/>
  <c r="E1664" i="28"/>
  <c r="E1663" i="28"/>
  <c r="E1662" i="28"/>
  <c r="F1662" i="43" s="1"/>
  <c r="G1662" i="43" s="1"/>
  <c r="E1661" i="28"/>
  <c r="E1660" i="28"/>
  <c r="E1659" i="28"/>
  <c r="F1659" i="43" s="1"/>
  <c r="G1659" i="43" s="1"/>
  <c r="E1658" i="28"/>
  <c r="E1657" i="28"/>
  <c r="E1656" i="28"/>
  <c r="E1655" i="28"/>
  <c r="E1654" i="28"/>
  <c r="E1653" i="28"/>
  <c r="F1653" i="43" s="1"/>
  <c r="G1653" i="43" s="1"/>
  <c r="E1652" i="28"/>
  <c r="E1651" i="28"/>
  <c r="E1650" i="28"/>
  <c r="E1649" i="28"/>
  <c r="E1648" i="28"/>
  <c r="E1647" i="28"/>
  <c r="E1646" i="28"/>
  <c r="E1645" i="28"/>
  <c r="E1644" i="28"/>
  <c r="E1643" i="28"/>
  <c r="E1642" i="28"/>
  <c r="E1641" i="28"/>
  <c r="E1640" i="28"/>
  <c r="E1639" i="28"/>
  <c r="E1638" i="28"/>
  <c r="E1637" i="28"/>
  <c r="E1636" i="28"/>
  <c r="E1635" i="28"/>
  <c r="E1634" i="28"/>
  <c r="E1633" i="28"/>
  <c r="E1632" i="28"/>
  <c r="E1631" i="28"/>
  <c r="E1630" i="28"/>
  <c r="E1629" i="28"/>
  <c r="F1629" i="43" s="1"/>
  <c r="G1629" i="43" s="1"/>
  <c r="E1628" i="28"/>
  <c r="F1628" i="43" s="1"/>
  <c r="G1628" i="43" s="1"/>
  <c r="E1627" i="28"/>
  <c r="E1626" i="28"/>
  <c r="E1625" i="28"/>
  <c r="F1625" i="43" s="1"/>
  <c r="G1625" i="43" s="1"/>
  <c r="E1624" i="28"/>
  <c r="E1623" i="28"/>
  <c r="E1622" i="28"/>
  <c r="E1621" i="28"/>
  <c r="F1621" i="43" s="1"/>
  <c r="G1621" i="43" s="1"/>
  <c r="E1620" i="28"/>
  <c r="E1619" i="28"/>
  <c r="E1618" i="28"/>
  <c r="E1617" i="28"/>
  <c r="E1616" i="28"/>
  <c r="E1615" i="28"/>
  <c r="E1614" i="28"/>
  <c r="E1613" i="28"/>
  <c r="E1612" i="28"/>
  <c r="E1611" i="28"/>
  <c r="E1610" i="28"/>
  <c r="E1609" i="28"/>
  <c r="E1608" i="28"/>
  <c r="F1608" i="43" s="1"/>
  <c r="G1608" i="43" s="1"/>
  <c r="E1607" i="28"/>
  <c r="E1606" i="28"/>
  <c r="E1605" i="28"/>
  <c r="E1604" i="28"/>
  <c r="E1603" i="28"/>
  <c r="E1602" i="28"/>
  <c r="E1601" i="28"/>
  <c r="E1600" i="28"/>
  <c r="E1599" i="28"/>
  <c r="F1599" i="43" s="1"/>
  <c r="G1599" i="43" s="1"/>
  <c r="E1598" i="28"/>
  <c r="F1598" i="43" s="1"/>
  <c r="G1598" i="43" s="1"/>
  <c r="E1597" i="28"/>
  <c r="E1596" i="28"/>
  <c r="E1595" i="28"/>
  <c r="E1594" i="28"/>
  <c r="E1593" i="28"/>
  <c r="E1592" i="28"/>
  <c r="F1592" i="43" s="1"/>
  <c r="G1592" i="43" s="1"/>
  <c r="E1591" i="28"/>
  <c r="E1590" i="28"/>
  <c r="E1589" i="28"/>
  <c r="E1588" i="28"/>
  <c r="F1588" i="43" s="1"/>
  <c r="G1588" i="43" s="1"/>
  <c r="E1587" i="28"/>
  <c r="E1586" i="28"/>
  <c r="E1585" i="28"/>
  <c r="E1584" i="28"/>
  <c r="E1583" i="28"/>
  <c r="E1582" i="28"/>
  <c r="E1581" i="28"/>
  <c r="E1580" i="28"/>
  <c r="E1579" i="28"/>
  <c r="E1578" i="28"/>
  <c r="E1577" i="28"/>
  <c r="E1576" i="28"/>
  <c r="E1575" i="28"/>
  <c r="E1574" i="28"/>
  <c r="E1573" i="28"/>
  <c r="E1572" i="28"/>
  <c r="F1572" i="43" s="1"/>
  <c r="G1572" i="43" s="1"/>
  <c r="E1571" i="28"/>
  <c r="E1570" i="28"/>
  <c r="E1569" i="28"/>
  <c r="F1569" i="43" s="1"/>
  <c r="G1569" i="43" s="1"/>
  <c r="E1568" i="28"/>
  <c r="E1567" i="28"/>
  <c r="E1566" i="28"/>
  <c r="T73" i="2" s="1"/>
  <c r="E1565" i="28"/>
  <c r="E1564" i="28"/>
  <c r="F1564" i="43" s="1"/>
  <c r="G1564" i="43" s="1"/>
  <c r="E1563" i="28"/>
  <c r="E1562" i="28"/>
  <c r="E1561" i="28"/>
  <c r="E1560" i="28"/>
  <c r="F1560" i="43" s="1"/>
  <c r="G1560" i="43" s="1"/>
  <c r="E1559" i="28"/>
  <c r="E1558" i="28"/>
  <c r="E1557" i="28"/>
  <c r="E1556" i="28"/>
  <c r="E1555" i="28"/>
  <c r="E1554" i="28"/>
  <c r="E1553" i="28"/>
  <c r="E1552" i="28"/>
  <c r="E1551" i="28"/>
  <c r="E1550" i="28"/>
  <c r="E1549" i="28"/>
  <c r="F1549" i="43" s="1"/>
  <c r="G1549" i="43" s="1"/>
  <c r="E1548" i="28"/>
  <c r="F1548" i="43" s="1"/>
  <c r="G1548" i="43" s="1"/>
  <c r="E1547" i="28"/>
  <c r="E1546" i="28"/>
  <c r="E1545" i="28"/>
  <c r="F1545" i="43" s="1"/>
  <c r="G1545" i="43" s="1"/>
  <c r="E1544" i="28"/>
  <c r="E1543" i="28"/>
  <c r="F1543" i="43" s="1"/>
  <c r="G1543" i="43" s="1"/>
  <c r="E1542" i="28"/>
  <c r="E1541" i="28"/>
  <c r="F1541" i="43" s="1"/>
  <c r="G1541" i="43" s="1"/>
  <c r="E1540" i="28"/>
  <c r="F1540" i="43" s="1"/>
  <c r="G1540" i="43" s="1"/>
  <c r="E1539" i="28"/>
  <c r="E1538" i="28"/>
  <c r="E1537" i="28"/>
  <c r="E1536" i="28"/>
  <c r="E1535" i="28"/>
  <c r="E1534" i="28"/>
  <c r="E1533" i="28"/>
  <c r="E1532" i="28"/>
  <c r="E1531" i="28"/>
  <c r="E1530" i="28"/>
  <c r="E1529" i="28"/>
  <c r="F1529" i="43" s="1"/>
  <c r="G1529" i="43" s="1"/>
  <c r="E1528" i="28"/>
  <c r="E1527" i="28"/>
  <c r="E1526" i="28"/>
  <c r="E1525" i="28"/>
  <c r="E1524" i="28"/>
  <c r="F1524" i="43" s="1"/>
  <c r="G1524" i="43" s="1"/>
  <c r="E1523" i="28"/>
  <c r="E1522" i="28"/>
  <c r="E1521" i="28"/>
  <c r="E1520" i="28"/>
  <c r="E1519" i="28"/>
  <c r="E1518" i="28"/>
  <c r="E1517" i="28"/>
  <c r="E1516" i="28"/>
  <c r="E1515" i="28"/>
  <c r="E1514" i="28"/>
  <c r="E1513" i="28"/>
  <c r="F1513" i="43" s="1"/>
  <c r="G1513" i="43" s="1"/>
  <c r="E1512" i="28"/>
  <c r="E1511" i="28"/>
  <c r="E1510" i="28"/>
  <c r="E1509" i="28"/>
  <c r="E1508" i="28"/>
  <c r="E1507" i="28"/>
  <c r="E1506" i="28"/>
  <c r="E1505" i="28"/>
  <c r="E1504" i="28"/>
  <c r="F1504" i="43" s="1"/>
  <c r="G1504" i="43" s="1"/>
  <c r="E1503" i="28"/>
  <c r="F1503" i="43" s="1"/>
  <c r="G1503" i="43" s="1"/>
  <c r="E1502" i="28"/>
  <c r="E1501" i="28"/>
  <c r="E1500" i="28"/>
  <c r="E1499" i="28"/>
  <c r="E1498" i="28"/>
  <c r="E1497" i="28"/>
  <c r="E1496" i="28"/>
  <c r="E1495" i="28"/>
  <c r="E1494" i="28"/>
  <c r="F1494" i="43" s="1"/>
  <c r="G1494" i="43" s="1"/>
  <c r="E1493" i="28"/>
  <c r="F1493" i="43" s="1"/>
  <c r="G1493" i="43" s="1"/>
  <c r="E1492" i="28"/>
  <c r="F1492" i="43" s="1"/>
  <c r="G1492" i="43" s="1"/>
  <c r="E1491" i="28"/>
  <c r="E1490" i="28"/>
  <c r="E1489" i="28"/>
  <c r="E1488" i="28"/>
  <c r="E1487" i="28"/>
  <c r="F1487" i="43" s="1"/>
  <c r="G1487" i="43" s="1"/>
  <c r="E1486" i="28"/>
  <c r="E1485" i="28"/>
  <c r="F1485" i="43" s="1"/>
  <c r="G1485" i="43" s="1"/>
  <c r="E1484" i="28"/>
  <c r="E1483" i="28"/>
  <c r="F1483" i="43" s="1"/>
  <c r="G1483" i="43" s="1"/>
  <c r="E1482" i="28"/>
  <c r="F1482" i="43" s="1"/>
  <c r="G1482" i="43" s="1"/>
  <c r="E1481" i="28"/>
  <c r="E1480" i="28"/>
  <c r="F1480" i="43" s="1"/>
  <c r="G1480" i="43" s="1"/>
  <c r="E1479" i="28"/>
  <c r="F1479" i="43" s="1"/>
  <c r="G1479" i="43" s="1"/>
  <c r="E1478" i="28"/>
  <c r="F1478" i="43" s="1"/>
  <c r="G1478" i="43" s="1"/>
  <c r="E1477" i="28"/>
  <c r="E1476" i="28"/>
  <c r="E1475" i="28"/>
  <c r="F1475" i="43" s="1"/>
  <c r="G1475" i="43" s="1"/>
  <c r="E1474" i="28"/>
  <c r="E1473" i="28"/>
  <c r="E1472" i="28"/>
  <c r="E1471" i="28"/>
  <c r="E1470" i="28"/>
  <c r="E1469" i="28"/>
  <c r="E1468" i="28"/>
  <c r="E1467" i="28"/>
  <c r="E1466" i="28"/>
  <c r="F1466" i="43" s="1"/>
  <c r="G1466" i="43" s="1"/>
  <c r="E1465" i="28"/>
  <c r="E1464" i="28"/>
  <c r="E1463" i="28"/>
  <c r="E1462" i="28"/>
  <c r="F1462" i="43" s="1"/>
  <c r="G1462" i="43" s="1"/>
  <c r="E1461" i="28"/>
  <c r="E1460" i="28"/>
  <c r="E1459" i="28"/>
  <c r="E1458" i="28"/>
  <c r="E1457" i="28"/>
  <c r="E1456" i="28"/>
  <c r="E1455" i="28"/>
  <c r="E1454" i="28"/>
  <c r="E1453" i="28"/>
  <c r="E1452" i="28"/>
  <c r="E1451" i="28"/>
  <c r="E1450" i="28"/>
  <c r="F1450" i="43" s="1"/>
  <c r="G1450" i="43" s="1"/>
  <c r="E1449" i="28"/>
  <c r="E1448" i="28"/>
  <c r="E1447" i="28"/>
  <c r="E1446" i="28"/>
  <c r="E1445" i="28"/>
  <c r="E1444" i="28"/>
  <c r="E1443" i="28"/>
  <c r="E1442" i="28"/>
  <c r="E1441" i="28"/>
  <c r="E1440" i="28"/>
  <c r="E1439" i="28"/>
  <c r="E1438" i="28"/>
  <c r="E1437" i="28"/>
  <c r="E1436" i="28"/>
  <c r="E1435" i="28"/>
  <c r="E1434" i="28"/>
  <c r="E1433" i="28"/>
  <c r="E1432" i="28"/>
  <c r="E1431" i="28"/>
  <c r="E1430" i="28"/>
  <c r="E1429" i="28"/>
  <c r="E1428" i="28"/>
  <c r="F1428" i="43" s="1"/>
  <c r="G1428" i="43" s="1"/>
  <c r="E1427" i="28"/>
  <c r="F1427" i="43" s="1"/>
  <c r="G1427" i="43" s="1"/>
  <c r="E1426" i="28"/>
  <c r="E1425" i="28"/>
  <c r="F1425" i="43" s="1"/>
  <c r="G1425" i="43" s="1"/>
  <c r="E1424" i="28"/>
  <c r="E1423" i="28"/>
  <c r="E1422" i="28"/>
  <c r="E1421" i="28"/>
  <c r="F1421" i="43" s="1"/>
  <c r="G1421" i="43" s="1"/>
  <c r="E1420" i="28"/>
  <c r="F1420" i="43" s="1"/>
  <c r="G1420" i="43" s="1"/>
  <c r="E1419" i="28"/>
  <c r="E1418" i="28"/>
  <c r="F1418" i="43" s="1"/>
  <c r="G1418" i="43" s="1"/>
  <c r="E1417" i="28"/>
  <c r="E1416" i="28"/>
  <c r="E1415" i="28"/>
  <c r="E1414" i="28"/>
  <c r="F1414" i="43" s="1"/>
  <c r="G1414" i="43" s="1"/>
  <c r="E1413" i="28"/>
  <c r="E1412" i="28"/>
  <c r="E1411" i="28"/>
  <c r="E1410" i="28"/>
  <c r="T74" i="2" s="1"/>
  <c r="E1409" i="28"/>
  <c r="E1408" i="28"/>
  <c r="E1407" i="28"/>
  <c r="E1406" i="28"/>
  <c r="E1405" i="28"/>
  <c r="F1405" i="43" s="1"/>
  <c r="G1405" i="43" s="1"/>
  <c r="E1404" i="28"/>
  <c r="E1403" i="28"/>
  <c r="E1402" i="28"/>
  <c r="E1401" i="28"/>
  <c r="F1401" i="43" s="1"/>
  <c r="G1401" i="43" s="1"/>
  <c r="E1400" i="28"/>
  <c r="E1399" i="28"/>
  <c r="F1399" i="43" s="1"/>
  <c r="G1399" i="43" s="1"/>
  <c r="E1398" i="28"/>
  <c r="E1397" i="28"/>
  <c r="E1396" i="28"/>
  <c r="E1395" i="28"/>
  <c r="E1394" i="28"/>
  <c r="F1394" i="43" s="1"/>
  <c r="G1394" i="43" s="1"/>
  <c r="E1393" i="28"/>
  <c r="E1392" i="28"/>
  <c r="E1391" i="28"/>
  <c r="E1390" i="28"/>
  <c r="E1389" i="28"/>
  <c r="F1389" i="43" s="1"/>
  <c r="G1389" i="43" s="1"/>
  <c r="E1388" i="28"/>
  <c r="F1388" i="43" s="1"/>
  <c r="G1388" i="43" s="1"/>
  <c r="E1387" i="28"/>
  <c r="E1386" i="28"/>
  <c r="E1385" i="28"/>
  <c r="F1385" i="43" s="1"/>
  <c r="G1385" i="43" s="1"/>
  <c r="E1384" i="28"/>
  <c r="E1383" i="28"/>
  <c r="E1382" i="28"/>
  <c r="E1381" i="28"/>
  <c r="E1380" i="28"/>
  <c r="E1379" i="28"/>
  <c r="E1378" i="28"/>
  <c r="F1378" i="43" s="1"/>
  <c r="G1378" i="43" s="1"/>
  <c r="E1377" i="28"/>
  <c r="E1376" i="28"/>
  <c r="E1375" i="28"/>
  <c r="E1374" i="28"/>
  <c r="E1373" i="28"/>
  <c r="E1372" i="28"/>
  <c r="E1371" i="28"/>
  <c r="E1370" i="28"/>
  <c r="E1369" i="28"/>
  <c r="E1368" i="28"/>
  <c r="E1367" i="28"/>
  <c r="F1367" i="43" s="1"/>
  <c r="G1367" i="43" s="1"/>
  <c r="E1366" i="28"/>
  <c r="F1366" i="43" s="1"/>
  <c r="G1366" i="43" s="1"/>
  <c r="E1365" i="28"/>
  <c r="E1364" i="28"/>
  <c r="E1363" i="28"/>
  <c r="F1363" i="43" s="1"/>
  <c r="G1363" i="43" s="1"/>
  <c r="E1362" i="28"/>
  <c r="E1361" i="28"/>
  <c r="E1360" i="28"/>
  <c r="E1359" i="28"/>
  <c r="E1358" i="28"/>
  <c r="E1357" i="28"/>
  <c r="E1356" i="28"/>
  <c r="E1355" i="28"/>
  <c r="F1355" i="43" s="1"/>
  <c r="G1355" i="43" s="1"/>
  <c r="E1354" i="28"/>
  <c r="T46" i="2" s="1"/>
  <c r="E1353" i="28"/>
  <c r="E1352" i="28"/>
  <c r="E1351" i="28"/>
  <c r="E1350" i="28"/>
  <c r="E1349" i="28"/>
  <c r="E1348" i="28"/>
  <c r="E1347" i="28"/>
  <c r="E1346" i="28"/>
  <c r="F1346" i="43" s="1"/>
  <c r="G1346" i="43" s="1"/>
  <c r="E1345" i="28"/>
  <c r="E1344" i="28"/>
  <c r="E1343" i="28"/>
  <c r="F1343" i="43" s="1"/>
  <c r="G1343" i="43" s="1"/>
  <c r="E1342" i="28"/>
  <c r="F1342" i="43" s="1"/>
  <c r="G1342" i="43" s="1"/>
  <c r="E1341" i="28"/>
  <c r="F1341" i="43" s="1"/>
  <c r="G1341" i="43" s="1"/>
  <c r="E1340" i="28"/>
  <c r="F1340" i="43" s="1"/>
  <c r="G1340" i="43" s="1"/>
  <c r="E1339" i="28"/>
  <c r="E1338" i="28"/>
  <c r="F1338" i="43" s="1"/>
  <c r="G1338" i="43" s="1"/>
  <c r="E1337" i="28"/>
  <c r="F1337" i="43" s="1"/>
  <c r="G1337" i="43" s="1"/>
  <c r="E1336" i="28"/>
  <c r="E1335" i="28"/>
  <c r="E1334" i="28"/>
  <c r="F1334" i="43" s="1"/>
  <c r="G1334" i="43" s="1"/>
  <c r="E1333" i="28"/>
  <c r="F1333" i="43" s="1"/>
  <c r="G1333" i="43" s="1"/>
  <c r="E1332" i="28"/>
  <c r="E1331" i="28"/>
  <c r="F1331" i="43" s="1"/>
  <c r="G1331" i="43" s="1"/>
  <c r="E1330" i="28"/>
  <c r="E1329" i="28"/>
  <c r="E1328" i="28"/>
  <c r="E1327" i="28"/>
  <c r="E1326" i="28"/>
  <c r="E1325" i="28"/>
  <c r="E1324" i="28"/>
  <c r="E1323" i="28"/>
  <c r="E1322" i="28"/>
  <c r="E1321" i="28"/>
  <c r="F1321" i="43" s="1"/>
  <c r="G1321" i="43" s="1"/>
  <c r="E1320" i="28"/>
  <c r="E1319" i="28"/>
  <c r="F1319" i="43" s="1"/>
  <c r="G1319" i="43" s="1"/>
  <c r="E1318" i="28"/>
  <c r="E1317" i="28"/>
  <c r="E1316" i="28"/>
  <c r="E1315" i="28"/>
  <c r="E1314" i="28"/>
  <c r="E1313" i="28"/>
  <c r="E1312" i="28"/>
  <c r="E1311" i="28"/>
  <c r="F1311" i="43" s="1"/>
  <c r="G1311" i="43" s="1"/>
  <c r="E1310" i="28"/>
  <c r="F1310" i="43" s="1"/>
  <c r="G1310" i="43" s="1"/>
  <c r="E1309" i="28"/>
  <c r="E1308" i="28"/>
  <c r="E1307" i="28"/>
  <c r="E1306" i="28"/>
  <c r="F1306" i="43" s="1"/>
  <c r="G1306" i="43" s="1"/>
  <c r="E1305" i="28"/>
  <c r="E1304" i="28"/>
  <c r="F1304" i="43" s="1"/>
  <c r="G1304" i="43" s="1"/>
  <c r="E1303" i="28"/>
  <c r="E1302" i="28"/>
  <c r="E1301" i="28"/>
  <c r="E1300" i="28"/>
  <c r="E1299" i="28"/>
  <c r="E1298" i="28"/>
  <c r="E1297" i="28"/>
  <c r="E1296" i="28"/>
  <c r="E1295" i="28"/>
  <c r="E1294" i="28"/>
  <c r="F1294" i="43" s="1"/>
  <c r="G1294" i="43" s="1"/>
  <c r="E1293" i="28"/>
  <c r="E1292" i="28"/>
  <c r="E1291" i="28"/>
  <c r="E1290" i="28"/>
  <c r="E1289" i="28"/>
  <c r="E1288" i="28"/>
  <c r="E1287" i="28"/>
  <c r="E1286" i="28"/>
  <c r="E1285" i="28"/>
  <c r="E1284" i="28"/>
  <c r="E1283" i="28"/>
  <c r="F1283" i="43" s="1"/>
  <c r="G1283" i="43" s="1"/>
  <c r="E1282" i="28"/>
  <c r="E1281" i="28"/>
  <c r="E1280" i="28"/>
  <c r="E1279" i="28"/>
  <c r="F1279" i="43" s="1"/>
  <c r="G1279" i="43" s="1"/>
  <c r="E1278" i="28"/>
  <c r="E1277" i="28"/>
  <c r="E1276" i="28"/>
  <c r="E1275" i="28"/>
  <c r="F1275" i="43" s="1"/>
  <c r="G1275" i="43" s="1"/>
  <c r="E1274" i="28"/>
  <c r="E1273" i="28"/>
  <c r="E1272" i="28"/>
  <c r="E1271" i="28"/>
  <c r="E1270" i="28"/>
  <c r="E1269" i="28"/>
  <c r="E1268" i="28"/>
  <c r="E1267" i="28"/>
  <c r="E1266" i="28"/>
  <c r="F1266" i="43" s="1"/>
  <c r="G1266" i="43" s="1"/>
  <c r="E1265" i="28"/>
  <c r="F1265" i="43" s="1"/>
  <c r="G1265" i="43" s="1"/>
  <c r="E1264" i="28"/>
  <c r="E1263" i="28"/>
  <c r="E1262" i="28"/>
  <c r="F1262" i="43" s="1"/>
  <c r="G1262" i="43" s="1"/>
  <c r="E1261" i="28"/>
  <c r="E1260" i="28"/>
  <c r="E1259" i="28"/>
  <c r="E1258" i="28"/>
  <c r="F1258" i="43" s="1"/>
  <c r="G1258" i="43" s="1"/>
  <c r="E1257" i="28"/>
  <c r="E1256" i="28"/>
  <c r="E1255" i="28"/>
  <c r="E1254" i="28"/>
  <c r="F1254" i="43" s="1"/>
  <c r="G1254" i="43" s="1"/>
  <c r="E1253" i="28"/>
  <c r="E1252" i="28"/>
  <c r="E1251" i="28"/>
  <c r="E1250" i="28"/>
  <c r="E1249" i="28"/>
  <c r="E1248" i="28"/>
  <c r="E1247" i="28"/>
  <c r="E1246" i="28"/>
  <c r="F1246" i="43" s="1"/>
  <c r="G1246" i="43" s="1"/>
  <c r="E1245" i="28"/>
  <c r="F1245" i="43" s="1"/>
  <c r="G1245" i="43" s="1"/>
  <c r="E1244" i="28"/>
  <c r="F1244" i="43" s="1"/>
  <c r="G1244" i="43" s="1"/>
  <c r="E1243" i="28"/>
  <c r="E1242" i="28"/>
  <c r="E1241" i="28"/>
  <c r="E1240" i="28"/>
  <c r="E1239" i="28"/>
  <c r="E1238" i="28"/>
  <c r="E1237" i="28"/>
  <c r="E1236" i="28"/>
  <c r="E1235" i="28"/>
  <c r="F1235" i="43" s="1"/>
  <c r="G1235" i="43" s="1"/>
  <c r="E1234" i="28"/>
  <c r="E1233" i="28"/>
  <c r="E1232" i="28"/>
  <c r="E1231" i="28"/>
  <c r="F1231" i="43" s="1"/>
  <c r="G1231" i="43" s="1"/>
  <c r="E1230" i="28"/>
  <c r="F1230" i="43" s="1"/>
  <c r="G1230" i="43" s="1"/>
  <c r="E1229" i="28"/>
  <c r="E1228" i="28"/>
  <c r="E1227" i="28"/>
  <c r="E1226" i="28"/>
  <c r="E1225" i="28"/>
  <c r="E1224" i="28"/>
  <c r="E1223" i="28"/>
  <c r="E1222" i="28"/>
  <c r="T82" i="2" s="1"/>
  <c r="E1221" i="28"/>
  <c r="E1220" i="28"/>
  <c r="E1219" i="28"/>
  <c r="E1218" i="28"/>
  <c r="E1217" i="28"/>
  <c r="E1216" i="28"/>
  <c r="F1216" i="43" s="1"/>
  <c r="G1216" i="43" s="1"/>
  <c r="E1215" i="28"/>
  <c r="E1214" i="28"/>
  <c r="E1213" i="28"/>
  <c r="E1212" i="28"/>
  <c r="F1212" i="43" s="1"/>
  <c r="G1212" i="43" s="1"/>
  <c r="E1211" i="28"/>
  <c r="E1210" i="28"/>
  <c r="E1209" i="28"/>
  <c r="F1209" i="43" s="1"/>
  <c r="G1209" i="43" s="1"/>
  <c r="E1208" i="28"/>
  <c r="E1207" i="28"/>
  <c r="E1206" i="28"/>
  <c r="E1205" i="28"/>
  <c r="E1204" i="28"/>
  <c r="E1203" i="28"/>
  <c r="E1202" i="28"/>
  <c r="E1201" i="28"/>
  <c r="F1201" i="43" s="1"/>
  <c r="G1201" i="43" s="1"/>
  <c r="E1200" i="28"/>
  <c r="E1199" i="28"/>
  <c r="F1199" i="43" s="1"/>
  <c r="G1199" i="43" s="1"/>
  <c r="E1198" i="28"/>
  <c r="F1198" i="43" s="1"/>
  <c r="G1198" i="43" s="1"/>
  <c r="E1197" i="28"/>
  <c r="E1196" i="28"/>
  <c r="F1196" i="43" s="1"/>
  <c r="G1196" i="43" s="1"/>
  <c r="E1195" i="28"/>
  <c r="E1194" i="28"/>
  <c r="F1194" i="43" s="1"/>
  <c r="G1194" i="43" s="1"/>
  <c r="E1193" i="28"/>
  <c r="E1192" i="28"/>
  <c r="E1191" i="28"/>
  <c r="F1191" i="43" s="1"/>
  <c r="G1191" i="43" s="1"/>
  <c r="E1190" i="28"/>
  <c r="E1189" i="28"/>
  <c r="F1189" i="43" s="1"/>
  <c r="G1189" i="43" s="1"/>
  <c r="E1188" i="28"/>
  <c r="E1187" i="28"/>
  <c r="F1187" i="43" s="1"/>
  <c r="G1187" i="43" s="1"/>
  <c r="E1186" i="28"/>
  <c r="F1186" i="43" s="1"/>
  <c r="G1186" i="43" s="1"/>
  <c r="E1185" i="28"/>
  <c r="E1184" i="28"/>
  <c r="E1183" i="28"/>
  <c r="T78" i="2" s="1"/>
  <c r="E1182" i="28"/>
  <c r="E1181" i="28"/>
  <c r="F1181" i="43" s="1"/>
  <c r="G1181" i="43" s="1"/>
  <c r="E1180" i="28"/>
  <c r="T30" i="2" s="1"/>
  <c r="E1179" i="28"/>
  <c r="E1178" i="28"/>
  <c r="F1178" i="43" s="1"/>
  <c r="G1178" i="43" s="1"/>
  <c r="E1177" i="28"/>
  <c r="F1177" i="43" s="1"/>
  <c r="G1177" i="43" s="1"/>
  <c r="E1176" i="28"/>
  <c r="E1175" i="28"/>
  <c r="F1175" i="43" s="1"/>
  <c r="G1175" i="43" s="1"/>
  <c r="E1174" i="28"/>
  <c r="E1173" i="28"/>
  <c r="F1173" i="43" s="1"/>
  <c r="G1173" i="43" s="1"/>
  <c r="E1172" i="28"/>
  <c r="E1171" i="28"/>
  <c r="F1171" i="43" s="1"/>
  <c r="G1171" i="43" s="1"/>
  <c r="E1170" i="28"/>
  <c r="E1169" i="28"/>
  <c r="E1168" i="28"/>
  <c r="E1167" i="28"/>
  <c r="E1166" i="28"/>
  <c r="E1165" i="28"/>
  <c r="E1164" i="28"/>
  <c r="E1163" i="28"/>
  <c r="E1162" i="28"/>
  <c r="E1161" i="28"/>
  <c r="E1160" i="28"/>
  <c r="E1159" i="28"/>
  <c r="E1158" i="28"/>
  <c r="F1158" i="43" s="1"/>
  <c r="G1158" i="43" s="1"/>
  <c r="E1157" i="28"/>
  <c r="F1157" i="43" s="1"/>
  <c r="G1157" i="43" s="1"/>
  <c r="E1156" i="28"/>
  <c r="E1155" i="28"/>
  <c r="F1155" i="43" s="1"/>
  <c r="G1155" i="43" s="1"/>
  <c r="E1154" i="28"/>
  <c r="F1154" i="43" s="1"/>
  <c r="G1154" i="43" s="1"/>
  <c r="E1153" i="28"/>
  <c r="E1152" i="28"/>
  <c r="E1151" i="28"/>
  <c r="F1151" i="43" s="1"/>
  <c r="G1151" i="43" s="1"/>
  <c r="E1150" i="28"/>
  <c r="E1149" i="28"/>
  <c r="E1148" i="28"/>
  <c r="F1148" i="43" s="1"/>
  <c r="G1148" i="43" s="1"/>
  <c r="E1147" i="28"/>
  <c r="F1147" i="43" s="1"/>
  <c r="G1147" i="43" s="1"/>
  <c r="E1146" i="28"/>
  <c r="E1145" i="28"/>
  <c r="E1144" i="28"/>
  <c r="E1143" i="28"/>
  <c r="E1142" i="28"/>
  <c r="E1141" i="28"/>
  <c r="E1140" i="28"/>
  <c r="E1139" i="28"/>
  <c r="E1138" i="28"/>
  <c r="E1137" i="28"/>
  <c r="E1136" i="28"/>
  <c r="E1135" i="28"/>
  <c r="E1134" i="28"/>
  <c r="E1133" i="28"/>
  <c r="E1132" i="28"/>
  <c r="E1131" i="28"/>
  <c r="E1130" i="28"/>
  <c r="F1130" i="43" s="1"/>
  <c r="G1130" i="43" s="1"/>
  <c r="E1129" i="28"/>
  <c r="E1128" i="28"/>
  <c r="F1128" i="43" s="1"/>
  <c r="G1128" i="43" s="1"/>
  <c r="E1127" i="28"/>
  <c r="E1126" i="28"/>
  <c r="F1126" i="43" s="1"/>
  <c r="G1126" i="43" s="1"/>
  <c r="E1125" i="28"/>
  <c r="E1124" i="28"/>
  <c r="E1123" i="28"/>
  <c r="E1122" i="28"/>
  <c r="E1121" i="28"/>
  <c r="E1120" i="28"/>
  <c r="E1119" i="28"/>
  <c r="E1118" i="28"/>
  <c r="E1117" i="28"/>
  <c r="F1117" i="43" s="1"/>
  <c r="G1117" i="43" s="1"/>
  <c r="E1116" i="28"/>
  <c r="E1115" i="28"/>
  <c r="F1115" i="43" s="1"/>
  <c r="G1115" i="43" s="1"/>
  <c r="E1114" i="28"/>
  <c r="F1114" i="43" s="1"/>
  <c r="G1114" i="43" s="1"/>
  <c r="E1113" i="28"/>
  <c r="E1112" i="28"/>
  <c r="E1111" i="28"/>
  <c r="E1110" i="28"/>
  <c r="E1109" i="28"/>
  <c r="E1108" i="28"/>
  <c r="E1107" i="28"/>
  <c r="E1106" i="28"/>
  <c r="F1106" i="43" s="1"/>
  <c r="G1106" i="43" s="1"/>
  <c r="E1105" i="28"/>
  <c r="E1104" i="28"/>
  <c r="E1103" i="28"/>
  <c r="E1102" i="28"/>
  <c r="E1101" i="28"/>
  <c r="E1100" i="28"/>
  <c r="E1099" i="28"/>
  <c r="E1098" i="28"/>
  <c r="E1097" i="28"/>
  <c r="E1096" i="28"/>
  <c r="F1096" i="43" s="1"/>
  <c r="G1096" i="43" s="1"/>
  <c r="E1095" i="28"/>
  <c r="E1094" i="28"/>
  <c r="E1093" i="28"/>
  <c r="E1092" i="28"/>
  <c r="E1091" i="28"/>
  <c r="E1090" i="28"/>
  <c r="E1089" i="28"/>
  <c r="F1089" i="43" s="1"/>
  <c r="G1089" i="43" s="1"/>
  <c r="E1088" i="28"/>
  <c r="E1087" i="28"/>
  <c r="E1086" i="28"/>
  <c r="E1085" i="28"/>
  <c r="E1084" i="28"/>
  <c r="E1083" i="28"/>
  <c r="E1082" i="28"/>
  <c r="E1081" i="28"/>
  <c r="F1081" i="43" s="1"/>
  <c r="G1081" i="43" s="1"/>
  <c r="E1080" i="28"/>
  <c r="F1080" i="43" s="1"/>
  <c r="G1080" i="43" s="1"/>
  <c r="E1079" i="28"/>
  <c r="E1078" i="28"/>
  <c r="E1077" i="28"/>
  <c r="E1076" i="28"/>
  <c r="E1075" i="28"/>
  <c r="F1075" i="43" s="1"/>
  <c r="G1075" i="43" s="1"/>
  <c r="E1074" i="28"/>
  <c r="F1074" i="43" s="1"/>
  <c r="G1074" i="43" s="1"/>
  <c r="E1073" i="28"/>
  <c r="F1073" i="43" s="1"/>
  <c r="G1073" i="43" s="1"/>
  <c r="E1072" i="28"/>
  <c r="E1071" i="28"/>
  <c r="E1070" i="28"/>
  <c r="E1069" i="28"/>
  <c r="E1068" i="28"/>
  <c r="E1067" i="28"/>
  <c r="E1066" i="28"/>
  <c r="E1065" i="28"/>
  <c r="E1064" i="28"/>
  <c r="F1064" i="43" s="1"/>
  <c r="G1064" i="43" s="1"/>
  <c r="E1063" i="28"/>
  <c r="E1062" i="28"/>
  <c r="E1061" i="28"/>
  <c r="E1060" i="28"/>
  <c r="E1059" i="28"/>
  <c r="E1058" i="28"/>
  <c r="E1057" i="28"/>
  <c r="E1056" i="28"/>
  <c r="E1055" i="28"/>
  <c r="E1054" i="28"/>
  <c r="E1053" i="28"/>
  <c r="E1052" i="28"/>
  <c r="E1051" i="28"/>
  <c r="E1050" i="28"/>
  <c r="E1049" i="28"/>
  <c r="E1048" i="28"/>
  <c r="E1047" i="28"/>
  <c r="E1046" i="28"/>
  <c r="E1045" i="28"/>
  <c r="E1044" i="28"/>
  <c r="E1043" i="28"/>
  <c r="E1042" i="28"/>
  <c r="E1041" i="28"/>
  <c r="E1040" i="28"/>
  <c r="E1039" i="28"/>
  <c r="E1038" i="28"/>
  <c r="E1037" i="28"/>
  <c r="E1036" i="28"/>
  <c r="E1035" i="28"/>
  <c r="E1034" i="28"/>
  <c r="E1033" i="28"/>
  <c r="E1032" i="28"/>
  <c r="F1032" i="43" s="1"/>
  <c r="G1032" i="43" s="1"/>
  <c r="E1031" i="28"/>
  <c r="E1030" i="28"/>
  <c r="E1029" i="28"/>
  <c r="E1028" i="28"/>
  <c r="E1027" i="28"/>
  <c r="E1026" i="28"/>
  <c r="E1025" i="28"/>
  <c r="E1024" i="28"/>
  <c r="E1023" i="28"/>
  <c r="E1022" i="28"/>
  <c r="E1021" i="28"/>
  <c r="F1021" i="43" s="1"/>
  <c r="G1021" i="43" s="1"/>
  <c r="E1020" i="28"/>
  <c r="E1019" i="28"/>
  <c r="E1018" i="28"/>
  <c r="E1017" i="28"/>
  <c r="E1016" i="28"/>
  <c r="F1016" i="43" s="1"/>
  <c r="G1016" i="43" s="1"/>
  <c r="E1015" i="28"/>
  <c r="E1014" i="28"/>
  <c r="E1013" i="28"/>
  <c r="E1012" i="28"/>
  <c r="E1011" i="28"/>
  <c r="F1011" i="43" s="1"/>
  <c r="G1011" i="43" s="1"/>
  <c r="E1010" i="28"/>
  <c r="E1009" i="28"/>
  <c r="E1008" i="28"/>
  <c r="E1007" i="28"/>
  <c r="E1006" i="28"/>
  <c r="E1005" i="28"/>
  <c r="E1004" i="28"/>
  <c r="E1003" i="28"/>
  <c r="E1002" i="28"/>
  <c r="F1002" i="43" s="1"/>
  <c r="G1002" i="43" s="1"/>
  <c r="E1001" i="28"/>
  <c r="E1000" i="28"/>
  <c r="E999" i="28"/>
  <c r="E998" i="28"/>
  <c r="E997" i="28"/>
  <c r="E996" i="28"/>
  <c r="E995" i="28"/>
  <c r="E994" i="28"/>
  <c r="E993" i="28"/>
  <c r="E992" i="28"/>
  <c r="E991" i="28"/>
  <c r="E990" i="28"/>
  <c r="E989" i="28"/>
  <c r="F989" i="43" s="1"/>
  <c r="G989" i="43" s="1"/>
  <c r="E988" i="28"/>
  <c r="F988" i="43" s="1"/>
  <c r="G988" i="43" s="1"/>
  <c r="E987" i="28"/>
  <c r="E986" i="28"/>
  <c r="E985" i="28"/>
  <c r="E984" i="28"/>
  <c r="E983" i="28"/>
  <c r="F983" i="43" s="1"/>
  <c r="G983" i="43" s="1"/>
  <c r="E982" i="28"/>
  <c r="E981" i="28"/>
  <c r="E980" i="28"/>
  <c r="F980" i="43" s="1"/>
  <c r="G980" i="43" s="1"/>
  <c r="E979" i="28"/>
  <c r="E978" i="28"/>
  <c r="E977" i="28"/>
  <c r="E976" i="28"/>
  <c r="E975" i="28"/>
  <c r="E974" i="28"/>
  <c r="E973" i="28"/>
  <c r="F973" i="43" s="1"/>
  <c r="G973" i="43" s="1"/>
  <c r="E972" i="28"/>
  <c r="F972" i="43" s="1"/>
  <c r="G972" i="43" s="1"/>
  <c r="E971" i="28"/>
  <c r="E970" i="28"/>
  <c r="F970" i="43" s="1"/>
  <c r="G970" i="43" s="1"/>
  <c r="E969" i="28"/>
  <c r="E968" i="28"/>
  <c r="E967" i="28"/>
  <c r="E966" i="28"/>
  <c r="E965" i="28"/>
  <c r="F965" i="43" s="1"/>
  <c r="G965" i="43" s="1"/>
  <c r="E964" i="28"/>
  <c r="F964" i="43" s="1"/>
  <c r="G964" i="43" s="1"/>
  <c r="E963" i="28"/>
  <c r="F963" i="43" s="1"/>
  <c r="G963" i="43" s="1"/>
  <c r="E962" i="28"/>
  <c r="E961" i="28"/>
  <c r="E960" i="28"/>
  <c r="E959" i="28"/>
  <c r="E958" i="28"/>
  <c r="F958" i="43" s="1"/>
  <c r="G958" i="43" s="1"/>
  <c r="E957" i="28"/>
  <c r="E956" i="28"/>
  <c r="E955" i="28"/>
  <c r="E954" i="28"/>
  <c r="E953" i="28"/>
  <c r="E952" i="28"/>
  <c r="E951" i="28"/>
  <c r="E950" i="28"/>
  <c r="E949" i="28"/>
  <c r="E948" i="28"/>
  <c r="E947" i="28"/>
  <c r="F947" i="43" s="1"/>
  <c r="G947" i="43" s="1"/>
  <c r="E946" i="28"/>
  <c r="E945" i="28"/>
  <c r="F945" i="43" s="1"/>
  <c r="G945" i="43" s="1"/>
  <c r="E944" i="28"/>
  <c r="E943" i="28"/>
  <c r="E942" i="28"/>
  <c r="E941" i="28"/>
  <c r="E940" i="28"/>
  <c r="E939" i="28"/>
  <c r="E938" i="28"/>
  <c r="E937" i="28"/>
  <c r="E936" i="28"/>
  <c r="E935" i="28"/>
  <c r="F935" i="43" s="1"/>
  <c r="G935" i="43" s="1"/>
  <c r="E934" i="28"/>
  <c r="E933" i="28"/>
  <c r="E932" i="28"/>
  <c r="F932" i="43" s="1"/>
  <c r="G932" i="43" s="1"/>
  <c r="E931" i="28"/>
  <c r="E930" i="28"/>
  <c r="F930" i="43" s="1"/>
  <c r="G930" i="43" s="1"/>
  <c r="E929" i="28"/>
  <c r="F929" i="43" s="1"/>
  <c r="G929" i="43" s="1"/>
  <c r="E928" i="28"/>
  <c r="E927" i="28"/>
  <c r="F927" i="43" s="1"/>
  <c r="G927" i="43" s="1"/>
  <c r="E926" i="28"/>
  <c r="E925" i="28"/>
  <c r="F925" i="43" s="1"/>
  <c r="G925" i="43" s="1"/>
  <c r="E924" i="28"/>
  <c r="E923" i="28"/>
  <c r="E922" i="28"/>
  <c r="E921" i="28"/>
  <c r="E920" i="28"/>
  <c r="E919" i="28"/>
  <c r="E918" i="28"/>
  <c r="E917" i="28"/>
  <c r="E916" i="28"/>
  <c r="F916" i="43" s="1"/>
  <c r="G916" i="43" s="1"/>
  <c r="E915" i="28"/>
  <c r="E914" i="28"/>
  <c r="E913" i="28"/>
  <c r="F913" i="43" s="1"/>
  <c r="G913" i="43" s="1"/>
  <c r="E912" i="28"/>
  <c r="E911" i="28"/>
  <c r="E910" i="28"/>
  <c r="F910" i="43" s="1"/>
  <c r="G910" i="43" s="1"/>
  <c r="E909" i="28"/>
  <c r="E908" i="28"/>
  <c r="F908" i="43" s="1"/>
  <c r="G908" i="43" s="1"/>
  <c r="E907" i="28"/>
  <c r="E906" i="28"/>
  <c r="E905" i="28"/>
  <c r="E904" i="28"/>
  <c r="E903" i="28"/>
  <c r="E902" i="28"/>
  <c r="E901" i="28"/>
  <c r="E900" i="28"/>
  <c r="E899" i="28"/>
  <c r="E898" i="28"/>
  <c r="E897" i="28"/>
  <c r="E896" i="28"/>
  <c r="E895" i="28"/>
  <c r="E894" i="28"/>
  <c r="E893" i="28"/>
  <c r="E892" i="28"/>
  <c r="E891" i="28"/>
  <c r="E890" i="28"/>
  <c r="E889" i="28"/>
  <c r="E888" i="28"/>
  <c r="E887" i="28"/>
  <c r="E886" i="28"/>
  <c r="E885" i="28"/>
  <c r="E884" i="28"/>
  <c r="F884" i="43" s="1"/>
  <c r="G884" i="43" s="1"/>
  <c r="E883" i="28"/>
  <c r="E882" i="28"/>
  <c r="E881" i="28"/>
  <c r="E880" i="28"/>
  <c r="E879" i="28"/>
  <c r="E878" i="28"/>
  <c r="E877" i="28"/>
  <c r="E876" i="28"/>
  <c r="E875" i="28"/>
  <c r="E874" i="28"/>
  <c r="E873" i="28"/>
  <c r="E872" i="28"/>
  <c r="E871" i="28"/>
  <c r="E870" i="28"/>
  <c r="E869" i="28"/>
  <c r="E868" i="28"/>
  <c r="E867" i="28"/>
  <c r="E866" i="28"/>
  <c r="E865" i="28"/>
  <c r="F865" i="43" s="1"/>
  <c r="G865" i="43" s="1"/>
  <c r="E864" i="28"/>
  <c r="E863" i="28"/>
  <c r="E862" i="28"/>
  <c r="E861" i="28"/>
  <c r="E860" i="28"/>
  <c r="E859" i="28"/>
  <c r="E858" i="28"/>
  <c r="E857" i="28"/>
  <c r="F857" i="43" s="1"/>
  <c r="G857" i="43" s="1"/>
  <c r="E856" i="28"/>
  <c r="E855" i="28"/>
  <c r="E854" i="28"/>
  <c r="E853" i="28"/>
  <c r="E852" i="28"/>
  <c r="E851" i="28"/>
  <c r="E850" i="28"/>
  <c r="E849" i="28"/>
  <c r="E848" i="28"/>
  <c r="F848" i="43" s="1"/>
  <c r="G848" i="43" s="1"/>
  <c r="E847" i="28"/>
  <c r="E846" i="28"/>
  <c r="E845" i="28"/>
  <c r="F845" i="43" s="1"/>
  <c r="G845" i="43" s="1"/>
  <c r="E844" i="28"/>
  <c r="E843" i="28"/>
  <c r="E842" i="28"/>
  <c r="F842" i="43" s="1"/>
  <c r="G842" i="43" s="1"/>
  <c r="E841" i="28"/>
  <c r="F841" i="43" s="1"/>
  <c r="G841" i="43" s="1"/>
  <c r="E840" i="28"/>
  <c r="F840" i="43" s="1"/>
  <c r="G840" i="43" s="1"/>
  <c r="E839" i="28"/>
  <c r="F839" i="43" s="1"/>
  <c r="G839" i="43" s="1"/>
  <c r="E838" i="28"/>
  <c r="E837" i="28"/>
  <c r="E836" i="28"/>
  <c r="F836" i="43" s="1"/>
  <c r="G836" i="43" s="1"/>
  <c r="E835" i="28"/>
  <c r="E834" i="28"/>
  <c r="E833" i="28"/>
  <c r="E832" i="28"/>
  <c r="E831" i="28"/>
  <c r="E830" i="28"/>
  <c r="E829" i="28"/>
  <c r="E828" i="28"/>
  <c r="F828" i="43" s="1"/>
  <c r="G828" i="43" s="1"/>
  <c r="E827" i="28"/>
  <c r="E826" i="28"/>
  <c r="E825" i="28"/>
  <c r="E824" i="28"/>
  <c r="E823" i="28"/>
  <c r="E822" i="28"/>
  <c r="E821" i="28"/>
  <c r="F821" i="43" s="1"/>
  <c r="G821" i="43" s="1"/>
  <c r="E820" i="28"/>
  <c r="E819" i="28"/>
  <c r="F819" i="43" s="1"/>
  <c r="G819" i="43" s="1"/>
  <c r="E818" i="28"/>
  <c r="E817" i="28"/>
  <c r="F817" i="43" s="1"/>
  <c r="G817" i="43" s="1"/>
  <c r="E816" i="28"/>
  <c r="E815" i="28"/>
  <c r="E814" i="28"/>
  <c r="E813" i="28"/>
  <c r="E812" i="28"/>
  <c r="E811" i="28"/>
  <c r="E810" i="28"/>
  <c r="F810" i="43" s="1"/>
  <c r="G810" i="43" s="1"/>
  <c r="E809" i="28"/>
  <c r="E808" i="28"/>
  <c r="E807" i="28"/>
  <c r="E806" i="28"/>
  <c r="E805" i="28"/>
  <c r="E804" i="28"/>
  <c r="E803" i="28"/>
  <c r="E802" i="28"/>
  <c r="F802" i="43" s="1"/>
  <c r="G802" i="43" s="1"/>
  <c r="E801" i="28"/>
  <c r="E800" i="28"/>
  <c r="E799" i="28"/>
  <c r="E798" i="28"/>
  <c r="E797" i="28"/>
  <c r="E796" i="28"/>
  <c r="E795" i="28"/>
  <c r="E794" i="28"/>
  <c r="E793" i="28"/>
  <c r="E792" i="28"/>
  <c r="E791" i="28"/>
  <c r="E790" i="28"/>
  <c r="E789" i="28"/>
  <c r="E788" i="28"/>
  <c r="F788" i="43" s="1"/>
  <c r="G788" i="43" s="1"/>
  <c r="E787" i="28"/>
  <c r="E786" i="28"/>
  <c r="E785" i="28"/>
  <c r="E784" i="28"/>
  <c r="T61" i="2" s="1"/>
  <c r="E783" i="28"/>
  <c r="E782" i="28"/>
  <c r="T45" i="2" s="1"/>
  <c r="E781" i="28"/>
  <c r="F781" i="43" s="1"/>
  <c r="G781" i="43" s="1"/>
  <c r="E780" i="28"/>
  <c r="E779" i="28"/>
  <c r="E778" i="28"/>
  <c r="E777" i="28"/>
  <c r="E776" i="28"/>
  <c r="E775" i="28"/>
  <c r="F775" i="43" s="1"/>
  <c r="G775" i="43" s="1"/>
  <c r="E774" i="28"/>
  <c r="E773" i="28"/>
  <c r="E772" i="28"/>
  <c r="T47" i="2" s="1"/>
  <c r="E771" i="28"/>
  <c r="E770" i="28"/>
  <c r="F770" i="43" s="1"/>
  <c r="G770" i="43" s="1"/>
  <c r="E769" i="28"/>
  <c r="E768" i="28"/>
  <c r="E767" i="28"/>
  <c r="E766" i="28"/>
  <c r="E765" i="28"/>
  <c r="E764" i="28"/>
  <c r="E763" i="28"/>
  <c r="E762" i="28"/>
  <c r="F762" i="43" s="1"/>
  <c r="G762" i="43" s="1"/>
  <c r="E761" i="28"/>
  <c r="E760" i="28"/>
  <c r="E759" i="28"/>
  <c r="E758" i="28"/>
  <c r="E757" i="28"/>
  <c r="E756" i="28"/>
  <c r="E755" i="28"/>
  <c r="E754" i="28"/>
  <c r="E753" i="28"/>
  <c r="E752" i="28"/>
  <c r="E751" i="28"/>
  <c r="E750" i="28"/>
  <c r="E749" i="28"/>
  <c r="E748" i="28"/>
  <c r="E747" i="28"/>
  <c r="E746" i="28"/>
  <c r="F746" i="43" s="1"/>
  <c r="G746" i="43" s="1"/>
  <c r="E745" i="28"/>
  <c r="E744" i="28"/>
  <c r="E743" i="28"/>
  <c r="E742" i="28"/>
  <c r="E741" i="28"/>
  <c r="E740" i="28"/>
  <c r="E739" i="28"/>
  <c r="E738" i="28"/>
  <c r="E737" i="28"/>
  <c r="E736" i="28"/>
  <c r="E735" i="28"/>
  <c r="E734" i="28"/>
  <c r="E733" i="28"/>
  <c r="E732" i="28"/>
  <c r="E731" i="28"/>
  <c r="F731" i="43" s="1"/>
  <c r="G731" i="43" s="1"/>
  <c r="E730" i="28"/>
  <c r="E729" i="28"/>
  <c r="E728" i="28"/>
  <c r="E727" i="28"/>
  <c r="E726" i="28"/>
  <c r="E725" i="28"/>
  <c r="E724" i="28"/>
  <c r="E723" i="28"/>
  <c r="E722" i="28"/>
  <c r="E721" i="28"/>
  <c r="E720" i="28"/>
  <c r="E719" i="28"/>
  <c r="E718" i="28"/>
  <c r="F718" i="43" s="1"/>
  <c r="G718" i="43" s="1"/>
  <c r="E717" i="28"/>
  <c r="E716" i="28"/>
  <c r="F716" i="43" s="1"/>
  <c r="G716" i="43" s="1"/>
  <c r="E715" i="28"/>
  <c r="F715" i="43" s="1"/>
  <c r="G715" i="43" s="1"/>
  <c r="E714" i="28"/>
  <c r="F714" i="43" s="1"/>
  <c r="G714" i="43" s="1"/>
  <c r="E713" i="28"/>
  <c r="E712" i="28"/>
  <c r="F712" i="43" s="1"/>
  <c r="G712" i="43" s="1"/>
  <c r="E711" i="28"/>
  <c r="E710" i="28"/>
  <c r="F710" i="43" s="1"/>
  <c r="G710" i="43" s="1"/>
  <c r="E709" i="28"/>
  <c r="E708" i="28"/>
  <c r="E707" i="28"/>
  <c r="E706" i="28"/>
  <c r="E705" i="28"/>
  <c r="E704" i="28"/>
  <c r="E703" i="28"/>
  <c r="E702" i="28"/>
  <c r="F702" i="43" s="1"/>
  <c r="G702" i="43" s="1"/>
  <c r="E701" i="28"/>
  <c r="E700" i="28"/>
  <c r="F700" i="43" s="1"/>
  <c r="G700" i="43" s="1"/>
  <c r="E699" i="28"/>
  <c r="E698" i="28"/>
  <c r="E697" i="28"/>
  <c r="E696" i="28"/>
  <c r="E695" i="28"/>
  <c r="E694" i="28"/>
  <c r="E693" i="28"/>
  <c r="F693" i="43" s="1"/>
  <c r="G693" i="43" s="1"/>
  <c r="E692" i="28"/>
  <c r="E691" i="28"/>
  <c r="E690" i="28"/>
  <c r="E689" i="28"/>
  <c r="E688" i="28"/>
  <c r="E687" i="28"/>
  <c r="E686" i="28"/>
  <c r="E685" i="28"/>
  <c r="E684" i="28"/>
  <c r="E683" i="28"/>
  <c r="E682" i="28"/>
  <c r="F682" i="43" s="1"/>
  <c r="G682" i="43" s="1"/>
  <c r="E681" i="28"/>
  <c r="E680" i="28"/>
  <c r="F680" i="43" s="1"/>
  <c r="G680" i="43" s="1"/>
  <c r="E679" i="28"/>
  <c r="E678" i="28"/>
  <c r="E677" i="28"/>
  <c r="E676" i="28"/>
  <c r="E675" i="28"/>
  <c r="E674" i="28"/>
  <c r="E673" i="28"/>
  <c r="E672" i="28"/>
  <c r="E671" i="28"/>
  <c r="F671" i="43" s="1"/>
  <c r="G671" i="43" s="1"/>
  <c r="E670" i="28"/>
  <c r="E669" i="28"/>
  <c r="E668" i="28"/>
  <c r="E667" i="28"/>
  <c r="E666" i="28"/>
  <c r="E665" i="28"/>
  <c r="F665" i="43" s="1"/>
  <c r="G665" i="43" s="1"/>
  <c r="E664" i="28"/>
  <c r="E663" i="28"/>
  <c r="E662" i="28"/>
  <c r="E661" i="28"/>
  <c r="E660" i="28"/>
  <c r="E659" i="28"/>
  <c r="E658" i="28"/>
  <c r="E657" i="28"/>
  <c r="E656" i="28"/>
  <c r="E655" i="28"/>
  <c r="E654" i="28"/>
  <c r="E653" i="28"/>
  <c r="E652" i="28"/>
  <c r="E651" i="28"/>
  <c r="F651" i="43" s="1"/>
  <c r="G651" i="43" s="1"/>
  <c r="E650" i="28"/>
  <c r="E649" i="28"/>
  <c r="E648" i="28"/>
  <c r="F648" i="43" s="1"/>
  <c r="G648" i="43" s="1"/>
  <c r="E647" i="28"/>
  <c r="E646" i="28"/>
  <c r="E645" i="28"/>
  <c r="E644" i="28"/>
  <c r="E643" i="28"/>
  <c r="E642" i="28"/>
  <c r="T48" i="2" s="1"/>
  <c r="E641" i="28"/>
  <c r="E640" i="28"/>
  <c r="E639" i="28"/>
  <c r="E638" i="28"/>
  <c r="E637" i="28"/>
  <c r="E636" i="28"/>
  <c r="E635" i="28"/>
  <c r="F635" i="43" s="1"/>
  <c r="G635" i="43" s="1"/>
  <c r="E634" i="28"/>
  <c r="E633" i="28"/>
  <c r="E632" i="28"/>
  <c r="E631" i="28"/>
  <c r="E630" i="28"/>
  <c r="E629" i="28"/>
  <c r="E628" i="28"/>
  <c r="E627" i="28"/>
  <c r="E626" i="28"/>
  <c r="E625" i="28"/>
  <c r="E624" i="28"/>
  <c r="E623" i="28"/>
  <c r="E622" i="28"/>
  <c r="E621" i="28"/>
  <c r="F621" i="43" s="1"/>
  <c r="G621" i="43" s="1"/>
  <c r="E620" i="28"/>
  <c r="E619" i="28"/>
  <c r="F619" i="43" s="1"/>
  <c r="G619" i="43" s="1"/>
  <c r="E618" i="28"/>
  <c r="E617" i="28"/>
  <c r="F617" i="43" s="1"/>
  <c r="G617" i="43" s="1"/>
  <c r="E616" i="28"/>
  <c r="E615" i="28"/>
  <c r="F615" i="43" s="1"/>
  <c r="G615" i="43" s="1"/>
  <c r="E614" i="28"/>
  <c r="F614" i="43" s="1"/>
  <c r="G614" i="43" s="1"/>
  <c r="E613" i="28"/>
  <c r="E612" i="28"/>
  <c r="E611" i="28"/>
  <c r="E610" i="28"/>
  <c r="E609" i="28"/>
  <c r="E608" i="28"/>
  <c r="E607" i="28"/>
  <c r="E606" i="28"/>
  <c r="E605" i="28"/>
  <c r="E604" i="28"/>
  <c r="E603" i="28"/>
  <c r="E602" i="28"/>
  <c r="E601" i="28"/>
  <c r="E600" i="28"/>
  <c r="E599" i="28"/>
  <c r="E598" i="28"/>
  <c r="E597" i="28"/>
  <c r="E596" i="28"/>
  <c r="E595" i="28"/>
  <c r="E594" i="28"/>
  <c r="E593" i="28"/>
  <c r="E592" i="28"/>
  <c r="E591" i="28"/>
  <c r="E590" i="28"/>
  <c r="E589" i="28"/>
  <c r="E588" i="28"/>
  <c r="F588" i="43" s="1"/>
  <c r="G588" i="43" s="1"/>
  <c r="E587" i="28"/>
  <c r="E586" i="28"/>
  <c r="E585" i="28"/>
  <c r="F585" i="43" s="1"/>
  <c r="G585" i="43" s="1"/>
  <c r="E584" i="28"/>
  <c r="F584" i="43" s="1"/>
  <c r="G584" i="43" s="1"/>
  <c r="E583" i="28"/>
  <c r="E582" i="28"/>
  <c r="F582" i="43" s="1"/>
  <c r="G582" i="43" s="1"/>
  <c r="E581" i="28"/>
  <c r="F581" i="43" s="1"/>
  <c r="G581" i="43" s="1"/>
  <c r="E580" i="28"/>
  <c r="E579" i="28"/>
  <c r="E578" i="28"/>
  <c r="F578" i="43" s="1"/>
  <c r="G578" i="43" s="1"/>
  <c r="E577" i="28"/>
  <c r="E576" i="28"/>
  <c r="E575" i="28"/>
  <c r="E574" i="28"/>
  <c r="E573" i="28"/>
  <c r="E572" i="28"/>
  <c r="E571" i="28"/>
  <c r="E570" i="28"/>
  <c r="E569" i="28"/>
  <c r="E568" i="28"/>
  <c r="E567" i="28"/>
  <c r="E566" i="28"/>
  <c r="E565" i="28"/>
  <c r="E564" i="28"/>
  <c r="E563" i="28"/>
  <c r="E562" i="28"/>
  <c r="E561" i="28"/>
  <c r="E560" i="28"/>
  <c r="E559" i="28"/>
  <c r="F559" i="43" s="1"/>
  <c r="G559" i="43" s="1"/>
  <c r="E558" i="28"/>
  <c r="E557" i="28"/>
  <c r="E556" i="28"/>
  <c r="F556" i="43" s="1"/>
  <c r="G556" i="43" s="1"/>
  <c r="E555" i="28"/>
  <c r="E554" i="28"/>
  <c r="E553" i="28"/>
  <c r="E552" i="28"/>
  <c r="E551" i="28"/>
  <c r="E550" i="28"/>
  <c r="E549" i="28"/>
  <c r="E548" i="28"/>
  <c r="E547" i="28"/>
  <c r="E546" i="28"/>
  <c r="E545" i="28"/>
  <c r="E544" i="28"/>
  <c r="F544" i="43" s="1"/>
  <c r="G544" i="43" s="1"/>
  <c r="E543" i="28"/>
  <c r="F543" i="43" s="1"/>
  <c r="G543" i="43" s="1"/>
  <c r="E542" i="28"/>
  <c r="E541" i="28"/>
  <c r="E540" i="28"/>
  <c r="E539" i="28"/>
  <c r="E538" i="28"/>
  <c r="E537" i="28"/>
  <c r="E536" i="28"/>
  <c r="E535" i="28"/>
  <c r="F535" i="43" s="1"/>
  <c r="G535" i="43" s="1"/>
  <c r="E534" i="28"/>
  <c r="E533" i="28"/>
  <c r="E532" i="28"/>
  <c r="F532" i="43" s="1"/>
  <c r="G532" i="43" s="1"/>
  <c r="E531" i="28"/>
  <c r="E530" i="28"/>
  <c r="E529" i="28"/>
  <c r="E528" i="28"/>
  <c r="T76" i="2" s="1"/>
  <c r="E527" i="28"/>
  <c r="F527" i="43" s="1"/>
  <c r="G527" i="43" s="1"/>
  <c r="E526" i="28"/>
  <c r="E525" i="28"/>
  <c r="E524" i="28"/>
  <c r="F524" i="43" s="1"/>
  <c r="G524" i="43" s="1"/>
  <c r="E523" i="28"/>
  <c r="E522" i="28"/>
  <c r="E521" i="28"/>
  <c r="F521" i="43" s="1"/>
  <c r="G521" i="43" s="1"/>
  <c r="E520" i="28"/>
  <c r="F520" i="43" s="1"/>
  <c r="G520" i="43" s="1"/>
  <c r="E519" i="28"/>
  <c r="F519" i="43" s="1"/>
  <c r="G519" i="43" s="1"/>
  <c r="E518" i="28"/>
  <c r="E517" i="28"/>
  <c r="F517" i="43" s="1"/>
  <c r="G517" i="43" s="1"/>
  <c r="E516" i="28"/>
  <c r="E515" i="28"/>
  <c r="E514" i="28"/>
  <c r="F514" i="43" s="1"/>
  <c r="G514" i="43" s="1"/>
  <c r="E513" i="28"/>
  <c r="E512" i="28"/>
  <c r="E511" i="28"/>
  <c r="E510" i="28"/>
  <c r="E509" i="28"/>
  <c r="F509" i="43" s="1"/>
  <c r="G509" i="43" s="1"/>
  <c r="E508" i="28"/>
  <c r="E507" i="28"/>
  <c r="F507" i="43" s="1"/>
  <c r="G507" i="43" s="1"/>
  <c r="E506" i="28"/>
  <c r="E505" i="28"/>
  <c r="E504" i="28"/>
  <c r="F504" i="43" s="1"/>
  <c r="G504" i="43" s="1"/>
  <c r="E503" i="28"/>
  <c r="E502" i="28"/>
  <c r="F502" i="43" s="1"/>
  <c r="G502" i="43" s="1"/>
  <c r="E501" i="28"/>
  <c r="F501" i="43" s="1"/>
  <c r="G501" i="43" s="1"/>
  <c r="E500" i="28"/>
  <c r="T59" i="2" s="1"/>
  <c r="E499" i="28"/>
  <c r="E498" i="28"/>
  <c r="E497" i="28"/>
  <c r="F497" i="43" s="1"/>
  <c r="G497" i="43" s="1"/>
  <c r="E496" i="28"/>
  <c r="E495" i="28"/>
  <c r="E494" i="28"/>
  <c r="E493" i="28"/>
  <c r="E492" i="28"/>
  <c r="F492" i="43" s="1"/>
  <c r="G492" i="43" s="1"/>
  <c r="E491" i="28"/>
  <c r="E490" i="28"/>
  <c r="E489" i="28"/>
  <c r="F489" i="43" s="1"/>
  <c r="G489" i="43" s="1"/>
  <c r="E488" i="28"/>
  <c r="E487" i="28"/>
  <c r="F487" i="43" s="1"/>
  <c r="G487" i="43" s="1"/>
  <c r="E486" i="28"/>
  <c r="E485" i="28"/>
  <c r="E484" i="28"/>
  <c r="F484" i="43" s="1"/>
  <c r="G484" i="43" s="1"/>
  <c r="E483" i="28"/>
  <c r="E482" i="28"/>
  <c r="E481" i="28"/>
  <c r="E480" i="28"/>
  <c r="F480" i="43" s="1"/>
  <c r="G480" i="43" s="1"/>
  <c r="E479" i="28"/>
  <c r="F479" i="43" s="1"/>
  <c r="G479" i="43" s="1"/>
  <c r="E478" i="28"/>
  <c r="F478" i="43" s="1"/>
  <c r="G478" i="43" s="1"/>
  <c r="E477" i="28"/>
  <c r="E476" i="28"/>
  <c r="E475" i="28"/>
  <c r="F475" i="43" s="1"/>
  <c r="G475" i="43" s="1"/>
  <c r="E474" i="28"/>
  <c r="E473" i="28"/>
  <c r="E472" i="28"/>
  <c r="E471" i="28"/>
  <c r="F471" i="43" s="1"/>
  <c r="G471" i="43" s="1"/>
  <c r="E470" i="28"/>
  <c r="E469" i="28"/>
  <c r="F469" i="43" s="1"/>
  <c r="G469" i="43" s="1"/>
  <c r="E468" i="28"/>
  <c r="F468" i="43" s="1"/>
  <c r="G468" i="43" s="1"/>
  <c r="E467" i="28"/>
  <c r="F467" i="43" s="1"/>
  <c r="G467" i="43" s="1"/>
  <c r="E466" i="28"/>
  <c r="E465" i="28"/>
  <c r="E464" i="28"/>
  <c r="E463" i="28"/>
  <c r="E462" i="28"/>
  <c r="E461" i="28"/>
  <c r="F461" i="43" s="1"/>
  <c r="G461" i="43" s="1"/>
  <c r="E460" i="28"/>
  <c r="E459" i="28"/>
  <c r="E458" i="28"/>
  <c r="E457" i="28"/>
  <c r="E456" i="28"/>
  <c r="E455" i="28"/>
  <c r="E454" i="28"/>
  <c r="F454" i="43" s="1"/>
  <c r="G454" i="43" s="1"/>
  <c r="E453" i="28"/>
  <c r="F453" i="43" s="1"/>
  <c r="G453" i="43" s="1"/>
  <c r="E452" i="28"/>
  <c r="E451" i="28"/>
  <c r="E450" i="28"/>
  <c r="E449" i="28"/>
  <c r="F449" i="43" s="1"/>
  <c r="G449" i="43" s="1"/>
  <c r="E448" i="28"/>
  <c r="E447" i="28"/>
  <c r="E446" i="28"/>
  <c r="F446" i="43" s="1"/>
  <c r="G446" i="43" s="1"/>
  <c r="E445" i="28"/>
  <c r="F445" i="43" s="1"/>
  <c r="G445" i="43" s="1"/>
  <c r="E444" i="28"/>
  <c r="E443" i="28"/>
  <c r="F443" i="43" s="1"/>
  <c r="G443" i="43" s="1"/>
  <c r="E442" i="28"/>
  <c r="E441" i="28"/>
  <c r="E440" i="28"/>
  <c r="E439" i="28"/>
  <c r="E438" i="28"/>
  <c r="F438" i="43" s="1"/>
  <c r="G438" i="43" s="1"/>
  <c r="E437" i="28"/>
  <c r="F437" i="43" s="1"/>
  <c r="G437" i="43" s="1"/>
  <c r="E436" i="28"/>
  <c r="E435" i="28"/>
  <c r="E434" i="28"/>
  <c r="E433" i="28"/>
  <c r="E432" i="28"/>
  <c r="F432" i="43" s="1"/>
  <c r="G432" i="43" s="1"/>
  <c r="E431" i="28"/>
  <c r="E430" i="28"/>
  <c r="E429" i="28"/>
  <c r="E428" i="28"/>
  <c r="E427" i="28"/>
  <c r="E426" i="28"/>
  <c r="E425" i="28"/>
  <c r="F425" i="43" s="1"/>
  <c r="G425" i="43" s="1"/>
  <c r="E424" i="28"/>
  <c r="E423" i="28"/>
  <c r="F423" i="43" s="1"/>
  <c r="G423" i="43" s="1"/>
  <c r="E422" i="28"/>
  <c r="E421" i="28"/>
  <c r="F421" i="43" s="1"/>
  <c r="G421" i="43" s="1"/>
  <c r="E420" i="28"/>
  <c r="F420" i="43" s="1"/>
  <c r="G420" i="43" s="1"/>
  <c r="E419" i="28"/>
  <c r="E418" i="28"/>
  <c r="E417" i="28"/>
  <c r="E416" i="28"/>
  <c r="E415" i="28"/>
  <c r="E414" i="28"/>
  <c r="E413" i="28"/>
  <c r="F413" i="43" s="1"/>
  <c r="G413" i="43" s="1"/>
  <c r="E412" i="28"/>
  <c r="E411" i="28"/>
  <c r="E410" i="28"/>
  <c r="F410" i="43" s="1"/>
  <c r="G410" i="43" s="1"/>
  <c r="E409" i="28"/>
  <c r="E408" i="28"/>
  <c r="E407" i="28"/>
  <c r="E406" i="28"/>
  <c r="F406" i="43" s="1"/>
  <c r="G406" i="43" s="1"/>
  <c r="E405" i="28"/>
  <c r="E404" i="28"/>
  <c r="E403" i="28"/>
  <c r="E402" i="28"/>
  <c r="F402" i="43" s="1"/>
  <c r="G402" i="43" s="1"/>
  <c r="E401" i="28"/>
  <c r="E400" i="28"/>
  <c r="E399" i="28"/>
  <c r="E398" i="28"/>
  <c r="F398" i="43" s="1"/>
  <c r="G398" i="43" s="1"/>
  <c r="E397" i="28"/>
  <c r="E396" i="28"/>
  <c r="F396" i="43" s="1"/>
  <c r="G396" i="43" s="1"/>
  <c r="E395" i="28"/>
  <c r="E394" i="28"/>
  <c r="E393" i="28"/>
  <c r="E392" i="28"/>
  <c r="F392" i="43" s="1"/>
  <c r="G392" i="43" s="1"/>
  <c r="E391" i="28"/>
  <c r="E390" i="28"/>
  <c r="F390" i="43" s="1"/>
  <c r="G390" i="43" s="1"/>
  <c r="E389" i="28"/>
  <c r="F389" i="43" s="1"/>
  <c r="G389" i="43" s="1"/>
  <c r="E388" i="28"/>
  <c r="E387" i="28"/>
  <c r="F387" i="43" s="1"/>
  <c r="G387" i="43" s="1"/>
  <c r="E386" i="28"/>
  <c r="E385" i="28"/>
  <c r="F385" i="43" s="1"/>
  <c r="G385" i="43" s="1"/>
  <c r="E384" i="28"/>
  <c r="E383" i="28"/>
  <c r="E382" i="28"/>
  <c r="F382" i="43" s="1"/>
  <c r="G382" i="43" s="1"/>
  <c r="E381" i="28"/>
  <c r="E380" i="28"/>
  <c r="F380" i="43" s="1"/>
  <c r="G380" i="43" s="1"/>
  <c r="E379" i="28"/>
  <c r="E378" i="28"/>
  <c r="E377" i="28"/>
  <c r="F377" i="43" s="1"/>
  <c r="G377" i="43" s="1"/>
  <c r="E376" i="28"/>
  <c r="E375" i="28"/>
  <c r="E374" i="28"/>
  <c r="E373" i="28"/>
  <c r="E372" i="28"/>
  <c r="E371" i="28"/>
  <c r="E370" i="28"/>
  <c r="F370" i="43" s="1"/>
  <c r="G370" i="43" s="1"/>
  <c r="E369" i="28"/>
  <c r="E368" i="28"/>
  <c r="E367" i="28"/>
  <c r="E366" i="28"/>
  <c r="F366" i="43" s="1"/>
  <c r="G366" i="43" s="1"/>
  <c r="E365" i="28"/>
  <c r="E364" i="28"/>
  <c r="F364" i="43" s="1"/>
  <c r="G364" i="43" s="1"/>
  <c r="E363" i="28"/>
  <c r="F363" i="43" s="1"/>
  <c r="G363" i="43" s="1"/>
  <c r="E362" i="28"/>
  <c r="F362" i="43" s="1"/>
  <c r="G362" i="43" s="1"/>
  <c r="E361" i="28"/>
  <c r="E360" i="28"/>
  <c r="E359" i="28"/>
  <c r="F359" i="43" s="1"/>
  <c r="G359" i="43" s="1"/>
  <c r="E358" i="28"/>
  <c r="E357" i="28"/>
  <c r="E356" i="28"/>
  <c r="E355" i="28"/>
  <c r="E354" i="28"/>
  <c r="E353" i="28"/>
  <c r="E352" i="28"/>
  <c r="E351" i="28"/>
  <c r="E350" i="28"/>
  <c r="E349" i="28"/>
  <c r="E348" i="28"/>
  <c r="E347" i="28"/>
  <c r="F347" i="43" s="1"/>
  <c r="G347" i="43" s="1"/>
  <c r="E346" i="28"/>
  <c r="E345" i="28"/>
  <c r="F345" i="43" s="1"/>
  <c r="G345" i="43" s="1"/>
  <c r="E344" i="28"/>
  <c r="F344" i="43" s="1"/>
  <c r="G344" i="43" s="1"/>
  <c r="E343" i="28"/>
  <c r="F343" i="43" s="1"/>
  <c r="G343" i="43" s="1"/>
  <c r="E342" i="28"/>
  <c r="E341" i="28"/>
  <c r="E340" i="28"/>
  <c r="E339" i="28"/>
  <c r="F339" i="43" s="1"/>
  <c r="G339" i="43" s="1"/>
  <c r="E338" i="28"/>
  <c r="E337" i="28"/>
  <c r="E336" i="28"/>
  <c r="F336" i="43" s="1"/>
  <c r="G336" i="43" s="1"/>
  <c r="E335" i="28"/>
  <c r="E334" i="28"/>
  <c r="F334" i="43" s="1"/>
  <c r="G334" i="43" s="1"/>
  <c r="E333" i="28"/>
  <c r="E332" i="28"/>
  <c r="E331" i="28"/>
  <c r="E330" i="28"/>
  <c r="E329" i="28"/>
  <c r="F329" i="43" s="1"/>
  <c r="G329" i="43" s="1"/>
  <c r="E328" i="28"/>
  <c r="F328" i="43" s="1"/>
  <c r="G328" i="43" s="1"/>
  <c r="E327" i="28"/>
  <c r="E326" i="28"/>
  <c r="E325" i="28"/>
  <c r="E324" i="28"/>
  <c r="E323" i="28"/>
  <c r="F323" i="43" s="1"/>
  <c r="G323" i="43" s="1"/>
  <c r="E322" i="28"/>
  <c r="E321" i="28"/>
  <c r="F321" i="43" s="1"/>
  <c r="G321" i="43" s="1"/>
  <c r="E320" i="28"/>
  <c r="E319" i="28"/>
  <c r="F319" i="43" s="1"/>
  <c r="G319" i="43" s="1"/>
  <c r="E318" i="28"/>
  <c r="E317" i="28"/>
  <c r="E316" i="28"/>
  <c r="F316" i="43" s="1"/>
  <c r="G316" i="43" s="1"/>
  <c r="E315" i="28"/>
  <c r="E314" i="28"/>
  <c r="E313" i="28"/>
  <c r="F313" i="43" s="1"/>
  <c r="G313" i="43" s="1"/>
  <c r="E312" i="28"/>
  <c r="E311" i="28"/>
  <c r="E310" i="28"/>
  <c r="E309" i="28"/>
  <c r="E308" i="28"/>
  <c r="E307" i="28"/>
  <c r="F307" i="43" s="1"/>
  <c r="G307" i="43" s="1"/>
  <c r="E306" i="28"/>
  <c r="E305" i="28"/>
  <c r="E304" i="28"/>
  <c r="E303" i="28"/>
  <c r="E302" i="28"/>
  <c r="E301" i="28"/>
  <c r="E300" i="28"/>
  <c r="F300" i="43" s="1"/>
  <c r="G300" i="43" s="1"/>
  <c r="E299" i="28"/>
  <c r="F299" i="43" s="1"/>
  <c r="G299" i="43" s="1"/>
  <c r="E298" i="28"/>
  <c r="E297" i="28"/>
  <c r="E296" i="28"/>
  <c r="F296" i="43" s="1"/>
  <c r="G296" i="43" s="1"/>
  <c r="E295" i="28"/>
  <c r="E294" i="28"/>
  <c r="F294" i="43" s="1"/>
  <c r="G294" i="43" s="1"/>
  <c r="E293" i="28"/>
  <c r="E292" i="28"/>
  <c r="E291" i="28"/>
  <c r="E290" i="28"/>
  <c r="E289" i="28"/>
  <c r="F289" i="43" s="1"/>
  <c r="G289" i="43" s="1"/>
  <c r="E288" i="28"/>
  <c r="E287" i="28"/>
  <c r="E286" i="28"/>
  <c r="F286" i="43" s="1"/>
  <c r="G286" i="43" s="1"/>
  <c r="E285" i="28"/>
  <c r="E284" i="28"/>
  <c r="F284" i="43" s="1"/>
  <c r="G284" i="43" s="1"/>
  <c r="E283" i="28"/>
  <c r="E282" i="28"/>
  <c r="E281" i="28"/>
  <c r="F281" i="43" s="1"/>
  <c r="G281" i="43" s="1"/>
  <c r="E280" i="28"/>
  <c r="E279" i="28"/>
  <c r="E278" i="28"/>
  <c r="E277" i="28"/>
  <c r="E276" i="28"/>
  <c r="E275" i="28"/>
  <c r="E274" i="28"/>
  <c r="E273" i="28"/>
  <c r="E272" i="28"/>
  <c r="E271" i="28"/>
  <c r="E270" i="28"/>
  <c r="E269" i="28"/>
  <c r="E268" i="28"/>
  <c r="E267" i="28"/>
  <c r="E266" i="28"/>
  <c r="E265" i="28"/>
  <c r="E264" i="28"/>
  <c r="E263" i="28"/>
  <c r="E262" i="28"/>
  <c r="E261" i="28"/>
  <c r="E260" i="28"/>
  <c r="E259" i="28"/>
  <c r="E258" i="28"/>
  <c r="E257" i="28"/>
  <c r="E256" i="28"/>
  <c r="E255" i="28"/>
  <c r="E254" i="28"/>
  <c r="E253" i="28"/>
  <c r="E252" i="28"/>
  <c r="F252" i="43" s="1"/>
  <c r="G252" i="43" s="1"/>
  <c r="E251" i="28"/>
  <c r="E250" i="28"/>
  <c r="E249" i="28"/>
  <c r="E248" i="28"/>
  <c r="F248" i="43" s="1"/>
  <c r="G248" i="43" s="1"/>
  <c r="E247" i="28"/>
  <c r="E246" i="28"/>
  <c r="E245" i="28"/>
  <c r="F245" i="43" s="1"/>
  <c r="G245" i="43" s="1"/>
  <c r="E244" i="28"/>
  <c r="T36" i="2" s="1"/>
  <c r="E243" i="28"/>
  <c r="F243" i="43" s="1"/>
  <c r="G243" i="43" s="1"/>
  <c r="E242" i="28"/>
  <c r="E241" i="28"/>
  <c r="F241" i="43" s="1"/>
  <c r="G241" i="43" s="1"/>
  <c r="E240" i="28"/>
  <c r="E239" i="28"/>
  <c r="E238" i="28"/>
  <c r="F238" i="43" s="1"/>
  <c r="G238" i="43" s="1"/>
  <c r="E237" i="28"/>
  <c r="E236" i="28"/>
  <c r="E235" i="28"/>
  <c r="F235" i="43" s="1"/>
  <c r="G235" i="43" s="1"/>
  <c r="E234" i="28"/>
  <c r="E233" i="28"/>
  <c r="F233" i="43" s="1"/>
  <c r="G233" i="43" s="1"/>
  <c r="E232" i="28"/>
  <c r="E231" i="28"/>
  <c r="E230" i="28"/>
  <c r="E229" i="28"/>
  <c r="E228" i="28"/>
  <c r="E227" i="28"/>
  <c r="E226" i="28"/>
  <c r="E225" i="28"/>
  <c r="F225" i="43" s="1"/>
  <c r="G225" i="43" s="1"/>
  <c r="E224" i="28"/>
  <c r="E223" i="28"/>
  <c r="E222" i="28"/>
  <c r="F222" i="43" s="1"/>
  <c r="G222" i="43" s="1"/>
  <c r="E221" i="28"/>
  <c r="E220" i="28"/>
  <c r="E219" i="28"/>
  <c r="E218" i="28"/>
  <c r="E217" i="28"/>
  <c r="E216" i="28"/>
  <c r="E215" i="28"/>
  <c r="E214" i="28"/>
  <c r="F214" i="43" s="1"/>
  <c r="G214" i="43" s="1"/>
  <c r="E213" i="28"/>
  <c r="E212" i="28"/>
  <c r="E211" i="28"/>
  <c r="E210" i="28"/>
  <c r="E209" i="28"/>
  <c r="E208" i="28"/>
  <c r="F208" i="43" s="1"/>
  <c r="G208" i="43" s="1"/>
  <c r="E207" i="28"/>
  <c r="F207" i="43" s="1"/>
  <c r="G207" i="43" s="1"/>
  <c r="E206" i="28"/>
  <c r="E205" i="28"/>
  <c r="E204" i="28"/>
  <c r="E203" i="28"/>
  <c r="E202" i="28"/>
  <c r="E201" i="28"/>
  <c r="E200" i="28"/>
  <c r="E199" i="28"/>
  <c r="E198" i="28"/>
  <c r="F198" i="43" s="1"/>
  <c r="G198" i="43" s="1"/>
  <c r="E197" i="28"/>
  <c r="E196" i="28"/>
  <c r="E195" i="28"/>
  <c r="E194" i="28"/>
  <c r="E193" i="28"/>
  <c r="F193" i="43" s="1"/>
  <c r="G193" i="43" s="1"/>
  <c r="E192" i="28"/>
  <c r="E191" i="28"/>
  <c r="E190" i="28"/>
  <c r="E189" i="28"/>
  <c r="E188" i="28"/>
  <c r="E187" i="28"/>
  <c r="E186" i="28"/>
  <c r="E185" i="28"/>
  <c r="E184" i="28"/>
  <c r="E183" i="28"/>
  <c r="E182" i="28"/>
  <c r="E181" i="28"/>
  <c r="E180" i="28"/>
  <c r="F180" i="43" s="1"/>
  <c r="G180" i="43" s="1"/>
  <c r="E179" i="28"/>
  <c r="E178" i="28"/>
  <c r="E177" i="28"/>
  <c r="F177" i="43" s="1"/>
  <c r="G177" i="43" s="1"/>
  <c r="E176" i="28"/>
  <c r="E175" i="28"/>
  <c r="E174" i="28"/>
  <c r="E173" i="28"/>
  <c r="E172" i="28"/>
  <c r="E171" i="28"/>
  <c r="T49" i="2" s="1"/>
  <c r="E170" i="28"/>
  <c r="E169" i="28"/>
  <c r="E168" i="28"/>
  <c r="E167" i="28"/>
  <c r="F167" i="43" s="1"/>
  <c r="G167" i="43" s="1"/>
  <c r="E166" i="28"/>
  <c r="T56" i="2" s="1"/>
  <c r="E165" i="28"/>
  <c r="E164" i="28"/>
  <c r="E163" i="28"/>
  <c r="E162" i="28"/>
  <c r="E161" i="28"/>
  <c r="E160" i="28"/>
  <c r="E159" i="28"/>
  <c r="T32" i="2" s="1"/>
  <c r="E158" i="28"/>
  <c r="E157" i="28"/>
  <c r="E156" i="28"/>
  <c r="E155" i="28"/>
  <c r="E154" i="28"/>
  <c r="E153" i="28"/>
  <c r="E152" i="28"/>
  <c r="E151" i="28"/>
  <c r="E150" i="28"/>
  <c r="E149" i="28"/>
  <c r="E148" i="28"/>
  <c r="F148" i="43" s="1"/>
  <c r="G148" i="43" s="1"/>
  <c r="E147" i="28"/>
  <c r="E146" i="28"/>
  <c r="E145" i="28"/>
  <c r="E144" i="28"/>
  <c r="E143" i="28"/>
  <c r="E142" i="28"/>
  <c r="E141" i="28"/>
  <c r="E140" i="28"/>
  <c r="E139" i="28"/>
  <c r="E138" i="28"/>
  <c r="F138" i="43" s="1"/>
  <c r="G138" i="43" s="1"/>
  <c r="E137" i="28"/>
  <c r="F137" i="43" s="1"/>
  <c r="G137" i="43" s="1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F123" i="43" s="1"/>
  <c r="G123" i="43" s="1"/>
  <c r="E122" i="28"/>
  <c r="E121" i="28"/>
  <c r="F121" i="43" s="1"/>
  <c r="G121" i="43" s="1"/>
  <c r="E120" i="28"/>
  <c r="E119" i="28"/>
  <c r="E118" i="28"/>
  <c r="E117" i="28"/>
  <c r="E116" i="28"/>
  <c r="E115" i="28"/>
  <c r="E114" i="28"/>
  <c r="F114" i="43" s="1"/>
  <c r="G114" i="43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F96" i="43" s="1"/>
  <c r="G96" i="43" s="1"/>
  <c r="E95" i="28"/>
  <c r="E94" i="28"/>
  <c r="E93" i="28"/>
  <c r="E92" i="28"/>
  <c r="E91" i="28"/>
  <c r="E90" i="28"/>
  <c r="E89" i="28"/>
  <c r="E88" i="28"/>
  <c r="F88" i="43" s="1"/>
  <c r="G88" i="43" s="1"/>
  <c r="E87" i="28"/>
  <c r="E86" i="28"/>
  <c r="E85" i="28"/>
  <c r="E84" i="28"/>
  <c r="F84" i="43" s="1"/>
  <c r="G84" i="43" s="1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F71" i="43" s="1"/>
  <c r="G71" i="43" s="1"/>
  <c r="E70" i="28"/>
  <c r="E69" i="28"/>
  <c r="E68" i="28"/>
  <c r="E67" i="28"/>
  <c r="E66" i="28"/>
  <c r="E65" i="28"/>
  <c r="E64" i="28"/>
  <c r="E63" i="28"/>
  <c r="T34" i="2" s="1"/>
  <c r="E62" i="28"/>
  <c r="E61" i="28"/>
  <c r="F61" i="43" s="1"/>
  <c r="G61" i="43" s="1"/>
  <c r="E60" i="28"/>
  <c r="E59" i="28"/>
  <c r="E58" i="28"/>
  <c r="F58" i="43" s="1"/>
  <c r="G58" i="43" s="1"/>
  <c r="E57" i="28"/>
  <c r="E56" i="28"/>
  <c r="F56" i="43" s="1"/>
  <c r="G56" i="43" s="1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F40" i="43" s="1"/>
  <c r="G40" i="43" s="1"/>
  <c r="E39" i="28"/>
  <c r="F39" i="43" s="1"/>
  <c r="G39" i="43" s="1"/>
  <c r="E38" i="28"/>
  <c r="E37" i="28"/>
  <c r="E36" i="28"/>
  <c r="E35" i="28"/>
  <c r="E34" i="28"/>
  <c r="E33" i="28"/>
  <c r="F33" i="43" s="1"/>
  <c r="G33" i="43" s="1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F19" i="43" s="1"/>
  <c r="G19" i="43" s="1"/>
  <c r="E18" i="28"/>
  <c r="E17" i="28"/>
  <c r="E16" i="28"/>
  <c r="F16" i="43" s="1"/>
  <c r="G16" i="43" s="1"/>
  <c r="E15" i="28"/>
  <c r="E14" i="28"/>
  <c r="E13" i="28"/>
  <c r="E12" i="28"/>
  <c r="E11" i="28"/>
  <c r="E10" i="28"/>
  <c r="E9" i="28"/>
  <c r="E8" i="28"/>
  <c r="E7" i="28"/>
  <c r="E6" i="28"/>
  <c r="E5" i="28"/>
  <c r="E4" i="28"/>
  <c r="E3" i="28"/>
  <c r="E2" i="28"/>
  <c r="AE82" i="2" l="1"/>
  <c r="V82" i="2"/>
  <c r="W82" i="2" s="1"/>
  <c r="AE78" i="2"/>
  <c r="V78" i="2"/>
  <c r="W78" i="2" s="1"/>
  <c r="F1190" i="43"/>
  <c r="G1190" i="43" s="1"/>
  <c r="T77" i="2"/>
  <c r="T41" i="2"/>
  <c r="AE41" i="2" s="1"/>
  <c r="AE76" i="2"/>
  <c r="V76" i="2"/>
  <c r="W76" i="2" s="1"/>
  <c r="AE74" i="2"/>
  <c r="V74" i="2"/>
  <c r="W74" i="2" s="1"/>
  <c r="F332" i="43"/>
  <c r="G332" i="43" s="1"/>
  <c r="T81" i="2"/>
  <c r="F456" i="43"/>
  <c r="G456" i="43" s="1"/>
  <c r="T80" i="2"/>
  <c r="F330" i="43"/>
  <c r="G330" i="43" s="1"/>
  <c r="T79" i="2"/>
  <c r="F1146" i="43"/>
  <c r="G1146" i="43" s="1"/>
  <c r="T75" i="2"/>
  <c r="F1150" i="43"/>
  <c r="G1150" i="43" s="1"/>
  <c r="T72" i="2"/>
  <c r="AE73" i="2"/>
  <c r="V73" i="2"/>
  <c r="W73" i="2" s="1"/>
  <c r="F1100" i="43"/>
  <c r="G1100" i="43" s="1"/>
  <c r="T96" i="2"/>
  <c r="F594" i="43"/>
  <c r="G594" i="43" s="1"/>
  <c r="T95" i="2"/>
  <c r="F727" i="43"/>
  <c r="G727" i="43" s="1"/>
  <c r="T68" i="2"/>
  <c r="F525" i="43"/>
  <c r="G525" i="43" s="1"/>
  <c r="T69" i="2"/>
  <c r="F1536" i="43"/>
  <c r="G1536" i="43" s="1"/>
  <c r="T57" i="2"/>
  <c r="F699" i="43"/>
  <c r="G699" i="43" s="1"/>
  <c r="T60" i="2"/>
  <c r="F1203" i="43"/>
  <c r="G1203" i="43" s="1"/>
  <c r="T58" i="2"/>
  <c r="F1156" i="43"/>
  <c r="G1156" i="43" s="1"/>
  <c r="T62" i="2"/>
  <c r="T44" i="2"/>
  <c r="V44" i="2" s="1"/>
  <c r="W44" i="2" s="1"/>
  <c r="T65" i="2"/>
  <c r="F373" i="43"/>
  <c r="G373" i="43" s="1"/>
  <c r="T63" i="2"/>
  <c r="F418" i="43"/>
  <c r="G418" i="43" s="1"/>
  <c r="T64" i="2"/>
  <c r="T50" i="2"/>
  <c r="V50" i="2" s="1"/>
  <c r="W50" i="2" s="1"/>
  <c r="T55" i="2"/>
  <c r="AE61" i="2"/>
  <c r="V61" i="2"/>
  <c r="W61" i="2" s="1"/>
  <c r="AE59" i="2"/>
  <c r="V59" i="2"/>
  <c r="AE56" i="2"/>
  <c r="V56" i="2"/>
  <c r="W56" i="2" s="1"/>
  <c r="F146" i="43"/>
  <c r="G146" i="43" s="1"/>
  <c r="T42" i="2"/>
  <c r="AE47" i="2"/>
  <c r="V47" i="2"/>
  <c r="W47" i="2" s="1"/>
  <c r="F630" i="43"/>
  <c r="G630" i="43" s="1"/>
  <c r="T51" i="2"/>
  <c r="AE46" i="2"/>
  <c r="V46" i="2"/>
  <c r="W46" i="2" s="1"/>
  <c r="F611" i="43"/>
  <c r="G611" i="43" s="1"/>
  <c r="T52" i="2"/>
  <c r="AE45" i="2"/>
  <c r="V45" i="2"/>
  <c r="W45" i="2" s="1"/>
  <c r="AE49" i="2"/>
  <c r="V49" i="2"/>
  <c r="W49" i="2" s="1"/>
  <c r="F616" i="43"/>
  <c r="G616" i="43" s="1"/>
  <c r="T43" i="2"/>
  <c r="AE48" i="2"/>
  <c r="V48" i="2"/>
  <c r="W48" i="2" s="1"/>
  <c r="AE36" i="2"/>
  <c r="V36" i="2"/>
  <c r="W36" i="2" s="1"/>
  <c r="AE30" i="2"/>
  <c r="V30" i="2"/>
  <c r="F678" i="43"/>
  <c r="G678" i="43" s="1"/>
  <c r="F513" i="43"/>
  <c r="G513" i="43" s="1"/>
  <c r="T35" i="2"/>
  <c r="F533" i="43"/>
  <c r="G533" i="43" s="1"/>
  <c r="T33" i="2"/>
  <c r="F393" i="43"/>
  <c r="G393" i="43" s="1"/>
  <c r="T37" i="2"/>
  <c r="AE34" i="2"/>
  <c r="V34" i="2"/>
  <c r="W34" i="2" s="1"/>
  <c r="AE32" i="2"/>
  <c r="V32" i="2"/>
  <c r="W32" i="2" s="1"/>
  <c r="T38" i="2"/>
  <c r="F888" i="43"/>
  <c r="G888" i="43" s="1"/>
  <c r="T31" i="2"/>
  <c r="F1517" i="43"/>
  <c r="G1517" i="43" s="1"/>
  <c r="F1579" i="43"/>
  <c r="G1579" i="43" s="1"/>
  <c r="F1714" i="43"/>
  <c r="G1714" i="43" s="1"/>
  <c r="F967" i="43"/>
  <c r="G967" i="43" s="1"/>
  <c r="F924" i="43"/>
  <c r="G924" i="43" s="1"/>
  <c r="F1622" i="43"/>
  <c r="G1622" i="43" s="1"/>
  <c r="F1716" i="43"/>
  <c r="G1716" i="43" s="1"/>
  <c r="F1635" i="43"/>
  <c r="G1635" i="43" s="1"/>
  <c r="F1286" i="43"/>
  <c r="G1286" i="43" s="1"/>
  <c r="F1574" i="43"/>
  <c r="G1574" i="43" s="1"/>
  <c r="F1063" i="43"/>
  <c r="G1063" i="43" s="1"/>
  <c r="F1561" i="43"/>
  <c r="G1561" i="43" s="1"/>
  <c r="F1518" i="43"/>
  <c r="G1518" i="43" s="1"/>
  <c r="F403" i="43"/>
  <c r="G403" i="43" s="1"/>
  <c r="F1663" i="43"/>
  <c r="G1663" i="43" s="1"/>
  <c r="F982" i="43"/>
  <c r="G982" i="43" s="1"/>
  <c r="F1449" i="43"/>
  <c r="G1449" i="43" s="1"/>
  <c r="F1676" i="43"/>
  <c r="G1676" i="43" s="1"/>
  <c r="F893" i="43"/>
  <c r="G893" i="43" s="1"/>
  <c r="F1141" i="43"/>
  <c r="G1141" i="43" s="1"/>
  <c r="F1562" i="43"/>
  <c r="G1562" i="43" s="1"/>
  <c r="F83" i="43"/>
  <c r="G83" i="43" s="1"/>
  <c r="F499" i="43"/>
  <c r="G499" i="43" s="1"/>
  <c r="F1623" i="43"/>
  <c r="G1623" i="43" s="1"/>
  <c r="F1119" i="43"/>
  <c r="G1119" i="43" s="1"/>
  <c r="F1505" i="43"/>
  <c r="G1505" i="43" s="1"/>
  <c r="F12" i="43"/>
  <c r="G12" i="43" s="1"/>
  <c r="F113" i="43"/>
  <c r="G113" i="43" s="1"/>
  <c r="F1646" i="43"/>
  <c r="G1646" i="43" s="1"/>
  <c r="F1261" i="43"/>
  <c r="G1261" i="43" s="1"/>
  <c r="F1666" i="43"/>
  <c r="G1666" i="43" s="1"/>
  <c r="F994" i="43"/>
  <c r="G994" i="43" s="1"/>
  <c r="F1013" i="43"/>
  <c r="G1013" i="43" s="1"/>
  <c r="F277" i="43"/>
  <c r="G277" i="43" s="1"/>
  <c r="F703" i="43"/>
  <c r="G703" i="43" s="1"/>
  <c r="F1288" i="43"/>
  <c r="G1288" i="43" s="1"/>
  <c r="F918" i="43"/>
  <c r="G918" i="43" s="1"/>
  <c r="F800" i="43"/>
  <c r="G800" i="43" s="1"/>
  <c r="F1077" i="43"/>
  <c r="G1077" i="43" s="1"/>
  <c r="F1118" i="43"/>
  <c r="G1118" i="43" s="1"/>
  <c r="F953" i="43"/>
  <c r="G953" i="43" s="1"/>
  <c r="F1112" i="43"/>
  <c r="G1112" i="43" s="1"/>
  <c r="F1674" i="43"/>
  <c r="G1674" i="43" s="1"/>
  <c r="F1636" i="43"/>
  <c r="G1636" i="43" s="1"/>
  <c r="F1525" i="43"/>
  <c r="G1525" i="43" s="1"/>
  <c r="F1602" i="43"/>
  <c r="G1602" i="43" s="1"/>
  <c r="F1658" i="43"/>
  <c r="G1658" i="43" s="1"/>
  <c r="F1184" i="43"/>
  <c r="G1184" i="43" s="1"/>
  <c r="F1348" i="43"/>
  <c r="G1348" i="43" s="1"/>
  <c r="F1615" i="43"/>
  <c r="G1615" i="43" s="1"/>
  <c r="F1365" i="43"/>
  <c r="G1365" i="43" s="1"/>
  <c r="F881" i="43"/>
  <c r="G881" i="43" s="1"/>
  <c r="F1023" i="43"/>
  <c r="G1023" i="43" s="1"/>
  <c r="F1290" i="43"/>
  <c r="G1290" i="43" s="1"/>
  <c r="F1415" i="43"/>
  <c r="G1415" i="43" s="1"/>
  <c r="F1619" i="43"/>
  <c r="G1619" i="43" s="1"/>
  <c r="F1088" i="43"/>
  <c r="G1088" i="43" s="1"/>
  <c r="F182" i="43"/>
  <c r="G182" i="43" s="1"/>
  <c r="F1576" i="43"/>
  <c r="G1576" i="43" s="1"/>
  <c r="F1583" i="43"/>
  <c r="G1583" i="43" s="1"/>
  <c r="F1312" i="43"/>
  <c r="G1312" i="43" s="1"/>
  <c r="F1612" i="43"/>
  <c r="G1612" i="43" s="1"/>
  <c r="F1597" i="43"/>
  <c r="G1597" i="43" s="1"/>
  <c r="F1248" i="43"/>
  <c r="G1248" i="43" s="1"/>
  <c r="F1005" i="43"/>
  <c r="G1005" i="43" s="1"/>
  <c r="F1722" i="43"/>
  <c r="G1722" i="43" s="1"/>
  <c r="F1317" i="43"/>
  <c r="G1317" i="43" s="1"/>
  <c r="F862" i="43"/>
  <c r="G862" i="43" s="1"/>
  <c r="F1624" i="43"/>
  <c r="G1624" i="43" s="1"/>
  <c r="F1686" i="43"/>
  <c r="G1686" i="43" s="1"/>
  <c r="F1139" i="43"/>
  <c r="G1139" i="43" s="1"/>
  <c r="F1392" i="43"/>
  <c r="G1392" i="43" s="1"/>
  <c r="F1091" i="43"/>
  <c r="G1091" i="43" s="1"/>
  <c r="F1731" i="43"/>
  <c r="G1731" i="43" s="1"/>
  <c r="F1127" i="43"/>
  <c r="G1127" i="43" s="1"/>
  <c r="F322" i="43"/>
  <c r="G322" i="43" s="1"/>
  <c r="F1516" i="43"/>
  <c r="G1516" i="43" s="1"/>
  <c r="F1620" i="43"/>
  <c r="G1620" i="43" s="1"/>
  <c r="F1705" i="43"/>
  <c r="G1705" i="43" s="1"/>
  <c r="F174" i="43"/>
  <c r="G174" i="43" s="1"/>
  <c r="F93" i="43"/>
  <c r="G93" i="43" s="1"/>
  <c r="F505" i="43"/>
  <c r="G505" i="43" s="1"/>
  <c r="F914" i="43"/>
  <c r="G914" i="43" s="1"/>
  <c r="F941" i="43"/>
  <c r="G941" i="43" s="1"/>
  <c r="F426" i="43"/>
  <c r="G426" i="43" s="1"/>
  <c r="F1411" i="43"/>
  <c r="G1411" i="43" s="1"/>
  <c r="F1717" i="43"/>
  <c r="G1717" i="43" s="1"/>
  <c r="F901" i="43"/>
  <c r="G901" i="43" s="1"/>
  <c r="F1679" i="43"/>
  <c r="G1679" i="43" s="1"/>
  <c r="F1149" i="43"/>
  <c r="G1149" i="43" s="1"/>
  <c r="F1627" i="43"/>
  <c r="G1627" i="43" s="1"/>
  <c r="F115" i="43"/>
  <c r="G115" i="43" s="1"/>
  <c r="F1502" i="43"/>
  <c r="G1502" i="43" s="1"/>
  <c r="F1006" i="43"/>
  <c r="G1006" i="43" s="1"/>
  <c r="F1557" i="43"/>
  <c r="G1557" i="43" s="1"/>
  <c r="F1018" i="43"/>
  <c r="G1018" i="43" s="1"/>
  <c r="F1655" i="43"/>
  <c r="G1655" i="43" s="1"/>
  <c r="F1585" i="43"/>
  <c r="G1585" i="43" s="1"/>
  <c r="F1233" i="43"/>
  <c r="G1233" i="43" s="1"/>
  <c r="F1708" i="43"/>
  <c r="G1708" i="43" s="1"/>
  <c r="F1551" i="43"/>
  <c r="G1551" i="43" s="1"/>
  <c r="F1431" i="43"/>
  <c r="G1431" i="43" s="1"/>
  <c r="F128" i="43"/>
  <c r="G128" i="43" s="1"/>
  <c r="F886" i="43"/>
  <c r="G886" i="43" s="1"/>
  <c r="F1484" i="43"/>
  <c r="G1484" i="43" s="1"/>
  <c r="F1683" i="43"/>
  <c r="G1683" i="43" s="1"/>
  <c r="F1584" i="43"/>
  <c r="G1584" i="43" s="1"/>
  <c r="F1554" i="43"/>
  <c r="G1554" i="43" s="1"/>
  <c r="F450" i="43"/>
  <c r="G450" i="43" s="1"/>
  <c r="F1647" i="43"/>
  <c r="G1647" i="43" s="1"/>
  <c r="F1643" i="43"/>
  <c r="G1643" i="43" s="1"/>
  <c r="F1725" i="43"/>
  <c r="G1725" i="43" s="1"/>
  <c r="F1029" i="43"/>
  <c r="G1029" i="43" s="1"/>
  <c r="F295" i="43"/>
  <c r="G295" i="43" s="1"/>
  <c r="F274" i="43"/>
  <c r="G274" i="43" s="1"/>
  <c r="F259" i="43"/>
  <c r="G259" i="43" s="1"/>
  <c r="F673" i="43"/>
  <c r="G673" i="43" s="1"/>
  <c r="F922" i="43"/>
  <c r="G922" i="43" s="1"/>
  <c r="F735" i="43"/>
  <c r="G735" i="43" s="1"/>
  <c r="F1344" i="43"/>
  <c r="G1344" i="43" s="1"/>
  <c r="F1142" i="43"/>
  <c r="G1142" i="43" s="1"/>
  <c r="F1404" i="43"/>
  <c r="G1404" i="43" s="1"/>
  <c r="F1634" i="43"/>
  <c r="G1634" i="43" s="1"/>
  <c r="F1535" i="43"/>
  <c r="G1535" i="43" s="1"/>
  <c r="F1239" i="43"/>
  <c r="G1239" i="43" s="1"/>
  <c r="F1409" i="43"/>
  <c r="G1409" i="43" s="1"/>
  <c r="F1672" i="43"/>
  <c r="G1672" i="43" s="1"/>
  <c r="F613" i="43"/>
  <c r="G613" i="43" s="1"/>
  <c r="F687" i="43"/>
  <c r="G687" i="43" s="1"/>
  <c r="F1030" i="43"/>
  <c r="G1030" i="43" s="1"/>
  <c r="F42" i="43"/>
  <c r="G42" i="43" s="1"/>
  <c r="F921" i="43"/>
  <c r="G921" i="43" s="1"/>
  <c r="F1359" i="43"/>
  <c r="G1359" i="43" s="1"/>
  <c r="F209" i="43"/>
  <c r="G209" i="43" s="1"/>
  <c r="F1323" i="43"/>
  <c r="G1323" i="43" s="1"/>
  <c r="F1486" i="43"/>
  <c r="G1486" i="43" s="1"/>
  <c r="F1687" i="43"/>
  <c r="G1687" i="43" s="1"/>
  <c r="F1744" i="43"/>
  <c r="G1744" i="43" s="1"/>
  <c r="F1699" i="43"/>
  <c r="G1699" i="43" s="1"/>
  <c r="F431" i="43"/>
  <c r="G431" i="43" s="1"/>
  <c r="F1697" i="43"/>
  <c r="G1697" i="43" s="1"/>
  <c r="F598" i="43"/>
  <c r="G598" i="43" s="1"/>
  <c r="F1610" i="43"/>
  <c r="G1610" i="43" s="1"/>
  <c r="F1001" i="43"/>
  <c r="G1001" i="43" s="1"/>
  <c r="F62" i="43"/>
  <c r="G62" i="43" s="1"/>
  <c r="F676" i="43"/>
  <c r="G676" i="43" s="1"/>
  <c r="F1313" i="43"/>
  <c r="G1313" i="43" s="1"/>
  <c r="F1037" i="43"/>
  <c r="G1037" i="43" s="1"/>
  <c r="F1675" i="43"/>
  <c r="G1675" i="43" s="1"/>
  <c r="F1616" i="43"/>
  <c r="G1616" i="43" s="1"/>
  <c r="F1090" i="43"/>
  <c r="G1090" i="43" s="1"/>
  <c r="F897" i="43"/>
  <c r="G897" i="43" s="1"/>
  <c r="F1473" i="43"/>
  <c r="G1473" i="43" s="1"/>
  <c r="F1556" i="43"/>
  <c r="G1556" i="43" s="1"/>
  <c r="F119" i="43"/>
  <c r="G119" i="43" s="1"/>
  <c r="F82" i="43"/>
  <c r="G82" i="43" s="1"/>
  <c r="F1019" i="43"/>
  <c r="G1019" i="43" s="1"/>
  <c r="F24" i="43"/>
  <c r="G24" i="43" s="1"/>
  <c r="F223" i="43"/>
  <c r="G223" i="43" s="1"/>
  <c r="F801" i="43"/>
  <c r="G801" i="43" s="1"/>
  <c r="F10" i="43"/>
  <c r="G10" i="43" s="1"/>
  <c r="F707" i="43"/>
  <c r="G707" i="43" s="1"/>
  <c r="F50" i="43"/>
  <c r="G50" i="43" s="1"/>
  <c r="F26" i="43"/>
  <c r="G26" i="43" s="1"/>
  <c r="F879" i="43"/>
  <c r="G879" i="43" s="1"/>
  <c r="F136" i="43"/>
  <c r="G136" i="43" s="1"/>
  <c r="F452" i="43"/>
  <c r="G452" i="43" s="1"/>
  <c r="F905" i="43"/>
  <c r="G905" i="43" s="1"/>
  <c r="F213" i="43"/>
  <c r="G213" i="43" s="1"/>
  <c r="F1667" i="43"/>
  <c r="G1667" i="43" s="1"/>
  <c r="F1109" i="43"/>
  <c r="G1109" i="43" s="1"/>
  <c r="F1110" i="43"/>
  <c r="G1110" i="43" s="1"/>
  <c r="F896" i="43"/>
  <c r="G896" i="43" s="1"/>
  <c r="F1062" i="43"/>
  <c r="G1062" i="43" s="1"/>
  <c r="F1528" i="43"/>
  <c r="G1528" i="43" s="1"/>
  <c r="F1374" i="43"/>
  <c r="G1374" i="43" s="1"/>
  <c r="F1736" i="43"/>
  <c r="G1736" i="43" s="1"/>
  <c r="F1591" i="43"/>
  <c r="G1591" i="43" s="1"/>
  <c r="F860" i="43"/>
  <c r="G860" i="43" s="1"/>
  <c r="F54" i="43"/>
  <c r="G54" i="43" s="1"/>
  <c r="F887" i="43"/>
  <c r="G887" i="43" s="1"/>
  <c r="F1618" i="43"/>
  <c r="G1618" i="43" s="1"/>
  <c r="F1092" i="43"/>
  <c r="G1092" i="43" s="1"/>
  <c r="F998" i="43"/>
  <c r="G998" i="43" s="1"/>
  <c r="F1606" i="43"/>
  <c r="G1606" i="43" s="1"/>
  <c r="F103" i="43"/>
  <c r="G103" i="43" s="1"/>
  <c r="F1267" i="43"/>
  <c r="G1267" i="43" s="1"/>
  <c r="F1012" i="43"/>
  <c r="G1012" i="43" s="1"/>
  <c r="F1020" i="43"/>
  <c r="G1020" i="43" s="1"/>
  <c r="F1380" i="43"/>
  <c r="G1380" i="43" s="1"/>
  <c r="F1135" i="43"/>
  <c r="G1135" i="43" s="1"/>
  <c r="F1010" i="43"/>
  <c r="G1010" i="43" s="1"/>
  <c r="F1132" i="43"/>
  <c r="G1132" i="43" s="1"/>
  <c r="F43" i="43"/>
  <c r="G43" i="43" s="1"/>
  <c r="F1412" i="43"/>
  <c r="G1412" i="43" s="1"/>
  <c r="F516" i="43"/>
  <c r="G516" i="43" s="1"/>
  <c r="F1381" i="43"/>
  <c r="G1381" i="43" s="1"/>
  <c r="F976" i="43"/>
  <c r="G976" i="43" s="1"/>
  <c r="F683" i="43"/>
  <c r="G683" i="43" s="1"/>
  <c r="F1120" i="43"/>
  <c r="G1120" i="43" s="1"/>
  <c r="F1349" i="43"/>
  <c r="G1349" i="43" s="1"/>
  <c r="F1408" i="43"/>
  <c r="G1408" i="43" s="1"/>
  <c r="F427" i="43"/>
  <c r="G427" i="43" s="1"/>
  <c r="F1052" i="43"/>
  <c r="G1052" i="43" s="1"/>
  <c r="F1061" i="43"/>
  <c r="G1061" i="43" s="1"/>
  <c r="F1382" i="43"/>
  <c r="G1382" i="43" s="1"/>
  <c r="F1197" i="43"/>
  <c r="G1197" i="43" s="1"/>
  <c r="F1665" i="43"/>
  <c r="G1665" i="43" s="1"/>
  <c r="F939" i="43"/>
  <c r="G939" i="43" s="1"/>
  <c r="F1715" i="43"/>
  <c r="G1715" i="43" s="1"/>
  <c r="F494" i="43"/>
  <c r="G494" i="43" s="1"/>
  <c r="F540" i="43"/>
  <c r="G540" i="43" s="1"/>
  <c r="F1603" i="43"/>
  <c r="G1603" i="43" s="1"/>
  <c r="F391" i="43"/>
  <c r="G391" i="43" s="1"/>
  <c r="F1604" i="43"/>
  <c r="G1604" i="43" s="1"/>
  <c r="F959" i="43"/>
  <c r="G959" i="43" s="1"/>
  <c r="F466" i="43"/>
  <c r="G466" i="43" s="1"/>
  <c r="F246" i="43"/>
  <c r="G246" i="43" s="1"/>
  <c r="F1464" i="43"/>
  <c r="G1464" i="43" s="1"/>
  <c r="F303" i="43"/>
  <c r="G303" i="43" s="1"/>
  <c r="F753" i="43"/>
  <c r="G753" i="43" s="1"/>
  <c r="F429" i="43"/>
  <c r="G429" i="43" s="1"/>
  <c r="F1339" i="43"/>
  <c r="G1339" i="43" s="1"/>
  <c r="F997" i="43"/>
  <c r="G997" i="43" s="1"/>
  <c r="F885" i="43"/>
  <c r="G885" i="43" s="1"/>
  <c r="F276" i="43"/>
  <c r="G276" i="43" s="1"/>
  <c r="F960" i="43"/>
  <c r="G960" i="43" s="1"/>
  <c r="F1547" i="43"/>
  <c r="G1547" i="43" s="1"/>
  <c r="F554" i="43"/>
  <c r="G554" i="43" s="1"/>
  <c r="F1507" i="43"/>
  <c r="G1507" i="43" s="1"/>
  <c r="F548" i="43"/>
  <c r="G548" i="43" s="1"/>
  <c r="F1613" i="43"/>
  <c r="G1613" i="43" s="1"/>
  <c r="F1250" i="43"/>
  <c r="G1250" i="43" s="1"/>
  <c r="F1737" i="43"/>
  <c r="G1737" i="43" s="1"/>
  <c r="F1471" i="43"/>
  <c r="G1471" i="43" s="1"/>
  <c r="F1160" i="43"/>
  <c r="G1160" i="43" s="1"/>
  <c r="F1327" i="43"/>
  <c r="G1327" i="43" s="1"/>
  <c r="F1123" i="43"/>
  <c r="G1123" i="43" s="1"/>
  <c r="F698" i="43"/>
  <c r="G698" i="43" s="1"/>
  <c r="F1491" i="43"/>
  <c r="G1491" i="43" s="1"/>
  <c r="F590" i="43"/>
  <c r="G590" i="43" s="1"/>
  <c r="F1111" i="43"/>
  <c r="G1111" i="43" s="1"/>
  <c r="F1563" i="43"/>
  <c r="G1563" i="43" s="1"/>
  <c r="F1185" i="43"/>
  <c r="G1185" i="43" s="1"/>
  <c r="F668" i="43"/>
  <c r="G668" i="43" s="1"/>
  <c r="F409" i="43"/>
  <c r="G409" i="43" s="1"/>
  <c r="F97" i="43"/>
  <c r="G97" i="43" s="1"/>
  <c r="F1211" i="43"/>
  <c r="G1211" i="43" s="1"/>
  <c r="F1542" i="43"/>
  <c r="G1542" i="43" s="1"/>
  <c r="F949" i="43"/>
  <c r="G949" i="43" s="1"/>
  <c r="F1121" i="43"/>
  <c r="G1121" i="43" s="1"/>
  <c r="F902" i="43"/>
  <c r="G902" i="43" s="1"/>
  <c r="F190" i="43"/>
  <c r="G190" i="43" s="1"/>
  <c r="F1467" i="43"/>
  <c r="G1467" i="43" s="1"/>
  <c r="F1308" i="43"/>
  <c r="G1308" i="43" s="1"/>
  <c r="F1362" i="43"/>
  <c r="G1362" i="43" s="1"/>
  <c r="F1630" i="43"/>
  <c r="G1630" i="43" s="1"/>
  <c r="F1056" i="43"/>
  <c r="G1056" i="43" s="1"/>
  <c r="F992" i="43"/>
  <c r="G992" i="43" s="1"/>
  <c r="F49" i="43"/>
  <c r="G49" i="43" s="1"/>
  <c r="F795" i="43"/>
  <c r="G795" i="43" s="1"/>
  <c r="F681" i="43"/>
  <c r="G681" i="43" s="1"/>
  <c r="F1000" i="43"/>
  <c r="G1000" i="43" s="1"/>
  <c r="F861" i="43"/>
  <c r="G861" i="43" s="1"/>
  <c r="F1553" i="43"/>
  <c r="G1553" i="43" s="1"/>
  <c r="F1101" i="43"/>
  <c r="G1101" i="43" s="1"/>
  <c r="F1257" i="43"/>
  <c r="G1257" i="43" s="1"/>
  <c r="F280" i="43"/>
  <c r="G280" i="43" s="1"/>
  <c r="F1677" i="43"/>
  <c r="G1677" i="43" s="1"/>
  <c r="F1229" i="43"/>
  <c r="G1229" i="43" s="1"/>
  <c r="F846" i="43"/>
  <c r="G846" i="43" s="1"/>
  <c r="F8" i="43"/>
  <c r="G8" i="43" s="1"/>
  <c r="F140" i="43"/>
  <c r="G140" i="43" s="1"/>
  <c r="F1577" i="43"/>
  <c r="G1577" i="43" s="1"/>
  <c r="F275" i="43"/>
  <c r="G275" i="43" s="1"/>
  <c r="F1639" i="43"/>
  <c r="G1639" i="43" s="1"/>
  <c r="F956" i="43"/>
  <c r="G956" i="43" s="1"/>
  <c r="F1104" i="43"/>
  <c r="G1104" i="43" s="1"/>
  <c r="F826" i="43"/>
  <c r="G826" i="43" s="1"/>
  <c r="F1087" i="43"/>
  <c r="G1087" i="43" s="1"/>
  <c r="F1350" i="43"/>
  <c r="G1350" i="43" s="1"/>
  <c r="F1500" i="43"/>
  <c r="G1500" i="43" s="1"/>
  <c r="F599" i="43"/>
  <c r="G599" i="43" s="1"/>
  <c r="F1297" i="43"/>
  <c r="G1297" i="43" s="1"/>
  <c r="F863" i="43"/>
  <c r="G863" i="43" s="1"/>
  <c r="F55" i="43"/>
  <c r="G55" i="43" s="1"/>
  <c r="F1345" i="43"/>
  <c r="G1345" i="43" s="1"/>
  <c r="F212" i="43"/>
  <c r="G212" i="43" s="1"/>
  <c r="F1515" i="43"/>
  <c r="G1515" i="43" s="1"/>
  <c r="F1182" i="43"/>
  <c r="G1182" i="43" s="1"/>
  <c r="F952" i="43"/>
  <c r="G952" i="43" s="1"/>
  <c r="F132" i="43"/>
  <c r="G132" i="43" s="1"/>
  <c r="F726" i="43"/>
  <c r="G726" i="43" s="1"/>
  <c r="F1570" i="43"/>
  <c r="G1570" i="43" s="1"/>
  <c r="F1299" i="43"/>
  <c r="G1299" i="43" s="1"/>
  <c r="F1565" i="43"/>
  <c r="G1565" i="43" s="1"/>
  <c r="F1632" i="43"/>
  <c r="G1632" i="43" s="1"/>
  <c r="F1375" i="43"/>
  <c r="G1375" i="43" s="1"/>
  <c r="F1059" i="43"/>
  <c r="G1059" i="43" s="1"/>
  <c r="F1137" i="43"/>
  <c r="G1137" i="43" s="1"/>
  <c r="F1295" i="43"/>
  <c r="G1295" i="43" s="1"/>
  <c r="F1003" i="43"/>
  <c r="G1003" i="43" s="1"/>
  <c r="F815" i="43"/>
  <c r="G815" i="43" s="1"/>
  <c r="F1403" i="43"/>
  <c r="G1403" i="43" s="1"/>
  <c r="F654" i="43"/>
  <c r="G654" i="43" s="1"/>
  <c r="F59" i="43"/>
  <c r="G59" i="43" s="1"/>
  <c r="F745" i="43"/>
  <c r="G745" i="43" s="1"/>
  <c r="F91" i="43"/>
  <c r="G91" i="43" s="1"/>
  <c r="F1270" i="43"/>
  <c r="G1270" i="43" s="1"/>
  <c r="F1609" i="43"/>
  <c r="G1609" i="43" s="1"/>
  <c r="F1398" i="43"/>
  <c r="G1398" i="43" s="1"/>
  <c r="F704" i="43"/>
  <c r="G704" i="43" s="1"/>
  <c r="F1416" i="43"/>
  <c r="G1416" i="43" s="1"/>
  <c r="F794" i="43"/>
  <c r="G794" i="43" s="1"/>
  <c r="F623" i="43"/>
  <c r="G623" i="43" s="1"/>
  <c r="F724" i="43"/>
  <c r="G724" i="43" s="1"/>
  <c r="F1434" i="43"/>
  <c r="G1434" i="43" s="1"/>
  <c r="F306" i="43"/>
  <c r="G306" i="43" s="1"/>
  <c r="F1053" i="43"/>
  <c r="G1053" i="43" s="1"/>
  <c r="F152" i="43"/>
  <c r="G152" i="43" s="1"/>
  <c r="F674" i="43"/>
  <c r="G674" i="43" s="1"/>
  <c r="F1730" i="43"/>
  <c r="G1730" i="43" s="1"/>
  <c r="F1511" i="43"/>
  <c r="G1511" i="43" s="1"/>
  <c r="F1581" i="43"/>
  <c r="G1581" i="43" s="1"/>
  <c r="F549" i="43"/>
  <c r="G549" i="43" s="1"/>
  <c r="F1685" i="43"/>
  <c r="G1685" i="43" s="1"/>
  <c r="F737" i="43"/>
  <c r="G737" i="43" s="1"/>
  <c r="F1098" i="43"/>
  <c r="G1098" i="43" s="1"/>
  <c r="F937" i="43"/>
  <c r="G937" i="43" s="1"/>
  <c r="F961" i="43"/>
  <c r="G961" i="43" s="1"/>
  <c r="F1684" i="43"/>
  <c r="G1684" i="43" s="1"/>
  <c r="F110" i="43"/>
  <c r="G110" i="43" s="1"/>
  <c r="F1648" i="43"/>
  <c r="G1648" i="43" s="1"/>
  <c r="F1696" i="43"/>
  <c r="G1696" i="43" s="1"/>
  <c r="F1009" i="43"/>
  <c r="G1009" i="43" s="1"/>
  <c r="F1105" i="43"/>
  <c r="G1105" i="43" s="1"/>
  <c r="F1298" i="43"/>
  <c r="G1298" i="43" s="1"/>
  <c r="F1611" i="43"/>
  <c r="G1611" i="43" s="1"/>
  <c r="F441" i="43"/>
  <c r="G441" i="43" s="1"/>
  <c r="F1237" i="43"/>
  <c r="G1237" i="43" s="1"/>
  <c r="F424" i="43"/>
  <c r="G424" i="43" s="1"/>
  <c r="F954" i="43"/>
  <c r="G954" i="43" s="1"/>
  <c r="F1220" i="43"/>
  <c r="G1220" i="43" s="1"/>
  <c r="F1638" i="43"/>
  <c r="G1638" i="43" s="1"/>
  <c r="F1277" i="43"/>
  <c r="G1277" i="43" s="1"/>
  <c r="F1079" i="43"/>
  <c r="G1079" i="43" s="1"/>
  <c r="F1710" i="43"/>
  <c r="G1710" i="43" s="1"/>
  <c r="F1617" i="43"/>
  <c r="G1617" i="43" s="1"/>
  <c r="F1066" i="43"/>
  <c r="G1066" i="43" s="1"/>
  <c r="F1008" i="43"/>
  <c r="G1008" i="43" s="1"/>
  <c r="F759" i="43"/>
  <c r="G759" i="43" s="1"/>
  <c r="F604" i="43"/>
  <c r="G604" i="43" s="1"/>
  <c r="F1660" i="43"/>
  <c r="G1660" i="43" s="1"/>
  <c r="F1243" i="43"/>
  <c r="G1243" i="43" s="1"/>
  <c r="F576" i="43"/>
  <c r="G576" i="43" s="1"/>
  <c r="F149" i="43"/>
  <c r="G149" i="43" s="1"/>
  <c r="F725" i="43"/>
  <c r="G725" i="43" s="1"/>
  <c r="F79" i="43"/>
  <c r="G79" i="43" s="1"/>
  <c r="F18" i="43"/>
  <c r="G18" i="43" s="1"/>
  <c r="F1605" i="43"/>
  <c r="G1605" i="43" s="1"/>
  <c r="F417" i="43"/>
  <c r="G417" i="43" s="1"/>
  <c r="F1070" i="43"/>
  <c r="G1070" i="43" s="1"/>
  <c r="F694" i="43"/>
  <c r="G694" i="43" s="1"/>
  <c r="F597" i="43"/>
  <c r="G597" i="43" s="1"/>
  <c r="F1733" i="43"/>
  <c r="G1733" i="43" s="1"/>
  <c r="F923" i="43"/>
  <c r="G923" i="43" s="1"/>
  <c r="F742" i="43"/>
  <c r="G742" i="43" s="1"/>
  <c r="F570" i="43"/>
  <c r="G570" i="43" s="1"/>
  <c r="F260" i="43"/>
  <c r="G260" i="43" s="1"/>
  <c r="F1108" i="43"/>
  <c r="G1108" i="43" s="1"/>
  <c r="F1406" i="43"/>
  <c r="G1406" i="43" s="1"/>
  <c r="F1550" i="43"/>
  <c r="G1550" i="43" s="1"/>
  <c r="F1384" i="43"/>
  <c r="G1384" i="43" s="1"/>
  <c r="F1242" i="43"/>
  <c r="G1242" i="43" s="1"/>
  <c r="F1282" i="43"/>
  <c r="G1282" i="43" s="1"/>
  <c r="F1489" i="43"/>
  <c r="G1489" i="43" s="1"/>
  <c r="F890" i="43"/>
  <c r="G890" i="43" s="1"/>
  <c r="F1452" i="43"/>
  <c r="G1452" i="43" s="1"/>
  <c r="F170" i="43"/>
  <c r="G170" i="43" s="1"/>
  <c r="F1533" i="43"/>
  <c r="G1533" i="43" s="1"/>
  <c r="F854" i="43"/>
  <c r="G854" i="43" s="1"/>
  <c r="F217" i="43"/>
  <c r="G217" i="43" s="1"/>
  <c r="F940" i="43"/>
  <c r="G940" i="43" s="1"/>
  <c r="F1470" i="43"/>
  <c r="G1470" i="43" s="1"/>
  <c r="F586" i="43"/>
  <c r="G586" i="43" s="1"/>
  <c r="F1356" i="43"/>
  <c r="G1356" i="43" s="1"/>
  <c r="F1433" i="43"/>
  <c r="G1433" i="43" s="1"/>
  <c r="F1124" i="43"/>
  <c r="G1124" i="43" s="1"/>
  <c r="F864" i="43"/>
  <c r="G864" i="43" s="1"/>
  <c r="F907" i="43"/>
  <c r="G907" i="43" s="1"/>
  <c r="F873" i="43"/>
  <c r="G873" i="43" s="1"/>
  <c r="F1136" i="43"/>
  <c r="G1136" i="43" s="1"/>
  <c r="F1046" i="43"/>
  <c r="G1046" i="43" s="1"/>
  <c r="F1253" i="43"/>
  <c r="G1253" i="43" s="1"/>
  <c r="F720" i="43"/>
  <c r="G720" i="43" s="1"/>
  <c r="F1300" i="43"/>
  <c r="G1300" i="43" s="1"/>
  <c r="F1661" i="43"/>
  <c r="G1661" i="43" s="1"/>
  <c r="F1041" i="43"/>
  <c r="G1041" i="43" s="1"/>
  <c r="F1065" i="43"/>
  <c r="G1065" i="43" s="1"/>
  <c r="F77" i="43"/>
  <c r="G77" i="43" s="1"/>
  <c r="F108" i="43"/>
  <c r="G108" i="43" s="1"/>
  <c r="F1068" i="43"/>
  <c r="G1068" i="43" s="1"/>
  <c r="F805" i="43"/>
  <c r="G805" i="43" s="1"/>
  <c r="F1694" i="43"/>
  <c r="G1694" i="43" s="1"/>
  <c r="F85" i="43"/>
  <c r="G85" i="43" s="1"/>
  <c r="F545" i="43"/>
  <c r="G545" i="43" s="1"/>
  <c r="F162" i="43"/>
  <c r="G162" i="43" s="1"/>
  <c r="F210" i="43"/>
  <c r="G210" i="43" s="1"/>
  <c r="F234" i="43"/>
  <c r="G234" i="43" s="1"/>
  <c r="F546" i="43"/>
  <c r="G546" i="43" s="1"/>
  <c r="F978" i="43"/>
  <c r="G978" i="43" s="1"/>
  <c r="F67" i="43"/>
  <c r="G67" i="43" s="1"/>
  <c r="F883" i="43"/>
  <c r="G883" i="43" s="1"/>
  <c r="F1459" i="43"/>
  <c r="G1459" i="43" s="1"/>
  <c r="F981" i="43"/>
  <c r="G981" i="43" s="1"/>
  <c r="F46" i="43"/>
  <c r="G46" i="43" s="1"/>
  <c r="F574" i="43"/>
  <c r="G574" i="43" s="1"/>
  <c r="F622" i="43"/>
  <c r="G622" i="43" s="1"/>
  <c r="F1078" i="43"/>
  <c r="G1078" i="43" s="1"/>
  <c r="F1102" i="43"/>
  <c r="G1102" i="43" s="1"/>
  <c r="F1514" i="43"/>
  <c r="G1514" i="43" s="1"/>
  <c r="F1474" i="43"/>
  <c r="G1474" i="43" s="1"/>
  <c r="F1693" i="43"/>
  <c r="G1693" i="43" s="1"/>
  <c r="F1099" i="43"/>
  <c r="G1099" i="43" s="1"/>
  <c r="F1510" i="43"/>
  <c r="G1510" i="43" s="1"/>
  <c r="F722" i="43"/>
  <c r="G722" i="43" s="1"/>
  <c r="F752" i="43"/>
  <c r="G752" i="43" s="1"/>
  <c r="F1499" i="43"/>
  <c r="G1499" i="43" s="1"/>
  <c r="F1523" i="43"/>
  <c r="G1523" i="43" s="1"/>
  <c r="F60" i="43"/>
  <c r="G60" i="43" s="1"/>
  <c r="F878" i="43"/>
  <c r="G878" i="43" s="1"/>
  <c r="F378" i="43"/>
  <c r="G378" i="43" s="1"/>
  <c r="F187" i="43"/>
  <c r="G187" i="43" s="1"/>
  <c r="F669" i="43"/>
  <c r="G669" i="43" s="1"/>
  <c r="F526" i="43"/>
  <c r="G526" i="43" s="1"/>
  <c r="F1397" i="43"/>
  <c r="G1397" i="43" s="1"/>
  <c r="F971" i="43"/>
  <c r="G971" i="43" s="1"/>
  <c r="F1506" i="43"/>
  <c r="G1506" i="43" s="1"/>
  <c r="F1587" i="43"/>
  <c r="G1587" i="43" s="1"/>
  <c r="F906" i="43"/>
  <c r="G906" i="43" s="1"/>
  <c r="F35" i="43"/>
  <c r="G35" i="43" s="1"/>
  <c r="F430" i="43"/>
  <c r="G430" i="43" s="1"/>
  <c r="F1347" i="43"/>
  <c r="G1347" i="43" s="1"/>
  <c r="F1614" i="43"/>
  <c r="G1614" i="43" s="1"/>
  <c r="F962" i="43"/>
  <c r="G962" i="43" s="1"/>
  <c r="F1113" i="43"/>
  <c r="G1113" i="43" s="1"/>
  <c r="F1034" i="43"/>
  <c r="G1034" i="43" s="1"/>
  <c r="F1729" i="43"/>
  <c r="G1729" i="43" s="1"/>
  <c r="F459" i="43"/>
  <c r="G459" i="43" s="1"/>
  <c r="F1358" i="43"/>
  <c r="G1358" i="43" s="1"/>
  <c r="F689" i="43"/>
  <c r="G689" i="43" s="1"/>
  <c r="F823" i="43"/>
  <c r="G823" i="43" s="1"/>
  <c r="F765" i="43"/>
  <c r="G765" i="43" s="1"/>
  <c r="F1589" i="43"/>
  <c r="G1589" i="43" s="1"/>
  <c r="F1437" i="43"/>
  <c r="G1437" i="43" s="1"/>
  <c r="F625" i="43"/>
  <c r="G625" i="43" s="1"/>
  <c r="F806" i="43"/>
  <c r="G806" i="43" s="1"/>
  <c r="F1318" i="43"/>
  <c r="G1318" i="43" s="1"/>
  <c r="F1501" i="43"/>
  <c r="G1501" i="43" s="1"/>
  <c r="F1027" i="43"/>
  <c r="G1027" i="43" s="1"/>
  <c r="F98" i="43"/>
  <c r="G98" i="43" s="1"/>
  <c r="F1444" i="43"/>
  <c r="G1444" i="43" s="1"/>
  <c r="F653" i="43"/>
  <c r="G653" i="43" s="1"/>
  <c r="F270" i="43"/>
  <c r="G270" i="43" s="1"/>
  <c r="F943" i="43"/>
  <c r="G943" i="43" s="1"/>
  <c r="F416" i="43"/>
  <c r="G416" i="43" s="1"/>
  <c r="F1640" i="43"/>
  <c r="G1640" i="43" s="1"/>
  <c r="F969" i="43"/>
  <c r="G969" i="43" s="1"/>
  <c r="F1522" i="43"/>
  <c r="G1522" i="43" s="1"/>
  <c r="F539" i="43"/>
  <c r="G539" i="43" s="1"/>
  <c r="F587" i="43"/>
  <c r="G587" i="43" s="1"/>
  <c r="F1650" i="43"/>
  <c r="G1650" i="43" s="1"/>
  <c r="F547" i="43"/>
  <c r="G547" i="43" s="1"/>
  <c r="F1269" i="43"/>
  <c r="G1269" i="43" s="1"/>
  <c r="F433" i="43"/>
  <c r="G433" i="43" s="1"/>
  <c r="F1153" i="43"/>
  <c r="G1153" i="43" s="1"/>
  <c r="F1657" i="43"/>
  <c r="G1657" i="43" s="1"/>
  <c r="F72" i="43"/>
  <c r="G72" i="43" s="1"/>
  <c r="F291" i="43"/>
  <c r="G291" i="43" s="1"/>
  <c r="F1252" i="43"/>
  <c r="G1252" i="43" s="1"/>
  <c r="F1324" i="43"/>
  <c r="G1324" i="43" s="1"/>
  <c r="F173" i="43"/>
  <c r="G173" i="43" s="1"/>
  <c r="F1325" i="43"/>
  <c r="G1325" i="43" s="1"/>
  <c r="F1134" i="43"/>
  <c r="G1134" i="43" s="1"/>
  <c r="F199" i="43"/>
  <c r="G199" i="43" s="1"/>
  <c r="F991" i="43"/>
  <c r="G991" i="43" s="1"/>
  <c r="F200" i="43"/>
  <c r="G200" i="43" s="1"/>
  <c r="F440" i="43"/>
  <c r="G440" i="43" s="1"/>
  <c r="F1496" i="43"/>
  <c r="G1496" i="43" s="1"/>
  <c r="F1305" i="43"/>
  <c r="G1305" i="43" s="1"/>
  <c r="F1329" i="43"/>
  <c r="G1329" i="43" s="1"/>
  <c r="F1497" i="43"/>
  <c r="G1497" i="43" s="1"/>
  <c r="F196" i="43"/>
  <c r="G196" i="43" s="1"/>
  <c r="F610" i="43"/>
  <c r="G610" i="43" s="1"/>
  <c r="F1498" i="43"/>
  <c r="G1498" i="43" s="1"/>
  <c r="F131" i="43"/>
  <c r="G131" i="43" s="1"/>
  <c r="F155" i="43"/>
  <c r="G155" i="43" s="1"/>
  <c r="F371" i="43"/>
  <c r="G371" i="43" s="1"/>
  <c r="F395" i="43"/>
  <c r="G395" i="43" s="1"/>
  <c r="F1571" i="43"/>
  <c r="G1571" i="43" s="1"/>
  <c r="F172" i="43"/>
  <c r="G172" i="43" s="1"/>
  <c r="F612" i="43"/>
  <c r="G612" i="43" s="1"/>
  <c r="F1668" i="43"/>
  <c r="G1668" i="43" s="1"/>
  <c r="F1740" i="43"/>
  <c r="G1740" i="43" s="1"/>
  <c r="F528" i="43"/>
  <c r="G528" i="43" s="1"/>
  <c r="F1512" i="43"/>
  <c r="G1512" i="43" s="1"/>
  <c r="F205" i="43"/>
  <c r="G205" i="43" s="1"/>
  <c r="F1069" i="43"/>
  <c r="G1069" i="43" s="1"/>
  <c r="F181" i="43"/>
  <c r="G181" i="43" s="1"/>
  <c r="F1094" i="43"/>
  <c r="G1094" i="43" s="1"/>
  <c r="F279" i="43"/>
  <c r="G279" i="43" s="1"/>
  <c r="F1407" i="43"/>
  <c r="G1407" i="43" s="1"/>
  <c r="F195" i="43"/>
  <c r="G195" i="43" s="1"/>
  <c r="F304" i="43"/>
  <c r="G304" i="43" s="1"/>
  <c r="F760" i="43"/>
  <c r="G760" i="43" s="1"/>
  <c r="F1728" i="43"/>
  <c r="G1728" i="43" s="1"/>
  <c r="F1049" i="43"/>
  <c r="G1049" i="43" s="1"/>
  <c r="F156" i="43"/>
  <c r="G156" i="43" s="1"/>
  <c r="F161" i="43"/>
  <c r="G161" i="43" s="1"/>
  <c r="F667" i="43"/>
  <c r="G667" i="43" s="1"/>
  <c r="F955" i="43"/>
  <c r="G955" i="43" s="1"/>
  <c r="F1531" i="43"/>
  <c r="G1531" i="43" s="1"/>
  <c r="F670" i="43"/>
  <c r="G670" i="43" s="1"/>
  <c r="F1582" i="43"/>
  <c r="G1582" i="43" s="1"/>
  <c r="F285" i="43"/>
  <c r="G285" i="43" s="1"/>
  <c r="F719" i="43"/>
  <c r="G719" i="43" s="1"/>
  <c r="F1631" i="43"/>
  <c r="G1631" i="43" s="1"/>
  <c r="F1368" i="43"/>
  <c r="G1368" i="43" s="1"/>
  <c r="F240" i="43"/>
  <c r="G240" i="43" s="1"/>
  <c r="F768" i="43"/>
  <c r="G768" i="43" s="1"/>
  <c r="F1320" i="43"/>
  <c r="G1320" i="43" s="1"/>
  <c r="F1488" i="43"/>
  <c r="G1488" i="43" s="1"/>
  <c r="F1417" i="43"/>
  <c r="G1417" i="43" s="1"/>
  <c r="F1537" i="43"/>
  <c r="G1537" i="43" s="1"/>
  <c r="F866" i="43"/>
  <c r="G866" i="43" s="1"/>
  <c r="F938" i="43"/>
  <c r="G938" i="43" s="1"/>
  <c r="F1226" i="43"/>
  <c r="G1226" i="43" s="1"/>
  <c r="F1706" i="43"/>
  <c r="G1706" i="43" s="1"/>
  <c r="F915" i="43"/>
  <c r="G915" i="43" s="1"/>
  <c r="F1083" i="43"/>
  <c r="G1083" i="43" s="1"/>
  <c r="F1419" i="43"/>
  <c r="G1419" i="43" s="1"/>
  <c r="F1468" i="43"/>
  <c r="G1468" i="43" s="1"/>
  <c r="F1445" i="43"/>
  <c r="G1445" i="43" s="1"/>
  <c r="F942" i="43"/>
  <c r="G942" i="43" s="1"/>
  <c r="F428" i="43"/>
  <c r="G428" i="43" s="1"/>
  <c r="F127" i="43"/>
  <c r="G127" i="43" s="1"/>
  <c r="F1015" i="43"/>
  <c r="G1015" i="43" s="1"/>
  <c r="F1495" i="43"/>
  <c r="G1495" i="43" s="1"/>
  <c r="F1519" i="43"/>
  <c r="G1519" i="43" s="1"/>
  <c r="F1567" i="43"/>
  <c r="G1567" i="43" s="1"/>
  <c r="F911" i="43"/>
  <c r="G911" i="43" s="1"/>
  <c r="F342" i="43"/>
  <c r="G342" i="43" s="1"/>
  <c r="F536" i="43"/>
  <c r="G536" i="43" s="1"/>
  <c r="F656" i="43"/>
  <c r="G656" i="43" s="1"/>
  <c r="F728" i="43"/>
  <c r="G728" i="43" s="1"/>
  <c r="F824" i="43"/>
  <c r="G824" i="43" s="1"/>
  <c r="F872" i="43"/>
  <c r="G872" i="43" s="1"/>
  <c r="F1664" i="43"/>
  <c r="G1664" i="43" s="1"/>
  <c r="F129" i="43"/>
  <c r="G129" i="43" s="1"/>
  <c r="F272" i="43"/>
  <c r="G272" i="43" s="1"/>
  <c r="F706" i="43"/>
  <c r="G706" i="43" s="1"/>
  <c r="F1426" i="43"/>
  <c r="G1426" i="43" s="1"/>
  <c r="F203" i="43"/>
  <c r="G203" i="43" s="1"/>
  <c r="F659" i="43"/>
  <c r="G659" i="43" s="1"/>
  <c r="F899" i="43"/>
  <c r="G899" i="43" s="1"/>
  <c r="F1259" i="43"/>
  <c r="G1259" i="43" s="1"/>
  <c r="F1307" i="43"/>
  <c r="G1307" i="43" s="1"/>
  <c r="F1271" i="43"/>
  <c r="G1271" i="43" s="1"/>
  <c r="F179" i="43"/>
  <c r="G179" i="43" s="1"/>
  <c r="F660" i="43"/>
  <c r="G660" i="43" s="1"/>
  <c r="F876" i="43"/>
  <c r="G876" i="43" s="1"/>
  <c r="F996" i="43"/>
  <c r="G996" i="43" s="1"/>
  <c r="F1164" i="43"/>
  <c r="G1164" i="43" s="1"/>
  <c r="F1284" i="43"/>
  <c r="G1284" i="43" s="1"/>
  <c r="F1644" i="43"/>
  <c r="G1644" i="43" s="1"/>
  <c r="F1692" i="43"/>
  <c r="G1692" i="43" s="1"/>
  <c r="F397" i="43"/>
  <c r="G397" i="43" s="1"/>
  <c r="F1045" i="43"/>
  <c r="G1045" i="43" s="1"/>
  <c r="F1165" i="43"/>
  <c r="G1165" i="43" s="1"/>
  <c r="F1357" i="43"/>
  <c r="G1357" i="43" s="1"/>
  <c r="F278" i="43"/>
  <c r="G278" i="43" s="1"/>
  <c r="F302" i="43"/>
  <c r="G302" i="43" s="1"/>
  <c r="F758" i="43"/>
  <c r="G758" i="43" s="1"/>
  <c r="F1214" i="43"/>
  <c r="G1214" i="43" s="1"/>
  <c r="F1670" i="43"/>
  <c r="G1670" i="43" s="1"/>
  <c r="F111" i="43"/>
  <c r="G111" i="43" s="1"/>
  <c r="F375" i="43"/>
  <c r="G375" i="43" s="1"/>
  <c r="F711" i="43"/>
  <c r="G711" i="43" s="1"/>
  <c r="F855" i="43"/>
  <c r="G855" i="43" s="1"/>
  <c r="F903" i="43"/>
  <c r="G903" i="43" s="1"/>
  <c r="F1167" i="43"/>
  <c r="G1167" i="43" s="1"/>
  <c r="F1263" i="43"/>
  <c r="G1263" i="43" s="1"/>
  <c r="F1335" i="43"/>
  <c r="G1335" i="43" s="1"/>
  <c r="F1575" i="43"/>
  <c r="G1575" i="43" s="1"/>
  <c r="F1743" i="43"/>
  <c r="G1743" i="43" s="1"/>
  <c r="F928" i="43"/>
  <c r="G928" i="43" s="1"/>
  <c r="F1336" i="43"/>
  <c r="G1336" i="43" s="1"/>
  <c r="F1552" i="43"/>
  <c r="G1552" i="43" s="1"/>
  <c r="F356" i="43"/>
  <c r="G356" i="43" s="1"/>
  <c r="F641" i="43"/>
  <c r="G641" i="43" s="1"/>
  <c r="F713" i="43"/>
  <c r="G713" i="43" s="1"/>
  <c r="F1169" i="43"/>
  <c r="G1169" i="43" s="1"/>
  <c r="F1217" i="43"/>
  <c r="G1217" i="43" s="1"/>
  <c r="F1241" i="43"/>
  <c r="G1241" i="43" s="1"/>
  <c r="F1361" i="43"/>
  <c r="G1361" i="43" s="1"/>
  <c r="F1649" i="43"/>
  <c r="G1649" i="43" s="1"/>
  <c r="F618" i="43"/>
  <c r="G618" i="43" s="1"/>
  <c r="F503" i="43"/>
  <c r="G503" i="43" s="1"/>
  <c r="F1291" i="43"/>
  <c r="G1291" i="43" s="1"/>
  <c r="F1315" i="43"/>
  <c r="G1315" i="43" s="1"/>
  <c r="F1076" i="43"/>
  <c r="G1076" i="43" s="1"/>
  <c r="F1316" i="43"/>
  <c r="G1316" i="43" s="1"/>
  <c r="F141" i="43"/>
  <c r="G141" i="43" s="1"/>
  <c r="F381" i="43"/>
  <c r="G381" i="43" s="1"/>
  <c r="F142" i="43"/>
  <c r="G142" i="43" s="1"/>
  <c r="F166" i="43"/>
  <c r="G166" i="43" s="1"/>
  <c r="F1558" i="43"/>
  <c r="G1558" i="43" s="1"/>
  <c r="F1702" i="43"/>
  <c r="G1702" i="43" s="1"/>
  <c r="F1036" i="43"/>
  <c r="G1036" i="43" s="1"/>
  <c r="F293" i="43"/>
  <c r="G293" i="43" s="1"/>
  <c r="F749" i="43"/>
  <c r="G749" i="43" s="1"/>
  <c r="F750" i="43"/>
  <c r="G750" i="43" s="1"/>
  <c r="F751" i="43"/>
  <c r="G751" i="43" s="1"/>
  <c r="F292" i="43"/>
  <c r="G292" i="43" s="1"/>
  <c r="F567" i="43"/>
  <c r="G567" i="43" s="1"/>
  <c r="F736" i="43"/>
  <c r="G736" i="43" s="1"/>
  <c r="F186" i="43"/>
  <c r="G186" i="43" s="1"/>
  <c r="F738" i="43"/>
  <c r="G738" i="43" s="1"/>
  <c r="F1578" i="43"/>
  <c r="G1578" i="43" s="1"/>
  <c r="F404" i="43"/>
  <c r="G404" i="43" s="1"/>
  <c r="F1654" i="43"/>
  <c r="G1654" i="43" s="1"/>
  <c r="F287" i="43"/>
  <c r="G287" i="43" s="1"/>
  <c r="F685" i="43"/>
  <c r="G685" i="43" s="1"/>
  <c r="F1274" i="43"/>
  <c r="G1274" i="43" s="1"/>
  <c r="F799" i="43"/>
  <c r="G799" i="43" s="1"/>
  <c r="F1039" i="43"/>
  <c r="G1039" i="43" s="1"/>
  <c r="F1711" i="43"/>
  <c r="G1711" i="43" s="1"/>
  <c r="F1521" i="43"/>
  <c r="G1521" i="43" s="1"/>
  <c r="F1251" i="43"/>
  <c r="G1251" i="43" s="1"/>
  <c r="F664" i="43"/>
  <c r="G664" i="43" s="1"/>
  <c r="F17" i="43"/>
  <c r="G17" i="43" s="1"/>
  <c r="F1129" i="43"/>
  <c r="G1129" i="43" s="1"/>
  <c r="F1532" i="43"/>
  <c r="G1532" i="43" s="1"/>
  <c r="F355" i="43"/>
  <c r="G355" i="43" s="1"/>
  <c r="F1048" i="43"/>
  <c r="G1048" i="43" s="1"/>
  <c r="F197" i="43"/>
  <c r="G197" i="43" s="1"/>
  <c r="F25" i="43"/>
  <c r="G25" i="43" s="1"/>
  <c r="F986" i="43"/>
  <c r="G986" i="43" s="1"/>
  <c r="F603" i="43"/>
  <c r="G603" i="43" s="1"/>
  <c r="F133" i="43"/>
  <c r="G133" i="43" s="1"/>
  <c r="F1082" i="43"/>
  <c r="G1082" i="43" s="1"/>
  <c r="F1084" i="43"/>
  <c r="G1084" i="43" s="1"/>
  <c r="F481" i="43"/>
  <c r="G481" i="43" s="1"/>
  <c r="F1221" i="43"/>
  <c r="G1221" i="43" s="1"/>
  <c r="F541" i="43"/>
  <c r="G541" i="43" s="1"/>
  <c r="F1651" i="43"/>
  <c r="G1651" i="43" s="1"/>
  <c r="F436" i="43"/>
  <c r="G436" i="43" s="1"/>
  <c r="F365" i="43"/>
  <c r="G365" i="43" s="1"/>
  <c r="F871" i="43"/>
  <c r="G871" i="43" s="1"/>
  <c r="F104" i="43"/>
  <c r="G104" i="43" s="1"/>
  <c r="F1281" i="43"/>
  <c r="G1281" i="43" s="1"/>
  <c r="F175" i="43"/>
  <c r="G175" i="43" s="1"/>
  <c r="F1594" i="43"/>
  <c r="G1594" i="43" s="1"/>
  <c r="F1163" i="43"/>
  <c r="G1163" i="43" s="1"/>
  <c r="F1476" i="43"/>
  <c r="G1476" i="43" s="1"/>
  <c r="F1559" i="43"/>
  <c r="G1559" i="43" s="1"/>
  <c r="F688" i="43"/>
  <c r="G688" i="43" s="1"/>
  <c r="F1601" i="43"/>
  <c r="G1601" i="43" s="1"/>
  <c r="F407" i="43"/>
  <c r="G407" i="43" s="1"/>
  <c r="F257" i="43"/>
  <c r="G257" i="43" s="1"/>
  <c r="F979" i="43"/>
  <c r="G979" i="43" s="1"/>
  <c r="F1004" i="43"/>
  <c r="G1004" i="43" s="1"/>
  <c r="F723" i="43"/>
  <c r="G723" i="43" s="1"/>
  <c r="F1439" i="43"/>
  <c r="G1439" i="43" s="1"/>
  <c r="F1690" i="43"/>
  <c r="G1690" i="43" s="1"/>
  <c r="F569" i="43"/>
  <c r="G569" i="43" s="1"/>
  <c r="F1727" i="43"/>
  <c r="G1727" i="43" s="1"/>
  <c r="F891" i="43"/>
  <c r="G891" i="43" s="1"/>
  <c r="F318" i="43"/>
  <c r="G318" i="43" s="1"/>
  <c r="F849" i="43"/>
  <c r="G849" i="43" s="1"/>
  <c r="F1691" i="43"/>
  <c r="G1691" i="43" s="1"/>
  <c r="F120" i="43"/>
  <c r="G120" i="43" s="1"/>
  <c r="F1465" i="43"/>
  <c r="G1465" i="43" s="1"/>
  <c r="F1228" i="43"/>
  <c r="G1228" i="43" s="1"/>
  <c r="F767" i="43"/>
  <c r="G767" i="43" s="1"/>
  <c r="F412" i="43"/>
  <c r="G412" i="43" s="1"/>
  <c r="F134" i="43"/>
  <c r="G134" i="43" s="1"/>
  <c r="F974" i="43"/>
  <c r="G974" i="43" s="1"/>
  <c r="F435" i="43"/>
  <c r="G435" i="43" s="1"/>
  <c r="F1162" i="43"/>
  <c r="G1162" i="43" s="1"/>
  <c r="F1022" i="43"/>
  <c r="G1022" i="43" s="1"/>
  <c r="F465" i="43"/>
  <c r="G465" i="43" s="1"/>
  <c r="F477" i="43"/>
  <c r="G477" i="43" s="1"/>
  <c r="F1442" i="43"/>
  <c r="G1442" i="43" s="1"/>
  <c r="F1455" i="43"/>
  <c r="G1455" i="43" s="1"/>
  <c r="F150" i="43"/>
  <c r="G150" i="43" s="1"/>
  <c r="F506" i="43"/>
  <c r="G506" i="43" s="1"/>
  <c r="F263" i="43"/>
  <c r="G263" i="43" s="1"/>
  <c r="F1402" i="43"/>
  <c r="G1402" i="43" s="1"/>
  <c r="F1461" i="43"/>
  <c r="G1461" i="43" s="1"/>
  <c r="F271" i="43"/>
  <c r="G271" i="43" s="1"/>
  <c r="F1067" i="43"/>
  <c r="G1067" i="43" s="1"/>
  <c r="F184" i="43"/>
  <c r="G184" i="43" s="1"/>
  <c r="F602" i="43"/>
  <c r="G602" i="43" s="1"/>
  <c r="F188" i="43"/>
  <c r="G188" i="43" s="1"/>
  <c r="F764" i="43"/>
  <c r="G764" i="43" s="1"/>
  <c r="F1678" i="43"/>
  <c r="G1678" i="43" s="1"/>
  <c r="F1352" i="43"/>
  <c r="G1352" i="43" s="1"/>
  <c r="F1656" i="43"/>
  <c r="G1656" i="43" s="1"/>
  <c r="F305" i="43"/>
  <c r="G305" i="43" s="1"/>
  <c r="F451" i="43"/>
  <c r="G451" i="43" s="1"/>
  <c r="F847" i="43"/>
  <c r="G847" i="43" s="1"/>
  <c r="F1256" i="43"/>
  <c r="G1256" i="43" s="1"/>
  <c r="F1043" i="43"/>
  <c r="G1043" i="43" s="1"/>
  <c r="F1526" i="43"/>
  <c r="G1526" i="43" s="1"/>
  <c r="F1255" i="43"/>
  <c r="G1255" i="43" s="1"/>
  <c r="F729" i="43"/>
  <c r="G729" i="43" s="1"/>
  <c r="F515" i="43"/>
  <c r="G515" i="43" s="1"/>
  <c r="F283" i="43"/>
  <c r="G283" i="43" s="1"/>
  <c r="F875" i="43"/>
  <c r="G875" i="43" s="1"/>
  <c r="F565" i="43"/>
  <c r="G565" i="43" s="1"/>
  <c r="F1364" i="43"/>
  <c r="G1364" i="43" s="1"/>
  <c r="F620" i="43"/>
  <c r="G620" i="43" s="1"/>
  <c r="F462" i="43"/>
  <c r="G462" i="43" s="1"/>
  <c r="F624" i="43"/>
  <c r="G624" i="43" s="1"/>
  <c r="F1573" i="43"/>
  <c r="G1573" i="43" s="1"/>
  <c r="F1724" i="43"/>
  <c r="G1724" i="43" s="1"/>
  <c r="F740" i="43"/>
  <c r="G740" i="43" s="1"/>
  <c r="F934" i="43"/>
  <c r="G934" i="43" s="1"/>
  <c r="F1210" i="43"/>
  <c r="G1210" i="43" s="1"/>
  <c r="F900" i="43"/>
  <c r="G900" i="43" s="1"/>
  <c r="F1051" i="43"/>
  <c r="G1051" i="43" s="1"/>
  <c r="F66" i="43"/>
  <c r="G66" i="43" s="1"/>
  <c r="F1247" i="43"/>
  <c r="G1247" i="43" s="1"/>
  <c r="F636" i="43"/>
  <c r="G636" i="43" s="1"/>
  <c r="F1718" i="43"/>
  <c r="G1718" i="43" s="1"/>
  <c r="F672" i="43"/>
  <c r="G672" i="43" s="1"/>
  <c r="F434" i="43"/>
  <c r="G434" i="43" s="1"/>
  <c r="F606" i="43"/>
  <c r="G606" i="43" s="1"/>
  <c r="F968" i="43"/>
  <c r="G968" i="43" s="1"/>
  <c r="F1460" i="43"/>
  <c r="G1460" i="43" s="1"/>
  <c r="F1093" i="43"/>
  <c r="G1093" i="43" s="1"/>
  <c r="F1213" i="43"/>
  <c r="G1213" i="43" s="1"/>
  <c r="F1720" i="43"/>
  <c r="G1720" i="43" s="1"/>
  <c r="F101" i="43"/>
  <c r="G101" i="43" s="1"/>
  <c r="F1682" i="43"/>
  <c r="G1682" i="43" s="1"/>
  <c r="F919" i="43"/>
  <c r="G919" i="43" s="1"/>
  <c r="F130" i="43"/>
  <c r="G130" i="43" s="1"/>
  <c r="F268" i="43"/>
  <c r="G268" i="43" s="1"/>
  <c r="F917" i="43"/>
  <c r="G917" i="43" s="1"/>
  <c r="F1446" i="43"/>
  <c r="G1446" i="43" s="1"/>
  <c r="F372" i="43"/>
  <c r="G372" i="43" s="1"/>
  <c r="F1645" i="43"/>
  <c r="G1645" i="43" s="1"/>
  <c r="F1671" i="43"/>
  <c r="G1671" i="43" s="1"/>
  <c r="F1031" i="43"/>
  <c r="G1031" i="43" s="1"/>
  <c r="F107" i="43"/>
  <c r="G107" i="43" s="1"/>
  <c r="F564" i="43"/>
  <c r="G564" i="43" s="1"/>
  <c r="F7" i="43"/>
  <c r="G7" i="43" s="1"/>
  <c r="F69" i="43"/>
  <c r="G69" i="43" s="1"/>
  <c r="F1249" i="43"/>
  <c r="G1249" i="43" s="1"/>
  <c r="F6" i="43"/>
  <c r="G6" i="43" s="1"/>
  <c r="F926" i="43"/>
  <c r="G926" i="43" s="1"/>
  <c r="F1508" i="43"/>
  <c r="G1508" i="43" s="1"/>
  <c r="F1734" i="43"/>
  <c r="G1734" i="43" s="1"/>
  <c r="F411" i="43"/>
  <c r="G411" i="43" s="1"/>
  <c r="F1704" i="43"/>
  <c r="G1704" i="43" s="1"/>
  <c r="F987" i="43"/>
  <c r="G987" i="43" s="1"/>
  <c r="F1652" i="43"/>
  <c r="G1652" i="43" s="1"/>
  <c r="F880" i="43"/>
  <c r="G880" i="43" s="1"/>
  <c r="F859" i="43"/>
  <c r="G859" i="43" s="1"/>
  <c r="F600" i="43"/>
  <c r="G600" i="43" s="1"/>
  <c r="F583" i="43"/>
  <c r="G583" i="43" s="1"/>
  <c r="F444" i="43"/>
  <c r="G444" i="43" s="1"/>
  <c r="F1050" i="43"/>
  <c r="G1050" i="43" s="1"/>
  <c r="F816" i="43"/>
  <c r="G816" i="43" s="1"/>
  <c r="F1272" i="43"/>
  <c r="G1272" i="43" s="1"/>
  <c r="F1370" i="43"/>
  <c r="G1370" i="43" s="1"/>
  <c r="F655" i="43"/>
  <c r="G655" i="43" s="1"/>
  <c r="F895" i="43"/>
  <c r="G895" i="43" s="1"/>
  <c r="F538" i="43"/>
  <c r="G538" i="43" s="1"/>
  <c r="F695" i="43"/>
  <c r="G695" i="43" s="1"/>
  <c r="F178" i="43"/>
  <c r="G178" i="43" s="1"/>
  <c r="F589" i="43"/>
  <c r="G589" i="43" s="1"/>
  <c r="F852" i="43"/>
  <c r="G852" i="43" s="1"/>
  <c r="F169" i="43"/>
  <c r="G169" i="43" s="1"/>
  <c r="F99" i="43"/>
  <c r="G99" i="43" s="1"/>
  <c r="F493" i="43"/>
  <c r="G493" i="43" s="1"/>
  <c r="F1626" i="43"/>
  <c r="G1626" i="43" s="1"/>
  <c r="F1739" i="43"/>
  <c r="G1739" i="43" s="1"/>
  <c r="F931" i="43"/>
  <c r="G931" i="43" s="1"/>
  <c r="F1435" i="43"/>
  <c r="G1435" i="43" s="1"/>
  <c r="F637" i="43"/>
  <c r="G637" i="43" s="1"/>
  <c r="F30" i="43"/>
  <c r="G30" i="43" s="1"/>
  <c r="F696" i="43"/>
  <c r="G696" i="43" s="1"/>
  <c r="F1152" i="43"/>
  <c r="G1152" i="43" s="1"/>
  <c r="F1469" i="43"/>
  <c r="G1469" i="43" s="1"/>
  <c r="F81" i="43"/>
  <c r="G81" i="43" s="1"/>
  <c r="F1280" i="43"/>
  <c r="G1280" i="43" s="1"/>
  <c r="F202" i="43"/>
  <c r="G202" i="43" s="1"/>
  <c r="F476" i="43"/>
  <c r="G476" i="43" s="1"/>
  <c r="F1441" i="43"/>
  <c r="G1441" i="43" s="1"/>
  <c r="F870" i="43"/>
  <c r="G870" i="43" s="1"/>
  <c r="F1174" i="43"/>
  <c r="G1174" i="43" s="1"/>
  <c r="F985" i="43"/>
  <c r="G985" i="43" s="1"/>
  <c r="F650" i="43"/>
  <c r="G650" i="43" s="1"/>
  <c r="F1371" i="43"/>
  <c r="G1371" i="43" s="1"/>
  <c r="F206" i="43"/>
  <c r="G206" i="43" s="1"/>
  <c r="F904" i="43"/>
  <c r="G904" i="43" s="1"/>
  <c r="F1330" i="43"/>
  <c r="G1330" i="43" s="1"/>
  <c r="F756" i="43"/>
  <c r="G756" i="43" s="1"/>
  <c r="F37" i="43"/>
  <c r="G37" i="43" s="1"/>
  <c r="F733" i="43"/>
  <c r="G733" i="43" s="1"/>
  <c r="F220" i="43"/>
  <c r="G220" i="43" s="1"/>
  <c r="F853" i="43"/>
  <c r="G853" i="43" s="1"/>
  <c r="F45" i="43"/>
  <c r="G45" i="43" s="1"/>
  <c r="F892" i="43"/>
  <c r="G892" i="43" s="1"/>
  <c r="F1432" i="43"/>
  <c r="G1432" i="43" s="1"/>
  <c r="F1723" i="43"/>
  <c r="G1723" i="43" s="1"/>
  <c r="F1438" i="43"/>
  <c r="G1438" i="43" s="1"/>
  <c r="F211" i="43"/>
  <c r="G211" i="43" s="1"/>
  <c r="F218" i="43"/>
  <c r="G218" i="43" s="1"/>
  <c r="F1391" i="43"/>
  <c r="G1391" i="43" s="1"/>
  <c r="F401" i="43"/>
  <c r="G401" i="43" s="1"/>
  <c r="F1218" i="43"/>
  <c r="G1218" i="43" s="1"/>
  <c r="F1086" i="43"/>
  <c r="G1086" i="43" s="1"/>
  <c r="F920" i="43"/>
  <c r="G920" i="43" s="1"/>
  <c r="F383" i="43"/>
  <c r="G383" i="43" s="1"/>
  <c r="F755" i="43"/>
  <c r="G755" i="43" s="1"/>
  <c r="F112" i="43"/>
  <c r="G112" i="43" s="1"/>
  <c r="F1509" i="43"/>
  <c r="G1509" i="43" s="1"/>
  <c r="F675" i="43"/>
  <c r="G675" i="43" s="1"/>
  <c r="F353" i="43"/>
  <c r="G353" i="43" s="1"/>
  <c r="F791" i="43"/>
  <c r="G791" i="43" s="1"/>
  <c r="F818" i="43"/>
  <c r="G818" i="43" s="1"/>
  <c r="F811" i="43"/>
  <c r="G811" i="43" s="1"/>
  <c r="F1472" i="43"/>
  <c r="G1472" i="43" s="1"/>
  <c r="F57" i="43"/>
  <c r="G57" i="43" s="1"/>
  <c r="F686" i="43"/>
  <c r="G686" i="43" s="1"/>
  <c r="F734" i="43"/>
  <c r="G734" i="43" s="1"/>
  <c r="F399" i="43"/>
  <c r="G399" i="43" s="1"/>
  <c r="F1303" i="43"/>
  <c r="G1303" i="43" s="1"/>
  <c r="F798" i="43"/>
  <c r="G798" i="43" s="1"/>
  <c r="F1429" i="43"/>
  <c r="G1429" i="43" s="1"/>
  <c r="F474" i="43"/>
  <c r="G474" i="43" s="1"/>
  <c r="F337" i="43"/>
  <c r="G337" i="43" s="1"/>
  <c r="F769" i="43"/>
  <c r="G769" i="43" s="1"/>
  <c r="F1273" i="43"/>
  <c r="G1273" i="43" s="1"/>
  <c r="F482" i="43"/>
  <c r="G482" i="43" s="1"/>
  <c r="F1538" i="43"/>
  <c r="G1538" i="43" s="1"/>
  <c r="F627" i="43"/>
  <c r="G627" i="43" s="1"/>
  <c r="F1372" i="43"/>
  <c r="G1372" i="43" s="1"/>
  <c r="F221" i="43"/>
  <c r="G221" i="43" s="1"/>
  <c r="F701" i="43"/>
  <c r="G701" i="43" s="1"/>
  <c r="F869" i="43"/>
  <c r="G869" i="43" s="1"/>
  <c r="F1205" i="43"/>
  <c r="G1205" i="43" s="1"/>
  <c r="F125" i="43"/>
  <c r="G125" i="43" s="1"/>
  <c r="F486" i="43"/>
  <c r="G486" i="43" s="1"/>
  <c r="F1014" i="43"/>
  <c r="G1014" i="43" s="1"/>
  <c r="F1038" i="43"/>
  <c r="G1038" i="43" s="1"/>
  <c r="F367" i="43"/>
  <c r="G367" i="43" s="1"/>
  <c r="F224" i="43"/>
  <c r="G224" i="43" s="1"/>
  <c r="F608" i="43"/>
  <c r="G608" i="43" s="1"/>
  <c r="F80" i="43"/>
  <c r="G80" i="43" s="1"/>
  <c r="F993" i="43"/>
  <c r="G993" i="43" s="1"/>
  <c r="F1377" i="43"/>
  <c r="G1377" i="43" s="1"/>
  <c r="F730" i="43"/>
  <c r="G730" i="43" s="1"/>
  <c r="F874" i="43"/>
  <c r="G874" i="43" s="1"/>
  <c r="F1042" i="43"/>
  <c r="G1042" i="43" s="1"/>
  <c r="F827" i="43"/>
  <c r="G827" i="43" s="1"/>
  <c r="F1379" i="43"/>
  <c r="G1379" i="43" s="1"/>
  <c r="F708" i="43"/>
  <c r="G708" i="43" s="1"/>
  <c r="F1332" i="43"/>
  <c r="G1332" i="43" s="1"/>
  <c r="F662" i="43"/>
  <c r="G662" i="43" s="1"/>
  <c r="F1703" i="43"/>
  <c r="G1703" i="43" s="1"/>
  <c r="F87" i="43"/>
  <c r="G87" i="43" s="1"/>
  <c r="F1047" i="43"/>
  <c r="G1047" i="43" s="1"/>
  <c r="F472" i="43"/>
  <c r="G472" i="43" s="1"/>
  <c r="F1072" i="43"/>
  <c r="G1072" i="43" s="1"/>
  <c r="F1360" i="43"/>
  <c r="G1360" i="43" s="1"/>
  <c r="F230" i="43"/>
  <c r="G230" i="43" s="1"/>
  <c r="F761" i="43"/>
  <c r="G761" i="43" s="1"/>
  <c r="F1481" i="43"/>
  <c r="G1481" i="43" s="1"/>
  <c r="F258" i="43"/>
  <c r="G258" i="43" s="1"/>
  <c r="F666" i="43"/>
  <c r="G666" i="43" s="1"/>
  <c r="F1458" i="43"/>
  <c r="G1458" i="43" s="1"/>
  <c r="F571" i="43"/>
  <c r="G571" i="43" s="1"/>
  <c r="F1707" i="43"/>
  <c r="G1707" i="43" s="1"/>
  <c r="F267" i="43"/>
  <c r="G267" i="43" s="1"/>
  <c r="F228" i="43"/>
  <c r="G228" i="43" s="1"/>
  <c r="F950" i="43"/>
  <c r="G950" i="43" s="1"/>
  <c r="F743" i="43"/>
  <c r="G743" i="43" s="1"/>
  <c r="F483" i="43"/>
  <c r="G483" i="43" s="1"/>
  <c r="F297" i="43"/>
  <c r="G297" i="43" s="1"/>
  <c r="F803" i="43"/>
  <c r="G803" i="43" s="1"/>
  <c r="F807" i="43"/>
  <c r="G807" i="43" s="1"/>
  <c r="F1530" i="43"/>
  <c r="G1530" i="43" s="1"/>
  <c r="F122" i="43"/>
  <c r="G122" i="43" s="1"/>
  <c r="F485" i="43"/>
  <c r="G485" i="43" s="1"/>
  <c r="F20" i="43"/>
  <c r="G20" i="43" s="1"/>
  <c r="F1607" i="43"/>
  <c r="G1607" i="43" s="1"/>
  <c r="F1176" i="43"/>
  <c r="G1176" i="43" s="1"/>
  <c r="F508" i="43"/>
  <c r="G508" i="43" s="1"/>
  <c r="F661" i="43"/>
  <c r="G661" i="43" s="1"/>
  <c r="F1669" i="43"/>
  <c r="G1669" i="43" s="1"/>
  <c r="F105" i="43"/>
  <c r="G105" i="43" s="1"/>
  <c r="F498" i="43"/>
  <c r="G498" i="43" s="1"/>
  <c r="F1580" i="43"/>
  <c r="G1580" i="43" s="1"/>
  <c r="F1054" i="43"/>
  <c r="G1054" i="43" s="1"/>
  <c r="F843" i="43"/>
  <c r="G843" i="43" s="1"/>
  <c r="F1236" i="43"/>
  <c r="G1236" i="43" s="1"/>
  <c r="F717" i="43"/>
  <c r="G717" i="43" s="1"/>
  <c r="F1285" i="43"/>
  <c r="G1285" i="43" s="1"/>
  <c r="F557" i="43"/>
  <c r="G557" i="43" s="1"/>
  <c r="F1383" i="43"/>
  <c r="G1383" i="43" s="1"/>
  <c r="F1007" i="43"/>
  <c r="G1007" i="43" s="1"/>
  <c r="F1289" i="43"/>
  <c r="G1289" i="43" s="1"/>
  <c r="F1534" i="43"/>
  <c r="G1534" i="43" s="1"/>
  <c r="F634" i="43"/>
  <c r="G634" i="43" s="1"/>
  <c r="F1144" i="43"/>
  <c r="G1144" i="43" s="1"/>
  <c r="F1264" i="43"/>
  <c r="G1264" i="43" s="1"/>
  <c r="F1436" i="43"/>
  <c r="G1436" i="43" s="1"/>
  <c r="F1276" i="43"/>
  <c r="G1276" i="43" s="1"/>
  <c r="F1637" i="43"/>
  <c r="G1637" i="43" s="1"/>
  <c r="F126" i="43"/>
  <c r="G126" i="43" s="1"/>
  <c r="F721" i="43"/>
  <c r="G721" i="43" s="1"/>
  <c r="F1424" i="43"/>
  <c r="G1424" i="43" s="1"/>
  <c r="F530" i="43"/>
  <c r="G530" i="43" s="1"/>
  <c r="F1689" i="43"/>
  <c r="G1689" i="43" s="1"/>
  <c r="F29" i="43"/>
  <c r="G29" i="43" s="1"/>
  <c r="F301" i="43"/>
  <c r="G301" i="43" s="1"/>
  <c r="F877" i="43"/>
  <c r="G877" i="43" s="1"/>
  <c r="F350" i="43"/>
  <c r="G350" i="43" s="1"/>
  <c r="F797" i="43"/>
  <c r="G797" i="43" s="1"/>
  <c r="F1410" i="43"/>
  <c r="G1410" i="43" s="1"/>
  <c r="F644" i="43"/>
  <c r="G644" i="43" s="1"/>
  <c r="F732" i="43"/>
  <c r="G732" i="43" s="1"/>
  <c r="F572" i="43"/>
  <c r="G572" i="43" s="1"/>
  <c r="F282" i="43"/>
  <c r="G282" i="43" s="1"/>
  <c r="F739" i="43"/>
  <c r="G739" i="43" s="1"/>
  <c r="F360" i="43"/>
  <c r="G360" i="43" s="1"/>
  <c r="F340" i="43"/>
  <c r="G340" i="43" s="1"/>
  <c r="F414" i="43"/>
  <c r="G414" i="43" s="1"/>
  <c r="F1490" i="43"/>
  <c r="G1490" i="43" s="1"/>
  <c r="F216" i="43"/>
  <c r="G216" i="43" s="1"/>
  <c r="F638" i="43"/>
  <c r="G638" i="43" s="1"/>
  <c r="F1071" i="43"/>
  <c r="G1071" i="43" s="1"/>
  <c r="F1387" i="43"/>
  <c r="G1387" i="43" s="1"/>
  <c r="F820" i="43"/>
  <c r="G820" i="43" s="1"/>
  <c r="F185" i="43"/>
  <c r="G185" i="43" s="1"/>
  <c r="F408" i="43"/>
  <c r="G408" i="43" s="1"/>
  <c r="F744" i="43"/>
  <c r="G744" i="43" s="1"/>
  <c r="F936" i="43"/>
  <c r="G936" i="43" s="1"/>
  <c r="F171" i="43"/>
  <c r="G171" i="43" s="1"/>
  <c r="F747" i="43"/>
  <c r="G747" i="43" s="1"/>
  <c r="F1035" i="43"/>
  <c r="G1035" i="43" s="1"/>
  <c r="F1395" i="43"/>
  <c r="G1395" i="43" s="1"/>
  <c r="F629" i="43"/>
  <c r="G629" i="43" s="1"/>
  <c r="F677" i="43"/>
  <c r="G677" i="43" s="1"/>
  <c r="F1373" i="43"/>
  <c r="G1373" i="43" s="1"/>
  <c r="F510" i="43"/>
  <c r="G510" i="43" s="1"/>
  <c r="F607" i="43"/>
  <c r="G607" i="43" s="1"/>
  <c r="F1520" i="43"/>
  <c r="G1520" i="43" s="1"/>
  <c r="F649" i="43"/>
  <c r="G649" i="43" s="1"/>
  <c r="F201" i="43"/>
  <c r="G201" i="43" s="1"/>
  <c r="F657" i="43"/>
  <c r="G657" i="43" s="1"/>
  <c r="F705" i="43"/>
  <c r="G705" i="43" s="1"/>
  <c r="F1353" i="43"/>
  <c r="G1353" i="43" s="1"/>
  <c r="F1593" i="43"/>
  <c r="G1593" i="43" s="1"/>
  <c r="F1641" i="43"/>
  <c r="G1641" i="43" s="1"/>
  <c r="F194" i="43"/>
  <c r="G194" i="43" s="1"/>
  <c r="F754" i="43"/>
  <c r="G754" i="43" s="1"/>
  <c r="F153" i="43"/>
  <c r="G153" i="43" s="1"/>
  <c r="F154" i="43"/>
  <c r="G154" i="43" s="1"/>
  <c r="F563" i="43"/>
  <c r="G563" i="43" s="1"/>
  <c r="F1451" i="43"/>
  <c r="G1451" i="43" s="1"/>
  <c r="F204" i="43"/>
  <c r="G204" i="43" s="1"/>
  <c r="F804" i="43"/>
  <c r="G804" i="43" s="1"/>
  <c r="F1596" i="43"/>
  <c r="G1596" i="43" s="1"/>
  <c r="F757" i="43"/>
  <c r="G757" i="43" s="1"/>
  <c r="F1453" i="43"/>
  <c r="G1453" i="43" s="1"/>
  <c r="F1741" i="43"/>
  <c r="G1741" i="43" s="1"/>
  <c r="F145" i="43"/>
  <c r="G145" i="43" s="1"/>
  <c r="F183" i="43"/>
  <c r="G183" i="43" s="1"/>
  <c r="F1287" i="43"/>
  <c r="G1287" i="43" s="1"/>
  <c r="F376" i="43"/>
  <c r="G376" i="43" s="1"/>
  <c r="F473" i="43"/>
  <c r="G473" i="43" s="1"/>
  <c r="F593" i="43"/>
  <c r="G593" i="43" s="1"/>
  <c r="F785" i="43"/>
  <c r="G785" i="43" s="1"/>
  <c r="F1097" i="43"/>
  <c r="G1097" i="43" s="1"/>
  <c r="F786" i="43"/>
  <c r="G786" i="43" s="1"/>
  <c r="F1122" i="43"/>
  <c r="G1122" i="43" s="1"/>
  <c r="F38" i="43"/>
  <c r="G38" i="43" s="1"/>
  <c r="F523" i="43"/>
  <c r="G523" i="43" s="1"/>
  <c r="F763" i="43"/>
  <c r="G763" i="43" s="1"/>
  <c r="F1219" i="43"/>
  <c r="G1219" i="43" s="1"/>
  <c r="F1172" i="43"/>
  <c r="G1172" i="43" s="1"/>
  <c r="F23" i="43"/>
  <c r="G23" i="43" s="1"/>
  <c r="F116" i="43"/>
  <c r="G116" i="43" s="1"/>
  <c r="F812" i="43"/>
  <c r="G812" i="43" s="1"/>
  <c r="F645" i="43"/>
  <c r="G645" i="43" s="1"/>
  <c r="F909" i="43"/>
  <c r="G909" i="43" s="1"/>
  <c r="F957" i="43"/>
  <c r="G957" i="43" s="1"/>
  <c r="F741" i="43"/>
  <c r="G741" i="43" s="1"/>
  <c r="F262" i="43"/>
  <c r="G262" i="43" s="1"/>
  <c r="F358" i="43"/>
  <c r="G358" i="43" s="1"/>
  <c r="F550" i="43"/>
  <c r="G550" i="43" s="1"/>
  <c r="F1390" i="43"/>
  <c r="G1390" i="43" s="1"/>
  <c r="F573" i="43"/>
  <c r="G573" i="43" s="1"/>
  <c r="F3" i="43"/>
  <c r="G3" i="43" s="1"/>
  <c r="F633" i="43"/>
  <c r="G633" i="43" s="1"/>
  <c r="F596" i="43"/>
  <c r="G596" i="43" s="1"/>
  <c r="F191" i="43"/>
  <c r="G191" i="43" s="1"/>
  <c r="F1040" i="43"/>
  <c r="G1040" i="43" s="1"/>
  <c r="F555" i="43"/>
  <c r="G555" i="43" s="1"/>
  <c r="F652" i="43"/>
  <c r="G652" i="43" s="1"/>
  <c r="F227" i="43"/>
  <c r="G227" i="43" s="1"/>
  <c r="F1055" i="43"/>
  <c r="G1055" i="43" s="1"/>
  <c r="F109" i="43"/>
  <c r="G109" i="43" s="1"/>
  <c r="F882" i="43"/>
  <c r="G882" i="43" s="1"/>
  <c r="F457" i="43"/>
  <c r="G457" i="43" s="1"/>
  <c r="F1590" i="43"/>
  <c r="G1590" i="43" s="1"/>
  <c r="F394" i="43"/>
  <c r="G394" i="43" s="1"/>
  <c r="F1546" i="43"/>
  <c r="G1546" i="43" s="1"/>
  <c r="F1033" i="43"/>
  <c r="G1033" i="43" s="1"/>
  <c r="F361" i="43"/>
  <c r="G361" i="43" s="1"/>
  <c r="F192" i="43"/>
  <c r="G192" i="43" s="1"/>
  <c r="F512" i="43"/>
  <c r="G512" i="43" s="1"/>
  <c r="F264" i="43"/>
  <c r="G264" i="43" s="1"/>
  <c r="F44" i="43"/>
  <c r="G44" i="43" s="1"/>
  <c r="F237" i="43"/>
  <c r="G237" i="43" s="1"/>
  <c r="F748" i="43"/>
  <c r="G748" i="43" s="1"/>
  <c r="F1301" i="43"/>
  <c r="G1301" i="43" s="1"/>
  <c r="F28" i="43"/>
  <c r="G28" i="43" s="1"/>
  <c r="F15" i="43"/>
  <c r="G15" i="43" s="1"/>
  <c r="F1721" i="43"/>
  <c r="G1721" i="43" s="1"/>
  <c r="F1413" i="43"/>
  <c r="G1413" i="43" s="1"/>
  <c r="F94" i="43"/>
  <c r="G94" i="43" s="1"/>
  <c r="F388" i="43"/>
  <c r="G388" i="43" s="1"/>
  <c r="F605" i="43"/>
  <c r="G605" i="43" s="1"/>
  <c r="F658" i="43"/>
  <c r="G658" i="43" s="1"/>
  <c r="F1354" i="43"/>
  <c r="G1354" i="43" s="1"/>
  <c r="F151" i="43"/>
  <c r="G151" i="43" s="1"/>
  <c r="F568" i="43"/>
  <c r="G568" i="43" s="1"/>
  <c r="F808" i="43"/>
  <c r="G808" i="43" s="1"/>
  <c r="F595" i="43"/>
  <c r="G595" i="43" s="1"/>
  <c r="F1555" i="43"/>
  <c r="G1555" i="43" s="1"/>
  <c r="F1159" i="43"/>
  <c r="G1159" i="43" s="1"/>
  <c r="F948" i="43"/>
  <c r="G948" i="43" s="1"/>
  <c r="F415" i="43"/>
  <c r="G415" i="43" s="1"/>
  <c r="F561" i="43"/>
  <c r="G561" i="43" s="1"/>
  <c r="F995" i="43"/>
  <c r="G995" i="43" s="1"/>
  <c r="F92" i="43"/>
  <c r="G92" i="43" s="1"/>
  <c r="F1044" i="43"/>
  <c r="G1044" i="43" s="1"/>
  <c r="F64" i="43"/>
  <c r="G64" i="43" s="1"/>
  <c r="F135" i="43"/>
  <c r="G135" i="43" s="1"/>
  <c r="F139" i="43"/>
  <c r="G139" i="43" s="1"/>
  <c r="F331" i="43"/>
  <c r="G331" i="43" s="1"/>
  <c r="F813" i="43"/>
  <c r="G813" i="43" s="1"/>
  <c r="F266" i="43"/>
  <c r="G266" i="43" s="1"/>
  <c r="F579" i="43"/>
  <c r="G579" i="43" s="1"/>
  <c r="F647" i="43"/>
  <c r="G647" i="43" s="1"/>
  <c r="F100" i="43"/>
  <c r="G100" i="43" s="1"/>
  <c r="F1544" i="43"/>
  <c r="G1544" i="43" s="1"/>
  <c r="F999" i="43"/>
  <c r="G999" i="43" s="1"/>
  <c r="F491" i="43"/>
  <c r="G491" i="43" s="1"/>
  <c r="F1369" i="43"/>
  <c r="G1369" i="43" s="1"/>
  <c r="F242" i="43"/>
  <c r="G242" i="43" s="1"/>
  <c r="F51" i="43"/>
  <c r="G51" i="43" s="1"/>
  <c r="F551" i="43"/>
  <c r="G551" i="43" s="1"/>
  <c r="F95" i="43"/>
  <c r="G95" i="43" s="1"/>
  <c r="F851" i="43"/>
  <c r="G851" i="43" s="1"/>
  <c r="F324" i="43"/>
  <c r="G324" i="43" s="1"/>
  <c r="F1024" i="43"/>
  <c r="G1024" i="43" s="1"/>
  <c r="F1026" i="43"/>
  <c r="G1026" i="43" s="1"/>
  <c r="F405" i="43"/>
  <c r="G405" i="43" s="1"/>
  <c r="F1443" i="43"/>
  <c r="G1443" i="43" s="1"/>
  <c r="F1600" i="43"/>
  <c r="G1600" i="43" s="1"/>
  <c r="F787" i="43"/>
  <c r="G787" i="43" s="1"/>
  <c r="F52" i="43"/>
  <c r="G52" i="43" s="1"/>
  <c r="F48" i="43"/>
  <c r="G48" i="43" s="1"/>
  <c r="F5" i="43"/>
  <c r="G5" i="43" s="1"/>
  <c r="F439" i="43"/>
  <c r="G439" i="43" s="1"/>
  <c r="F464" i="43"/>
  <c r="G464" i="43" s="1"/>
  <c r="F1400" i="43"/>
  <c r="G1400" i="43" s="1"/>
  <c r="F1713" i="43"/>
  <c r="G1713" i="43" s="1"/>
  <c r="F32" i="43"/>
  <c r="G32" i="43" s="1"/>
  <c r="F1477" i="43"/>
  <c r="G1477" i="43" s="1"/>
  <c r="F1695" i="43"/>
  <c r="G1695" i="43" s="1"/>
  <c r="F4" i="43"/>
  <c r="G4" i="43" s="1"/>
  <c r="F642" i="43"/>
  <c r="G642" i="43" s="1"/>
  <c r="F1268" i="43"/>
  <c r="G1268" i="43" s="1"/>
  <c r="F21" i="43"/>
  <c r="G21" i="43" s="1"/>
  <c r="F984" i="43"/>
  <c r="G984" i="43" s="1"/>
  <c r="F771" i="43"/>
  <c r="G771" i="43" s="1"/>
  <c r="F1085" i="43"/>
  <c r="G1085" i="43" s="1"/>
  <c r="F1422" i="43"/>
  <c r="G1422" i="43" s="1"/>
  <c r="F562" i="43"/>
  <c r="G562" i="43" s="1"/>
  <c r="F11" i="43"/>
  <c r="G11" i="43" s="1"/>
  <c r="F1240" i="43"/>
  <c r="G1240" i="43" s="1"/>
  <c r="F834" i="43"/>
  <c r="G834" i="43" s="1"/>
  <c r="F164" i="43"/>
  <c r="G164" i="43" s="1"/>
  <c r="F1681" i="43"/>
  <c r="G1681" i="43" s="1"/>
  <c r="F1539" i="43"/>
  <c r="G1539" i="43" s="1"/>
  <c r="F1732" i="43"/>
  <c r="G1732" i="43" s="1"/>
  <c r="F966" i="43"/>
  <c r="G966" i="43" s="1"/>
  <c r="F1328" i="43"/>
  <c r="G1328" i="43" s="1"/>
  <c r="F14" i="43"/>
  <c r="G14" i="43" s="1"/>
  <c r="F265" i="43"/>
  <c r="G265" i="43" s="1"/>
  <c r="F1225" i="43"/>
  <c r="G1225" i="43" s="1"/>
  <c r="F844" i="43"/>
  <c r="G844" i="43" s="1"/>
  <c r="F1351" i="43"/>
  <c r="G1351" i="43" s="1"/>
  <c r="F163" i="43"/>
  <c r="G163" i="43" s="1"/>
  <c r="F311" i="43"/>
  <c r="G311" i="43" s="1"/>
  <c r="F912" i="43"/>
  <c r="G912" i="43" s="1"/>
  <c r="F1131" i="43"/>
  <c r="G1131" i="43" s="1"/>
  <c r="F488" i="43"/>
  <c r="G488" i="43" s="1"/>
  <c r="F1234" i="43"/>
  <c r="G1234" i="43" s="1"/>
  <c r="F1095" i="43"/>
  <c r="G1095" i="43" s="1"/>
  <c r="F143" i="43"/>
  <c r="G143" i="43" s="1"/>
  <c r="F793" i="43"/>
  <c r="G793" i="43" s="1"/>
  <c r="F1326" i="43"/>
  <c r="G1326" i="43" s="1"/>
  <c r="F511" i="43"/>
  <c r="G511" i="43" s="1"/>
  <c r="F1161" i="43"/>
  <c r="G1161" i="43" s="1"/>
  <c r="T27" i="2"/>
  <c r="AE27" i="2" s="1"/>
  <c r="F419" i="43"/>
  <c r="G419" i="43" s="1"/>
  <c r="F592" i="43"/>
  <c r="G592" i="43" s="1"/>
  <c r="F832" i="43"/>
  <c r="G832" i="43" s="1"/>
  <c r="F1457" i="43"/>
  <c r="G1457" i="43" s="1"/>
  <c r="F455" i="43"/>
  <c r="G455" i="43" s="1"/>
  <c r="F558" i="43"/>
  <c r="G558" i="43" s="1"/>
  <c r="F1183" i="43"/>
  <c r="G1183" i="43" s="1"/>
  <c r="F1448" i="43"/>
  <c r="G1448" i="43" s="1"/>
  <c r="F327" i="43"/>
  <c r="G327" i="43" s="1"/>
  <c r="F1168" i="43"/>
  <c r="G1168" i="43" s="1"/>
  <c r="F868" i="43"/>
  <c r="G868" i="43" s="1"/>
  <c r="F1206" i="43"/>
  <c r="G1206" i="43" s="1"/>
  <c r="F766" i="43"/>
  <c r="G766" i="43" s="1"/>
  <c r="F1430" i="43"/>
  <c r="G1430" i="43" s="1"/>
  <c r="F977" i="43"/>
  <c r="G977" i="43" s="1"/>
  <c r="F68" i="43"/>
  <c r="G68" i="43" s="1"/>
  <c r="F867" i="43"/>
  <c r="G867" i="43" s="1"/>
  <c r="F894" i="43"/>
  <c r="G894" i="43" s="1"/>
  <c r="F273" i="43"/>
  <c r="G273" i="43" s="1"/>
  <c r="F9" i="43"/>
  <c r="G9" i="43" s="1"/>
  <c r="F34" i="43"/>
  <c r="G34" i="43" s="1"/>
  <c r="F442" i="43"/>
  <c r="G442" i="43" s="1"/>
  <c r="F309" i="43"/>
  <c r="G309" i="43" s="1"/>
  <c r="F1200" i="43"/>
  <c r="G1200" i="43" s="1"/>
  <c r="F1633" i="43"/>
  <c r="G1633" i="43" s="1"/>
  <c r="F78" i="43"/>
  <c r="G78" i="43" s="1"/>
  <c r="F990" i="43"/>
  <c r="G990" i="43" s="1"/>
  <c r="F1376" i="43"/>
  <c r="G1376" i="43" s="1"/>
  <c r="F537" i="43"/>
  <c r="G537" i="43" s="1"/>
  <c r="F335" i="43"/>
  <c r="G335" i="43" s="1"/>
  <c r="F86" i="43"/>
  <c r="G86" i="43" s="1"/>
  <c r="F640" i="43"/>
  <c r="G640" i="43" s="1"/>
  <c r="F531" i="43"/>
  <c r="G531" i="43" s="1"/>
  <c r="F626" i="43"/>
  <c r="G626" i="43" s="1"/>
  <c r="F1393" i="43"/>
  <c r="G1393" i="43" s="1"/>
  <c r="F776" i="43"/>
  <c r="G776" i="43" s="1"/>
  <c r="F946" i="43"/>
  <c r="G946" i="43" s="1"/>
  <c r="F215" i="43"/>
  <c r="G215" i="43" s="1"/>
  <c r="F1227" i="43"/>
  <c r="G1227" i="43" s="1"/>
  <c r="F1396" i="43"/>
  <c r="G1396" i="43" s="1"/>
  <c r="F631" i="43"/>
  <c r="G631" i="43" s="1"/>
  <c r="F1423" i="43"/>
  <c r="G1423" i="43" s="1"/>
  <c r="F290" i="43"/>
  <c r="G290" i="43" s="1"/>
  <c r="F944" i="43"/>
  <c r="G944" i="43" s="1"/>
  <c r="F646" i="43"/>
  <c r="G646" i="43" s="1"/>
  <c r="F709" i="43"/>
  <c r="G709" i="43" s="1"/>
  <c r="F639" i="43"/>
  <c r="G639" i="43" s="1"/>
  <c r="F1456" i="43"/>
  <c r="G1456" i="43" s="1"/>
  <c r="F1293" i="43"/>
  <c r="G1293" i="43" s="1"/>
  <c r="F27" i="43"/>
  <c r="G27" i="43" s="1"/>
  <c r="F1224" i="43"/>
  <c r="G1224" i="43" s="1"/>
  <c r="F552" i="43"/>
  <c r="G552" i="43" s="1"/>
  <c r="F70" i="43"/>
  <c r="G70" i="43" s="1"/>
  <c r="F1302" i="43"/>
  <c r="G1302" i="43" s="1"/>
  <c r="F1447" i="43"/>
  <c r="G1447" i="43" s="1"/>
  <c r="F1735" i="43"/>
  <c r="G1735" i="43" s="1"/>
  <c r="F609" i="43"/>
  <c r="G609" i="43" s="1"/>
  <c r="F1222" i="43"/>
  <c r="G1222" i="43" s="1"/>
  <c r="F975" i="43"/>
  <c r="G975" i="43" s="1"/>
  <c r="F256" i="43"/>
  <c r="G256" i="43" s="1"/>
  <c r="F856" i="43"/>
  <c r="G856" i="43" s="1"/>
  <c r="F1202" i="43"/>
  <c r="G1202" i="43" s="1"/>
  <c r="F1586" i="43"/>
  <c r="G1586" i="43" s="1"/>
  <c r="F1232" i="43"/>
  <c r="G1232" i="43" s="1"/>
  <c r="F1138" i="43"/>
  <c r="G1138" i="43" s="1"/>
  <c r="F837" i="43"/>
  <c r="G837" i="43" s="1"/>
  <c r="F1193" i="43"/>
  <c r="G1193" i="43" s="1"/>
  <c r="F1463" i="43"/>
  <c r="G1463" i="43" s="1"/>
  <c r="F838" i="43"/>
  <c r="G838" i="43" s="1"/>
  <c r="F577" i="43"/>
  <c r="G577" i="43" s="1"/>
  <c r="F697" i="43"/>
  <c r="G697" i="43" s="1"/>
  <c r="F1057" i="43"/>
  <c r="G1057" i="43" s="1"/>
  <c r="F1322" i="43"/>
  <c r="G1322" i="43" s="1"/>
  <c r="F796" i="43"/>
  <c r="G796" i="43" s="1"/>
  <c r="F1204" i="43"/>
  <c r="G1204" i="43" s="1"/>
  <c r="F534" i="43"/>
  <c r="G534" i="43" s="1"/>
  <c r="F1278" i="43"/>
  <c r="G1278" i="43" s="1"/>
  <c r="F1566" i="43"/>
  <c r="G1566" i="43" s="1"/>
  <c r="F463" i="43"/>
  <c r="G463" i="43" s="1"/>
  <c r="F632" i="43"/>
  <c r="G632" i="43" s="1"/>
  <c r="F1688" i="43"/>
  <c r="G1688" i="43" s="1"/>
  <c r="F369" i="43"/>
  <c r="G369" i="43" s="1"/>
  <c r="F106" i="43"/>
  <c r="G106" i="43" s="1"/>
  <c r="F261" i="43"/>
  <c r="G261" i="43" s="1"/>
  <c r="F1188" i="43"/>
  <c r="G1188" i="43" s="1"/>
  <c r="F349" i="43"/>
  <c r="G349" i="43" s="1"/>
  <c r="F1309" i="43"/>
  <c r="G1309" i="43" s="1"/>
  <c r="F422" i="43"/>
  <c r="G422" i="43" s="1"/>
  <c r="F518" i="43"/>
  <c r="G518" i="43" s="1"/>
  <c r="F542" i="43"/>
  <c r="G542" i="43" s="1"/>
  <c r="F1742" i="43"/>
  <c r="G1742" i="43" s="1"/>
  <c r="F831" i="43"/>
  <c r="G831" i="43" s="1"/>
  <c r="F232" i="43"/>
  <c r="G232" i="43" s="1"/>
  <c r="F400" i="43"/>
  <c r="G400" i="43" s="1"/>
  <c r="F496" i="43"/>
  <c r="G496" i="43" s="1"/>
  <c r="F643" i="43"/>
  <c r="G643" i="43" s="1"/>
  <c r="F317" i="43"/>
  <c r="G317" i="43" s="1"/>
  <c r="F522" i="43"/>
  <c r="G522" i="43" s="1"/>
  <c r="F189" i="43"/>
  <c r="G189" i="43" s="1"/>
  <c r="F158" i="43"/>
  <c r="G158" i="43" s="1"/>
  <c r="F1296" i="43"/>
  <c r="G1296" i="43" s="1"/>
  <c r="F315" i="43"/>
  <c r="G315" i="43" s="1"/>
  <c r="F628" i="43"/>
  <c r="G628" i="43" s="1"/>
  <c r="F1060" i="43"/>
  <c r="G1060" i="43" s="1"/>
  <c r="F825" i="43"/>
  <c r="G825" i="43" s="1"/>
  <c r="F298" i="43"/>
  <c r="G298" i="43" s="1"/>
  <c r="F850" i="43"/>
  <c r="G850" i="43" s="1"/>
  <c r="F325" i="43"/>
  <c r="G325" i="43" s="1"/>
  <c r="F1238" i="43"/>
  <c r="G1238" i="43" s="1"/>
  <c r="F255" i="43"/>
  <c r="G255" i="43" s="1"/>
  <c r="F663" i="43"/>
  <c r="G663" i="43" s="1"/>
  <c r="F251" i="43"/>
  <c r="G251" i="43" s="1"/>
  <c r="F1103" i="43"/>
  <c r="G1103" i="43" s="1"/>
  <c r="F1440" i="43"/>
  <c r="G1440" i="43" s="1"/>
  <c r="F384" i="43"/>
  <c r="G384" i="43" s="1"/>
  <c r="F889" i="43"/>
  <c r="G889" i="43" s="1"/>
  <c r="F117" i="43"/>
  <c r="G117" i="43" s="1"/>
  <c r="F460" i="43"/>
  <c r="G460" i="43" s="1"/>
  <c r="F1133" i="43"/>
  <c r="G1133" i="43" s="1"/>
  <c r="F47" i="43"/>
  <c r="G47" i="43" s="1"/>
  <c r="F22" i="43"/>
  <c r="G22" i="43" s="1"/>
  <c r="F168" i="43"/>
  <c r="G168" i="43" s="1"/>
  <c r="F779" i="43"/>
  <c r="G779" i="43" s="1"/>
  <c r="F1116" i="43"/>
  <c r="G1116" i="43" s="1"/>
  <c r="F1140" i="43"/>
  <c r="G1140" i="43" s="1"/>
  <c r="F254" i="43"/>
  <c r="G254" i="43" s="1"/>
  <c r="F1454" i="43"/>
  <c r="G1454" i="43" s="1"/>
  <c r="F1701" i="43"/>
  <c r="G1701" i="43" s="1"/>
  <c r="F447" i="43"/>
  <c r="G447" i="43" s="1"/>
  <c r="F951" i="43"/>
  <c r="G951" i="43" s="1"/>
  <c r="F809" i="43"/>
  <c r="G809" i="43" s="1"/>
  <c r="F1028" i="43"/>
  <c r="G1028" i="43" s="1"/>
  <c r="F239" i="43"/>
  <c r="G239" i="43" s="1"/>
  <c r="F73" i="43"/>
  <c r="G73" i="43" s="1"/>
  <c r="F790" i="43"/>
  <c r="G790" i="43" s="1"/>
  <c r="F147" i="43"/>
  <c r="G147" i="43" s="1"/>
  <c r="F580" i="43"/>
  <c r="G580" i="43" s="1"/>
  <c r="F357" i="43"/>
  <c r="G357" i="43" s="1"/>
  <c r="F53" i="43"/>
  <c r="G53" i="43" s="1"/>
  <c r="F1207" i="43"/>
  <c r="G1207" i="43" s="1"/>
  <c r="F176" i="43"/>
  <c r="G176" i="43" s="1"/>
  <c r="F1017" i="43"/>
  <c r="G1017" i="43" s="1"/>
  <c r="F226" i="43"/>
  <c r="G226" i="43" s="1"/>
  <c r="F684" i="43"/>
  <c r="G684" i="43" s="1"/>
  <c r="F374" i="43"/>
  <c r="G374" i="43" s="1"/>
  <c r="F1527" i="43"/>
  <c r="G1527" i="43" s="1"/>
  <c r="F102" i="43"/>
  <c r="G102" i="43" s="1"/>
  <c r="F249" i="43"/>
  <c r="G249" i="43" s="1"/>
  <c r="F310" i="43"/>
  <c r="G310" i="43" s="1"/>
  <c r="F833" i="43"/>
  <c r="G833" i="43" s="1"/>
  <c r="F858" i="43"/>
  <c r="G858" i="43" s="1"/>
  <c r="F529" i="43"/>
  <c r="G529" i="43" s="1"/>
  <c r="F288" i="43"/>
  <c r="G288" i="43" s="1"/>
  <c r="F386" i="43"/>
  <c r="G386" i="43" s="1"/>
  <c r="F458" i="43"/>
  <c r="G458" i="43" s="1"/>
  <c r="F124" i="43"/>
  <c r="G124" i="43" s="1"/>
  <c r="F822" i="43"/>
  <c r="G822" i="43" s="1"/>
  <c r="F269" i="43"/>
  <c r="G269" i="43" s="1"/>
  <c r="F368" i="43"/>
  <c r="G368" i="43" s="1"/>
  <c r="F1568" i="43"/>
  <c r="G1568" i="43" s="1"/>
  <c r="F250" i="43"/>
  <c r="G250" i="43" s="1"/>
  <c r="F1738" i="43"/>
  <c r="G1738" i="43" s="1"/>
  <c r="F36" i="43"/>
  <c r="G36" i="43" s="1"/>
  <c r="F1260" i="43"/>
  <c r="G1260" i="43" s="1"/>
  <c r="F830" i="43"/>
  <c r="G830" i="43" s="1"/>
  <c r="F351" i="43"/>
  <c r="G351" i="43" s="1"/>
  <c r="F495" i="43"/>
  <c r="G495" i="43" s="1"/>
  <c r="F591" i="43"/>
  <c r="G591" i="43" s="1"/>
  <c r="F1215" i="43"/>
  <c r="G1215" i="43" s="1"/>
  <c r="F1719" i="43"/>
  <c r="G1719" i="43" s="1"/>
  <c r="F352" i="43"/>
  <c r="G352" i="43" s="1"/>
  <c r="F1192" i="43"/>
  <c r="G1192" i="43" s="1"/>
  <c r="F65" i="43"/>
  <c r="G65" i="43" s="1"/>
  <c r="F1025" i="43"/>
  <c r="G1025" i="43" s="1"/>
  <c r="F41" i="43"/>
  <c r="G41" i="43" s="1"/>
  <c r="F690" i="43"/>
  <c r="G690" i="43" s="1"/>
  <c r="F160" i="43"/>
  <c r="G160" i="43" s="1"/>
  <c r="F236" i="43"/>
  <c r="G236" i="43" s="1"/>
  <c r="F1292" i="43"/>
  <c r="G1292" i="43" s="1"/>
  <c r="F1125" i="43"/>
  <c r="G1125" i="43" s="1"/>
  <c r="F490" i="43"/>
  <c r="G490" i="43" s="1"/>
  <c r="F118" i="43"/>
  <c r="G118" i="43" s="1"/>
  <c r="F354" i="43"/>
  <c r="G354" i="43" s="1"/>
  <c r="F379" i="43"/>
  <c r="G379" i="43" s="1"/>
  <c r="F314" i="43"/>
  <c r="G314" i="43" s="1"/>
  <c r="F341" i="43"/>
  <c r="G341" i="43" s="1"/>
  <c r="F679" i="43"/>
  <c r="G679" i="43" s="1"/>
  <c r="F308" i="43"/>
  <c r="G308" i="43" s="1"/>
  <c r="F312" i="43"/>
  <c r="G312" i="43" s="1"/>
  <c r="F898" i="43"/>
  <c r="G898" i="43" s="1"/>
  <c r="F1595" i="43"/>
  <c r="G1595" i="43" s="1"/>
  <c r="F157" i="43"/>
  <c r="G157" i="43" s="1"/>
  <c r="F253" i="43"/>
  <c r="G253" i="43" s="1"/>
  <c r="F829" i="43"/>
  <c r="G829" i="43" s="1"/>
  <c r="F1166" i="43"/>
  <c r="G1166" i="43" s="1"/>
  <c r="F231" i="43"/>
  <c r="G231" i="43" s="1"/>
  <c r="F90" i="43"/>
  <c r="G90" i="43" s="1"/>
  <c r="F1170" i="43"/>
  <c r="G1170" i="43" s="1"/>
  <c r="F692" i="43"/>
  <c r="G692" i="43" s="1"/>
  <c r="F333" i="43"/>
  <c r="G333" i="43" s="1"/>
  <c r="F575" i="43"/>
  <c r="G575" i="43" s="1"/>
  <c r="F1223" i="43"/>
  <c r="G1223" i="43" s="1"/>
  <c r="F219" i="43"/>
  <c r="G219" i="43" s="1"/>
  <c r="F144" i="43"/>
  <c r="G144" i="43" s="1"/>
  <c r="F560" i="43"/>
  <c r="G560" i="43" s="1"/>
  <c r="F247" i="43"/>
  <c r="G247" i="43" s="1"/>
  <c r="F348" i="43"/>
  <c r="G348" i="43" s="1"/>
  <c r="F326" i="43"/>
  <c r="G326" i="43" s="1"/>
  <c r="F566" i="43"/>
  <c r="G566" i="43" s="1"/>
  <c r="F63" i="43"/>
  <c r="G63" i="43" s="1"/>
  <c r="F783" i="43"/>
  <c r="G783" i="43" s="1"/>
  <c r="F448" i="43"/>
  <c r="G448" i="43" s="1"/>
  <c r="F1195" i="43"/>
  <c r="G1195" i="43" s="1"/>
  <c r="F789" i="43"/>
  <c r="G789" i="43" s="1"/>
  <c r="F792" i="43"/>
  <c r="G792" i="43" s="1"/>
  <c r="F553" i="43"/>
  <c r="G553" i="43" s="1"/>
  <c r="F601" i="43"/>
  <c r="G601" i="43" s="1"/>
  <c r="F74" i="43"/>
  <c r="G74" i="43" s="1"/>
  <c r="F338" i="43"/>
  <c r="G338" i="43" s="1"/>
  <c r="F1058" i="43"/>
  <c r="G1058" i="43" s="1"/>
  <c r="F75" i="43"/>
  <c r="G75" i="43" s="1"/>
  <c r="F1107" i="43"/>
  <c r="G1107" i="43" s="1"/>
  <c r="F1179" i="43"/>
  <c r="G1179" i="43" s="1"/>
  <c r="F76" i="43"/>
  <c r="G76" i="43" s="1"/>
  <c r="F244" i="43"/>
  <c r="G244" i="43" s="1"/>
  <c r="F772" i="43"/>
  <c r="G772" i="43" s="1"/>
  <c r="F1180" i="43"/>
  <c r="G1180" i="43" s="1"/>
  <c r="F773" i="43"/>
  <c r="G773" i="43" s="1"/>
  <c r="F774" i="43"/>
  <c r="G774" i="43" s="1"/>
  <c r="F31" i="43"/>
  <c r="G31" i="43" s="1"/>
  <c r="F320" i="43"/>
  <c r="G320" i="43" s="1"/>
  <c r="F1208" i="43"/>
  <c r="G1208" i="43" s="1"/>
  <c r="F1712" i="43"/>
  <c r="G1712" i="43" s="1"/>
  <c r="F777" i="43"/>
  <c r="G777" i="43" s="1"/>
  <c r="F165" i="43"/>
  <c r="G165" i="43" s="1"/>
  <c r="F346" i="43"/>
  <c r="G346" i="43" s="1"/>
  <c r="F778" i="43"/>
  <c r="G778" i="43" s="1"/>
  <c r="F1642" i="43"/>
  <c r="G1642" i="43" s="1"/>
  <c r="F780" i="43"/>
  <c r="G780" i="43" s="1"/>
  <c r="F229" i="43"/>
  <c r="G229" i="43" s="1"/>
  <c r="F814" i="43"/>
  <c r="G814" i="43" s="1"/>
  <c r="F470" i="43"/>
  <c r="G470" i="43" s="1"/>
  <c r="F782" i="43"/>
  <c r="G782" i="43" s="1"/>
  <c r="F159" i="43"/>
  <c r="G159" i="43" s="1"/>
  <c r="F1143" i="43"/>
  <c r="G1143" i="43" s="1"/>
  <c r="F784" i="43"/>
  <c r="G784" i="43" s="1"/>
  <c r="F89" i="43"/>
  <c r="G89" i="43" s="1"/>
  <c r="F1145" i="43"/>
  <c r="G1145" i="43" s="1"/>
  <c r="F13" i="43"/>
  <c r="G13" i="43" s="1"/>
  <c r="F1314" i="43"/>
  <c r="G1314" i="43" s="1"/>
  <c r="F1386" i="43"/>
  <c r="G1386" i="43" s="1"/>
  <c r="F691" i="43"/>
  <c r="G691" i="43" s="1"/>
  <c r="F835" i="43"/>
  <c r="G835" i="43" s="1"/>
  <c r="F500" i="43"/>
  <c r="G500" i="43" s="1"/>
  <c r="F933" i="43"/>
  <c r="G933" i="43" s="1"/>
  <c r="F2" i="43"/>
  <c r="G2" i="43" s="1"/>
  <c r="G70" i="36"/>
  <c r="I70" i="36" s="1"/>
  <c r="J70" i="36" s="1"/>
  <c r="G56" i="32"/>
  <c r="I56" i="32" s="1"/>
  <c r="J56" i="32" s="1"/>
  <c r="G89" i="35"/>
  <c r="I89" i="35" s="1"/>
  <c r="J89" i="35" s="1"/>
  <c r="G80" i="33"/>
  <c r="I80" i="33" s="1"/>
  <c r="J80" i="33" s="1"/>
  <c r="G56" i="36"/>
  <c r="I56" i="36" s="1"/>
  <c r="J56" i="36" s="1"/>
  <c r="G86" i="29"/>
  <c r="I86" i="29" s="1"/>
  <c r="J86" i="29" s="1"/>
  <c r="G61" i="35"/>
  <c r="I61" i="35" s="1"/>
  <c r="J61" i="35" s="1"/>
  <c r="G18" i="33"/>
  <c r="I18" i="33" s="1"/>
  <c r="J18" i="33" s="1"/>
  <c r="G100" i="37"/>
  <c r="I100" i="37" s="1"/>
  <c r="J100" i="37" s="1"/>
  <c r="G92" i="35"/>
  <c r="I92" i="35" s="1"/>
  <c r="J92" i="35" s="1"/>
  <c r="G41" i="34"/>
  <c r="I41" i="34" s="1"/>
  <c r="J41" i="34" s="1"/>
  <c r="G55" i="30"/>
  <c r="I55" i="30" s="1"/>
  <c r="J55" i="30" s="1"/>
  <c r="G55" i="34"/>
  <c r="I55" i="34" s="1"/>
  <c r="J55" i="34" s="1"/>
  <c r="G5" i="35"/>
  <c r="I5" i="35" s="1"/>
  <c r="J5" i="35" s="1"/>
  <c r="G58" i="30"/>
  <c r="I58" i="30" s="1"/>
  <c r="J58" i="30" s="1"/>
  <c r="G34" i="33"/>
  <c r="I34" i="33" s="1"/>
  <c r="J34" i="33" s="1"/>
  <c r="G14" i="29"/>
  <c r="I14" i="29" s="1"/>
  <c r="J14" i="29" s="1"/>
  <c r="G78" i="35"/>
  <c r="I78" i="35" s="1"/>
  <c r="J78" i="35" s="1"/>
  <c r="G72" i="32"/>
  <c r="I72" i="32" s="1"/>
  <c r="J72" i="32" s="1"/>
  <c r="G30" i="39"/>
  <c r="G63" i="37"/>
  <c r="I63" i="37" s="1"/>
  <c r="J63" i="37" s="1"/>
  <c r="G46" i="30"/>
  <c r="I46" i="30" s="1"/>
  <c r="J46" i="30" s="1"/>
  <c r="G26" i="35"/>
  <c r="I26" i="35" s="1"/>
  <c r="J26" i="35" s="1"/>
  <c r="G6" i="37"/>
  <c r="I6" i="37" s="1"/>
  <c r="J6" i="37" s="1"/>
  <c r="G94" i="35"/>
  <c r="I94" i="35" s="1"/>
  <c r="J94" i="35" s="1"/>
  <c r="G59" i="34"/>
  <c r="I59" i="34" s="1"/>
  <c r="J59" i="34" s="1"/>
  <c r="G71" i="35"/>
  <c r="I71" i="35" s="1"/>
  <c r="J71" i="35" s="1"/>
  <c r="G74" i="34"/>
  <c r="I74" i="34" s="1"/>
  <c r="J74" i="34" s="1"/>
  <c r="G85" i="30"/>
  <c r="I85" i="30" s="1"/>
  <c r="J85" i="30" s="1"/>
  <c r="G87" i="39"/>
  <c r="G66" i="35"/>
  <c r="I66" i="35" s="1"/>
  <c r="J66" i="35" s="1"/>
  <c r="G64" i="37"/>
  <c r="I64" i="37" s="1"/>
  <c r="J64" i="37" s="1"/>
  <c r="G45" i="37"/>
  <c r="I45" i="37" s="1"/>
  <c r="J45" i="37" s="1"/>
  <c r="G97" i="36"/>
  <c r="I97" i="36" s="1"/>
  <c r="J97" i="36" s="1"/>
  <c r="G96" i="32"/>
  <c r="I96" i="32" s="1"/>
  <c r="J96" i="32" s="1"/>
  <c r="G96" i="34"/>
  <c r="I96" i="34" s="1"/>
  <c r="J96" i="34" s="1"/>
  <c r="G38" i="35"/>
  <c r="I38" i="35" s="1"/>
  <c r="J38" i="35" s="1"/>
  <c r="G37" i="39"/>
  <c r="G76" i="30"/>
  <c r="I76" i="30" s="1"/>
  <c r="J76" i="30" s="1"/>
  <c r="G58" i="35"/>
  <c r="I58" i="35" s="1"/>
  <c r="J58" i="35" s="1"/>
  <c r="G66" i="39"/>
  <c r="G7" i="35"/>
  <c r="I7" i="35" s="1"/>
  <c r="J7" i="35" s="1"/>
  <c r="G27" i="32"/>
  <c r="I27" i="32" s="1"/>
  <c r="J27" i="32" s="1"/>
  <c r="G43" i="36"/>
  <c r="I43" i="36" s="1"/>
  <c r="J43" i="36" s="1"/>
  <c r="G56" i="34"/>
  <c r="I56" i="34" s="1"/>
  <c r="J56" i="34" s="1"/>
  <c r="G34" i="29"/>
  <c r="I34" i="29" s="1"/>
  <c r="J34" i="29" s="1"/>
  <c r="G60" i="29"/>
  <c r="I60" i="29" s="1"/>
  <c r="J60" i="29" s="1"/>
  <c r="G25" i="35"/>
  <c r="I25" i="35" s="1"/>
  <c r="J25" i="35" s="1"/>
  <c r="G52" i="39"/>
  <c r="G13" i="30"/>
  <c r="I13" i="30" s="1"/>
  <c r="J13" i="30" s="1"/>
  <c r="G84" i="39"/>
  <c r="G85" i="32"/>
  <c r="I85" i="32" s="1"/>
  <c r="J85" i="32" s="1"/>
  <c r="G91" i="30"/>
  <c r="I91" i="30" s="1"/>
  <c r="J91" i="30" s="1"/>
  <c r="G43" i="33"/>
  <c r="I43" i="33" s="1"/>
  <c r="J43" i="33" s="1"/>
  <c r="G88" i="36"/>
  <c r="I88" i="36" s="1"/>
  <c r="J88" i="36" s="1"/>
  <c r="G30" i="36"/>
  <c r="I30" i="36" s="1"/>
  <c r="J30" i="36" s="1"/>
  <c r="G65" i="37"/>
  <c r="I65" i="37" s="1"/>
  <c r="J65" i="37" s="1"/>
  <c r="G64" i="33"/>
  <c r="I64" i="33" s="1"/>
  <c r="J64" i="33" s="1"/>
  <c r="G45" i="32"/>
  <c r="I45" i="32" s="1"/>
  <c r="J45" i="32" s="1"/>
  <c r="G12" i="30"/>
  <c r="I12" i="30" s="1"/>
  <c r="J12" i="30" s="1"/>
  <c r="G96" i="35"/>
  <c r="I96" i="35" s="1"/>
  <c r="J96" i="35" s="1"/>
  <c r="G41" i="30"/>
  <c r="I41" i="30" s="1"/>
  <c r="J41" i="30" s="1"/>
  <c r="G79" i="30"/>
  <c r="I79" i="30" s="1"/>
  <c r="J79" i="30" s="1"/>
  <c r="G47" i="39"/>
  <c r="G84" i="35"/>
  <c r="I84" i="35" s="1"/>
  <c r="J84" i="35" s="1"/>
  <c r="G57" i="39"/>
  <c r="G53" i="35"/>
  <c r="I53" i="35" s="1"/>
  <c r="J53" i="35" s="1"/>
  <c r="G57" i="30"/>
  <c r="I57" i="30" s="1"/>
  <c r="J57" i="30" s="1"/>
  <c r="G14" i="36"/>
  <c r="I14" i="36" s="1"/>
  <c r="J14" i="36" s="1"/>
  <c r="G33" i="32"/>
  <c r="I33" i="32" s="1"/>
  <c r="J33" i="32" s="1"/>
  <c r="G27" i="30"/>
  <c r="I27" i="30" s="1"/>
  <c r="J27" i="30" s="1"/>
  <c r="G78" i="37"/>
  <c r="I78" i="37" s="1"/>
  <c r="J78" i="37" s="1"/>
  <c r="G16" i="37"/>
  <c r="I16" i="37" s="1"/>
  <c r="J16" i="37" s="1"/>
  <c r="G18" i="37"/>
  <c r="I18" i="37" s="1"/>
  <c r="J18" i="37" s="1"/>
  <c r="G92" i="36"/>
  <c r="I92" i="36" s="1"/>
  <c r="J92" i="36" s="1"/>
  <c r="G15" i="33"/>
  <c r="I15" i="33" s="1"/>
  <c r="J15" i="33" s="1"/>
  <c r="G9" i="36"/>
  <c r="I9" i="36" s="1"/>
  <c r="J9" i="36" s="1"/>
  <c r="G12" i="33"/>
  <c r="I12" i="33" s="1"/>
  <c r="J12" i="33" s="1"/>
  <c r="G24" i="31"/>
  <c r="I24" i="31" s="1"/>
  <c r="J24" i="31" s="1"/>
  <c r="G62" i="34"/>
  <c r="I62" i="34" s="1"/>
  <c r="J62" i="34" s="1"/>
  <c r="G47" i="35"/>
  <c r="I47" i="35" s="1"/>
  <c r="J47" i="35" s="1"/>
  <c r="G50" i="39"/>
  <c r="G31" i="35"/>
  <c r="I31" i="35" s="1"/>
  <c r="J31" i="35" s="1"/>
  <c r="G89" i="29"/>
  <c r="I89" i="29" s="1"/>
  <c r="J89" i="29" s="1"/>
  <c r="G101" i="36"/>
  <c r="I101" i="36" s="1"/>
  <c r="J101" i="36" s="1"/>
  <c r="G14" i="35"/>
  <c r="I14" i="35" s="1"/>
  <c r="J14" i="35" s="1"/>
  <c r="G32" i="30"/>
  <c r="I32" i="30" s="1"/>
  <c r="J32" i="30" s="1"/>
  <c r="G30" i="30"/>
  <c r="I30" i="30" s="1"/>
  <c r="J30" i="30" s="1"/>
  <c r="G38" i="30"/>
  <c r="I38" i="30" s="1"/>
  <c r="J38" i="30" s="1"/>
  <c r="G52" i="36"/>
  <c r="I52" i="36" s="1"/>
  <c r="J52" i="36" s="1"/>
  <c r="G48" i="35"/>
  <c r="I48" i="35" s="1"/>
  <c r="J48" i="35" s="1"/>
  <c r="G89" i="36"/>
  <c r="I89" i="36" s="1"/>
  <c r="J89" i="36" s="1"/>
  <c r="G92" i="32"/>
  <c r="I92" i="32" s="1"/>
  <c r="J92" i="32" s="1"/>
  <c r="G72" i="36"/>
  <c r="I72" i="36" s="1"/>
  <c r="J72" i="36" s="1"/>
  <c r="G51" i="34"/>
  <c r="I51" i="34" s="1"/>
  <c r="J51" i="34" s="1"/>
  <c r="G83" i="30"/>
  <c r="I83" i="30" s="1"/>
  <c r="J83" i="30" s="1"/>
  <c r="G23" i="33"/>
  <c r="I23" i="33" s="1"/>
  <c r="J23" i="33" s="1"/>
  <c r="G10" i="35"/>
  <c r="I10" i="35" s="1"/>
  <c r="J10" i="35" s="1"/>
  <c r="G71" i="34"/>
  <c r="I71" i="34" s="1"/>
  <c r="J71" i="34" s="1"/>
  <c r="G17" i="35"/>
  <c r="I17" i="35" s="1"/>
  <c r="J17" i="35" s="1"/>
  <c r="G54" i="29"/>
  <c r="I54" i="29" s="1"/>
  <c r="J54" i="29" s="1"/>
  <c r="G61" i="29"/>
  <c r="I61" i="29" s="1"/>
  <c r="J61" i="29" s="1"/>
  <c r="G84" i="32"/>
  <c r="I84" i="32" s="1"/>
  <c r="J84" i="32" s="1"/>
  <c r="G46" i="39"/>
  <c r="G89" i="37"/>
  <c r="I89" i="37" s="1"/>
  <c r="J89" i="37" s="1"/>
  <c r="G43" i="35"/>
  <c r="I43" i="35" s="1"/>
  <c r="J43" i="35" s="1"/>
  <c r="G95" i="39"/>
  <c r="G40" i="35"/>
  <c r="I40" i="35" s="1"/>
  <c r="J40" i="35" s="1"/>
  <c r="G99" i="31"/>
  <c r="I99" i="31" s="1"/>
  <c r="J99" i="31" s="1"/>
  <c r="G99" i="32"/>
  <c r="I99" i="32" s="1"/>
  <c r="J99" i="32" s="1"/>
  <c r="G27" i="35"/>
  <c r="I27" i="35" s="1"/>
  <c r="J27" i="35" s="1"/>
  <c r="G28" i="37"/>
  <c r="I28" i="37" s="1"/>
  <c r="J28" i="37" s="1"/>
  <c r="G12" i="34"/>
  <c r="I12" i="34" s="1"/>
  <c r="J12" i="34" s="1"/>
  <c r="G64" i="35"/>
  <c r="I64" i="35" s="1"/>
  <c r="J64" i="35" s="1"/>
  <c r="G22" i="33"/>
  <c r="I22" i="33" s="1"/>
  <c r="J22" i="33" s="1"/>
  <c r="G47" i="31"/>
  <c r="I47" i="31" s="1"/>
  <c r="J47" i="31" s="1"/>
  <c r="G65" i="29"/>
  <c r="I65" i="29" s="1"/>
  <c r="J65" i="29" s="1"/>
  <c r="G101" i="34"/>
  <c r="I101" i="34" s="1"/>
  <c r="J101" i="34" s="1"/>
  <c r="G60" i="34"/>
  <c r="I60" i="34" s="1"/>
  <c r="J60" i="34" s="1"/>
  <c r="G45" i="36"/>
  <c r="I45" i="36" s="1"/>
  <c r="J45" i="36" s="1"/>
  <c r="G42" i="32"/>
  <c r="I42" i="32" s="1"/>
  <c r="J42" i="32" s="1"/>
  <c r="G87" i="36"/>
  <c r="I87" i="36" s="1"/>
  <c r="J87" i="36" s="1"/>
  <c r="G60" i="35"/>
  <c r="I60" i="35" s="1"/>
  <c r="J60" i="35" s="1"/>
  <c r="G89" i="34"/>
  <c r="I89" i="34" s="1"/>
  <c r="J89" i="34" s="1"/>
  <c r="G69" i="35"/>
  <c r="I69" i="35" s="1"/>
  <c r="J69" i="35" s="1"/>
  <c r="G49" i="37"/>
  <c r="I49" i="37" s="1"/>
  <c r="J49" i="37" s="1"/>
  <c r="G21" i="34"/>
  <c r="I21" i="34" s="1"/>
  <c r="J21" i="34" s="1"/>
  <c r="G14" i="34"/>
  <c r="I14" i="34" s="1"/>
  <c r="J14" i="34" s="1"/>
  <c r="G90" i="34"/>
  <c r="I90" i="34" s="1"/>
  <c r="J90" i="34" s="1"/>
  <c r="G53" i="30"/>
  <c r="I53" i="30" s="1"/>
  <c r="J53" i="30" s="1"/>
  <c r="G45" i="34"/>
  <c r="I45" i="34" s="1"/>
  <c r="J45" i="34" s="1"/>
  <c r="G83" i="34"/>
  <c r="I83" i="34" s="1"/>
  <c r="J83" i="34" s="1"/>
  <c r="G69" i="34"/>
  <c r="I69" i="34" s="1"/>
  <c r="J69" i="34" s="1"/>
  <c r="G3" i="31"/>
  <c r="I3" i="31" s="1"/>
  <c r="J3" i="31" s="1"/>
  <c r="G65" i="39"/>
  <c r="G40" i="32"/>
  <c r="I40" i="32" s="1"/>
  <c r="J40" i="32" s="1"/>
  <c r="G72" i="33"/>
  <c r="I72" i="33" s="1"/>
  <c r="J72" i="33" s="1"/>
  <c r="G15" i="34"/>
  <c r="I15" i="34" s="1"/>
  <c r="J15" i="34" s="1"/>
  <c r="G87" i="32"/>
  <c r="I87" i="32" s="1"/>
  <c r="J87" i="32" s="1"/>
  <c r="G37" i="35"/>
  <c r="I37" i="35" s="1"/>
  <c r="J37" i="35" s="1"/>
  <c r="G86" i="33"/>
  <c r="I86" i="33" s="1"/>
  <c r="J86" i="33" s="1"/>
  <c r="G86" i="36"/>
  <c r="I86" i="36" s="1"/>
  <c r="J86" i="36" s="1"/>
  <c r="G53" i="32"/>
  <c r="I53" i="32" s="1"/>
  <c r="J53" i="32" s="1"/>
  <c r="G16" i="34"/>
  <c r="I16" i="34" s="1"/>
  <c r="J16" i="34" s="1"/>
  <c r="G59" i="35"/>
  <c r="I59" i="35" s="1"/>
  <c r="J59" i="35" s="1"/>
  <c r="G63" i="36"/>
  <c r="I63" i="36" s="1"/>
  <c r="J63" i="36" s="1"/>
  <c r="G36" i="34"/>
  <c r="I36" i="34" s="1"/>
  <c r="J36" i="34" s="1"/>
  <c r="G75" i="32"/>
  <c r="I75" i="32" s="1"/>
  <c r="J75" i="32" s="1"/>
  <c r="G59" i="39"/>
  <c r="G72" i="39"/>
  <c r="G16" i="30"/>
  <c r="I16" i="30" s="1"/>
  <c r="J16" i="30" s="1"/>
  <c r="G87" i="29"/>
  <c r="I87" i="29" s="1"/>
  <c r="J87" i="29" s="1"/>
  <c r="G88" i="30"/>
  <c r="I88" i="30" s="1"/>
  <c r="J88" i="30" s="1"/>
  <c r="G46" i="31"/>
  <c r="I46" i="31" s="1"/>
  <c r="J46" i="31" s="1"/>
  <c r="G79" i="33"/>
  <c r="I79" i="33" s="1"/>
  <c r="J79" i="33" s="1"/>
  <c r="G33" i="34"/>
  <c r="I33" i="34" s="1"/>
  <c r="J33" i="34" s="1"/>
  <c r="G34" i="34"/>
  <c r="I34" i="34" s="1"/>
  <c r="J34" i="34" s="1"/>
  <c r="G32" i="35"/>
  <c r="I32" i="35" s="1"/>
  <c r="J32" i="35" s="1"/>
  <c r="G48" i="33"/>
  <c r="I48" i="33" s="1"/>
  <c r="J48" i="33" s="1"/>
  <c r="G73" i="34"/>
  <c r="I73" i="34" s="1"/>
  <c r="J73" i="34" s="1"/>
  <c r="G39" i="34"/>
  <c r="I39" i="34" s="1"/>
  <c r="J39" i="34" s="1"/>
  <c r="G17" i="39"/>
  <c r="G39" i="32"/>
  <c r="I39" i="32" s="1"/>
  <c r="J39" i="32" s="1"/>
  <c r="G12" i="29"/>
  <c r="I12" i="29" s="1"/>
  <c r="J12" i="29" s="1"/>
  <c r="G50" i="35"/>
  <c r="I50" i="35" s="1"/>
  <c r="J50" i="35" s="1"/>
  <c r="G32" i="34"/>
  <c r="I32" i="34" s="1"/>
  <c r="J32" i="34" s="1"/>
  <c r="G56" i="39"/>
  <c r="G26" i="39"/>
  <c r="G71" i="36"/>
  <c r="I71" i="36" s="1"/>
  <c r="J71" i="36" s="1"/>
  <c r="G67" i="39"/>
  <c r="G32" i="39"/>
  <c r="G83" i="32"/>
  <c r="I83" i="32" s="1"/>
  <c r="J83" i="32" s="1"/>
  <c r="G83" i="33"/>
  <c r="I83" i="33" s="1"/>
  <c r="J83" i="33" s="1"/>
  <c r="G64" i="34"/>
  <c r="I64" i="34" s="1"/>
  <c r="J64" i="34" s="1"/>
  <c r="G29" i="35"/>
  <c r="I29" i="35" s="1"/>
  <c r="J29" i="35" s="1"/>
  <c r="G60" i="32"/>
  <c r="I60" i="32" s="1"/>
  <c r="J60" i="32" s="1"/>
  <c r="G65" i="36"/>
  <c r="I65" i="36" s="1"/>
  <c r="J65" i="36" s="1"/>
  <c r="G93" i="32"/>
  <c r="I93" i="32" s="1"/>
  <c r="J93" i="32" s="1"/>
  <c r="G50" i="30"/>
  <c r="I50" i="30" s="1"/>
  <c r="J50" i="30" s="1"/>
  <c r="G66" i="37"/>
  <c r="I66" i="37" s="1"/>
  <c r="J66" i="37" s="1"/>
  <c r="G43" i="34"/>
  <c r="I43" i="34" s="1"/>
  <c r="J43" i="34" s="1"/>
  <c r="G91" i="31"/>
  <c r="I91" i="31" s="1"/>
  <c r="J91" i="31" s="1"/>
  <c r="G59" i="29"/>
  <c r="I59" i="29" s="1"/>
  <c r="J59" i="29" s="1"/>
  <c r="G10" i="37"/>
  <c r="I10" i="37" s="1"/>
  <c r="J10" i="37" s="1"/>
  <c r="G12" i="36"/>
  <c r="I12" i="36" s="1"/>
  <c r="J12" i="36" s="1"/>
  <c r="G53" i="37"/>
  <c r="I53" i="37" s="1"/>
  <c r="J53" i="37" s="1"/>
  <c r="G32" i="32"/>
  <c r="I32" i="32" s="1"/>
  <c r="J32" i="32" s="1"/>
  <c r="G88" i="33"/>
  <c r="I88" i="33" s="1"/>
  <c r="J88" i="33" s="1"/>
  <c r="G23" i="32"/>
  <c r="I23" i="32" s="1"/>
  <c r="J23" i="32" s="1"/>
  <c r="G32" i="33"/>
  <c r="I32" i="33" s="1"/>
  <c r="J32" i="33" s="1"/>
  <c r="G84" i="34"/>
  <c r="I84" i="34" s="1"/>
  <c r="J84" i="34" s="1"/>
  <c r="G34" i="35"/>
  <c r="I34" i="35" s="1"/>
  <c r="J34" i="35" s="1"/>
  <c r="G72" i="35"/>
  <c r="I72" i="35" s="1"/>
  <c r="J72" i="35" s="1"/>
  <c r="G79" i="39"/>
  <c r="G10" i="36"/>
  <c r="I10" i="36" s="1"/>
  <c r="J10" i="36" s="1"/>
  <c r="G22" i="32"/>
  <c r="I22" i="32" s="1"/>
  <c r="J22" i="32" s="1"/>
  <c r="G25" i="36"/>
  <c r="I25" i="36" s="1"/>
  <c r="J25" i="36" s="1"/>
  <c r="G101" i="39"/>
  <c r="G19" i="33"/>
  <c r="I19" i="33" s="1"/>
  <c r="J19" i="33" s="1"/>
  <c r="G81" i="36"/>
  <c r="I81" i="36" s="1"/>
  <c r="J81" i="36" s="1"/>
  <c r="G7" i="37"/>
  <c r="I7" i="37" s="1"/>
  <c r="J7" i="37" s="1"/>
  <c r="G74" i="35"/>
  <c r="I74" i="35" s="1"/>
  <c r="J74" i="35" s="1"/>
  <c r="G37" i="34"/>
  <c r="I37" i="34" s="1"/>
  <c r="J37" i="34" s="1"/>
  <c r="G66" i="34"/>
  <c r="I66" i="34" s="1"/>
  <c r="J66" i="34" s="1"/>
  <c r="G63" i="29"/>
  <c r="I63" i="29" s="1"/>
  <c r="J63" i="29" s="1"/>
  <c r="G57" i="34"/>
  <c r="I57" i="34" s="1"/>
  <c r="J57" i="34" s="1"/>
  <c r="G11" i="36"/>
  <c r="I11" i="36" s="1"/>
  <c r="J11" i="36" s="1"/>
  <c r="G50" i="32"/>
  <c r="I50" i="32" s="1"/>
  <c r="J50" i="32" s="1"/>
  <c r="G48" i="36"/>
  <c r="I48" i="36" s="1"/>
  <c r="J48" i="36" s="1"/>
  <c r="G46" i="34"/>
  <c r="I46" i="34" s="1"/>
  <c r="J46" i="34" s="1"/>
  <c r="G23" i="36"/>
  <c r="I23" i="36" s="1"/>
  <c r="J23" i="36" s="1"/>
  <c r="G97" i="35"/>
  <c r="I97" i="35" s="1"/>
  <c r="J97" i="35" s="1"/>
  <c r="G75" i="39"/>
  <c r="G41" i="35"/>
  <c r="I41" i="35" s="1"/>
  <c r="J41" i="35" s="1"/>
  <c r="G58" i="36"/>
  <c r="I58" i="36" s="1"/>
  <c r="J58" i="36" s="1"/>
  <c r="G41" i="33"/>
  <c r="I41" i="33" s="1"/>
  <c r="J41" i="33" s="1"/>
  <c r="G45" i="35"/>
  <c r="I45" i="35" s="1"/>
  <c r="J45" i="35" s="1"/>
  <c r="G91" i="35"/>
  <c r="I91" i="35" s="1"/>
  <c r="J91" i="35" s="1"/>
  <c r="G97" i="32"/>
  <c r="I97" i="32" s="1"/>
  <c r="J97" i="32" s="1"/>
  <c r="G22" i="36"/>
  <c r="I22" i="36" s="1"/>
  <c r="J22" i="36" s="1"/>
  <c r="G82" i="34"/>
  <c r="I82" i="34" s="1"/>
  <c r="J82" i="34" s="1"/>
  <c r="G89" i="30"/>
  <c r="I89" i="30" s="1"/>
  <c r="J89" i="30" s="1"/>
  <c r="G11" i="37"/>
  <c r="I11" i="37" s="1"/>
  <c r="J11" i="37" s="1"/>
  <c r="G46" i="35"/>
  <c r="I46" i="35" s="1"/>
  <c r="J46" i="35" s="1"/>
  <c r="G40" i="39"/>
  <c r="G93" i="35"/>
  <c r="I93" i="35" s="1"/>
  <c r="J93" i="35" s="1"/>
  <c r="G58" i="39"/>
  <c r="G74" i="32"/>
  <c r="I74" i="32" s="1"/>
  <c r="J74" i="32" s="1"/>
  <c r="G62" i="35"/>
  <c r="I62" i="35" s="1"/>
  <c r="J62" i="35" s="1"/>
  <c r="G16" i="33"/>
  <c r="I16" i="33" s="1"/>
  <c r="J16" i="33" s="1"/>
  <c r="G69" i="36"/>
  <c r="I69" i="36" s="1"/>
  <c r="J69" i="36" s="1"/>
  <c r="G50" i="37"/>
  <c r="I50" i="37" s="1"/>
  <c r="J50" i="37" s="1"/>
  <c r="G87" i="37"/>
  <c r="I87" i="37" s="1"/>
  <c r="J87" i="37" s="1"/>
  <c r="G82" i="35"/>
  <c r="I82" i="35" s="1"/>
  <c r="J82" i="35" s="1"/>
  <c r="G51" i="35"/>
  <c r="I51" i="35" s="1"/>
  <c r="J51" i="35" s="1"/>
  <c r="G57" i="35"/>
  <c r="I57" i="35" s="1"/>
  <c r="J57" i="35" s="1"/>
  <c r="G36" i="36"/>
  <c r="I36" i="36" s="1"/>
  <c r="J36" i="36" s="1"/>
  <c r="G67" i="35"/>
  <c r="I67" i="35" s="1"/>
  <c r="J67" i="35" s="1"/>
  <c r="G85" i="34"/>
  <c r="I85" i="34" s="1"/>
  <c r="J85" i="34" s="1"/>
  <c r="G77" i="35"/>
  <c r="I77" i="35" s="1"/>
  <c r="J77" i="35" s="1"/>
  <c r="G20" i="36"/>
  <c r="I20" i="36" s="1"/>
  <c r="J20" i="36" s="1"/>
  <c r="G8" i="34"/>
  <c r="I8" i="34" s="1"/>
  <c r="J8" i="34" s="1"/>
  <c r="G75" i="34"/>
  <c r="I75" i="34" s="1"/>
  <c r="J75" i="34" s="1"/>
  <c r="G65" i="33"/>
  <c r="I65" i="33" s="1"/>
  <c r="J65" i="33" s="1"/>
  <c r="G92" i="34"/>
  <c r="I92" i="34" s="1"/>
  <c r="J92" i="34" s="1"/>
  <c r="T19" i="2"/>
  <c r="AE19" i="2" s="1"/>
  <c r="G53" i="36"/>
  <c r="I53" i="36" s="1"/>
  <c r="J53" i="36" s="1"/>
  <c r="G97" i="31"/>
  <c r="I97" i="31" s="1"/>
  <c r="J97" i="31" s="1"/>
  <c r="G11" i="30"/>
  <c r="I11" i="30" s="1"/>
  <c r="J11" i="30" s="1"/>
  <c r="G12" i="35"/>
  <c r="I12" i="35" s="1"/>
  <c r="J12" i="35" s="1"/>
  <c r="G51" i="32"/>
  <c r="I51" i="32" s="1"/>
  <c r="J51" i="32" s="1"/>
  <c r="G24" i="30"/>
  <c r="I24" i="30" s="1"/>
  <c r="J24" i="30" s="1"/>
  <c r="T89" i="2"/>
  <c r="AE89" i="2" s="1"/>
  <c r="G44" i="34"/>
  <c r="I44" i="34" s="1"/>
  <c r="J44" i="34" s="1"/>
  <c r="G63" i="35"/>
  <c r="I63" i="35" s="1"/>
  <c r="J63" i="35" s="1"/>
  <c r="G98" i="32"/>
  <c r="I98" i="32" s="1"/>
  <c r="J98" i="32" s="1"/>
  <c r="G98" i="37"/>
  <c r="I98" i="37" s="1"/>
  <c r="J98" i="37" s="1"/>
  <c r="G15" i="30"/>
  <c r="I15" i="30" s="1"/>
  <c r="J15" i="30" s="1"/>
  <c r="G60" i="33"/>
  <c r="I60" i="33" s="1"/>
  <c r="J60" i="33" s="1"/>
  <c r="G44" i="35"/>
  <c r="I44" i="35" s="1"/>
  <c r="J44" i="35" s="1"/>
  <c r="G90" i="30"/>
  <c r="I90" i="30" s="1"/>
  <c r="J90" i="30" s="1"/>
  <c r="G25" i="39"/>
  <c r="G33" i="39"/>
  <c r="G30" i="37"/>
  <c r="I30" i="37" s="1"/>
  <c r="J30" i="37" s="1"/>
  <c r="G21" i="36"/>
  <c r="I21" i="36" s="1"/>
  <c r="J21" i="36" s="1"/>
  <c r="G72" i="34"/>
  <c r="I72" i="34" s="1"/>
  <c r="J72" i="34" s="1"/>
  <c r="G76" i="39"/>
  <c r="G81" i="39"/>
  <c r="G81" i="37"/>
  <c r="I81" i="37" s="1"/>
  <c r="J81" i="37" s="1"/>
  <c r="G9" i="29"/>
  <c r="I9" i="29" s="1"/>
  <c r="J9" i="29" s="1"/>
  <c r="G78" i="39"/>
  <c r="G10" i="34"/>
  <c r="I10" i="34" s="1"/>
  <c r="J10" i="34" s="1"/>
  <c r="G78" i="36"/>
  <c r="I78" i="36" s="1"/>
  <c r="J78" i="36" s="1"/>
  <c r="G40" i="30"/>
  <c r="I40" i="30" s="1"/>
  <c r="J40" i="30" s="1"/>
  <c r="G77" i="37"/>
  <c r="I77" i="37" s="1"/>
  <c r="J77" i="37" s="1"/>
  <c r="G63" i="33"/>
  <c r="I63" i="33" s="1"/>
  <c r="J63" i="33" s="1"/>
  <c r="G72" i="37"/>
  <c r="I72" i="37" s="1"/>
  <c r="J72" i="37" s="1"/>
  <c r="G64" i="29"/>
  <c r="I64" i="29" s="1"/>
  <c r="J64" i="29" s="1"/>
  <c r="G77" i="39"/>
  <c r="G42" i="33"/>
  <c r="I42" i="33" s="1"/>
  <c r="J42" i="33" s="1"/>
  <c r="G79" i="34"/>
  <c r="I79" i="34" s="1"/>
  <c r="J79" i="34" s="1"/>
  <c r="G40" i="36"/>
  <c r="I40" i="36" s="1"/>
  <c r="J40" i="36" s="1"/>
  <c r="G24" i="36"/>
  <c r="I24" i="36" s="1"/>
  <c r="J24" i="36" s="1"/>
  <c r="G99" i="39"/>
  <c r="G66" i="29"/>
  <c r="I66" i="29" s="1"/>
  <c r="J66" i="29" s="1"/>
  <c r="G48" i="30"/>
  <c r="I48" i="30" s="1"/>
  <c r="J48" i="30" s="1"/>
  <c r="G94" i="36"/>
  <c r="I94" i="36" s="1"/>
  <c r="J94" i="36" s="1"/>
  <c r="G49" i="39"/>
  <c r="G68" i="31"/>
  <c r="I68" i="31" s="1"/>
  <c r="J68" i="31" s="1"/>
  <c r="G28" i="39"/>
  <c r="G5" i="34"/>
  <c r="I5" i="34" s="1"/>
  <c r="J5" i="34" s="1"/>
  <c r="G39" i="30"/>
  <c r="I39" i="30" s="1"/>
  <c r="J39" i="30" s="1"/>
  <c r="G68" i="37"/>
  <c r="I68" i="37" s="1"/>
  <c r="J68" i="37" s="1"/>
  <c r="G62" i="29"/>
  <c r="I62" i="29" s="1"/>
  <c r="J62" i="29" s="1"/>
  <c r="G38" i="36"/>
  <c r="I38" i="36" s="1"/>
  <c r="J38" i="36" s="1"/>
  <c r="G43" i="39"/>
  <c r="G79" i="37"/>
  <c r="I79" i="37" s="1"/>
  <c r="J79" i="37" s="1"/>
  <c r="G60" i="39"/>
  <c r="G88" i="39"/>
  <c r="G7" i="36"/>
  <c r="I7" i="36" s="1"/>
  <c r="J7" i="36" s="1"/>
  <c r="G22" i="34"/>
  <c r="I22" i="34" s="1"/>
  <c r="J22" i="34" s="1"/>
  <c r="G49" i="36"/>
  <c r="I49" i="36" s="1"/>
  <c r="J49" i="36" s="1"/>
  <c r="G52" i="31"/>
  <c r="I52" i="31" s="1"/>
  <c r="J52" i="31" s="1"/>
  <c r="G98" i="39"/>
  <c r="G78" i="29"/>
  <c r="I78" i="29" s="1"/>
  <c r="J78" i="29" s="1"/>
  <c r="G19" i="39"/>
  <c r="G40" i="34"/>
  <c r="I40" i="34" s="1"/>
  <c r="J40" i="34" s="1"/>
  <c r="G98" i="36"/>
  <c r="I98" i="36" s="1"/>
  <c r="J98" i="36" s="1"/>
  <c r="G65" i="34"/>
  <c r="I65" i="34" s="1"/>
  <c r="J65" i="34" s="1"/>
  <c r="G43" i="37"/>
  <c r="I43" i="37" s="1"/>
  <c r="J43" i="37" s="1"/>
  <c r="G5" i="39"/>
  <c r="G38" i="34"/>
  <c r="I38" i="34" s="1"/>
  <c r="J38" i="34" s="1"/>
  <c r="G86" i="39"/>
  <c r="G26" i="31"/>
  <c r="I26" i="31" s="1"/>
  <c r="J26" i="31" s="1"/>
  <c r="G96" i="36"/>
  <c r="I96" i="36" s="1"/>
  <c r="J96" i="36" s="1"/>
  <c r="G35" i="34"/>
  <c r="I35" i="34" s="1"/>
  <c r="J35" i="34" s="1"/>
  <c r="G90" i="37"/>
  <c r="I90" i="37" s="1"/>
  <c r="J90" i="37" s="1"/>
  <c r="G76" i="31"/>
  <c r="I76" i="31" s="1"/>
  <c r="J76" i="31" s="1"/>
  <c r="G20" i="39"/>
  <c r="G8" i="35"/>
  <c r="I8" i="35" s="1"/>
  <c r="J8" i="35" s="1"/>
  <c r="G57" i="33"/>
  <c r="I57" i="33" s="1"/>
  <c r="J57" i="33" s="1"/>
  <c r="G74" i="30"/>
  <c r="I74" i="30" s="1"/>
  <c r="J74" i="30" s="1"/>
  <c r="G88" i="34"/>
  <c r="I88" i="34" s="1"/>
  <c r="J88" i="34" s="1"/>
  <c r="G99" i="35"/>
  <c r="I99" i="35" s="1"/>
  <c r="J99" i="35" s="1"/>
  <c r="G90" i="32"/>
  <c r="I90" i="32" s="1"/>
  <c r="J90" i="32" s="1"/>
  <c r="G62" i="36"/>
  <c r="I62" i="36" s="1"/>
  <c r="J62" i="36" s="1"/>
  <c r="G81" i="29"/>
  <c r="I81" i="29" s="1"/>
  <c r="J81" i="29" s="1"/>
  <c r="G97" i="39"/>
  <c r="G66" i="30"/>
  <c r="I66" i="30" s="1"/>
  <c r="J66" i="30" s="1"/>
  <c r="G100" i="36"/>
  <c r="I100" i="36" s="1"/>
  <c r="J100" i="36" s="1"/>
  <c r="G96" i="39"/>
  <c r="G78" i="34"/>
  <c r="I78" i="34" s="1"/>
  <c r="J78" i="34" s="1"/>
  <c r="G68" i="39"/>
  <c r="G66" i="36"/>
  <c r="I66" i="36" s="1"/>
  <c r="J66" i="36" s="1"/>
  <c r="G75" i="35"/>
  <c r="I75" i="35" s="1"/>
  <c r="J75" i="35" s="1"/>
  <c r="G34" i="37"/>
  <c r="I34" i="37" s="1"/>
  <c r="J34" i="37" s="1"/>
  <c r="G45" i="31"/>
  <c r="I45" i="31" s="1"/>
  <c r="J45" i="31" s="1"/>
  <c r="G85" i="37"/>
  <c r="I85" i="37" s="1"/>
  <c r="J85" i="37" s="1"/>
  <c r="G3" i="39"/>
  <c r="G54" i="34"/>
  <c r="I54" i="34" s="1"/>
  <c r="J54" i="34" s="1"/>
  <c r="G48" i="37"/>
  <c r="I48" i="37" s="1"/>
  <c r="J48" i="37" s="1"/>
  <c r="G70" i="31"/>
  <c r="I70" i="31" s="1"/>
  <c r="J70" i="31" s="1"/>
  <c r="G53" i="39"/>
  <c r="G51" i="31"/>
  <c r="I51" i="31" s="1"/>
  <c r="J51" i="31" s="1"/>
  <c r="G76" i="37"/>
  <c r="I76" i="37" s="1"/>
  <c r="J76" i="37" s="1"/>
  <c r="G74" i="39"/>
  <c r="G64" i="32"/>
  <c r="I64" i="32" s="1"/>
  <c r="J64" i="32" s="1"/>
  <c r="G36" i="37"/>
  <c r="I36" i="37" s="1"/>
  <c r="J36" i="37" s="1"/>
  <c r="G90" i="35"/>
  <c r="I90" i="35" s="1"/>
  <c r="J90" i="35" s="1"/>
  <c r="G31" i="33"/>
  <c r="I31" i="33" s="1"/>
  <c r="J31" i="33" s="1"/>
  <c r="G42" i="37"/>
  <c r="I42" i="37" s="1"/>
  <c r="J42" i="37" s="1"/>
  <c r="G61" i="30"/>
  <c r="I61" i="30" s="1"/>
  <c r="J61" i="30" s="1"/>
  <c r="G26" i="36"/>
  <c r="I26" i="36" s="1"/>
  <c r="J26" i="36" s="1"/>
  <c r="G48" i="39"/>
  <c r="G71" i="31"/>
  <c r="I71" i="31" s="1"/>
  <c r="J71" i="31" s="1"/>
  <c r="G15" i="37"/>
  <c r="I15" i="37" s="1"/>
  <c r="J15" i="37" s="1"/>
  <c r="G10" i="39"/>
  <c r="G86" i="35"/>
  <c r="I86" i="35" s="1"/>
  <c r="J86" i="35" s="1"/>
  <c r="G27" i="37"/>
  <c r="I27" i="37" s="1"/>
  <c r="J27" i="37" s="1"/>
  <c r="G11" i="39"/>
  <c r="G78" i="32"/>
  <c r="I78" i="32" s="1"/>
  <c r="J78" i="32" s="1"/>
  <c r="G52" i="35"/>
  <c r="I52" i="35" s="1"/>
  <c r="J52" i="35" s="1"/>
  <c r="G37" i="36"/>
  <c r="I37" i="36" s="1"/>
  <c r="J37" i="36" s="1"/>
  <c r="G7" i="39"/>
  <c r="G55" i="32"/>
  <c r="I55" i="32" s="1"/>
  <c r="J55" i="32" s="1"/>
  <c r="G96" i="37"/>
  <c r="I96" i="37" s="1"/>
  <c r="J96" i="37" s="1"/>
  <c r="G65" i="32"/>
  <c r="I65" i="32" s="1"/>
  <c r="J65" i="32" s="1"/>
  <c r="G55" i="37"/>
  <c r="I55" i="37" s="1"/>
  <c r="J55" i="37" s="1"/>
  <c r="G76" i="33"/>
  <c r="I76" i="33" s="1"/>
  <c r="J76" i="33" s="1"/>
  <c r="G81" i="35"/>
  <c r="I81" i="35" s="1"/>
  <c r="J81" i="35" s="1"/>
  <c r="G3" i="37"/>
  <c r="I3" i="37" s="1"/>
  <c r="J3" i="37" s="1"/>
  <c r="G55" i="35"/>
  <c r="I55" i="35" s="1"/>
  <c r="J55" i="35" s="1"/>
  <c r="T22" i="2"/>
  <c r="AE22" i="2" s="1"/>
  <c r="G60" i="36"/>
  <c r="I60" i="36" s="1"/>
  <c r="J60" i="36" s="1"/>
  <c r="G94" i="39"/>
  <c r="G36" i="29"/>
  <c r="I36" i="29" s="1"/>
  <c r="J36" i="29" s="1"/>
  <c r="G56" i="31"/>
  <c r="I56" i="31" s="1"/>
  <c r="J56" i="31" s="1"/>
  <c r="G30" i="35"/>
  <c r="I30" i="35" s="1"/>
  <c r="J30" i="35" s="1"/>
  <c r="G82" i="37"/>
  <c r="I82" i="37" s="1"/>
  <c r="J82" i="37" s="1"/>
  <c r="G34" i="32"/>
  <c r="I34" i="32" s="1"/>
  <c r="J34" i="32" s="1"/>
  <c r="G35" i="39"/>
  <c r="G22" i="31"/>
  <c r="I22" i="31" s="1"/>
  <c r="J22" i="31" s="1"/>
  <c r="G51" i="33"/>
  <c r="I51" i="33" s="1"/>
  <c r="J51" i="33" s="1"/>
  <c r="G93" i="37"/>
  <c r="I93" i="37" s="1"/>
  <c r="J93" i="37" s="1"/>
  <c r="G29" i="33"/>
  <c r="I29" i="33" s="1"/>
  <c r="J29" i="33" s="1"/>
  <c r="G74" i="31"/>
  <c r="I74" i="31" s="1"/>
  <c r="J74" i="31" s="1"/>
  <c r="G44" i="39"/>
  <c r="G83" i="37"/>
  <c r="I83" i="37" s="1"/>
  <c r="J83" i="37" s="1"/>
  <c r="G82" i="29"/>
  <c r="I82" i="29" s="1"/>
  <c r="J82" i="29" s="1"/>
  <c r="G41" i="39"/>
  <c r="G51" i="30"/>
  <c r="I51" i="30" s="1"/>
  <c r="J51" i="30" s="1"/>
  <c r="G60" i="37"/>
  <c r="I60" i="37" s="1"/>
  <c r="J60" i="37" s="1"/>
  <c r="G48" i="34"/>
  <c r="I48" i="34" s="1"/>
  <c r="J48" i="34" s="1"/>
  <c r="G77" i="30"/>
  <c r="I77" i="30" s="1"/>
  <c r="J77" i="30" s="1"/>
  <c r="G71" i="39"/>
  <c r="G91" i="34"/>
  <c r="I91" i="34" s="1"/>
  <c r="J91" i="34" s="1"/>
  <c r="G51" i="36"/>
  <c r="I51" i="36" s="1"/>
  <c r="J51" i="36" s="1"/>
  <c r="G6" i="36"/>
  <c r="I6" i="36" s="1"/>
  <c r="J6" i="36" s="1"/>
  <c r="G93" i="39"/>
  <c r="G72" i="31"/>
  <c r="I72" i="31" s="1"/>
  <c r="J72" i="31" s="1"/>
  <c r="G77" i="36"/>
  <c r="I77" i="36" s="1"/>
  <c r="J77" i="36" s="1"/>
  <c r="G83" i="39"/>
  <c r="G25" i="31"/>
  <c r="I25" i="31" s="1"/>
  <c r="J25" i="31" s="1"/>
  <c r="G81" i="33"/>
  <c r="I81" i="33" s="1"/>
  <c r="J81" i="33" s="1"/>
  <c r="G54" i="37"/>
  <c r="I54" i="37" s="1"/>
  <c r="J54" i="37" s="1"/>
  <c r="G17" i="34"/>
  <c r="I17" i="34" s="1"/>
  <c r="J17" i="34" s="1"/>
  <c r="G35" i="30"/>
  <c r="I35" i="30" s="1"/>
  <c r="J35" i="30" s="1"/>
  <c r="G101" i="37"/>
  <c r="I101" i="37" s="1"/>
  <c r="J101" i="37" s="1"/>
  <c r="G25" i="30"/>
  <c r="I25" i="30" s="1"/>
  <c r="J25" i="30" s="1"/>
  <c r="G41" i="36"/>
  <c r="I41" i="36" s="1"/>
  <c r="J41" i="36" s="1"/>
  <c r="G86" i="34"/>
  <c r="I86" i="34" s="1"/>
  <c r="J86" i="34" s="1"/>
  <c r="G17" i="36"/>
  <c r="I17" i="36" s="1"/>
  <c r="J17" i="36" s="1"/>
  <c r="G19" i="30"/>
  <c r="I19" i="30" s="1"/>
  <c r="J19" i="30" s="1"/>
  <c r="G35" i="36"/>
  <c r="I35" i="36" s="1"/>
  <c r="J35" i="36" s="1"/>
  <c r="T16" i="2"/>
  <c r="AE16" i="2" s="1"/>
  <c r="G75" i="36"/>
  <c r="I75" i="36" s="1"/>
  <c r="J75" i="36" s="1"/>
  <c r="G76" i="36"/>
  <c r="I76" i="36" s="1"/>
  <c r="J76" i="36" s="1"/>
  <c r="G36" i="33"/>
  <c r="I36" i="33" s="1"/>
  <c r="J36" i="33" s="1"/>
  <c r="G29" i="37"/>
  <c r="I29" i="37" s="1"/>
  <c r="J29" i="37" s="1"/>
  <c r="G11" i="34"/>
  <c r="I11" i="34" s="1"/>
  <c r="J11" i="34" s="1"/>
  <c r="G73" i="32"/>
  <c r="I73" i="32" s="1"/>
  <c r="J73" i="32" s="1"/>
  <c r="G61" i="37"/>
  <c r="I61" i="37" s="1"/>
  <c r="J61" i="37" s="1"/>
  <c r="G10" i="33"/>
  <c r="I10" i="33" s="1"/>
  <c r="J10" i="33" s="1"/>
  <c r="G85" i="36"/>
  <c r="I85" i="36" s="1"/>
  <c r="J85" i="36" s="1"/>
  <c r="G85" i="33"/>
  <c r="I85" i="33" s="1"/>
  <c r="J85" i="33" s="1"/>
  <c r="G58" i="32"/>
  <c r="I58" i="32" s="1"/>
  <c r="J58" i="32" s="1"/>
  <c r="G9" i="37"/>
  <c r="I9" i="37" s="1"/>
  <c r="J9" i="37" s="1"/>
  <c r="G80" i="30"/>
  <c r="I80" i="30" s="1"/>
  <c r="J80" i="30" s="1"/>
  <c r="G93" i="36"/>
  <c r="I93" i="36" s="1"/>
  <c r="J93" i="36" s="1"/>
  <c r="G80" i="32"/>
  <c r="I80" i="32" s="1"/>
  <c r="J80" i="32" s="1"/>
  <c r="G62" i="37"/>
  <c r="I62" i="37" s="1"/>
  <c r="J62" i="37" s="1"/>
  <c r="G80" i="35"/>
  <c r="I80" i="35" s="1"/>
  <c r="J80" i="35" s="1"/>
  <c r="G28" i="36"/>
  <c r="I28" i="36" s="1"/>
  <c r="J28" i="36" s="1"/>
  <c r="G96" i="31"/>
  <c r="I96" i="31" s="1"/>
  <c r="J96" i="31" s="1"/>
  <c r="G83" i="36"/>
  <c r="I83" i="36" s="1"/>
  <c r="J83" i="36" s="1"/>
  <c r="G89" i="33"/>
  <c r="I89" i="33" s="1"/>
  <c r="J89" i="33" s="1"/>
  <c r="G13" i="39"/>
  <c r="G82" i="32"/>
  <c r="I82" i="32" s="1"/>
  <c r="J82" i="32" s="1"/>
  <c r="G13" i="37"/>
  <c r="I13" i="37" s="1"/>
  <c r="J13" i="37" s="1"/>
  <c r="G67" i="33"/>
  <c r="I67" i="33" s="1"/>
  <c r="J67" i="33" s="1"/>
  <c r="G86" i="37"/>
  <c r="I86" i="37" s="1"/>
  <c r="J86" i="37" s="1"/>
  <c r="G7" i="30"/>
  <c r="I7" i="30" s="1"/>
  <c r="J7" i="30" s="1"/>
  <c r="G39" i="39"/>
  <c r="G70" i="37"/>
  <c r="I70" i="37" s="1"/>
  <c r="J70" i="37" s="1"/>
  <c r="G65" i="35"/>
  <c r="I65" i="35" s="1"/>
  <c r="J65" i="35" s="1"/>
  <c r="G66" i="32"/>
  <c r="I66" i="32" s="1"/>
  <c r="J66" i="32" s="1"/>
  <c r="G56" i="35"/>
  <c r="I56" i="35" s="1"/>
  <c r="J56" i="35" s="1"/>
  <c r="G49" i="35"/>
  <c r="I49" i="35" s="1"/>
  <c r="J49" i="35" s="1"/>
  <c r="G37" i="37"/>
  <c r="I37" i="37" s="1"/>
  <c r="J37" i="37" s="1"/>
  <c r="G95" i="34"/>
  <c r="I95" i="34" s="1"/>
  <c r="J95" i="34" s="1"/>
  <c r="G47" i="36"/>
  <c r="I47" i="36" s="1"/>
  <c r="J47" i="36" s="1"/>
  <c r="G58" i="29"/>
  <c r="I58" i="29" s="1"/>
  <c r="J58" i="29" s="1"/>
  <c r="G42" i="36"/>
  <c r="I42" i="36" s="1"/>
  <c r="J42" i="36" s="1"/>
  <c r="G75" i="30"/>
  <c r="I75" i="30" s="1"/>
  <c r="J75" i="30" s="1"/>
  <c r="G20" i="37"/>
  <c r="I20" i="37" s="1"/>
  <c r="J20" i="37" s="1"/>
  <c r="G22" i="39"/>
  <c r="G76" i="34"/>
  <c r="I76" i="34" s="1"/>
  <c r="J76" i="34" s="1"/>
  <c r="G48" i="31"/>
  <c r="I48" i="31" s="1"/>
  <c r="J48" i="31" s="1"/>
  <c r="G69" i="37"/>
  <c r="I69" i="37" s="1"/>
  <c r="J69" i="37" s="1"/>
  <c r="G75" i="33"/>
  <c r="I75" i="33" s="1"/>
  <c r="J75" i="33" s="1"/>
  <c r="G21" i="31"/>
  <c r="I21" i="31" s="1"/>
  <c r="J21" i="31" s="1"/>
  <c r="G24" i="37"/>
  <c r="I24" i="37" s="1"/>
  <c r="J24" i="37" s="1"/>
  <c r="G54" i="39"/>
  <c r="G95" i="32"/>
  <c r="I95" i="32" s="1"/>
  <c r="J95" i="32" s="1"/>
  <c r="G68" i="36"/>
  <c r="I68" i="36" s="1"/>
  <c r="J68" i="36" s="1"/>
  <c r="G67" i="34"/>
  <c r="I67" i="34" s="1"/>
  <c r="J67" i="34" s="1"/>
  <c r="G33" i="36"/>
  <c r="I33" i="36" s="1"/>
  <c r="J33" i="36" s="1"/>
  <c r="G11" i="29"/>
  <c r="I11" i="29" s="1"/>
  <c r="J11" i="29" s="1"/>
  <c r="G21" i="39"/>
  <c r="G27" i="31"/>
  <c r="I27" i="31" s="1"/>
  <c r="J27" i="31" s="1"/>
  <c r="G6" i="39"/>
  <c r="G54" i="35"/>
  <c r="I54" i="35" s="1"/>
  <c r="J54" i="35" s="1"/>
  <c r="G25" i="32"/>
  <c r="I25" i="32" s="1"/>
  <c r="J25" i="32" s="1"/>
  <c r="G60" i="30"/>
  <c r="I60" i="30" s="1"/>
  <c r="J60" i="30" s="1"/>
  <c r="G44" i="32"/>
  <c r="I44" i="32" s="1"/>
  <c r="J44" i="32" s="1"/>
  <c r="G91" i="37"/>
  <c r="I91" i="37" s="1"/>
  <c r="J91" i="37" s="1"/>
  <c r="G84" i="29"/>
  <c r="I84" i="29" s="1"/>
  <c r="J84" i="29" s="1"/>
  <c r="G88" i="37"/>
  <c r="I88" i="37" s="1"/>
  <c r="J88" i="37" s="1"/>
  <c r="G80" i="31"/>
  <c r="I80" i="31" s="1"/>
  <c r="J80" i="31" s="1"/>
  <c r="G14" i="39"/>
  <c r="G41" i="37"/>
  <c r="I41" i="37" s="1"/>
  <c r="J41" i="37" s="1"/>
  <c r="G28" i="31"/>
  <c r="I28" i="31" s="1"/>
  <c r="J28" i="31" s="1"/>
  <c r="G18" i="39"/>
  <c r="G39" i="33"/>
  <c r="I39" i="33" s="1"/>
  <c r="J39" i="33" s="1"/>
  <c r="G63" i="39"/>
  <c r="G100" i="31"/>
  <c r="I100" i="31" s="1"/>
  <c r="J100" i="31" s="1"/>
  <c r="G91" i="36"/>
  <c r="I91" i="36" s="1"/>
  <c r="J91" i="36" s="1"/>
  <c r="G67" i="29"/>
  <c r="I67" i="29" s="1"/>
  <c r="J67" i="29" s="1"/>
  <c r="G74" i="36"/>
  <c r="I74" i="36" s="1"/>
  <c r="J74" i="36" s="1"/>
  <c r="G68" i="35"/>
  <c r="I68" i="35" s="1"/>
  <c r="J68" i="35" s="1"/>
  <c r="G55" i="36"/>
  <c r="I55" i="36" s="1"/>
  <c r="J55" i="36" s="1"/>
  <c r="G19" i="29"/>
  <c r="I19" i="29" s="1"/>
  <c r="J19" i="29" s="1"/>
  <c r="G51" i="39"/>
  <c r="G93" i="31"/>
  <c r="I93" i="31" s="1"/>
  <c r="J93" i="31" s="1"/>
  <c r="G82" i="39"/>
  <c r="G42" i="34"/>
  <c r="I42" i="34" s="1"/>
  <c r="J42" i="34" s="1"/>
  <c r="G99" i="37"/>
  <c r="I99" i="37" s="1"/>
  <c r="J99" i="37" s="1"/>
  <c r="G34" i="36"/>
  <c r="I34" i="36" s="1"/>
  <c r="J34" i="36" s="1"/>
  <c r="G85" i="39"/>
  <c r="T86" i="2"/>
  <c r="AE86" i="2" s="1"/>
  <c r="G26" i="37"/>
  <c r="I26" i="37" s="1"/>
  <c r="J26" i="37" s="1"/>
  <c r="G45" i="39"/>
  <c r="G95" i="36"/>
  <c r="I95" i="36" s="1"/>
  <c r="J95" i="36" s="1"/>
  <c r="G34" i="39"/>
  <c r="G6" i="30"/>
  <c r="I6" i="30" s="1"/>
  <c r="J6" i="30" s="1"/>
  <c r="G3" i="36"/>
  <c r="I3" i="36" s="1"/>
  <c r="J3" i="36" s="1"/>
  <c r="G36" i="30"/>
  <c r="I36" i="30" s="1"/>
  <c r="J36" i="30" s="1"/>
  <c r="G92" i="37"/>
  <c r="I92" i="37" s="1"/>
  <c r="J92" i="37" s="1"/>
  <c r="G33" i="35"/>
  <c r="I33" i="35" s="1"/>
  <c r="J33" i="35" s="1"/>
  <c r="G64" i="39"/>
  <c r="G101" i="29"/>
  <c r="I101" i="29" s="1"/>
  <c r="J101" i="29" s="1"/>
  <c r="G33" i="37"/>
  <c r="I33" i="37" s="1"/>
  <c r="J33" i="37" s="1"/>
  <c r="G86" i="30"/>
  <c r="I86" i="30" s="1"/>
  <c r="J86" i="30" s="1"/>
  <c r="G19" i="37"/>
  <c r="I19" i="37" s="1"/>
  <c r="J19" i="37" s="1"/>
  <c r="G20" i="35"/>
  <c r="I20" i="35" s="1"/>
  <c r="J20" i="35" s="1"/>
  <c r="G38" i="37"/>
  <c r="I38" i="37" s="1"/>
  <c r="J38" i="37" s="1"/>
  <c r="G18" i="29"/>
  <c r="I18" i="29" s="1"/>
  <c r="J18" i="29" s="1"/>
  <c r="G31" i="36"/>
  <c r="I31" i="36" s="1"/>
  <c r="J31" i="36" s="1"/>
  <c r="G4" i="39"/>
  <c r="G95" i="31"/>
  <c r="I95" i="31" s="1"/>
  <c r="J95" i="31" s="1"/>
  <c r="G2" i="37"/>
  <c r="I2" i="37" s="1"/>
  <c r="G8" i="39"/>
  <c r="G3" i="32"/>
  <c r="I3" i="32" s="1"/>
  <c r="J3" i="32" s="1"/>
  <c r="G62" i="39"/>
  <c r="G83" i="35"/>
  <c r="I83" i="35" s="1"/>
  <c r="J83" i="35" s="1"/>
  <c r="G84" i="33"/>
  <c r="I84" i="33" s="1"/>
  <c r="J84" i="33" s="1"/>
  <c r="G67" i="36"/>
  <c r="I67" i="36" s="1"/>
  <c r="J67" i="36" s="1"/>
  <c r="G48" i="32"/>
  <c r="I48" i="32" s="1"/>
  <c r="J48" i="32" s="1"/>
  <c r="T9" i="2"/>
  <c r="G14" i="37"/>
  <c r="I14" i="37" s="1"/>
  <c r="J14" i="37" s="1"/>
  <c r="G23" i="39"/>
  <c r="G98" i="34"/>
  <c r="I98" i="34" s="1"/>
  <c r="J98" i="34" s="1"/>
  <c r="T15" i="2"/>
  <c r="AE15" i="2" s="1"/>
  <c r="G84" i="36"/>
  <c r="I84" i="36" s="1"/>
  <c r="J84" i="36" s="1"/>
  <c r="G94" i="32"/>
  <c r="I94" i="32" s="1"/>
  <c r="J94" i="32" s="1"/>
  <c r="G19" i="36"/>
  <c r="I19" i="36" s="1"/>
  <c r="J19" i="36" s="1"/>
  <c r="G57" i="29"/>
  <c r="I57" i="29" s="1"/>
  <c r="J57" i="29" s="1"/>
  <c r="G57" i="37"/>
  <c r="I57" i="37" s="1"/>
  <c r="J57" i="37" s="1"/>
  <c r="G37" i="29"/>
  <c r="I37" i="29" s="1"/>
  <c r="J37" i="29" s="1"/>
  <c r="G4" i="31"/>
  <c r="I4" i="31" s="1"/>
  <c r="J4" i="31" s="1"/>
  <c r="G36" i="39"/>
  <c r="G76" i="35"/>
  <c r="I76" i="35" s="1"/>
  <c r="J76" i="35" s="1"/>
  <c r="G52" i="37"/>
  <c r="I52" i="37" s="1"/>
  <c r="J52" i="37" s="1"/>
  <c r="G90" i="33"/>
  <c r="I90" i="33" s="1"/>
  <c r="J90" i="33" s="1"/>
  <c r="G73" i="30"/>
  <c r="I73" i="30" s="1"/>
  <c r="J73" i="30" s="1"/>
  <c r="G24" i="39"/>
  <c r="G5" i="36"/>
  <c r="I5" i="36" s="1"/>
  <c r="J5" i="36" s="1"/>
  <c r="T91" i="2"/>
  <c r="AE91" i="2" s="1"/>
  <c r="G99" i="34"/>
  <c r="I99" i="34" s="1"/>
  <c r="J99" i="34" s="1"/>
  <c r="G89" i="39"/>
  <c r="G29" i="36"/>
  <c r="I29" i="36" s="1"/>
  <c r="J29" i="36" s="1"/>
  <c r="G91" i="33"/>
  <c r="I91" i="33" s="1"/>
  <c r="J91" i="33" s="1"/>
  <c r="G27" i="39"/>
  <c r="G97" i="30"/>
  <c r="I97" i="30" s="1"/>
  <c r="J97" i="30" s="1"/>
  <c r="G8" i="37"/>
  <c r="I8" i="37" s="1"/>
  <c r="J8" i="37" s="1"/>
  <c r="G31" i="39"/>
  <c r="G71" i="32"/>
  <c r="I71" i="32" s="1"/>
  <c r="J71" i="32" s="1"/>
  <c r="G22" i="37"/>
  <c r="I22" i="37" s="1"/>
  <c r="J22" i="37" s="1"/>
  <c r="G100" i="39"/>
  <c r="G37" i="30"/>
  <c r="I37" i="30" s="1"/>
  <c r="J37" i="30" s="1"/>
  <c r="G23" i="34"/>
  <c r="I23" i="34" s="1"/>
  <c r="J23" i="34" s="1"/>
  <c r="G24" i="34"/>
  <c r="I24" i="34" s="1"/>
  <c r="J24" i="34" s="1"/>
  <c r="G87" i="34"/>
  <c r="I87" i="34" s="1"/>
  <c r="J87" i="34" s="1"/>
  <c r="G61" i="36"/>
  <c r="I61" i="36" s="1"/>
  <c r="J61" i="36" s="1"/>
  <c r="G61" i="34"/>
  <c r="I61" i="34" s="1"/>
  <c r="J61" i="34" s="1"/>
  <c r="G50" i="36"/>
  <c r="I50" i="36" s="1"/>
  <c r="J50" i="36" s="1"/>
  <c r="G77" i="33"/>
  <c r="I77" i="33" s="1"/>
  <c r="J77" i="33" s="1"/>
  <c r="G39" i="36"/>
  <c r="I39" i="36" s="1"/>
  <c r="J39" i="36" s="1"/>
  <c r="G22" i="30"/>
  <c r="I22" i="30" s="1"/>
  <c r="J22" i="30" s="1"/>
  <c r="G94" i="37"/>
  <c r="I94" i="37" s="1"/>
  <c r="J94" i="37" s="1"/>
  <c r="G87" i="30"/>
  <c r="I87" i="30" s="1"/>
  <c r="J87" i="30" s="1"/>
  <c r="G82" i="36"/>
  <c r="I82" i="36" s="1"/>
  <c r="J82" i="36" s="1"/>
  <c r="G70" i="39"/>
  <c r="G16" i="39"/>
  <c r="G17" i="37"/>
  <c r="I17" i="37" s="1"/>
  <c r="J17" i="37" s="1"/>
  <c r="G69" i="31"/>
  <c r="I69" i="31" s="1"/>
  <c r="J69" i="31" s="1"/>
  <c r="G64" i="36"/>
  <c r="I64" i="36" s="1"/>
  <c r="J64" i="36" s="1"/>
  <c r="G23" i="35"/>
  <c r="I23" i="35" s="1"/>
  <c r="J23" i="35" s="1"/>
  <c r="G43" i="30"/>
  <c r="I43" i="30" s="1"/>
  <c r="J43" i="30" s="1"/>
  <c r="G20" i="34"/>
  <c r="I20" i="34" s="1"/>
  <c r="J20" i="34" s="1"/>
  <c r="G15" i="36"/>
  <c r="I15" i="36" s="1"/>
  <c r="J15" i="36" s="1"/>
  <c r="G44" i="37"/>
  <c r="I44" i="37" s="1"/>
  <c r="J44" i="37" s="1"/>
  <c r="G61" i="39"/>
  <c r="G33" i="29"/>
  <c r="I33" i="29" s="1"/>
  <c r="J33" i="29" s="1"/>
  <c r="G20" i="31"/>
  <c r="I20" i="31" s="1"/>
  <c r="J20" i="31" s="1"/>
  <c r="G2" i="36"/>
  <c r="I2" i="36" s="1"/>
  <c r="G101" i="30"/>
  <c r="I101" i="30" s="1"/>
  <c r="J101" i="30" s="1"/>
  <c r="G67" i="37"/>
  <c r="I67" i="37" s="1"/>
  <c r="J67" i="37" s="1"/>
  <c r="G20" i="32"/>
  <c r="I20" i="32" s="1"/>
  <c r="J20" i="32" s="1"/>
  <c r="G64" i="30"/>
  <c r="I64" i="30" s="1"/>
  <c r="J64" i="30" s="1"/>
  <c r="G99" i="36"/>
  <c r="I99" i="36" s="1"/>
  <c r="J99" i="36" s="1"/>
  <c r="G97" i="33"/>
  <c r="I97" i="33" s="1"/>
  <c r="J97" i="33" s="1"/>
  <c r="G29" i="34"/>
  <c r="I29" i="34" s="1"/>
  <c r="J29" i="34" s="1"/>
  <c r="G9" i="39"/>
  <c r="G44" i="31"/>
  <c r="I44" i="31" s="1"/>
  <c r="J44" i="31" s="1"/>
  <c r="G32" i="36"/>
  <c r="I32" i="36" s="1"/>
  <c r="J32" i="36" s="1"/>
  <c r="G94" i="31"/>
  <c r="I94" i="31" s="1"/>
  <c r="J94" i="31" s="1"/>
  <c r="G54" i="36"/>
  <c r="I54" i="36" s="1"/>
  <c r="J54" i="36" s="1"/>
  <c r="G80" i="37"/>
  <c r="I80" i="37" s="1"/>
  <c r="J80" i="37" s="1"/>
  <c r="G35" i="35"/>
  <c r="I35" i="35" s="1"/>
  <c r="J35" i="35" s="1"/>
  <c r="G4" i="36"/>
  <c r="I4" i="36" s="1"/>
  <c r="J4" i="36" s="1"/>
  <c r="G78" i="30"/>
  <c r="I78" i="30" s="1"/>
  <c r="J78" i="30" s="1"/>
  <c r="G21" i="37"/>
  <c r="I21" i="37" s="1"/>
  <c r="J21" i="37" s="1"/>
  <c r="G55" i="39"/>
  <c r="G23" i="31"/>
  <c r="I23" i="31" s="1"/>
  <c r="J23" i="31" s="1"/>
  <c r="G84" i="37"/>
  <c r="I84" i="37" s="1"/>
  <c r="J84" i="37" s="1"/>
  <c r="G30" i="34"/>
  <c r="I30" i="34" s="1"/>
  <c r="J30" i="34" s="1"/>
  <c r="G62" i="30"/>
  <c r="I62" i="30" s="1"/>
  <c r="J62" i="30" s="1"/>
  <c r="G56" i="33"/>
  <c r="I56" i="33" s="1"/>
  <c r="J56" i="33" s="1"/>
  <c r="G87" i="35"/>
  <c r="I87" i="35" s="1"/>
  <c r="J87" i="35" s="1"/>
  <c r="G90" i="36"/>
  <c r="I90" i="36" s="1"/>
  <c r="J90" i="36" s="1"/>
  <c r="T90" i="2"/>
  <c r="AE90" i="2" s="1"/>
  <c r="G4" i="37"/>
  <c r="I4" i="37" s="1"/>
  <c r="J4" i="37" s="1"/>
  <c r="G35" i="33"/>
  <c r="I35" i="33" s="1"/>
  <c r="J35" i="33" s="1"/>
  <c r="G28" i="35"/>
  <c r="I28" i="35" s="1"/>
  <c r="J28" i="35" s="1"/>
  <c r="G59" i="37"/>
  <c r="I59" i="37" s="1"/>
  <c r="J59" i="37" s="1"/>
  <c r="G71" i="30"/>
  <c r="I71" i="30" s="1"/>
  <c r="J71" i="30" s="1"/>
  <c r="G56" i="37"/>
  <c r="I56" i="37" s="1"/>
  <c r="J56" i="37" s="1"/>
  <c r="G82" i="30"/>
  <c r="I82" i="30" s="1"/>
  <c r="J82" i="30" s="1"/>
  <c r="G46" i="36"/>
  <c r="I46" i="36" s="1"/>
  <c r="J46" i="36" s="1"/>
  <c r="G79" i="35"/>
  <c r="I79" i="35" s="1"/>
  <c r="J79" i="35" s="1"/>
  <c r="G25" i="37"/>
  <c r="I25" i="37" s="1"/>
  <c r="J25" i="37" s="1"/>
  <c r="G63" i="34"/>
  <c r="I63" i="34" s="1"/>
  <c r="J63" i="34" s="1"/>
  <c r="G18" i="36"/>
  <c r="I18" i="36" s="1"/>
  <c r="J18" i="36" s="1"/>
  <c r="G39" i="29"/>
  <c r="I39" i="29" s="1"/>
  <c r="J39" i="29" s="1"/>
  <c r="G42" i="39"/>
  <c r="G95" i="37"/>
  <c r="I95" i="37" s="1"/>
  <c r="J95" i="37" s="1"/>
  <c r="G7" i="34"/>
  <c r="I7" i="34" s="1"/>
  <c r="J7" i="34" s="1"/>
  <c r="G2" i="35"/>
  <c r="I2" i="35" s="1"/>
  <c r="J2" i="35" s="1"/>
  <c r="G70" i="35"/>
  <c r="I70" i="35" s="1"/>
  <c r="J70" i="35" s="1"/>
  <c r="G79" i="36"/>
  <c r="I79" i="36" s="1"/>
  <c r="J79" i="36" s="1"/>
  <c r="G12" i="37"/>
  <c r="I12" i="37" s="1"/>
  <c r="J12" i="37" s="1"/>
  <c r="G69" i="39"/>
  <c r="G5" i="29"/>
  <c r="I5" i="29" s="1"/>
  <c r="J5" i="29" s="1"/>
  <c r="G31" i="37"/>
  <c r="I31" i="37" s="1"/>
  <c r="J31" i="37" s="1"/>
  <c r="G2" i="39"/>
  <c r="G90" i="29"/>
  <c r="I90" i="29" s="1"/>
  <c r="J90" i="29" s="1"/>
  <c r="G73" i="36"/>
  <c r="I73" i="36" s="1"/>
  <c r="J73" i="36" s="1"/>
  <c r="G49" i="32"/>
  <c r="I49" i="32" s="1"/>
  <c r="J49" i="32" s="1"/>
  <c r="G39" i="37"/>
  <c r="I39" i="37" s="1"/>
  <c r="J39" i="37" s="1"/>
  <c r="G15" i="39"/>
  <c r="G97" i="37"/>
  <c r="I97" i="37" s="1"/>
  <c r="J97" i="37" s="1"/>
  <c r="G4" i="35"/>
  <c r="I4" i="35" s="1"/>
  <c r="J4" i="35" s="1"/>
  <c r="G74" i="37"/>
  <c r="I74" i="37" s="1"/>
  <c r="J74" i="37" s="1"/>
  <c r="G63" i="30"/>
  <c r="I63" i="30" s="1"/>
  <c r="J63" i="30" s="1"/>
  <c r="G24" i="35"/>
  <c r="I24" i="35" s="1"/>
  <c r="J24" i="35" s="1"/>
  <c r="G75" i="37"/>
  <c r="I75" i="37" s="1"/>
  <c r="J75" i="37" s="1"/>
  <c r="G85" i="29"/>
  <c r="I85" i="29" s="1"/>
  <c r="J85" i="29" s="1"/>
  <c r="G13" i="36"/>
  <c r="I13" i="36" s="1"/>
  <c r="J13" i="36" s="1"/>
  <c r="G69" i="32"/>
  <c r="I69" i="32" s="1"/>
  <c r="J69" i="32" s="1"/>
  <c r="G50" i="31"/>
  <c r="I50" i="31" s="1"/>
  <c r="J50" i="31" s="1"/>
  <c r="G98" i="31"/>
  <c r="I98" i="31" s="1"/>
  <c r="J98" i="31" s="1"/>
  <c r="G38" i="39"/>
  <c r="G27" i="33"/>
  <c r="I27" i="33" s="1"/>
  <c r="J27" i="33" s="1"/>
  <c r="G15" i="35"/>
  <c r="I15" i="35" s="1"/>
  <c r="J15" i="35" s="1"/>
  <c r="G23" i="37"/>
  <c r="I23" i="37" s="1"/>
  <c r="J23" i="37" s="1"/>
  <c r="G66" i="33"/>
  <c r="I66" i="33" s="1"/>
  <c r="J66" i="33" s="1"/>
  <c r="G47" i="37"/>
  <c r="I47" i="37" s="1"/>
  <c r="J47" i="37" s="1"/>
  <c r="G3" i="35"/>
  <c r="I3" i="35" s="1"/>
  <c r="J3" i="35" s="1"/>
  <c r="G83" i="29"/>
  <c r="I83" i="29" s="1"/>
  <c r="J83" i="29" s="1"/>
  <c r="G26" i="32"/>
  <c r="I26" i="32" s="1"/>
  <c r="J26" i="32" s="1"/>
  <c r="G14" i="30"/>
  <c r="I14" i="30" s="1"/>
  <c r="J14" i="30" s="1"/>
  <c r="G4" i="30"/>
  <c r="I4" i="30" s="1"/>
  <c r="J4" i="30" s="1"/>
  <c r="G32" i="37"/>
  <c r="I32" i="37" s="1"/>
  <c r="J32" i="37" s="1"/>
  <c r="G29" i="39"/>
  <c r="G92" i="39"/>
  <c r="G8" i="36"/>
  <c r="I8" i="36" s="1"/>
  <c r="J8" i="36" s="1"/>
  <c r="G91" i="39"/>
  <c r="G80" i="36"/>
  <c r="I80" i="36" s="1"/>
  <c r="J80" i="36" s="1"/>
  <c r="G67" i="30"/>
  <c r="I67" i="30" s="1"/>
  <c r="J67" i="30" s="1"/>
  <c r="G58" i="37"/>
  <c r="I58" i="37" s="1"/>
  <c r="J58" i="37" s="1"/>
  <c r="G21" i="35"/>
  <c r="I21" i="35" s="1"/>
  <c r="J21" i="35" s="1"/>
  <c r="G99" i="30"/>
  <c r="I99" i="30" s="1"/>
  <c r="J99" i="30" s="1"/>
  <c r="G94" i="34"/>
  <c r="I94" i="34" s="1"/>
  <c r="J94" i="34" s="1"/>
  <c r="G80" i="39"/>
  <c r="G88" i="32"/>
  <c r="I88" i="32" s="1"/>
  <c r="J88" i="32" s="1"/>
  <c r="G38" i="29"/>
  <c r="I38" i="29" s="1"/>
  <c r="J38" i="29" s="1"/>
  <c r="G59" i="36"/>
  <c r="I59" i="36" s="1"/>
  <c r="J59" i="36" s="1"/>
  <c r="G12" i="39"/>
  <c r="G87" i="33"/>
  <c r="I87" i="33" s="1"/>
  <c r="J87" i="33" s="1"/>
  <c r="G8" i="30"/>
  <c r="I8" i="30" s="1"/>
  <c r="J8" i="30" s="1"/>
  <c r="G35" i="37"/>
  <c r="I35" i="37" s="1"/>
  <c r="J35" i="37" s="1"/>
  <c r="G49" i="31"/>
  <c r="I49" i="31" s="1"/>
  <c r="J49" i="31" s="1"/>
  <c r="G57" i="36"/>
  <c r="I57" i="36" s="1"/>
  <c r="J57" i="36" s="1"/>
  <c r="G33" i="33"/>
  <c r="I33" i="33" s="1"/>
  <c r="J33" i="33" s="1"/>
  <c r="G2" i="32"/>
  <c r="I2" i="32" s="1"/>
  <c r="J2" i="32" s="1"/>
  <c r="G67" i="32"/>
  <c r="I67" i="32" s="1"/>
  <c r="J67" i="32" s="1"/>
  <c r="G51" i="37"/>
  <c r="I51" i="37" s="1"/>
  <c r="J51" i="37" s="1"/>
  <c r="G5" i="37"/>
  <c r="I5" i="37" s="1"/>
  <c r="J5" i="37" s="1"/>
  <c r="G101" i="35"/>
  <c r="I101" i="35" s="1"/>
  <c r="J101" i="35" s="1"/>
  <c r="G73" i="39"/>
  <c r="G50" i="33"/>
  <c r="I50" i="33" s="1"/>
  <c r="J50" i="33" s="1"/>
  <c r="G90" i="39"/>
  <c r="G94" i="30"/>
  <c r="I94" i="30" s="1"/>
  <c r="J94" i="30" s="1"/>
  <c r="G16" i="36"/>
  <c r="I16" i="36" s="1"/>
  <c r="J16" i="36" s="1"/>
  <c r="G9" i="35"/>
  <c r="I9" i="35" s="1"/>
  <c r="J9" i="35" s="1"/>
  <c r="G44" i="36"/>
  <c r="I44" i="36" s="1"/>
  <c r="J44" i="36" s="1"/>
  <c r="G13" i="34"/>
  <c r="I13" i="34" s="1"/>
  <c r="J13" i="34" s="1"/>
  <c r="G73" i="37"/>
  <c r="I73" i="37" s="1"/>
  <c r="J73" i="37" s="1"/>
  <c r="G85" i="35"/>
  <c r="I85" i="35" s="1"/>
  <c r="J85" i="35" s="1"/>
  <c r="G27" i="36"/>
  <c r="I27" i="36" s="1"/>
  <c r="J27" i="36" s="1"/>
  <c r="G81" i="32"/>
  <c r="I81" i="32" s="1"/>
  <c r="J81" i="32" s="1"/>
  <c r="G71" i="37"/>
  <c r="I71" i="37" s="1"/>
  <c r="J71" i="37" s="1"/>
  <c r="G56" i="29"/>
  <c r="I56" i="29" s="1"/>
  <c r="J56" i="29" s="1"/>
  <c r="G20" i="30"/>
  <c r="I20" i="30" s="1"/>
  <c r="J20" i="30" s="1"/>
  <c r="G81" i="30"/>
  <c r="I81" i="30" s="1"/>
  <c r="J81" i="30" s="1"/>
  <c r="G28" i="32"/>
  <c r="I28" i="32" s="1"/>
  <c r="J28" i="32" s="1"/>
  <c r="G44" i="30"/>
  <c r="I44" i="30" s="1"/>
  <c r="J44" i="30" s="1"/>
  <c r="G17" i="32"/>
  <c r="I17" i="32" s="1"/>
  <c r="J17" i="32" s="1"/>
  <c r="G43" i="29"/>
  <c r="I43" i="29" s="1"/>
  <c r="J43" i="29" s="1"/>
  <c r="G90" i="31"/>
  <c r="I90" i="31" s="1"/>
  <c r="J90" i="31" s="1"/>
  <c r="G8" i="29"/>
  <c r="I8" i="29" s="1"/>
  <c r="J8" i="29" s="1"/>
  <c r="G68" i="30"/>
  <c r="I68" i="30" s="1"/>
  <c r="J68" i="30" s="1"/>
  <c r="G92" i="30"/>
  <c r="I92" i="30" s="1"/>
  <c r="J92" i="30" s="1"/>
  <c r="G53" i="31"/>
  <c r="I53" i="31" s="1"/>
  <c r="J53" i="31" s="1"/>
  <c r="G77" i="31"/>
  <c r="I77" i="31" s="1"/>
  <c r="J77" i="31" s="1"/>
  <c r="G4" i="32"/>
  <c r="I4" i="32" s="1"/>
  <c r="J4" i="32" s="1"/>
  <c r="G91" i="29"/>
  <c r="I91" i="29" s="1"/>
  <c r="J91" i="29" s="1"/>
  <c r="G9" i="30"/>
  <c r="I9" i="30" s="1"/>
  <c r="J9" i="30" s="1"/>
  <c r="G33" i="30"/>
  <c r="I33" i="30" s="1"/>
  <c r="J33" i="30" s="1"/>
  <c r="G66" i="31"/>
  <c r="I66" i="31" s="1"/>
  <c r="J66" i="31" s="1"/>
  <c r="G32" i="29"/>
  <c r="I32" i="29" s="1"/>
  <c r="J32" i="29" s="1"/>
  <c r="G5" i="31"/>
  <c r="I5" i="31" s="1"/>
  <c r="J5" i="31" s="1"/>
  <c r="G18" i="31"/>
  <c r="I18" i="31" s="1"/>
  <c r="J18" i="31" s="1"/>
  <c r="G80" i="29"/>
  <c r="I80" i="29" s="1"/>
  <c r="J80" i="29" s="1"/>
  <c r="G52" i="32"/>
  <c r="I52" i="32" s="1"/>
  <c r="J52" i="32" s="1"/>
  <c r="G76" i="32"/>
  <c r="I76" i="32" s="1"/>
  <c r="J76" i="32" s="1"/>
  <c r="G100" i="32"/>
  <c r="I100" i="32" s="1"/>
  <c r="J100" i="32" s="1"/>
  <c r="G20" i="33"/>
  <c r="I20" i="33" s="1"/>
  <c r="J20" i="33" s="1"/>
  <c r="G44" i="33"/>
  <c r="I44" i="33" s="1"/>
  <c r="J44" i="33" s="1"/>
  <c r="G68" i="33"/>
  <c r="I68" i="33" s="1"/>
  <c r="J68" i="33" s="1"/>
  <c r="G92" i="33"/>
  <c r="I92" i="33" s="1"/>
  <c r="J92" i="33" s="1"/>
  <c r="G18" i="34"/>
  <c r="I18" i="34" s="1"/>
  <c r="J18" i="34" s="1"/>
  <c r="T88" i="2"/>
  <c r="AE88" i="2" s="1"/>
  <c r="G101" i="31"/>
  <c r="I101" i="31" s="1"/>
  <c r="J101" i="31" s="1"/>
  <c r="T87" i="2"/>
  <c r="AE87" i="2" s="1"/>
  <c r="G79" i="29"/>
  <c r="I79" i="29" s="1"/>
  <c r="J79" i="29" s="1"/>
  <c r="G55" i="29"/>
  <c r="I55" i="29" s="1"/>
  <c r="J55" i="29" s="1"/>
  <c r="G31" i="29"/>
  <c r="I31" i="29" s="1"/>
  <c r="J31" i="29" s="1"/>
  <c r="G7" i="29"/>
  <c r="I7" i="29" s="1"/>
  <c r="J7" i="29" s="1"/>
  <c r="G21" i="30"/>
  <c r="I21" i="30" s="1"/>
  <c r="J21" i="30" s="1"/>
  <c r="G45" i="30"/>
  <c r="I45" i="30" s="1"/>
  <c r="J45" i="30" s="1"/>
  <c r="G69" i="30"/>
  <c r="I69" i="30" s="1"/>
  <c r="J69" i="30" s="1"/>
  <c r="G93" i="30"/>
  <c r="I93" i="30" s="1"/>
  <c r="J93" i="30" s="1"/>
  <c r="G6" i="31"/>
  <c r="I6" i="31" s="1"/>
  <c r="J6" i="31" s="1"/>
  <c r="G30" i="31"/>
  <c r="I30" i="31" s="1"/>
  <c r="J30" i="31" s="1"/>
  <c r="G54" i="31"/>
  <c r="I54" i="31" s="1"/>
  <c r="J54" i="31" s="1"/>
  <c r="G78" i="31"/>
  <c r="I78" i="31" s="1"/>
  <c r="J78" i="31" s="1"/>
  <c r="G5" i="32"/>
  <c r="I5" i="32" s="1"/>
  <c r="J5" i="32" s="1"/>
  <c r="G29" i="32"/>
  <c r="I29" i="32" s="1"/>
  <c r="J29" i="32" s="1"/>
  <c r="G77" i="32"/>
  <c r="I77" i="32" s="1"/>
  <c r="J77" i="32" s="1"/>
  <c r="G101" i="32"/>
  <c r="I101" i="32" s="1"/>
  <c r="J101" i="32" s="1"/>
  <c r="G21" i="33"/>
  <c r="I21" i="33" s="1"/>
  <c r="J21" i="33" s="1"/>
  <c r="G45" i="33"/>
  <c r="I45" i="33" s="1"/>
  <c r="J45" i="33" s="1"/>
  <c r="G69" i="33"/>
  <c r="I69" i="33" s="1"/>
  <c r="J69" i="33" s="1"/>
  <c r="G93" i="33"/>
  <c r="I93" i="33" s="1"/>
  <c r="J93" i="33" s="1"/>
  <c r="G19" i="34"/>
  <c r="I19" i="34" s="1"/>
  <c r="J19" i="34" s="1"/>
  <c r="G11" i="35"/>
  <c r="I11" i="35" s="1"/>
  <c r="J11" i="35" s="1"/>
  <c r="G29" i="31"/>
  <c r="I29" i="31" s="1"/>
  <c r="J29" i="31" s="1"/>
  <c r="T3" i="2"/>
  <c r="G2" i="29"/>
  <c r="I2" i="29" s="1"/>
  <c r="G30" i="29"/>
  <c r="I30" i="29" s="1"/>
  <c r="J30" i="29" s="1"/>
  <c r="G6" i="29"/>
  <c r="I6" i="29" s="1"/>
  <c r="J6" i="29" s="1"/>
  <c r="G70" i="30"/>
  <c r="I70" i="30" s="1"/>
  <c r="J70" i="30" s="1"/>
  <c r="G7" i="31"/>
  <c r="I7" i="31" s="1"/>
  <c r="J7" i="31" s="1"/>
  <c r="G31" i="31"/>
  <c r="I31" i="31" s="1"/>
  <c r="J31" i="31" s="1"/>
  <c r="G55" i="31"/>
  <c r="I55" i="31" s="1"/>
  <c r="J55" i="31" s="1"/>
  <c r="G79" i="31"/>
  <c r="I79" i="31" s="1"/>
  <c r="J79" i="31" s="1"/>
  <c r="G6" i="32"/>
  <c r="I6" i="32" s="1"/>
  <c r="J6" i="32" s="1"/>
  <c r="G30" i="32"/>
  <c r="I30" i="32" s="1"/>
  <c r="J30" i="32" s="1"/>
  <c r="G54" i="32"/>
  <c r="I54" i="32" s="1"/>
  <c r="J54" i="32" s="1"/>
  <c r="G46" i="33"/>
  <c r="I46" i="33" s="1"/>
  <c r="J46" i="33" s="1"/>
  <c r="G70" i="33"/>
  <c r="I70" i="33" s="1"/>
  <c r="J70" i="33" s="1"/>
  <c r="G94" i="33"/>
  <c r="I94" i="33" s="1"/>
  <c r="J94" i="33" s="1"/>
  <c r="G68" i="34"/>
  <c r="I68" i="34" s="1"/>
  <c r="J68" i="34" s="1"/>
  <c r="G36" i="35"/>
  <c r="I36" i="35" s="1"/>
  <c r="J36" i="35" s="1"/>
  <c r="T11" i="2"/>
  <c r="AE11" i="2" s="1"/>
  <c r="G77" i="29"/>
  <c r="I77" i="29" s="1"/>
  <c r="J77" i="29" s="1"/>
  <c r="G53" i="29"/>
  <c r="I53" i="29" s="1"/>
  <c r="J53" i="29" s="1"/>
  <c r="G29" i="29"/>
  <c r="I29" i="29" s="1"/>
  <c r="J29" i="29" s="1"/>
  <c r="G23" i="30"/>
  <c r="I23" i="30" s="1"/>
  <c r="J23" i="30" s="1"/>
  <c r="G47" i="30"/>
  <c r="I47" i="30" s="1"/>
  <c r="J47" i="30" s="1"/>
  <c r="G95" i="30"/>
  <c r="I95" i="30" s="1"/>
  <c r="J95" i="30" s="1"/>
  <c r="G8" i="31"/>
  <c r="I8" i="31" s="1"/>
  <c r="J8" i="31" s="1"/>
  <c r="G32" i="31"/>
  <c r="I32" i="31" s="1"/>
  <c r="J32" i="31" s="1"/>
  <c r="G7" i="32"/>
  <c r="I7" i="32" s="1"/>
  <c r="J7" i="32" s="1"/>
  <c r="G31" i="32"/>
  <c r="I31" i="32" s="1"/>
  <c r="J31" i="32" s="1"/>
  <c r="G79" i="32"/>
  <c r="I79" i="32" s="1"/>
  <c r="J79" i="32" s="1"/>
  <c r="G47" i="33"/>
  <c r="I47" i="33" s="1"/>
  <c r="J47" i="33" s="1"/>
  <c r="G71" i="33"/>
  <c r="I71" i="33" s="1"/>
  <c r="J71" i="33" s="1"/>
  <c r="G95" i="33"/>
  <c r="I95" i="33" s="1"/>
  <c r="J95" i="33" s="1"/>
  <c r="G93" i="34"/>
  <c r="I93" i="34" s="1"/>
  <c r="J93" i="34" s="1"/>
  <c r="G13" i="35"/>
  <c r="I13" i="35" s="1"/>
  <c r="J13" i="35" s="1"/>
  <c r="T10" i="2"/>
  <c r="G100" i="29"/>
  <c r="I100" i="29" s="1"/>
  <c r="J100" i="29" s="1"/>
  <c r="G76" i="29"/>
  <c r="I76" i="29" s="1"/>
  <c r="J76" i="29" s="1"/>
  <c r="G52" i="29"/>
  <c r="I52" i="29" s="1"/>
  <c r="J52" i="29" s="1"/>
  <c r="G28" i="29"/>
  <c r="I28" i="29" s="1"/>
  <c r="J28" i="29" s="1"/>
  <c r="G4" i="29"/>
  <c r="I4" i="29" s="1"/>
  <c r="J4" i="29" s="1"/>
  <c r="G72" i="30"/>
  <c r="I72" i="30" s="1"/>
  <c r="J72" i="30" s="1"/>
  <c r="G96" i="30"/>
  <c r="I96" i="30" s="1"/>
  <c r="J96" i="30" s="1"/>
  <c r="G9" i="31"/>
  <c r="I9" i="31" s="1"/>
  <c r="J9" i="31" s="1"/>
  <c r="G33" i="31"/>
  <c r="I33" i="31" s="1"/>
  <c r="J33" i="31" s="1"/>
  <c r="G57" i="31"/>
  <c r="I57" i="31" s="1"/>
  <c r="J57" i="31" s="1"/>
  <c r="G81" i="31"/>
  <c r="I81" i="31" s="1"/>
  <c r="J81" i="31" s="1"/>
  <c r="G8" i="32"/>
  <c r="I8" i="32" s="1"/>
  <c r="J8" i="32" s="1"/>
  <c r="G24" i="33"/>
  <c r="I24" i="33" s="1"/>
  <c r="J24" i="33" s="1"/>
  <c r="G96" i="33"/>
  <c r="I96" i="33" s="1"/>
  <c r="J96" i="33" s="1"/>
  <c r="G70" i="34"/>
  <c r="I70" i="34" s="1"/>
  <c r="J70" i="34" s="1"/>
  <c r="G99" i="29"/>
  <c r="I99" i="29" s="1"/>
  <c r="J99" i="29" s="1"/>
  <c r="G75" i="29"/>
  <c r="I75" i="29" s="1"/>
  <c r="J75" i="29" s="1"/>
  <c r="G51" i="29"/>
  <c r="I51" i="29" s="1"/>
  <c r="J51" i="29" s="1"/>
  <c r="G27" i="29"/>
  <c r="I27" i="29" s="1"/>
  <c r="J27" i="29" s="1"/>
  <c r="G3" i="29"/>
  <c r="I3" i="29" s="1"/>
  <c r="J3" i="29" s="1"/>
  <c r="G49" i="30"/>
  <c r="I49" i="30" s="1"/>
  <c r="J49" i="30" s="1"/>
  <c r="G10" i="31"/>
  <c r="I10" i="31" s="1"/>
  <c r="J10" i="31" s="1"/>
  <c r="G34" i="31"/>
  <c r="I34" i="31" s="1"/>
  <c r="J34" i="31" s="1"/>
  <c r="G58" i="31"/>
  <c r="I58" i="31" s="1"/>
  <c r="J58" i="31" s="1"/>
  <c r="G82" i="31"/>
  <c r="I82" i="31" s="1"/>
  <c r="J82" i="31" s="1"/>
  <c r="G9" i="32"/>
  <c r="I9" i="32" s="1"/>
  <c r="J9" i="32" s="1"/>
  <c r="G57" i="32"/>
  <c r="I57" i="32" s="1"/>
  <c r="J57" i="32" s="1"/>
  <c r="G25" i="33"/>
  <c r="I25" i="33" s="1"/>
  <c r="J25" i="33" s="1"/>
  <c r="G49" i="33"/>
  <c r="I49" i="33" s="1"/>
  <c r="J49" i="33" s="1"/>
  <c r="G73" i="33"/>
  <c r="I73" i="33" s="1"/>
  <c r="J73" i="33" s="1"/>
  <c r="G47" i="34"/>
  <c r="I47" i="34" s="1"/>
  <c r="J47" i="34" s="1"/>
  <c r="G39" i="35"/>
  <c r="I39" i="35" s="1"/>
  <c r="J39" i="35" s="1"/>
  <c r="T8" i="2"/>
  <c r="G98" i="29"/>
  <c r="I98" i="29" s="1"/>
  <c r="J98" i="29" s="1"/>
  <c r="G74" i="29"/>
  <c r="I74" i="29" s="1"/>
  <c r="J74" i="29" s="1"/>
  <c r="G50" i="29"/>
  <c r="I50" i="29" s="1"/>
  <c r="J50" i="29" s="1"/>
  <c r="G26" i="29"/>
  <c r="I26" i="29" s="1"/>
  <c r="J26" i="29" s="1"/>
  <c r="G2" i="30"/>
  <c r="I2" i="30" s="1"/>
  <c r="G26" i="30"/>
  <c r="I26" i="30" s="1"/>
  <c r="J26" i="30" s="1"/>
  <c r="G98" i="30"/>
  <c r="I98" i="30" s="1"/>
  <c r="J98" i="30" s="1"/>
  <c r="G11" i="31"/>
  <c r="I11" i="31" s="1"/>
  <c r="J11" i="31" s="1"/>
  <c r="G35" i="31"/>
  <c r="I35" i="31" s="1"/>
  <c r="J35" i="31" s="1"/>
  <c r="G59" i="31"/>
  <c r="I59" i="31" s="1"/>
  <c r="J59" i="31" s="1"/>
  <c r="G83" i="31"/>
  <c r="I83" i="31" s="1"/>
  <c r="J83" i="31" s="1"/>
  <c r="G10" i="32"/>
  <c r="I10" i="32" s="1"/>
  <c r="J10" i="32" s="1"/>
  <c r="G2" i="33"/>
  <c r="I2" i="33" s="1"/>
  <c r="G26" i="33"/>
  <c r="I26" i="33" s="1"/>
  <c r="J26" i="33" s="1"/>
  <c r="G74" i="33"/>
  <c r="I74" i="33" s="1"/>
  <c r="J74" i="33" s="1"/>
  <c r="G98" i="33"/>
  <c r="I98" i="33" s="1"/>
  <c r="J98" i="33" s="1"/>
  <c r="G16" i="35"/>
  <c r="I16" i="35" s="1"/>
  <c r="J16" i="35" s="1"/>
  <c r="G88" i="35"/>
  <c r="I88" i="35" s="1"/>
  <c r="J88" i="35" s="1"/>
  <c r="T7" i="2"/>
  <c r="G97" i="29"/>
  <c r="I97" i="29" s="1"/>
  <c r="J97" i="29" s="1"/>
  <c r="G73" i="29"/>
  <c r="I73" i="29" s="1"/>
  <c r="J73" i="29" s="1"/>
  <c r="G49" i="29"/>
  <c r="I49" i="29" s="1"/>
  <c r="J49" i="29" s="1"/>
  <c r="G25" i="29"/>
  <c r="I25" i="29" s="1"/>
  <c r="J25" i="29" s="1"/>
  <c r="G3" i="30"/>
  <c r="I3" i="30" s="1"/>
  <c r="J3" i="30" s="1"/>
  <c r="G12" i="31"/>
  <c r="I12" i="31" s="1"/>
  <c r="J12" i="31" s="1"/>
  <c r="G36" i="31"/>
  <c r="I36" i="31" s="1"/>
  <c r="J36" i="31" s="1"/>
  <c r="G60" i="31"/>
  <c r="I60" i="31" s="1"/>
  <c r="J60" i="31" s="1"/>
  <c r="G84" i="31"/>
  <c r="I84" i="31" s="1"/>
  <c r="J84" i="31" s="1"/>
  <c r="G11" i="32"/>
  <c r="I11" i="32" s="1"/>
  <c r="J11" i="32" s="1"/>
  <c r="G35" i="32"/>
  <c r="I35" i="32" s="1"/>
  <c r="J35" i="32" s="1"/>
  <c r="G59" i="32"/>
  <c r="I59" i="32" s="1"/>
  <c r="J59" i="32" s="1"/>
  <c r="G3" i="33"/>
  <c r="I3" i="33" s="1"/>
  <c r="J3" i="33" s="1"/>
  <c r="G99" i="33"/>
  <c r="I99" i="33" s="1"/>
  <c r="J99" i="33" s="1"/>
  <c r="G25" i="34"/>
  <c r="I25" i="34" s="1"/>
  <c r="J25" i="34" s="1"/>
  <c r="G49" i="34"/>
  <c r="I49" i="34" s="1"/>
  <c r="J49" i="34" s="1"/>
  <c r="G97" i="34"/>
  <c r="I97" i="34" s="1"/>
  <c r="J97" i="34" s="1"/>
  <c r="T6" i="2"/>
  <c r="G96" i="29"/>
  <c r="I96" i="29" s="1"/>
  <c r="J96" i="29" s="1"/>
  <c r="G72" i="29"/>
  <c r="I72" i="29" s="1"/>
  <c r="J72" i="29" s="1"/>
  <c r="G48" i="29"/>
  <c r="I48" i="29" s="1"/>
  <c r="J48" i="29" s="1"/>
  <c r="G24" i="29"/>
  <c r="I24" i="29" s="1"/>
  <c r="J24" i="29" s="1"/>
  <c r="G28" i="30"/>
  <c r="I28" i="30" s="1"/>
  <c r="J28" i="30" s="1"/>
  <c r="G52" i="30"/>
  <c r="I52" i="30" s="1"/>
  <c r="J52" i="30" s="1"/>
  <c r="G100" i="30"/>
  <c r="I100" i="30" s="1"/>
  <c r="J100" i="30" s="1"/>
  <c r="G13" i="31"/>
  <c r="I13" i="31" s="1"/>
  <c r="J13" i="31" s="1"/>
  <c r="G37" i="31"/>
  <c r="I37" i="31" s="1"/>
  <c r="J37" i="31" s="1"/>
  <c r="G61" i="31"/>
  <c r="I61" i="31" s="1"/>
  <c r="J61" i="31" s="1"/>
  <c r="G85" i="31"/>
  <c r="I85" i="31" s="1"/>
  <c r="J85" i="31" s="1"/>
  <c r="G12" i="32"/>
  <c r="I12" i="32" s="1"/>
  <c r="J12" i="32" s="1"/>
  <c r="G36" i="32"/>
  <c r="I36" i="32" s="1"/>
  <c r="J36" i="32" s="1"/>
  <c r="G4" i="33"/>
  <c r="I4" i="33" s="1"/>
  <c r="J4" i="33" s="1"/>
  <c r="G28" i="33"/>
  <c r="I28" i="33" s="1"/>
  <c r="J28" i="33" s="1"/>
  <c r="G52" i="33"/>
  <c r="I52" i="33" s="1"/>
  <c r="J52" i="33" s="1"/>
  <c r="G100" i="33"/>
  <c r="I100" i="33" s="1"/>
  <c r="J100" i="33" s="1"/>
  <c r="G2" i="34"/>
  <c r="I2" i="34" s="1"/>
  <c r="G26" i="34"/>
  <c r="I26" i="34" s="1"/>
  <c r="J26" i="34" s="1"/>
  <c r="G50" i="34"/>
  <c r="I50" i="34" s="1"/>
  <c r="J50" i="34" s="1"/>
  <c r="G18" i="35"/>
  <c r="I18" i="35" s="1"/>
  <c r="J18" i="35" s="1"/>
  <c r="G42" i="35"/>
  <c r="I42" i="35" s="1"/>
  <c r="J42" i="35" s="1"/>
  <c r="T5" i="2"/>
  <c r="G95" i="29"/>
  <c r="I95" i="29" s="1"/>
  <c r="J95" i="29" s="1"/>
  <c r="G71" i="29"/>
  <c r="I71" i="29" s="1"/>
  <c r="J71" i="29" s="1"/>
  <c r="G47" i="29"/>
  <c r="I47" i="29" s="1"/>
  <c r="J47" i="29" s="1"/>
  <c r="G23" i="29"/>
  <c r="I23" i="29" s="1"/>
  <c r="J23" i="29" s="1"/>
  <c r="G5" i="30"/>
  <c r="I5" i="30" s="1"/>
  <c r="J5" i="30" s="1"/>
  <c r="G29" i="30"/>
  <c r="I29" i="30" s="1"/>
  <c r="J29" i="30" s="1"/>
  <c r="G14" i="31"/>
  <c r="I14" i="31" s="1"/>
  <c r="J14" i="31" s="1"/>
  <c r="G38" i="31"/>
  <c r="I38" i="31" s="1"/>
  <c r="J38" i="31" s="1"/>
  <c r="G62" i="31"/>
  <c r="I62" i="31" s="1"/>
  <c r="J62" i="31" s="1"/>
  <c r="G86" i="31"/>
  <c r="I86" i="31" s="1"/>
  <c r="J86" i="31" s="1"/>
  <c r="G13" i="32"/>
  <c r="I13" i="32" s="1"/>
  <c r="J13" i="32" s="1"/>
  <c r="G37" i="32"/>
  <c r="I37" i="32" s="1"/>
  <c r="J37" i="32" s="1"/>
  <c r="G61" i="32"/>
  <c r="I61" i="32" s="1"/>
  <c r="J61" i="32" s="1"/>
  <c r="G5" i="33"/>
  <c r="I5" i="33" s="1"/>
  <c r="J5" i="33" s="1"/>
  <c r="G53" i="33"/>
  <c r="I53" i="33" s="1"/>
  <c r="J53" i="33" s="1"/>
  <c r="G101" i="33"/>
  <c r="I101" i="33" s="1"/>
  <c r="J101" i="33" s="1"/>
  <c r="G3" i="34"/>
  <c r="I3" i="34" s="1"/>
  <c r="J3" i="34" s="1"/>
  <c r="G27" i="34"/>
  <c r="I27" i="34" s="1"/>
  <c r="J27" i="34" s="1"/>
  <c r="G19" i="35"/>
  <c r="I19" i="35" s="1"/>
  <c r="J19" i="35" s="1"/>
  <c r="T4" i="2"/>
  <c r="AE4" i="2" s="1"/>
  <c r="G94" i="29"/>
  <c r="I94" i="29" s="1"/>
  <c r="J94" i="29" s="1"/>
  <c r="G70" i="29"/>
  <c r="I70" i="29" s="1"/>
  <c r="J70" i="29" s="1"/>
  <c r="G46" i="29"/>
  <c r="I46" i="29" s="1"/>
  <c r="J46" i="29" s="1"/>
  <c r="G22" i="29"/>
  <c r="I22" i="29" s="1"/>
  <c r="J22" i="29" s="1"/>
  <c r="G54" i="30"/>
  <c r="I54" i="30" s="1"/>
  <c r="J54" i="30" s="1"/>
  <c r="G15" i="31"/>
  <c r="I15" i="31" s="1"/>
  <c r="J15" i="31" s="1"/>
  <c r="G39" i="31"/>
  <c r="I39" i="31" s="1"/>
  <c r="J39" i="31" s="1"/>
  <c r="G63" i="31"/>
  <c r="I63" i="31" s="1"/>
  <c r="J63" i="31" s="1"/>
  <c r="G87" i="31"/>
  <c r="I87" i="31" s="1"/>
  <c r="J87" i="31" s="1"/>
  <c r="G14" i="32"/>
  <c r="I14" i="32" s="1"/>
  <c r="J14" i="32" s="1"/>
  <c r="G38" i="32"/>
  <c r="I38" i="32" s="1"/>
  <c r="J38" i="32" s="1"/>
  <c r="G62" i="32"/>
  <c r="I62" i="32" s="1"/>
  <c r="J62" i="32" s="1"/>
  <c r="G86" i="32"/>
  <c r="I86" i="32" s="1"/>
  <c r="J86" i="32" s="1"/>
  <c r="G6" i="33"/>
  <c r="I6" i="33" s="1"/>
  <c r="J6" i="33" s="1"/>
  <c r="G30" i="33"/>
  <c r="I30" i="33" s="1"/>
  <c r="J30" i="33" s="1"/>
  <c r="G54" i="33"/>
  <c r="I54" i="33" s="1"/>
  <c r="J54" i="33" s="1"/>
  <c r="G78" i="33"/>
  <c r="I78" i="33" s="1"/>
  <c r="J78" i="33" s="1"/>
  <c r="G4" i="34"/>
  <c r="I4" i="34" s="1"/>
  <c r="J4" i="34" s="1"/>
  <c r="G28" i="34"/>
  <c r="I28" i="34" s="1"/>
  <c r="J28" i="34" s="1"/>
  <c r="G52" i="34"/>
  <c r="I52" i="34" s="1"/>
  <c r="J52" i="34" s="1"/>
  <c r="G100" i="34"/>
  <c r="I100" i="34" s="1"/>
  <c r="J100" i="34" s="1"/>
  <c r="T14" i="2"/>
  <c r="AE14" i="2" s="1"/>
  <c r="G93" i="29"/>
  <c r="I93" i="29" s="1"/>
  <c r="J93" i="29" s="1"/>
  <c r="G69" i="29"/>
  <c r="I69" i="29" s="1"/>
  <c r="J69" i="29" s="1"/>
  <c r="G45" i="29"/>
  <c r="I45" i="29" s="1"/>
  <c r="J45" i="29" s="1"/>
  <c r="G21" i="29"/>
  <c r="I21" i="29" s="1"/>
  <c r="J21" i="29" s="1"/>
  <c r="G31" i="30"/>
  <c r="I31" i="30" s="1"/>
  <c r="J31" i="30" s="1"/>
  <c r="G16" i="31"/>
  <c r="I16" i="31" s="1"/>
  <c r="J16" i="31" s="1"/>
  <c r="G40" i="31"/>
  <c r="I40" i="31" s="1"/>
  <c r="J40" i="31" s="1"/>
  <c r="G64" i="31"/>
  <c r="I64" i="31" s="1"/>
  <c r="J64" i="31" s="1"/>
  <c r="G88" i="31"/>
  <c r="I88" i="31" s="1"/>
  <c r="J88" i="31" s="1"/>
  <c r="G15" i="32"/>
  <c r="I15" i="32" s="1"/>
  <c r="J15" i="32" s="1"/>
  <c r="G63" i="32"/>
  <c r="I63" i="32" s="1"/>
  <c r="J63" i="32" s="1"/>
  <c r="G7" i="33"/>
  <c r="I7" i="33" s="1"/>
  <c r="J7" i="33" s="1"/>
  <c r="G55" i="33"/>
  <c r="I55" i="33" s="1"/>
  <c r="J55" i="33" s="1"/>
  <c r="G53" i="34"/>
  <c r="I53" i="34" s="1"/>
  <c r="J53" i="34" s="1"/>
  <c r="G77" i="34"/>
  <c r="I77" i="34" s="1"/>
  <c r="J77" i="34" s="1"/>
  <c r="G92" i="29"/>
  <c r="I92" i="29" s="1"/>
  <c r="J92" i="29" s="1"/>
  <c r="G68" i="29"/>
  <c r="I68" i="29" s="1"/>
  <c r="J68" i="29" s="1"/>
  <c r="G44" i="29"/>
  <c r="I44" i="29" s="1"/>
  <c r="J44" i="29" s="1"/>
  <c r="G20" i="29"/>
  <c r="I20" i="29" s="1"/>
  <c r="J20" i="29" s="1"/>
  <c r="G56" i="30"/>
  <c r="I56" i="30" s="1"/>
  <c r="J56" i="30" s="1"/>
  <c r="G17" i="31"/>
  <c r="I17" i="31" s="1"/>
  <c r="J17" i="31" s="1"/>
  <c r="G41" i="31"/>
  <c r="I41" i="31" s="1"/>
  <c r="J41" i="31" s="1"/>
  <c r="G65" i="31"/>
  <c r="I65" i="31" s="1"/>
  <c r="J65" i="31" s="1"/>
  <c r="G89" i="31"/>
  <c r="I89" i="31" s="1"/>
  <c r="J89" i="31" s="1"/>
  <c r="G16" i="32"/>
  <c r="I16" i="32" s="1"/>
  <c r="J16" i="32" s="1"/>
  <c r="G8" i="33"/>
  <c r="I8" i="33" s="1"/>
  <c r="J8" i="33" s="1"/>
  <c r="G6" i="34"/>
  <c r="I6" i="34" s="1"/>
  <c r="J6" i="34" s="1"/>
  <c r="G22" i="35"/>
  <c r="I22" i="35" s="1"/>
  <c r="J22" i="35" s="1"/>
  <c r="G41" i="32"/>
  <c r="I41" i="32" s="1"/>
  <c r="J41" i="32" s="1"/>
  <c r="G89" i="32"/>
  <c r="I89" i="32" s="1"/>
  <c r="J89" i="32" s="1"/>
  <c r="G9" i="33"/>
  <c r="I9" i="33" s="1"/>
  <c r="J9" i="33" s="1"/>
  <c r="G31" i="34"/>
  <c r="I31" i="34" s="1"/>
  <c r="J31" i="34" s="1"/>
  <c r="G95" i="35"/>
  <c r="I95" i="35" s="1"/>
  <c r="J95" i="35" s="1"/>
  <c r="G42" i="31"/>
  <c r="I42" i="31" s="1"/>
  <c r="J42" i="31" s="1"/>
  <c r="G42" i="29"/>
  <c r="I42" i="29" s="1"/>
  <c r="J42" i="29" s="1"/>
  <c r="G10" i="30"/>
  <c r="I10" i="30" s="1"/>
  <c r="J10" i="30" s="1"/>
  <c r="G34" i="30"/>
  <c r="I34" i="30" s="1"/>
  <c r="J34" i="30" s="1"/>
  <c r="G19" i="31"/>
  <c r="I19" i="31" s="1"/>
  <c r="J19" i="31" s="1"/>
  <c r="G43" i="31"/>
  <c r="I43" i="31" s="1"/>
  <c r="J43" i="31" s="1"/>
  <c r="G67" i="31"/>
  <c r="I67" i="31" s="1"/>
  <c r="J67" i="31" s="1"/>
  <c r="G18" i="32"/>
  <c r="I18" i="32" s="1"/>
  <c r="J18" i="32" s="1"/>
  <c r="G58" i="33"/>
  <c r="I58" i="33" s="1"/>
  <c r="J58" i="33" s="1"/>
  <c r="G82" i="33"/>
  <c r="I82" i="33" s="1"/>
  <c r="J82" i="33" s="1"/>
  <c r="G80" i="34"/>
  <c r="I80" i="34" s="1"/>
  <c r="J80" i="34" s="1"/>
  <c r="T24" i="2"/>
  <c r="AE24" i="2" s="1"/>
  <c r="G41" i="29"/>
  <c r="I41" i="29" s="1"/>
  <c r="J41" i="29" s="1"/>
  <c r="G17" i="29"/>
  <c r="I17" i="29" s="1"/>
  <c r="J17" i="29" s="1"/>
  <c r="G59" i="30"/>
  <c r="I59" i="30" s="1"/>
  <c r="J59" i="30" s="1"/>
  <c r="G92" i="31"/>
  <c r="I92" i="31" s="1"/>
  <c r="J92" i="31" s="1"/>
  <c r="G19" i="32"/>
  <c r="I19" i="32" s="1"/>
  <c r="J19" i="32" s="1"/>
  <c r="G43" i="32"/>
  <c r="I43" i="32" s="1"/>
  <c r="J43" i="32" s="1"/>
  <c r="G91" i="32"/>
  <c r="I91" i="32" s="1"/>
  <c r="J91" i="32" s="1"/>
  <c r="G11" i="33"/>
  <c r="I11" i="33" s="1"/>
  <c r="J11" i="33" s="1"/>
  <c r="G59" i="33"/>
  <c r="I59" i="33" s="1"/>
  <c r="J59" i="33" s="1"/>
  <c r="G9" i="34"/>
  <c r="I9" i="34" s="1"/>
  <c r="J9" i="34" s="1"/>
  <c r="G81" i="34"/>
  <c r="I81" i="34" s="1"/>
  <c r="J81" i="34" s="1"/>
  <c r="G73" i="35"/>
  <c r="I73" i="35" s="1"/>
  <c r="J73" i="35" s="1"/>
  <c r="T23" i="2"/>
  <c r="AE23" i="2" s="1"/>
  <c r="G88" i="29"/>
  <c r="I88" i="29" s="1"/>
  <c r="J88" i="29" s="1"/>
  <c r="G40" i="29"/>
  <c r="I40" i="29" s="1"/>
  <c r="J40" i="29" s="1"/>
  <c r="G16" i="29"/>
  <c r="I16" i="29" s="1"/>
  <c r="J16" i="29" s="1"/>
  <c r="G84" i="30"/>
  <c r="I84" i="30" s="1"/>
  <c r="J84" i="30" s="1"/>
  <c r="G68" i="32"/>
  <c r="I68" i="32" s="1"/>
  <c r="J68" i="32" s="1"/>
  <c r="G58" i="34"/>
  <c r="I58" i="34" s="1"/>
  <c r="J58" i="34" s="1"/>
  <c r="G15" i="29"/>
  <c r="I15" i="29" s="1"/>
  <c r="J15" i="29" s="1"/>
  <c r="G21" i="32"/>
  <c r="I21" i="32" s="1"/>
  <c r="J21" i="32" s="1"/>
  <c r="G13" i="33"/>
  <c r="I13" i="33" s="1"/>
  <c r="J13" i="33" s="1"/>
  <c r="G37" i="33"/>
  <c r="I37" i="33" s="1"/>
  <c r="J37" i="33" s="1"/>
  <c r="G61" i="33"/>
  <c r="I61" i="33" s="1"/>
  <c r="J61" i="33" s="1"/>
  <c r="T21" i="2"/>
  <c r="AE21" i="2" s="1"/>
  <c r="G46" i="32"/>
  <c r="I46" i="32" s="1"/>
  <c r="J46" i="32" s="1"/>
  <c r="G70" i="32"/>
  <c r="I70" i="32" s="1"/>
  <c r="J70" i="32" s="1"/>
  <c r="G14" i="33"/>
  <c r="I14" i="33" s="1"/>
  <c r="J14" i="33" s="1"/>
  <c r="G38" i="33"/>
  <c r="I38" i="33" s="1"/>
  <c r="J38" i="33" s="1"/>
  <c r="G62" i="33"/>
  <c r="I62" i="33" s="1"/>
  <c r="J62" i="33" s="1"/>
  <c r="T20" i="2"/>
  <c r="AE20" i="2" s="1"/>
  <c r="G13" i="29"/>
  <c r="I13" i="29" s="1"/>
  <c r="J13" i="29" s="1"/>
  <c r="G47" i="32"/>
  <c r="I47" i="32" s="1"/>
  <c r="J47" i="32" s="1"/>
  <c r="G73" i="31"/>
  <c r="I73" i="31" s="1"/>
  <c r="J73" i="31" s="1"/>
  <c r="G24" i="32"/>
  <c r="I24" i="32" s="1"/>
  <c r="J24" i="32" s="1"/>
  <c r="G40" i="33"/>
  <c r="I40" i="33" s="1"/>
  <c r="J40" i="33" s="1"/>
  <c r="G6" i="35"/>
  <c r="I6" i="35" s="1"/>
  <c r="J6" i="35" s="1"/>
  <c r="G35" i="29"/>
  <c r="I35" i="29" s="1"/>
  <c r="J35" i="29" s="1"/>
  <c r="G17" i="30"/>
  <c r="I17" i="30" s="1"/>
  <c r="J17" i="30" s="1"/>
  <c r="G65" i="30"/>
  <c r="I65" i="30" s="1"/>
  <c r="J65" i="30" s="1"/>
  <c r="G2" i="31"/>
  <c r="I2" i="31" s="1"/>
  <c r="G17" i="33"/>
  <c r="I17" i="33" s="1"/>
  <c r="J17" i="33" s="1"/>
  <c r="G10" i="29"/>
  <c r="I10" i="29" s="1"/>
  <c r="J10" i="29" s="1"/>
  <c r="G18" i="30"/>
  <c r="I18" i="30" s="1"/>
  <c r="J18" i="30" s="1"/>
  <c r="G42" i="30"/>
  <c r="I42" i="30" s="1"/>
  <c r="J42" i="30" s="1"/>
  <c r="G75" i="31"/>
  <c r="I75" i="31" s="1"/>
  <c r="J75" i="31" s="1"/>
  <c r="R24" i="2"/>
  <c r="Q24" i="2"/>
  <c r="H24" i="2"/>
  <c r="F24" i="2"/>
  <c r="E24" i="2"/>
  <c r="D24" i="2"/>
  <c r="C24" i="2"/>
  <c r="B24" i="2"/>
  <c r="O24" i="2"/>
  <c r="N24" i="2"/>
  <c r="M24" i="2"/>
  <c r="L24" i="2"/>
  <c r="X24" i="2"/>
  <c r="R23" i="2"/>
  <c r="Q23" i="2"/>
  <c r="H23" i="2"/>
  <c r="F23" i="2"/>
  <c r="E23" i="2"/>
  <c r="D23" i="2"/>
  <c r="C23" i="2"/>
  <c r="B23" i="2"/>
  <c r="O23" i="2"/>
  <c r="N23" i="2"/>
  <c r="M23" i="2"/>
  <c r="L23" i="2"/>
  <c r="X23" i="2"/>
  <c r="R22" i="2"/>
  <c r="Q22" i="2"/>
  <c r="H22" i="2"/>
  <c r="F22" i="2"/>
  <c r="E22" i="2"/>
  <c r="D22" i="2"/>
  <c r="C22" i="2"/>
  <c r="B22" i="2"/>
  <c r="O22" i="2"/>
  <c r="N22" i="2"/>
  <c r="M22" i="2"/>
  <c r="L22" i="2"/>
  <c r="X22" i="2"/>
  <c r="R21" i="2"/>
  <c r="Q21" i="2"/>
  <c r="H21" i="2"/>
  <c r="F21" i="2"/>
  <c r="E21" i="2"/>
  <c r="D21" i="2"/>
  <c r="C21" i="2"/>
  <c r="B21" i="2"/>
  <c r="O21" i="2"/>
  <c r="N21" i="2"/>
  <c r="M21" i="2"/>
  <c r="L21" i="2"/>
  <c r="X21" i="2"/>
  <c r="R20" i="2"/>
  <c r="Q20" i="2"/>
  <c r="H20" i="2"/>
  <c r="F20" i="2"/>
  <c r="E20" i="2"/>
  <c r="D20" i="2"/>
  <c r="C20" i="2"/>
  <c r="B20" i="2"/>
  <c r="O20" i="2"/>
  <c r="N20" i="2"/>
  <c r="M20" i="2"/>
  <c r="L20" i="2"/>
  <c r="X20" i="2"/>
  <c r="R19" i="2"/>
  <c r="Q19" i="2"/>
  <c r="H19" i="2"/>
  <c r="F19" i="2"/>
  <c r="E19" i="2"/>
  <c r="D19" i="2"/>
  <c r="C19" i="2"/>
  <c r="B19" i="2"/>
  <c r="O19" i="2"/>
  <c r="N19" i="2"/>
  <c r="M19" i="2"/>
  <c r="L19" i="2"/>
  <c r="X19" i="2"/>
  <c r="R91" i="2"/>
  <c r="Q91" i="2"/>
  <c r="H91" i="2"/>
  <c r="F91" i="2"/>
  <c r="E91" i="2"/>
  <c r="D91" i="2"/>
  <c r="C91" i="2"/>
  <c r="B91" i="2"/>
  <c r="O91" i="2"/>
  <c r="N91" i="2"/>
  <c r="M91" i="2"/>
  <c r="L91" i="2"/>
  <c r="X91" i="2"/>
  <c r="R90" i="2"/>
  <c r="Q90" i="2"/>
  <c r="R89" i="2"/>
  <c r="Q89" i="2"/>
  <c r="H89" i="2"/>
  <c r="F89" i="2"/>
  <c r="E89" i="2"/>
  <c r="D89" i="2"/>
  <c r="C89" i="2"/>
  <c r="B89" i="2"/>
  <c r="H90" i="2"/>
  <c r="F90" i="2"/>
  <c r="E90" i="2"/>
  <c r="D90" i="2"/>
  <c r="C90" i="2"/>
  <c r="B90" i="2"/>
  <c r="O90" i="2"/>
  <c r="N90" i="2"/>
  <c r="M90" i="2"/>
  <c r="L90" i="2"/>
  <c r="X90" i="2"/>
  <c r="O89" i="2"/>
  <c r="N89" i="2"/>
  <c r="M89" i="2"/>
  <c r="L89" i="2"/>
  <c r="X89" i="2"/>
  <c r="R88" i="2"/>
  <c r="Q88" i="2"/>
  <c r="H88" i="2"/>
  <c r="F88" i="2"/>
  <c r="E88" i="2"/>
  <c r="D88" i="2"/>
  <c r="C88" i="2"/>
  <c r="B88" i="2"/>
  <c r="O88" i="2"/>
  <c r="N88" i="2"/>
  <c r="M88" i="2"/>
  <c r="L88" i="2"/>
  <c r="X88" i="2"/>
  <c r="R86" i="2"/>
  <c r="Q86" i="2"/>
  <c r="H86" i="2"/>
  <c r="F86" i="2"/>
  <c r="E86" i="2"/>
  <c r="D86" i="2"/>
  <c r="C86" i="2"/>
  <c r="B87" i="2"/>
  <c r="B86" i="2"/>
  <c r="O86" i="2"/>
  <c r="N86" i="2"/>
  <c r="M86" i="2"/>
  <c r="L86" i="2"/>
  <c r="X86" i="2"/>
  <c r="H87" i="2"/>
  <c r="F87" i="2"/>
  <c r="E87" i="2"/>
  <c r="D87" i="2"/>
  <c r="C87" i="2"/>
  <c r="R87" i="2"/>
  <c r="Q87" i="2"/>
  <c r="O87" i="2"/>
  <c r="N87" i="2"/>
  <c r="M87" i="2"/>
  <c r="L87" i="2"/>
  <c r="X87" i="2"/>
  <c r="B16" i="2"/>
  <c r="B14" i="2"/>
  <c r="B15" i="2"/>
  <c r="H16" i="2"/>
  <c r="H14" i="2"/>
  <c r="H15" i="2"/>
  <c r="F16" i="2"/>
  <c r="F14" i="2"/>
  <c r="F15" i="2"/>
  <c r="E16" i="2"/>
  <c r="E14" i="2"/>
  <c r="E15" i="2"/>
  <c r="D16" i="2"/>
  <c r="D14" i="2"/>
  <c r="D15" i="2"/>
  <c r="C16" i="2"/>
  <c r="C14" i="2"/>
  <c r="C15" i="2"/>
  <c r="R16" i="2"/>
  <c r="R14" i="2"/>
  <c r="R15" i="2"/>
  <c r="Q16" i="2"/>
  <c r="Q14" i="2"/>
  <c r="Q15" i="2"/>
  <c r="O16" i="2"/>
  <c r="N16" i="2"/>
  <c r="M16" i="2"/>
  <c r="L16" i="2"/>
  <c r="X16" i="2"/>
  <c r="O14" i="2"/>
  <c r="N14" i="2"/>
  <c r="M14" i="2"/>
  <c r="L14" i="2"/>
  <c r="X14" i="2"/>
  <c r="O15" i="2"/>
  <c r="N15" i="2"/>
  <c r="M15" i="2"/>
  <c r="L15" i="2"/>
  <c r="X15" i="2"/>
  <c r="B4" i="2"/>
  <c r="B7" i="2"/>
  <c r="B9" i="2"/>
  <c r="B5" i="2"/>
  <c r="B6" i="2"/>
  <c r="B3" i="2"/>
  <c r="B8" i="2"/>
  <c r="B10" i="2"/>
  <c r="B11" i="2"/>
  <c r="H4" i="2"/>
  <c r="H7" i="2"/>
  <c r="H9" i="2"/>
  <c r="H5" i="2"/>
  <c r="H6" i="2"/>
  <c r="H3" i="2"/>
  <c r="H8" i="2"/>
  <c r="H10" i="2"/>
  <c r="H11" i="2"/>
  <c r="F4" i="2"/>
  <c r="F7" i="2"/>
  <c r="F9" i="2"/>
  <c r="F5" i="2"/>
  <c r="F6" i="2"/>
  <c r="F3" i="2"/>
  <c r="F8" i="2"/>
  <c r="F10" i="2"/>
  <c r="F11" i="2"/>
  <c r="E4" i="2"/>
  <c r="E7" i="2"/>
  <c r="E9" i="2"/>
  <c r="E5" i="2"/>
  <c r="E6" i="2"/>
  <c r="E3" i="2"/>
  <c r="E8" i="2"/>
  <c r="E10" i="2"/>
  <c r="E11" i="2"/>
  <c r="D4" i="2"/>
  <c r="D7" i="2"/>
  <c r="D9" i="2"/>
  <c r="D5" i="2"/>
  <c r="D6" i="2"/>
  <c r="D3" i="2"/>
  <c r="D8" i="2"/>
  <c r="D10" i="2"/>
  <c r="D11" i="2"/>
  <c r="C4" i="2"/>
  <c r="C7" i="2"/>
  <c r="C9" i="2"/>
  <c r="C5" i="2"/>
  <c r="C6" i="2"/>
  <c r="C3" i="2"/>
  <c r="C8" i="2"/>
  <c r="C10" i="2"/>
  <c r="C11" i="2"/>
  <c r="R4" i="2"/>
  <c r="R7" i="2"/>
  <c r="R9" i="2"/>
  <c r="R5" i="2"/>
  <c r="R6" i="2"/>
  <c r="R3" i="2"/>
  <c r="R8" i="2"/>
  <c r="R10" i="2"/>
  <c r="R11" i="2"/>
  <c r="Q4" i="2"/>
  <c r="Q7" i="2"/>
  <c r="Q9" i="2"/>
  <c r="Q5" i="2"/>
  <c r="Q6" i="2"/>
  <c r="Q3" i="2"/>
  <c r="Q8" i="2"/>
  <c r="Q10" i="2"/>
  <c r="Q11" i="2"/>
  <c r="O4" i="2"/>
  <c r="N4" i="2"/>
  <c r="M4" i="2"/>
  <c r="L4" i="2"/>
  <c r="X4" i="2"/>
  <c r="O7" i="2"/>
  <c r="N7" i="2"/>
  <c r="M7" i="2"/>
  <c r="L7" i="2"/>
  <c r="X7" i="2"/>
  <c r="O9" i="2"/>
  <c r="N9" i="2"/>
  <c r="M9" i="2"/>
  <c r="L9" i="2"/>
  <c r="X9" i="2"/>
  <c r="O5" i="2"/>
  <c r="N5" i="2"/>
  <c r="M5" i="2"/>
  <c r="L5" i="2"/>
  <c r="X5" i="2"/>
  <c r="J4" i="12"/>
  <c r="I4" i="12"/>
  <c r="L4" i="12"/>
  <c r="X8" i="2"/>
  <c r="X3" i="2"/>
  <c r="X6" i="2"/>
  <c r="X10" i="2"/>
  <c r="X11" i="2"/>
  <c r="O11" i="2"/>
  <c r="N11" i="2"/>
  <c r="M11" i="2"/>
  <c r="L11" i="2"/>
  <c r="V41" i="2" l="1"/>
  <c r="W41" i="2" s="1"/>
  <c r="W59" i="2"/>
  <c r="AE77" i="2"/>
  <c r="V77" i="2"/>
  <c r="W77" i="2" s="1"/>
  <c r="AE75" i="2"/>
  <c r="V75" i="2"/>
  <c r="W75" i="2" s="1"/>
  <c r="AE79" i="2"/>
  <c r="V79" i="2"/>
  <c r="W79" i="2" s="1"/>
  <c r="AE80" i="2"/>
  <c r="V80" i="2"/>
  <c r="W80" i="2" s="1"/>
  <c r="AE81" i="2"/>
  <c r="V81" i="2"/>
  <c r="AE72" i="2"/>
  <c r="V72" i="2"/>
  <c r="AE96" i="2"/>
  <c r="V96" i="2"/>
  <c r="W96" i="2" s="1"/>
  <c r="AE95" i="2"/>
  <c r="V95" i="2"/>
  <c r="G20" i="12"/>
  <c r="AE69" i="2"/>
  <c r="V69" i="2"/>
  <c r="W69" i="2" s="1"/>
  <c r="V68" i="2"/>
  <c r="AE68" i="2"/>
  <c r="AE50" i="2"/>
  <c r="AE44" i="2"/>
  <c r="AE55" i="2"/>
  <c r="V55" i="2"/>
  <c r="AE64" i="2"/>
  <c r="V64" i="2"/>
  <c r="W64" i="2" s="1"/>
  <c r="AE63" i="2"/>
  <c r="V63" i="2"/>
  <c r="W63" i="2" s="1"/>
  <c r="AE65" i="2"/>
  <c r="V65" i="2"/>
  <c r="W65" i="2" s="1"/>
  <c r="AE62" i="2"/>
  <c r="V62" i="2"/>
  <c r="W62" i="2" s="1"/>
  <c r="AE58" i="2"/>
  <c r="V58" i="2"/>
  <c r="W58" i="2" s="1"/>
  <c r="AE60" i="2"/>
  <c r="V60" i="2"/>
  <c r="W60" i="2" s="1"/>
  <c r="AE57" i="2"/>
  <c r="V57" i="2"/>
  <c r="W57" i="2" s="1"/>
  <c r="J97" i="39"/>
  <c r="K97" i="39" s="1"/>
  <c r="L97" i="39"/>
  <c r="M97" i="39" s="1"/>
  <c r="J98" i="39"/>
  <c r="K98" i="39" s="1"/>
  <c r="L98" i="39"/>
  <c r="M98" i="39" s="1"/>
  <c r="J37" i="39"/>
  <c r="K37" i="39" s="1"/>
  <c r="L37" i="39"/>
  <c r="M37" i="39" s="1"/>
  <c r="J4" i="39"/>
  <c r="K4" i="39" s="1"/>
  <c r="L4" i="39"/>
  <c r="M4" i="39" s="1"/>
  <c r="J82" i="39"/>
  <c r="K82" i="39" s="1"/>
  <c r="L82" i="39"/>
  <c r="M82" i="39" s="1"/>
  <c r="J93" i="39"/>
  <c r="K93" i="39" s="1"/>
  <c r="L93" i="39"/>
  <c r="M93" i="39" s="1"/>
  <c r="J94" i="39"/>
  <c r="K94" i="39" s="1"/>
  <c r="L94" i="39"/>
  <c r="M94" i="39" s="1"/>
  <c r="J77" i="39"/>
  <c r="K77" i="39" s="1"/>
  <c r="L77" i="39"/>
  <c r="M77" i="39" s="1"/>
  <c r="J8" i="39"/>
  <c r="K8" i="39" s="1"/>
  <c r="L8" i="39"/>
  <c r="M8" i="39" s="1"/>
  <c r="J6" i="39"/>
  <c r="K6" i="39" s="1"/>
  <c r="L6" i="39"/>
  <c r="M6" i="39" s="1"/>
  <c r="J58" i="39"/>
  <c r="K58" i="39" s="1"/>
  <c r="L58" i="39"/>
  <c r="M58" i="39" s="1"/>
  <c r="J57" i="39"/>
  <c r="K57" i="39" s="1"/>
  <c r="L57" i="39"/>
  <c r="M57" i="39" s="1"/>
  <c r="J39" i="39"/>
  <c r="K39" i="39" s="1"/>
  <c r="L39" i="39"/>
  <c r="M39" i="39" s="1"/>
  <c r="J71" i="39"/>
  <c r="K71" i="39" s="1"/>
  <c r="L71" i="39"/>
  <c r="M71" i="39" s="1"/>
  <c r="J88" i="39"/>
  <c r="K88" i="39" s="1"/>
  <c r="L88" i="39"/>
  <c r="M88" i="39" s="1"/>
  <c r="J79" i="39"/>
  <c r="K79" i="39" s="1"/>
  <c r="L79" i="39"/>
  <c r="M79" i="39" s="1"/>
  <c r="J65" i="39"/>
  <c r="K65" i="39" s="1"/>
  <c r="L65" i="39"/>
  <c r="M65" i="39" s="1"/>
  <c r="J50" i="39"/>
  <c r="K50" i="39" s="1"/>
  <c r="L50" i="39"/>
  <c r="M50" i="39" s="1"/>
  <c r="J9" i="39"/>
  <c r="K9" i="39" s="1"/>
  <c r="L9" i="39"/>
  <c r="M9" i="39" s="1"/>
  <c r="J36" i="39"/>
  <c r="K36" i="39" s="1"/>
  <c r="L36" i="39"/>
  <c r="M36" i="39" s="1"/>
  <c r="J74" i="39"/>
  <c r="K74" i="39" s="1"/>
  <c r="L74" i="39"/>
  <c r="M74" i="39" s="1"/>
  <c r="J60" i="39"/>
  <c r="K60" i="39" s="1"/>
  <c r="L60" i="39"/>
  <c r="M60" i="39" s="1"/>
  <c r="J69" i="39"/>
  <c r="K69" i="39" s="1"/>
  <c r="L69" i="39"/>
  <c r="M69" i="39" s="1"/>
  <c r="J40" i="39"/>
  <c r="K40" i="39" s="1"/>
  <c r="L40" i="39"/>
  <c r="M40" i="39" s="1"/>
  <c r="J17" i="39"/>
  <c r="K17" i="39" s="1"/>
  <c r="L17" i="39"/>
  <c r="M17" i="39" s="1"/>
  <c r="J47" i="39"/>
  <c r="K47" i="39" s="1"/>
  <c r="L47" i="39"/>
  <c r="M47" i="39" s="1"/>
  <c r="J43" i="39"/>
  <c r="K43" i="39" s="1"/>
  <c r="L43" i="39"/>
  <c r="M43" i="39" s="1"/>
  <c r="J12" i="39"/>
  <c r="K12" i="39" s="1"/>
  <c r="L12" i="39"/>
  <c r="M12" i="39" s="1"/>
  <c r="J61" i="39"/>
  <c r="K61" i="39" s="1"/>
  <c r="L61" i="39"/>
  <c r="M61" i="39" s="1"/>
  <c r="J100" i="39"/>
  <c r="K100" i="39" s="1"/>
  <c r="L100" i="39"/>
  <c r="M100" i="39" s="1"/>
  <c r="J54" i="39"/>
  <c r="K54" i="39" s="1"/>
  <c r="L54" i="39"/>
  <c r="M54" i="39" s="1"/>
  <c r="J53" i="39"/>
  <c r="K53" i="39" s="1"/>
  <c r="L53" i="39"/>
  <c r="M53" i="39" s="1"/>
  <c r="J20" i="39"/>
  <c r="K20" i="39" s="1"/>
  <c r="L20" i="39"/>
  <c r="M20" i="39" s="1"/>
  <c r="J78" i="39"/>
  <c r="K78" i="39" s="1"/>
  <c r="L78" i="39"/>
  <c r="M78" i="39" s="1"/>
  <c r="J32" i="39"/>
  <c r="K32" i="39" s="1"/>
  <c r="L32" i="39"/>
  <c r="M32" i="39" s="1"/>
  <c r="J92" i="39"/>
  <c r="K92" i="39" s="1"/>
  <c r="L92" i="39"/>
  <c r="M92" i="39" s="1"/>
  <c r="J64" i="39"/>
  <c r="K64" i="39" s="1"/>
  <c r="L64" i="39"/>
  <c r="M64" i="39" s="1"/>
  <c r="J41" i="39"/>
  <c r="K41" i="39" s="1"/>
  <c r="L41" i="39"/>
  <c r="M41" i="39" s="1"/>
  <c r="J83" i="39"/>
  <c r="K83" i="39" s="1"/>
  <c r="L83" i="39"/>
  <c r="M83" i="39" s="1"/>
  <c r="J21" i="39"/>
  <c r="K21" i="39" s="1"/>
  <c r="L21" i="39"/>
  <c r="M21" i="39" s="1"/>
  <c r="J38" i="39"/>
  <c r="K38" i="39" s="1"/>
  <c r="L38" i="39"/>
  <c r="M38" i="39" s="1"/>
  <c r="J63" i="39"/>
  <c r="K63" i="39" s="1"/>
  <c r="L63" i="39"/>
  <c r="M63" i="39" s="1"/>
  <c r="J13" i="39"/>
  <c r="K13" i="39" s="1"/>
  <c r="L13" i="39"/>
  <c r="M13" i="39" s="1"/>
  <c r="J75" i="39"/>
  <c r="K75" i="39" s="1"/>
  <c r="L75" i="39"/>
  <c r="M75" i="39" s="1"/>
  <c r="J67" i="39"/>
  <c r="K67" i="39" s="1"/>
  <c r="L67" i="39"/>
  <c r="M67" i="39" s="1"/>
  <c r="J96" i="39"/>
  <c r="K96" i="39" s="1"/>
  <c r="L96" i="39"/>
  <c r="M96" i="39" s="1"/>
  <c r="J51" i="39"/>
  <c r="K51" i="39" s="1"/>
  <c r="L51" i="39"/>
  <c r="M51" i="39" s="1"/>
  <c r="J55" i="39"/>
  <c r="K55" i="39" s="1"/>
  <c r="L55" i="39"/>
  <c r="M55" i="39" s="1"/>
  <c r="J31" i="39"/>
  <c r="K31" i="39" s="1"/>
  <c r="L31" i="39"/>
  <c r="M31" i="39" s="1"/>
  <c r="J7" i="39"/>
  <c r="K7" i="39" s="1"/>
  <c r="L7" i="39"/>
  <c r="M7" i="39" s="1"/>
  <c r="J81" i="39"/>
  <c r="K81" i="39" s="1"/>
  <c r="L81" i="39"/>
  <c r="M81" i="39" s="1"/>
  <c r="J85" i="39"/>
  <c r="K85" i="39" s="1"/>
  <c r="L85" i="39"/>
  <c r="M85" i="39" s="1"/>
  <c r="J80" i="39"/>
  <c r="K80" i="39" s="1"/>
  <c r="L80" i="39"/>
  <c r="M80" i="39" s="1"/>
  <c r="J23" i="39"/>
  <c r="K23" i="39" s="1"/>
  <c r="L23" i="39"/>
  <c r="M23" i="39" s="1"/>
  <c r="J18" i="39"/>
  <c r="K18" i="39" s="1"/>
  <c r="L18" i="39"/>
  <c r="M18" i="39" s="1"/>
  <c r="J44" i="39"/>
  <c r="K44" i="39" s="1"/>
  <c r="L44" i="39"/>
  <c r="M44" i="39" s="1"/>
  <c r="J3" i="39"/>
  <c r="K3" i="39" s="1"/>
  <c r="L3" i="39"/>
  <c r="M3" i="39" s="1"/>
  <c r="J76" i="39"/>
  <c r="K76" i="39" s="1"/>
  <c r="L76" i="39"/>
  <c r="M76" i="39" s="1"/>
  <c r="J72" i="39"/>
  <c r="K72" i="39" s="1"/>
  <c r="L72" i="39"/>
  <c r="M72" i="39" s="1"/>
  <c r="J42" i="39"/>
  <c r="K42" i="39" s="1"/>
  <c r="L42" i="39"/>
  <c r="M42" i="39" s="1"/>
  <c r="J28" i="39"/>
  <c r="K28" i="39" s="1"/>
  <c r="L28" i="39"/>
  <c r="M28" i="39" s="1"/>
  <c r="J27" i="39"/>
  <c r="K27" i="39" s="1"/>
  <c r="L27" i="39"/>
  <c r="M27" i="39" s="1"/>
  <c r="J86" i="39"/>
  <c r="K86" i="39" s="1"/>
  <c r="L86" i="39"/>
  <c r="M86" i="39" s="1"/>
  <c r="J59" i="39"/>
  <c r="K59" i="39" s="1"/>
  <c r="L59" i="39"/>
  <c r="M59" i="39" s="1"/>
  <c r="J84" i="39"/>
  <c r="K84" i="39" s="1"/>
  <c r="L84" i="39"/>
  <c r="M84" i="39" s="1"/>
  <c r="J24" i="39"/>
  <c r="K24" i="39" s="1"/>
  <c r="L24" i="39"/>
  <c r="M24" i="39" s="1"/>
  <c r="J34" i="39"/>
  <c r="K34" i="39" s="1"/>
  <c r="L34" i="39"/>
  <c r="M34" i="39" s="1"/>
  <c r="J14" i="39"/>
  <c r="K14" i="39" s="1"/>
  <c r="L14" i="39"/>
  <c r="M14" i="39" s="1"/>
  <c r="J22" i="39"/>
  <c r="K22" i="39" s="1"/>
  <c r="L22" i="39"/>
  <c r="M22" i="39" s="1"/>
  <c r="J11" i="39"/>
  <c r="K11" i="39" s="1"/>
  <c r="L11" i="39"/>
  <c r="M11" i="39" s="1"/>
  <c r="J49" i="39"/>
  <c r="K49" i="39" s="1"/>
  <c r="L49" i="39"/>
  <c r="M49" i="39" s="1"/>
  <c r="J26" i="39"/>
  <c r="K26" i="39" s="1"/>
  <c r="L26" i="39"/>
  <c r="M26" i="39" s="1"/>
  <c r="J5" i="39"/>
  <c r="K5" i="39" s="1"/>
  <c r="L5" i="39"/>
  <c r="M5" i="39" s="1"/>
  <c r="J33" i="39"/>
  <c r="K33" i="39" s="1"/>
  <c r="L33" i="39"/>
  <c r="M33" i="39" s="1"/>
  <c r="J95" i="39"/>
  <c r="K95" i="39" s="1"/>
  <c r="L95" i="39"/>
  <c r="M95" i="39" s="1"/>
  <c r="J16" i="39"/>
  <c r="K16" i="39" s="1"/>
  <c r="L16" i="39"/>
  <c r="M16" i="39" s="1"/>
  <c r="J89" i="39"/>
  <c r="K89" i="39" s="1"/>
  <c r="L89" i="39"/>
  <c r="M89" i="39" s="1"/>
  <c r="J45" i="39"/>
  <c r="K45" i="39" s="1"/>
  <c r="L45" i="39"/>
  <c r="M45" i="39" s="1"/>
  <c r="J25" i="39"/>
  <c r="K25" i="39" s="1"/>
  <c r="L25" i="39"/>
  <c r="M25" i="39" s="1"/>
  <c r="J56" i="39"/>
  <c r="K56" i="39" s="1"/>
  <c r="L56" i="39"/>
  <c r="M56" i="39" s="1"/>
  <c r="J66" i="39"/>
  <c r="K66" i="39" s="1"/>
  <c r="L66" i="39"/>
  <c r="M66" i="39" s="1"/>
  <c r="J90" i="39"/>
  <c r="K90" i="39" s="1"/>
  <c r="L90" i="39"/>
  <c r="M90" i="39" s="1"/>
  <c r="J70" i="39"/>
  <c r="K70" i="39" s="1"/>
  <c r="L70" i="39"/>
  <c r="M70" i="39" s="1"/>
  <c r="J35" i="39"/>
  <c r="K35" i="39" s="1"/>
  <c r="L35" i="39"/>
  <c r="M35" i="39" s="1"/>
  <c r="J10" i="39"/>
  <c r="K10" i="39" s="1"/>
  <c r="L10" i="39"/>
  <c r="M10" i="39" s="1"/>
  <c r="J68" i="39"/>
  <c r="K68" i="39" s="1"/>
  <c r="L68" i="39"/>
  <c r="M68" i="39" s="1"/>
  <c r="J91" i="39"/>
  <c r="K91" i="39" s="1"/>
  <c r="L91" i="39"/>
  <c r="M91" i="39" s="1"/>
  <c r="J62" i="39"/>
  <c r="K62" i="39" s="1"/>
  <c r="L62" i="39"/>
  <c r="M62" i="39" s="1"/>
  <c r="J99" i="39"/>
  <c r="K99" i="39" s="1"/>
  <c r="L99" i="39"/>
  <c r="M99" i="39" s="1"/>
  <c r="J30" i="39"/>
  <c r="K30" i="39" s="1"/>
  <c r="L30" i="39"/>
  <c r="M30" i="39" s="1"/>
  <c r="J101" i="39"/>
  <c r="K101" i="39" s="1"/>
  <c r="L101" i="39"/>
  <c r="M101" i="39" s="1"/>
  <c r="J87" i="39"/>
  <c r="K87" i="39" s="1"/>
  <c r="L87" i="39"/>
  <c r="M87" i="39" s="1"/>
  <c r="J48" i="39"/>
  <c r="K48" i="39" s="1"/>
  <c r="L48" i="39"/>
  <c r="M48" i="39" s="1"/>
  <c r="J19" i="39"/>
  <c r="K19" i="39" s="1"/>
  <c r="L19" i="39"/>
  <c r="M19" i="39" s="1"/>
  <c r="J52" i="39"/>
  <c r="K52" i="39" s="1"/>
  <c r="L52" i="39"/>
  <c r="M52" i="39" s="1"/>
  <c r="J73" i="39"/>
  <c r="K73" i="39" s="1"/>
  <c r="L73" i="39"/>
  <c r="M73" i="39" s="1"/>
  <c r="J29" i="39"/>
  <c r="K29" i="39" s="1"/>
  <c r="L29" i="39"/>
  <c r="M29" i="39" s="1"/>
  <c r="J15" i="39"/>
  <c r="K15" i="39" s="1"/>
  <c r="L15" i="39"/>
  <c r="M15" i="39" s="1"/>
  <c r="J46" i="39"/>
  <c r="K46" i="39" s="1"/>
  <c r="L46" i="39"/>
  <c r="M46" i="39" s="1"/>
  <c r="J2" i="39"/>
  <c r="K2" i="39" s="1"/>
  <c r="L2" i="39"/>
  <c r="M2" i="39" s="1"/>
  <c r="AE43" i="2"/>
  <c r="V43" i="2"/>
  <c r="W43" i="2" s="1"/>
  <c r="AE52" i="2"/>
  <c r="V52" i="2"/>
  <c r="W52" i="2" s="1"/>
  <c r="AE51" i="2"/>
  <c r="V51" i="2"/>
  <c r="W51" i="2" s="1"/>
  <c r="AE42" i="2"/>
  <c r="V42" i="2"/>
  <c r="W42" i="2" s="1"/>
  <c r="AE31" i="2"/>
  <c r="V31" i="2"/>
  <c r="W31" i="2" s="1"/>
  <c r="AE38" i="2"/>
  <c r="V38" i="2"/>
  <c r="W38" i="2" s="1"/>
  <c r="AE37" i="2"/>
  <c r="V37" i="2"/>
  <c r="W37" i="2" s="1"/>
  <c r="AE33" i="2"/>
  <c r="V33" i="2"/>
  <c r="W33" i="2" s="1"/>
  <c r="AE35" i="2"/>
  <c r="V35" i="2"/>
  <c r="W35" i="2" s="1"/>
  <c r="W30" i="2"/>
  <c r="G22" i="12"/>
  <c r="G21" i="12"/>
  <c r="V27" i="2"/>
  <c r="W27" i="2" s="1"/>
  <c r="V6" i="2"/>
  <c r="AE6" i="2"/>
  <c r="V5" i="2"/>
  <c r="W5" i="2" s="1"/>
  <c r="AE5" i="2"/>
  <c r="V9" i="2"/>
  <c r="W9" i="2" s="1"/>
  <c r="AE9" i="2"/>
  <c r="V10" i="2"/>
  <c r="AE10" i="2"/>
  <c r="V7" i="2"/>
  <c r="W7" i="2" s="1"/>
  <c r="AE7" i="2"/>
  <c r="V3" i="2"/>
  <c r="AE3" i="2"/>
  <c r="V8" i="2"/>
  <c r="AE8" i="2"/>
  <c r="D22" i="12"/>
  <c r="E22" i="12"/>
  <c r="E20" i="12"/>
  <c r="C22" i="12"/>
  <c r="E21" i="12"/>
  <c r="C20" i="12"/>
  <c r="D20" i="12"/>
  <c r="C21" i="12"/>
  <c r="D21" i="12"/>
  <c r="F15" i="12"/>
  <c r="F14" i="12"/>
  <c r="J2" i="37"/>
  <c r="D15" i="12" s="1"/>
  <c r="E15" i="12"/>
  <c r="J2" i="36"/>
  <c r="D14" i="12" s="1"/>
  <c r="E14" i="12"/>
  <c r="F11" i="12"/>
  <c r="F12" i="12"/>
  <c r="F8" i="12"/>
  <c r="F9" i="12"/>
  <c r="F13" i="12"/>
  <c r="F10" i="12"/>
  <c r="F7" i="12"/>
  <c r="E13" i="12"/>
  <c r="J2" i="34"/>
  <c r="C12" i="12" s="1"/>
  <c r="E12" i="12"/>
  <c r="J2" i="33"/>
  <c r="D11" i="12" s="1"/>
  <c r="E11" i="12"/>
  <c r="E10" i="12"/>
  <c r="J2" i="31"/>
  <c r="D9" i="12" s="1"/>
  <c r="E9" i="12"/>
  <c r="J2" i="30"/>
  <c r="D8" i="12" s="1"/>
  <c r="E8" i="12"/>
  <c r="J2" i="29"/>
  <c r="C7" i="12" s="1"/>
  <c r="E7" i="12"/>
  <c r="D13" i="12"/>
  <c r="C13" i="12"/>
  <c r="D10" i="12"/>
  <c r="C10" i="12"/>
  <c r="V91" i="2"/>
  <c r="V11" i="2"/>
  <c r="V88" i="2"/>
  <c r="V23" i="2"/>
  <c r="W23" i="2" s="1"/>
  <c r="V89" i="2"/>
  <c r="W89" i="2" s="1"/>
  <c r="V20" i="2"/>
  <c r="V4" i="2"/>
  <c r="W4" i="2" s="1"/>
  <c r="V90" i="2"/>
  <c r="W90" i="2" s="1"/>
  <c r="V16" i="2"/>
  <c r="V15" i="2"/>
  <c r="W15" i="2" s="1"/>
  <c r="V86" i="2"/>
  <c r="V22" i="2"/>
  <c r="V87" i="2"/>
  <c r="W87" i="2" s="1"/>
  <c r="V19" i="2"/>
  <c r="W19" i="2" s="1"/>
  <c r="V14" i="2"/>
  <c r="V21" i="2"/>
  <c r="V24" i="2"/>
  <c r="W24" i="2" s="1"/>
  <c r="P9" i="2"/>
  <c r="P5" i="2"/>
  <c r="P4" i="2"/>
  <c r="P11" i="2"/>
  <c r="P7" i="2"/>
  <c r="P24" i="2"/>
  <c r="P23" i="2"/>
  <c r="P22" i="2"/>
  <c r="P21" i="2"/>
  <c r="P20" i="2"/>
  <c r="P19" i="2"/>
  <c r="P91" i="2"/>
  <c r="P88" i="2"/>
  <c r="P90" i="2"/>
  <c r="P89" i="2"/>
  <c r="P14" i="2"/>
  <c r="P15" i="2"/>
  <c r="P87" i="2"/>
  <c r="P86" i="2"/>
  <c r="P16" i="2"/>
  <c r="K4" i="12"/>
  <c r="B4" i="12" s="1"/>
  <c r="W83" i="2" l="1"/>
  <c r="W72" i="2"/>
  <c r="V83" i="2"/>
  <c r="W81" i="2"/>
  <c r="V70" i="2"/>
  <c r="W70" i="2"/>
  <c r="W68" i="2"/>
  <c r="W97" i="2"/>
  <c r="W95" i="2"/>
  <c r="V97" i="2"/>
  <c r="W66" i="2"/>
  <c r="V66" i="2"/>
  <c r="W55" i="2"/>
  <c r="V12" i="2"/>
  <c r="V92" i="2"/>
  <c r="V53" i="2"/>
  <c r="W53" i="2"/>
  <c r="W39" i="2"/>
  <c r="V39" i="2"/>
  <c r="G19" i="12"/>
  <c r="F20" i="12"/>
  <c r="F22" i="12"/>
  <c r="F21" i="12"/>
  <c r="E16" i="12"/>
  <c r="F16" i="12"/>
  <c r="E19" i="12"/>
  <c r="D19" i="12"/>
  <c r="C19" i="12"/>
  <c r="C15" i="12"/>
  <c r="C14" i="12"/>
  <c r="G14" i="12"/>
  <c r="G15" i="12"/>
  <c r="D16" i="12"/>
  <c r="C16" i="12"/>
  <c r="G9" i="12"/>
  <c r="G8" i="12"/>
  <c r="G11" i="12"/>
  <c r="G12" i="12"/>
  <c r="D12" i="12"/>
  <c r="G10" i="12"/>
  <c r="G7" i="12"/>
  <c r="G13" i="12"/>
  <c r="C9" i="12"/>
  <c r="C11" i="12"/>
  <c r="C8" i="12"/>
  <c r="D7" i="12"/>
  <c r="V25" i="2"/>
  <c r="W20" i="2"/>
  <c r="W25" i="2"/>
  <c r="W21" i="2"/>
  <c r="W22" i="2"/>
  <c r="W88" i="2"/>
  <c r="W92" i="2"/>
  <c r="W86" i="2"/>
  <c r="W91" i="2"/>
  <c r="V17" i="2"/>
  <c r="W14" i="2"/>
  <c r="W17" i="2"/>
  <c r="W16" i="2"/>
  <c r="W11" i="2"/>
  <c r="O10" i="2"/>
  <c r="N10" i="2"/>
  <c r="M10" i="2"/>
  <c r="L10" i="2"/>
  <c r="O8" i="2"/>
  <c r="N8" i="2"/>
  <c r="M8" i="2"/>
  <c r="L8" i="2"/>
  <c r="O3" i="2"/>
  <c r="N3" i="2"/>
  <c r="M3" i="2"/>
  <c r="L3" i="2"/>
  <c r="F19" i="12" l="1"/>
  <c r="G16" i="12"/>
  <c r="P10" i="2"/>
  <c r="P3" i="2"/>
  <c r="P8" i="2"/>
  <c r="W10" i="2"/>
  <c r="W8" i="2"/>
  <c r="W3" i="2"/>
  <c r="W12" i="2" l="1"/>
  <c r="W6" i="2"/>
  <c r="O6" i="2"/>
  <c r="N6" i="2"/>
  <c r="M6" i="2"/>
  <c r="L6" i="2"/>
  <c r="P6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<sst xmlns="http://schemas.openxmlformats.org/spreadsheetml/2006/main" count="19970" uniqueCount="5776">
  <si>
    <t>代碼</t>
  </si>
  <si>
    <t>商品</t>
  </si>
  <si>
    <t>成交</t>
  </si>
  <si>
    <t>股本</t>
  </si>
  <si>
    <t>營收年增率%</t>
  </si>
  <si>
    <t>營收期增率%</t>
  </si>
  <si>
    <t>稅後淨利成長率%</t>
  </si>
  <si>
    <t>產業</t>
  </si>
  <si>
    <t>融劵</t>
  </si>
  <si>
    <t>法人</t>
  </si>
  <si>
    <t>融資</t>
  </si>
  <si>
    <t>KD</t>
  </si>
  <si>
    <t>資本</t>
  </si>
  <si>
    <t>稅</t>
  </si>
  <si>
    <t>營</t>
  </si>
  <si>
    <t>期</t>
  </si>
  <si>
    <t>年</t>
  </si>
  <si>
    <t>營益率</t>
  </si>
  <si>
    <t>年線</t>
  </si>
  <si>
    <t>持股</t>
  </si>
  <si>
    <t>大戶</t>
  </si>
  <si>
    <t>籌碼</t>
  </si>
  <si>
    <t>股息券</t>
  </si>
  <si>
    <t>盈4</t>
  </si>
  <si>
    <t>現在價法</t>
  </si>
  <si>
    <t>買賣價資</t>
  </si>
  <si>
    <t>損益</t>
  </si>
  <si>
    <t>損益率</t>
  </si>
  <si>
    <t>類股</t>
  </si>
  <si>
    <t>買進日期</t>
  </si>
  <si>
    <t>賣出日期</t>
  </si>
  <si>
    <t>熱映</t>
  </si>
  <si>
    <t>久裕</t>
  </si>
  <si>
    <t>岱宇</t>
  </si>
  <si>
    <t>愛地雅</t>
  </si>
  <si>
    <t>臺慶科</t>
  </si>
  <si>
    <t>AES-KY</t>
  </si>
  <si>
    <t>永昕</t>
  </si>
  <si>
    <t>懷特</t>
  </si>
  <si>
    <t>光耀</t>
  </si>
  <si>
    <t>上銀</t>
  </si>
  <si>
    <t>安普新</t>
  </si>
  <si>
    <t>優盛</t>
  </si>
  <si>
    <t>耀登</t>
  </si>
  <si>
    <t>元晶</t>
  </si>
  <si>
    <t>高端疫苗</t>
  </si>
  <si>
    <t>大成鋼</t>
  </si>
  <si>
    <t>生華科</t>
  </si>
  <si>
    <t>優群</t>
  </si>
  <si>
    <t>國碩</t>
  </si>
  <si>
    <t>定穎</t>
  </si>
  <si>
    <t>ABC-KY</t>
  </si>
  <si>
    <t>台耀</t>
  </si>
  <si>
    <t>保瑞</t>
  </si>
  <si>
    <t xml:space="preserve">1	</t>
  </si>
  <si>
    <t xml:space="preserve">2	</t>
  </si>
  <si>
    <t xml:space="preserve">3	</t>
  </si>
  <si>
    <t xml:space="preserve">4	</t>
  </si>
  <si>
    <t xml:space="preserve">5	</t>
  </si>
  <si>
    <t xml:space="preserve">6	</t>
  </si>
  <si>
    <t xml:space="preserve">7	</t>
  </si>
  <si>
    <t xml:space="preserve">8	</t>
  </si>
  <si>
    <t xml:space="preserve">9	</t>
  </si>
  <si>
    <t xml:space="preserve">10	</t>
  </si>
  <si>
    <t xml:space="preserve">11	</t>
  </si>
  <si>
    <t xml:space="preserve">12	</t>
  </si>
  <si>
    <t xml:space="preserve">13	</t>
  </si>
  <si>
    <t xml:space="preserve">14	</t>
  </si>
  <si>
    <t xml:space="preserve">15	</t>
  </si>
  <si>
    <t xml:space="preserve">16	</t>
  </si>
  <si>
    <t xml:space="preserve">17	</t>
  </si>
  <si>
    <t xml:space="preserve">18	</t>
  </si>
  <si>
    <t xml:space="preserve">19	</t>
  </si>
  <si>
    <t xml:space="preserve">20	</t>
  </si>
  <si>
    <t xml:space="preserve">21	</t>
  </si>
  <si>
    <t xml:space="preserve">22	</t>
  </si>
  <si>
    <t xml:space="preserve">23	</t>
  </si>
  <si>
    <t xml:space="preserve">24	</t>
  </si>
  <si>
    <t xml:space="preserve">25	</t>
  </si>
  <si>
    <t xml:space="preserve">26	</t>
  </si>
  <si>
    <t xml:space="preserve">27	</t>
  </si>
  <si>
    <t xml:space="preserve">28	</t>
  </si>
  <si>
    <t xml:space="preserve">29	</t>
  </si>
  <si>
    <t xml:space="preserve">30	</t>
  </si>
  <si>
    <t xml:space="preserve">31	</t>
  </si>
  <si>
    <t xml:space="preserve">32	</t>
  </si>
  <si>
    <t xml:space="preserve">33	</t>
  </si>
  <si>
    <t xml:space="preserve">34	</t>
  </si>
  <si>
    <t xml:space="preserve">35	</t>
  </si>
  <si>
    <t xml:space="preserve">36	</t>
  </si>
  <si>
    <t xml:space="preserve">37	</t>
  </si>
  <si>
    <t xml:space="preserve">38	</t>
  </si>
  <si>
    <t xml:space="preserve">39	</t>
  </si>
  <si>
    <t xml:space="preserve">40	</t>
  </si>
  <si>
    <t xml:space="preserve">41	</t>
  </si>
  <si>
    <t xml:space="preserve">42	</t>
  </si>
  <si>
    <t xml:space="preserve">43	</t>
  </si>
  <si>
    <t xml:space="preserve">44	</t>
  </si>
  <si>
    <t xml:space="preserve">45	</t>
  </si>
  <si>
    <t xml:space="preserve">46	</t>
  </si>
  <si>
    <t xml:space="preserve">47	</t>
  </si>
  <si>
    <t xml:space="preserve">48	</t>
  </si>
  <si>
    <t xml:space="preserve">49	</t>
  </si>
  <si>
    <t xml:space="preserve">50	</t>
  </si>
  <si>
    <t xml:space="preserve">51	</t>
  </si>
  <si>
    <t xml:space="preserve">52	</t>
  </si>
  <si>
    <t xml:space="preserve">53	</t>
  </si>
  <si>
    <t xml:space="preserve">54	</t>
  </si>
  <si>
    <t xml:space="preserve">55	</t>
  </si>
  <si>
    <t xml:space="preserve">56	</t>
  </si>
  <si>
    <t xml:space="preserve">57	</t>
  </si>
  <si>
    <t xml:space="preserve">58	</t>
  </si>
  <si>
    <t xml:space="preserve">59	</t>
  </si>
  <si>
    <t xml:space="preserve">60	</t>
  </si>
  <si>
    <t xml:space="preserve">61	</t>
  </si>
  <si>
    <t xml:space="preserve">62	</t>
  </si>
  <si>
    <t xml:space="preserve">63	</t>
  </si>
  <si>
    <t xml:space="preserve">64	</t>
  </si>
  <si>
    <t xml:space="preserve">65	</t>
  </si>
  <si>
    <t xml:space="preserve">66	</t>
  </si>
  <si>
    <t xml:space="preserve">67	</t>
  </si>
  <si>
    <t xml:space="preserve">68	</t>
  </si>
  <si>
    <t xml:space="preserve">69	</t>
  </si>
  <si>
    <t xml:space="preserve">70	</t>
  </si>
  <si>
    <t xml:space="preserve">71	</t>
  </si>
  <si>
    <t xml:space="preserve">72	</t>
  </si>
  <si>
    <t xml:space="preserve">73	</t>
  </si>
  <si>
    <t xml:space="preserve">74	</t>
  </si>
  <si>
    <t xml:space="preserve">75	</t>
  </si>
  <si>
    <t xml:space="preserve">76	</t>
  </si>
  <si>
    <t xml:space="preserve">77	</t>
  </si>
  <si>
    <t xml:space="preserve">78	</t>
  </si>
  <si>
    <t xml:space="preserve">79	</t>
  </si>
  <si>
    <t xml:space="preserve">80	</t>
  </si>
  <si>
    <t xml:space="preserve">81	</t>
  </si>
  <si>
    <t xml:space="preserve">82	</t>
  </si>
  <si>
    <t xml:space="preserve">83	</t>
  </si>
  <si>
    <t xml:space="preserve">84	</t>
  </si>
  <si>
    <t xml:space="preserve">85	</t>
  </si>
  <si>
    <t xml:space="preserve">86	</t>
  </si>
  <si>
    <t xml:space="preserve">87	</t>
  </si>
  <si>
    <t xml:space="preserve">88	</t>
  </si>
  <si>
    <t xml:space="preserve">89	</t>
  </si>
  <si>
    <t xml:space="preserve">90	</t>
  </si>
  <si>
    <t xml:space="preserve">91	</t>
  </si>
  <si>
    <t xml:space="preserve">92	</t>
  </si>
  <si>
    <t xml:space="preserve">93	</t>
  </si>
  <si>
    <t xml:space="preserve">94	</t>
  </si>
  <si>
    <t xml:space="preserve">95	</t>
  </si>
  <si>
    <t xml:space="preserve">96	</t>
  </si>
  <si>
    <t xml:space="preserve">97	</t>
  </si>
  <si>
    <t xml:space="preserve">98	</t>
  </si>
  <si>
    <t xml:space="preserve">99	</t>
  </si>
  <si>
    <t xml:space="preserve">100	</t>
  </si>
  <si>
    <t xml:space="preserve">101	</t>
  </si>
  <si>
    <t xml:space="preserve">102	</t>
  </si>
  <si>
    <t xml:space="preserve">103	</t>
  </si>
  <si>
    <t xml:space="preserve">104	</t>
  </si>
  <si>
    <t xml:space="preserve">105	</t>
  </si>
  <si>
    <t xml:space="preserve">106	</t>
  </si>
  <si>
    <t xml:space="preserve">107	</t>
  </si>
  <si>
    <t xml:space="preserve">108	</t>
  </si>
  <si>
    <t xml:space="preserve">109	</t>
  </si>
  <si>
    <t xml:space="preserve">110	</t>
  </si>
  <si>
    <t xml:space="preserve">111	</t>
  </si>
  <si>
    <t xml:space="preserve">112	</t>
  </si>
  <si>
    <t xml:space="preserve">113	</t>
  </si>
  <si>
    <t xml:space="preserve">114	</t>
  </si>
  <si>
    <t xml:space="preserve">115	</t>
  </si>
  <si>
    <t xml:space="preserve">116	</t>
  </si>
  <si>
    <t xml:space="preserve">117	</t>
  </si>
  <si>
    <t xml:space="preserve">118	</t>
  </si>
  <si>
    <t xml:space="preserve">119	</t>
  </si>
  <si>
    <t xml:space="preserve">120	</t>
  </si>
  <si>
    <t xml:space="preserve">121	</t>
  </si>
  <si>
    <t xml:space="preserve">122	</t>
  </si>
  <si>
    <t xml:space="preserve">123	</t>
  </si>
  <si>
    <t xml:space="preserve">124	</t>
  </si>
  <si>
    <t xml:space="preserve">125	</t>
  </si>
  <si>
    <t xml:space="preserve">126	</t>
  </si>
  <si>
    <t xml:space="preserve">127	</t>
  </si>
  <si>
    <t xml:space="preserve">128	</t>
  </si>
  <si>
    <t xml:space="preserve">129	</t>
  </si>
  <si>
    <t xml:space="preserve">130	</t>
  </si>
  <si>
    <t xml:space="preserve">131	</t>
  </si>
  <si>
    <t xml:space="preserve">132	</t>
  </si>
  <si>
    <t xml:space="preserve">133	</t>
  </si>
  <si>
    <t xml:space="preserve">134	</t>
  </si>
  <si>
    <t xml:space="preserve">135	</t>
  </si>
  <si>
    <t xml:space="preserve">136	</t>
  </si>
  <si>
    <t xml:space="preserve">137	</t>
  </si>
  <si>
    <t xml:space="preserve">138	</t>
  </si>
  <si>
    <t xml:space="preserve">139	</t>
  </si>
  <si>
    <t xml:space="preserve">140	</t>
  </si>
  <si>
    <t xml:space="preserve">141	</t>
  </si>
  <si>
    <t xml:space="preserve">142	</t>
  </si>
  <si>
    <t xml:space="preserve">143	</t>
  </si>
  <si>
    <t xml:space="preserve">144	</t>
  </si>
  <si>
    <t xml:space="preserve">145	</t>
  </si>
  <si>
    <t xml:space="preserve">146	</t>
  </si>
  <si>
    <t xml:space="preserve">147	</t>
  </si>
  <si>
    <t xml:space="preserve">148	</t>
  </si>
  <si>
    <t xml:space="preserve">149	</t>
  </si>
  <si>
    <t xml:space="preserve">150	</t>
  </si>
  <si>
    <t xml:space="preserve">151	</t>
  </si>
  <si>
    <t xml:space="preserve">152	</t>
  </si>
  <si>
    <t xml:space="preserve">153	</t>
  </si>
  <si>
    <t xml:space="preserve">154	</t>
  </si>
  <si>
    <t xml:space="preserve">155	</t>
  </si>
  <si>
    <t xml:space="preserve">156	</t>
  </si>
  <si>
    <t xml:space="preserve">157	</t>
  </si>
  <si>
    <t xml:space="preserve">158	</t>
  </si>
  <si>
    <t xml:space="preserve">159	</t>
  </si>
  <si>
    <t xml:space="preserve">160	</t>
  </si>
  <si>
    <t xml:space="preserve">161	</t>
  </si>
  <si>
    <t xml:space="preserve">162	</t>
  </si>
  <si>
    <t xml:space="preserve">163	</t>
  </si>
  <si>
    <t xml:space="preserve">164	</t>
  </si>
  <si>
    <t xml:space="preserve">165	</t>
  </si>
  <si>
    <t xml:space="preserve">166	</t>
  </si>
  <si>
    <t xml:space="preserve">167	</t>
  </si>
  <si>
    <t xml:space="preserve">168	</t>
  </si>
  <si>
    <t xml:space="preserve">169	</t>
  </si>
  <si>
    <t xml:space="preserve">170	</t>
  </si>
  <si>
    <t xml:space="preserve">171	</t>
  </si>
  <si>
    <t xml:space="preserve">172	</t>
  </si>
  <si>
    <t xml:space="preserve">173	</t>
  </si>
  <si>
    <t xml:space="preserve">174	</t>
  </si>
  <si>
    <t xml:space="preserve">175	</t>
  </si>
  <si>
    <t xml:space="preserve">176	</t>
  </si>
  <si>
    <t xml:space="preserve">177	</t>
  </si>
  <si>
    <t xml:space="preserve">178	</t>
  </si>
  <si>
    <t xml:space="preserve">179	</t>
  </si>
  <si>
    <t xml:space="preserve">180	</t>
  </si>
  <si>
    <t xml:space="preserve">181	</t>
  </si>
  <si>
    <t xml:space="preserve">182	</t>
  </si>
  <si>
    <t xml:space="preserve">183	</t>
  </si>
  <si>
    <t xml:space="preserve">184	</t>
  </si>
  <si>
    <t xml:space="preserve">185	</t>
  </si>
  <si>
    <t xml:space="preserve">186	</t>
  </si>
  <si>
    <t xml:space="preserve">187	</t>
  </si>
  <si>
    <t xml:space="preserve">188	</t>
  </si>
  <si>
    <t xml:space="preserve">189	</t>
  </si>
  <si>
    <t xml:space="preserve">190	</t>
  </si>
  <si>
    <t xml:space="preserve">191	</t>
  </si>
  <si>
    <t xml:space="preserve">192	</t>
  </si>
  <si>
    <t xml:space="preserve">193	</t>
  </si>
  <si>
    <t xml:space="preserve">194	</t>
  </si>
  <si>
    <t xml:space="preserve">195	</t>
  </si>
  <si>
    <t xml:space="preserve">196	</t>
  </si>
  <si>
    <t xml:space="preserve">197	</t>
  </si>
  <si>
    <t xml:space="preserve">198	</t>
  </si>
  <si>
    <t xml:space="preserve">199	</t>
  </si>
  <si>
    <t xml:space="preserve">200	</t>
  </si>
  <si>
    <t xml:space="preserve">201	</t>
  </si>
  <si>
    <t xml:space="preserve">202	</t>
  </si>
  <si>
    <t xml:space="preserve">203	</t>
  </si>
  <si>
    <t xml:space="preserve">204	</t>
  </si>
  <si>
    <t xml:space="preserve">205	</t>
  </si>
  <si>
    <t xml:space="preserve">206	</t>
  </si>
  <si>
    <t xml:space="preserve">207	</t>
  </si>
  <si>
    <t xml:space="preserve">208	</t>
  </si>
  <si>
    <t xml:space="preserve">209	</t>
  </si>
  <si>
    <t xml:space="preserve">210	</t>
  </si>
  <si>
    <t xml:space="preserve">211	</t>
  </si>
  <si>
    <t xml:space="preserve">212	</t>
  </si>
  <si>
    <t xml:space="preserve">213	</t>
  </si>
  <si>
    <t xml:space="preserve">214	</t>
  </si>
  <si>
    <t xml:space="preserve">215	</t>
  </si>
  <si>
    <t xml:space="preserve">216	</t>
  </si>
  <si>
    <t xml:space="preserve">217	</t>
  </si>
  <si>
    <t xml:space="preserve">218	</t>
  </si>
  <si>
    <t>1101.TW</t>
  </si>
  <si>
    <t xml:space="preserve">219	</t>
  </si>
  <si>
    <t>1102.TW</t>
  </si>
  <si>
    <t xml:space="preserve">220	</t>
  </si>
  <si>
    <t>1103.TW</t>
  </si>
  <si>
    <t xml:space="preserve">221	</t>
  </si>
  <si>
    <t>1104.TW</t>
  </si>
  <si>
    <t xml:space="preserve">222	</t>
  </si>
  <si>
    <t>1108.TW</t>
  </si>
  <si>
    <t xml:space="preserve">223	</t>
  </si>
  <si>
    <t>1109.TW</t>
  </si>
  <si>
    <t xml:space="preserve">224	</t>
  </si>
  <si>
    <t>1110.TW</t>
  </si>
  <si>
    <t xml:space="preserve">225	</t>
  </si>
  <si>
    <t>1201.TW</t>
  </si>
  <si>
    <t xml:space="preserve">226	</t>
  </si>
  <si>
    <t>1203.TW</t>
  </si>
  <si>
    <t xml:space="preserve">227	</t>
  </si>
  <si>
    <t>1210.TW</t>
  </si>
  <si>
    <t xml:space="preserve">228	</t>
  </si>
  <si>
    <t xml:space="preserve">229	</t>
  </si>
  <si>
    <t>1215.TW</t>
  </si>
  <si>
    <t xml:space="preserve">230	</t>
  </si>
  <si>
    <t>1216.TW</t>
  </si>
  <si>
    <t xml:space="preserve">231	</t>
  </si>
  <si>
    <t>1217.TW</t>
  </si>
  <si>
    <t xml:space="preserve">232	</t>
  </si>
  <si>
    <t>1218.TW</t>
  </si>
  <si>
    <t xml:space="preserve">233	</t>
  </si>
  <si>
    <t>1219.TW</t>
  </si>
  <si>
    <t xml:space="preserve">234	</t>
  </si>
  <si>
    <t>1220.TW</t>
  </si>
  <si>
    <t xml:space="preserve">235	</t>
  </si>
  <si>
    <t>1225.TW</t>
  </si>
  <si>
    <t xml:space="preserve">236	</t>
  </si>
  <si>
    <t>1227.TW</t>
  </si>
  <si>
    <t xml:space="preserve">237	</t>
  </si>
  <si>
    <t>1229.TW</t>
  </si>
  <si>
    <t xml:space="preserve">238	</t>
  </si>
  <si>
    <t>1231.TW</t>
  </si>
  <si>
    <t xml:space="preserve">239	</t>
  </si>
  <si>
    <t>1232.TW</t>
  </si>
  <si>
    <t xml:space="preserve">240	</t>
  </si>
  <si>
    <t>1233.TW</t>
  </si>
  <si>
    <t xml:space="preserve">241	</t>
  </si>
  <si>
    <t>1234.TW</t>
  </si>
  <si>
    <t xml:space="preserve">242	</t>
  </si>
  <si>
    <t>1235.TW</t>
  </si>
  <si>
    <t xml:space="preserve">243	</t>
  </si>
  <si>
    <t>1236.TW</t>
  </si>
  <si>
    <t xml:space="preserve">244	</t>
  </si>
  <si>
    <t>1240.TW</t>
  </si>
  <si>
    <t xml:space="preserve">245	</t>
  </si>
  <si>
    <t>1256.TW</t>
  </si>
  <si>
    <t xml:space="preserve">246	</t>
  </si>
  <si>
    <t>1258.TW</t>
  </si>
  <si>
    <t xml:space="preserve">247	</t>
  </si>
  <si>
    <t>1259.TW</t>
  </si>
  <si>
    <t xml:space="preserve">248	</t>
  </si>
  <si>
    <t>1264.TW</t>
  </si>
  <si>
    <t xml:space="preserve">249	</t>
  </si>
  <si>
    <t>1268.TW</t>
  </si>
  <si>
    <t xml:space="preserve">250	</t>
  </si>
  <si>
    <t>1301.TW</t>
  </si>
  <si>
    <t xml:space="preserve">251	</t>
  </si>
  <si>
    <t>1303.TW</t>
  </si>
  <si>
    <t xml:space="preserve">252	</t>
  </si>
  <si>
    <t>1304.TW</t>
  </si>
  <si>
    <t xml:space="preserve">253	</t>
  </si>
  <si>
    <t>1305.TW</t>
  </si>
  <si>
    <t xml:space="preserve">254	</t>
  </si>
  <si>
    <t>1307.TW</t>
  </si>
  <si>
    <t xml:space="preserve">255	</t>
  </si>
  <si>
    <t>1308.TW</t>
  </si>
  <si>
    <t xml:space="preserve">256	</t>
  </si>
  <si>
    <t>1309.TW</t>
  </si>
  <si>
    <t xml:space="preserve">257	</t>
  </si>
  <si>
    <t>1310.TW</t>
  </si>
  <si>
    <t xml:space="preserve">258	</t>
  </si>
  <si>
    <t>1312.TW</t>
  </si>
  <si>
    <t xml:space="preserve">259	</t>
  </si>
  <si>
    <t>1313.TW</t>
  </si>
  <si>
    <t xml:space="preserve">260	</t>
  </si>
  <si>
    <t>1314.TW</t>
  </si>
  <si>
    <t xml:space="preserve">261	</t>
  </si>
  <si>
    <t>1315.TW</t>
  </si>
  <si>
    <t xml:space="preserve">262	</t>
  </si>
  <si>
    <t>1316.TW</t>
  </si>
  <si>
    <t xml:space="preserve">263	</t>
  </si>
  <si>
    <t>1319.TW</t>
  </si>
  <si>
    <t xml:space="preserve">264	</t>
  </si>
  <si>
    <t>1321.TW</t>
  </si>
  <si>
    <t xml:space="preserve">265	</t>
  </si>
  <si>
    <t>1323.TW</t>
  </si>
  <si>
    <t xml:space="preserve">266	</t>
  </si>
  <si>
    <t>1324.TW</t>
  </si>
  <si>
    <t xml:space="preserve">267	</t>
  </si>
  <si>
    <t>1325.TW</t>
  </si>
  <si>
    <t xml:space="preserve">268	</t>
  </si>
  <si>
    <t>1326.TW</t>
  </si>
  <si>
    <t xml:space="preserve">269	</t>
  </si>
  <si>
    <t>1336.TW</t>
  </si>
  <si>
    <t xml:space="preserve">270	</t>
  </si>
  <si>
    <t>1337.TW</t>
  </si>
  <si>
    <t xml:space="preserve">271	</t>
  </si>
  <si>
    <t>1338.TW</t>
  </si>
  <si>
    <t xml:space="preserve">272	</t>
  </si>
  <si>
    <t>1339.TW</t>
  </si>
  <si>
    <t xml:space="preserve">273	</t>
  </si>
  <si>
    <t>1340.TW</t>
  </si>
  <si>
    <t xml:space="preserve">274	</t>
  </si>
  <si>
    <t>1402.TW</t>
  </si>
  <si>
    <t xml:space="preserve">275	</t>
  </si>
  <si>
    <t>1409.TW</t>
  </si>
  <si>
    <t xml:space="preserve">276	</t>
  </si>
  <si>
    <t>1410.TW</t>
  </si>
  <si>
    <t xml:space="preserve">277	</t>
  </si>
  <si>
    <t xml:space="preserve">278	</t>
  </si>
  <si>
    <t>1414.TW</t>
  </si>
  <si>
    <t xml:space="preserve">279	</t>
  </si>
  <si>
    <t>1416.TW</t>
  </si>
  <si>
    <t xml:space="preserve">280	</t>
  </si>
  <si>
    <t>1417.TW</t>
  </si>
  <si>
    <t xml:space="preserve">281	</t>
  </si>
  <si>
    <t xml:space="preserve">282	</t>
  </si>
  <si>
    <t>1419.TW</t>
  </si>
  <si>
    <t xml:space="preserve">283	</t>
  </si>
  <si>
    <t>1423.TW</t>
  </si>
  <si>
    <t xml:space="preserve">284	</t>
  </si>
  <si>
    <t>1432.TW</t>
  </si>
  <si>
    <t xml:space="preserve">285	</t>
  </si>
  <si>
    <t>1434.TW</t>
  </si>
  <si>
    <t xml:space="preserve">286	</t>
  </si>
  <si>
    <t xml:space="preserve">287	</t>
  </si>
  <si>
    <t>1436.TW</t>
  </si>
  <si>
    <t xml:space="preserve">288	</t>
  </si>
  <si>
    <t>1437.TW</t>
  </si>
  <si>
    <t xml:space="preserve">289	</t>
  </si>
  <si>
    <t xml:space="preserve">290	</t>
  </si>
  <si>
    <t>1439.TW</t>
  </si>
  <si>
    <t xml:space="preserve">291	</t>
  </si>
  <si>
    <t>1440.TW</t>
  </si>
  <si>
    <t xml:space="preserve">292	</t>
  </si>
  <si>
    <t xml:space="preserve">293	</t>
  </si>
  <si>
    <t>1442.TW</t>
  </si>
  <si>
    <t xml:space="preserve">294	</t>
  </si>
  <si>
    <t xml:space="preserve">295	</t>
  </si>
  <si>
    <t>1444.TW</t>
  </si>
  <si>
    <t xml:space="preserve">296	</t>
  </si>
  <si>
    <t>1445.TW</t>
  </si>
  <si>
    <t xml:space="preserve">297	</t>
  </si>
  <si>
    <t>1446.TW</t>
  </si>
  <si>
    <t xml:space="preserve">298	</t>
  </si>
  <si>
    <t>1447.TW</t>
  </si>
  <si>
    <t xml:space="preserve">299	</t>
  </si>
  <si>
    <t>1449.TW</t>
  </si>
  <si>
    <t xml:space="preserve">300	</t>
  </si>
  <si>
    <t>1451.TW</t>
  </si>
  <si>
    <t xml:space="preserve">301	</t>
  </si>
  <si>
    <t>1452.TW</t>
  </si>
  <si>
    <t xml:space="preserve">302	</t>
  </si>
  <si>
    <t>1453.TW</t>
  </si>
  <si>
    <t xml:space="preserve">303	</t>
  </si>
  <si>
    <t>1454.TW</t>
  </si>
  <si>
    <t xml:space="preserve">304	</t>
  </si>
  <si>
    <t>1455.TW</t>
  </si>
  <si>
    <t xml:space="preserve">305	</t>
  </si>
  <si>
    <t>1456.TW</t>
  </si>
  <si>
    <t xml:space="preserve">306	</t>
  </si>
  <si>
    <t>1457.TW</t>
  </si>
  <si>
    <t xml:space="preserve">307	</t>
  </si>
  <si>
    <t xml:space="preserve">308	</t>
  </si>
  <si>
    <t xml:space="preserve">309	</t>
  </si>
  <si>
    <t>1463.TW</t>
  </si>
  <si>
    <t xml:space="preserve">310	</t>
  </si>
  <si>
    <t>1464.TW</t>
  </si>
  <si>
    <t xml:space="preserve">311	</t>
  </si>
  <si>
    <t>1465.TW</t>
  </si>
  <si>
    <t xml:space="preserve">312	</t>
  </si>
  <si>
    <t>1466.TW</t>
  </si>
  <si>
    <t xml:space="preserve">313	</t>
  </si>
  <si>
    <t>1467.TW</t>
  </si>
  <si>
    <t xml:space="preserve">314	</t>
  </si>
  <si>
    <t xml:space="preserve">315	</t>
  </si>
  <si>
    <t>1470.TW</t>
  </si>
  <si>
    <t xml:space="preserve">316	</t>
  </si>
  <si>
    <t xml:space="preserve">317	</t>
  </si>
  <si>
    <t xml:space="preserve">318	</t>
  </si>
  <si>
    <t>1473.TW</t>
  </si>
  <si>
    <t xml:space="preserve">319	</t>
  </si>
  <si>
    <t>1474.TW</t>
  </si>
  <si>
    <t xml:space="preserve">320	</t>
  </si>
  <si>
    <t xml:space="preserve">321	</t>
  </si>
  <si>
    <t>1476.TW</t>
  </si>
  <si>
    <t xml:space="preserve">322	</t>
  </si>
  <si>
    <t>1477.TW</t>
  </si>
  <si>
    <t xml:space="preserve">323	</t>
  </si>
  <si>
    <t>1503.TW</t>
  </si>
  <si>
    <t xml:space="preserve">324	</t>
  </si>
  <si>
    <t>1504.TW</t>
  </si>
  <si>
    <t xml:space="preserve">325	</t>
  </si>
  <si>
    <t xml:space="preserve">326	</t>
  </si>
  <si>
    <t>1507.TW</t>
  </si>
  <si>
    <t xml:space="preserve">327	</t>
  </si>
  <si>
    <t xml:space="preserve">328	</t>
  </si>
  <si>
    <t>1513.TW</t>
  </si>
  <si>
    <t xml:space="preserve">329	</t>
  </si>
  <si>
    <t>1514.TW</t>
  </si>
  <si>
    <t xml:space="preserve">330	</t>
  </si>
  <si>
    <t>1515.TW</t>
  </si>
  <si>
    <t xml:space="preserve">331	</t>
  </si>
  <si>
    <t>1516.TW</t>
  </si>
  <si>
    <t xml:space="preserve">332	</t>
  </si>
  <si>
    <t>1517.TW</t>
  </si>
  <si>
    <t xml:space="preserve">333	</t>
  </si>
  <si>
    <t>1519.TW</t>
  </si>
  <si>
    <t xml:space="preserve">334	</t>
  </si>
  <si>
    <t>1521.TW</t>
  </si>
  <si>
    <t xml:space="preserve">335	</t>
  </si>
  <si>
    <t>1522.TW</t>
  </si>
  <si>
    <t xml:space="preserve">336	</t>
  </si>
  <si>
    <t>1524.TW</t>
  </si>
  <si>
    <t xml:space="preserve">337	</t>
  </si>
  <si>
    <t>1525.TW</t>
  </si>
  <si>
    <t xml:space="preserve">338	</t>
  </si>
  <si>
    <t>1526.TW</t>
  </si>
  <si>
    <t xml:space="preserve">339	</t>
  </si>
  <si>
    <t>1527.TW</t>
  </si>
  <si>
    <t xml:space="preserve">340	</t>
  </si>
  <si>
    <t>1528.TW</t>
  </si>
  <si>
    <t xml:space="preserve">341	</t>
  </si>
  <si>
    <t>1529.TW</t>
  </si>
  <si>
    <t xml:space="preserve">342	</t>
  </si>
  <si>
    <t>1530.TW</t>
  </si>
  <si>
    <t xml:space="preserve">343	</t>
  </si>
  <si>
    <t>1531.TW</t>
  </si>
  <si>
    <t xml:space="preserve">344	</t>
  </si>
  <si>
    <t>1532.TW</t>
  </si>
  <si>
    <t xml:space="preserve">345	</t>
  </si>
  <si>
    <t>1533.TW</t>
  </si>
  <si>
    <t xml:space="preserve">346	</t>
  </si>
  <si>
    <t>1535.TW</t>
  </si>
  <si>
    <t xml:space="preserve">347	</t>
  </si>
  <si>
    <t>1536.TW</t>
  </si>
  <si>
    <t xml:space="preserve">348	</t>
  </si>
  <si>
    <t>1537.TW</t>
  </si>
  <si>
    <t xml:space="preserve">349	</t>
  </si>
  <si>
    <t xml:space="preserve">350	</t>
  </si>
  <si>
    <t>1539.TW</t>
  </si>
  <si>
    <t xml:space="preserve">351	</t>
  </si>
  <si>
    <t>1540.TW</t>
  </si>
  <si>
    <t xml:space="preserve">352	</t>
  </si>
  <si>
    <t>1541.TW</t>
  </si>
  <si>
    <t xml:space="preserve">353	</t>
  </si>
  <si>
    <t>1558.TW</t>
  </si>
  <si>
    <t xml:space="preserve">354	</t>
  </si>
  <si>
    <t>1560.TW</t>
  </si>
  <si>
    <t xml:space="preserve">355	</t>
  </si>
  <si>
    <t>1565.TW</t>
  </si>
  <si>
    <t xml:space="preserve">356	</t>
  </si>
  <si>
    <t>1568.TW</t>
  </si>
  <si>
    <t xml:space="preserve">357	</t>
  </si>
  <si>
    <t>1569.TW</t>
  </si>
  <si>
    <t xml:space="preserve">358	</t>
  </si>
  <si>
    <t>1570.TW</t>
  </si>
  <si>
    <t xml:space="preserve">359	</t>
  </si>
  <si>
    <t>1580.TW</t>
  </si>
  <si>
    <t xml:space="preserve">360	</t>
  </si>
  <si>
    <t>1582.TW</t>
  </si>
  <si>
    <t xml:space="preserve">361	</t>
  </si>
  <si>
    <t>1583.TW</t>
  </si>
  <si>
    <t xml:space="preserve">362	</t>
  </si>
  <si>
    <t>1584.TW</t>
  </si>
  <si>
    <t xml:space="preserve">363	</t>
  </si>
  <si>
    <t>1586.TW</t>
  </si>
  <si>
    <t xml:space="preserve">364	</t>
  </si>
  <si>
    <t>1587.TW</t>
  </si>
  <si>
    <t xml:space="preserve">365	</t>
  </si>
  <si>
    <t>1589.TW</t>
  </si>
  <si>
    <t xml:space="preserve">366	</t>
  </si>
  <si>
    <t>1590.TW</t>
  </si>
  <si>
    <t xml:space="preserve">367	</t>
  </si>
  <si>
    <t>1591.TW</t>
  </si>
  <si>
    <t xml:space="preserve">368	</t>
  </si>
  <si>
    <t xml:space="preserve">369	</t>
  </si>
  <si>
    <t>1593.TW</t>
  </si>
  <si>
    <t xml:space="preserve">370	</t>
  </si>
  <si>
    <t>1595.TW</t>
  </si>
  <si>
    <t xml:space="preserve">371	</t>
  </si>
  <si>
    <t>1597.TW</t>
  </si>
  <si>
    <t xml:space="preserve">372	</t>
  </si>
  <si>
    <t>1598.TW</t>
  </si>
  <si>
    <t xml:space="preserve">373	</t>
  </si>
  <si>
    <t>1599.TW</t>
  </si>
  <si>
    <t xml:space="preserve">374	</t>
  </si>
  <si>
    <t>1603.TW</t>
  </si>
  <si>
    <t xml:space="preserve">375	</t>
  </si>
  <si>
    <t>1604.TW</t>
  </si>
  <si>
    <t xml:space="preserve">376	</t>
  </si>
  <si>
    <t>1605.TW</t>
  </si>
  <si>
    <t xml:space="preserve">377	</t>
  </si>
  <si>
    <t>1608.TW</t>
  </si>
  <si>
    <t xml:space="preserve">378	</t>
  </si>
  <si>
    <t>1609.TW</t>
  </si>
  <si>
    <t xml:space="preserve">379	</t>
  </si>
  <si>
    <t>1611.TW</t>
  </si>
  <si>
    <t xml:space="preserve">380	</t>
  </si>
  <si>
    <t>1612.TW</t>
  </si>
  <si>
    <t xml:space="preserve">381	</t>
  </si>
  <si>
    <t>1614.TW</t>
  </si>
  <si>
    <t xml:space="preserve">382	</t>
  </si>
  <si>
    <t>1615.TW</t>
  </si>
  <si>
    <t xml:space="preserve">383	</t>
  </si>
  <si>
    <t xml:space="preserve">384	</t>
  </si>
  <si>
    <t>1617.TW</t>
  </si>
  <si>
    <t xml:space="preserve">385	</t>
  </si>
  <si>
    <t>1618.TW</t>
  </si>
  <si>
    <t xml:space="preserve">386	</t>
  </si>
  <si>
    <t>1626.TW</t>
  </si>
  <si>
    <t xml:space="preserve">387	</t>
  </si>
  <si>
    <t>1701.TW</t>
  </si>
  <si>
    <t xml:space="preserve">388	</t>
  </si>
  <si>
    <t>1702.TW</t>
  </si>
  <si>
    <t xml:space="preserve">389	</t>
  </si>
  <si>
    <t>1707.TW</t>
  </si>
  <si>
    <t xml:space="preserve">390	</t>
  </si>
  <si>
    <t>1708.TW</t>
  </si>
  <si>
    <t xml:space="preserve">391	</t>
  </si>
  <si>
    <t>1709.TW</t>
  </si>
  <si>
    <t xml:space="preserve">392	</t>
  </si>
  <si>
    <t>1710.TW</t>
  </si>
  <si>
    <t xml:space="preserve">393	</t>
  </si>
  <si>
    <t>1711.TW</t>
  </si>
  <si>
    <t xml:space="preserve">394	</t>
  </si>
  <si>
    <t>1712.TW</t>
  </si>
  <si>
    <t xml:space="preserve">395	</t>
  </si>
  <si>
    <t>1713.TW</t>
  </si>
  <si>
    <t xml:space="preserve">396	</t>
  </si>
  <si>
    <t>1714.TW</t>
  </si>
  <si>
    <t xml:space="preserve">397	</t>
  </si>
  <si>
    <t>1717.TW</t>
  </si>
  <si>
    <t xml:space="preserve">398	</t>
  </si>
  <si>
    <t>1718.TW</t>
  </si>
  <si>
    <t xml:space="preserve">399	</t>
  </si>
  <si>
    <t>1720.TW</t>
  </si>
  <si>
    <t xml:space="preserve">400	</t>
  </si>
  <si>
    <t>1721.TW</t>
  </si>
  <si>
    <t xml:space="preserve">401	</t>
  </si>
  <si>
    <t>1722.TW</t>
  </si>
  <si>
    <t xml:space="preserve">402	</t>
  </si>
  <si>
    <t>1723.TW</t>
  </si>
  <si>
    <t xml:space="preserve">403	</t>
  </si>
  <si>
    <t xml:space="preserve">404	</t>
  </si>
  <si>
    <t>1725.TW</t>
  </si>
  <si>
    <t xml:space="preserve">405	</t>
  </si>
  <si>
    <t>1726.TW</t>
  </si>
  <si>
    <t xml:space="preserve">406	</t>
  </si>
  <si>
    <t>1727.TW</t>
  </si>
  <si>
    <t xml:space="preserve">407	</t>
  </si>
  <si>
    <t>1730.TW</t>
  </si>
  <si>
    <t xml:space="preserve">408	</t>
  </si>
  <si>
    <t>1731.TW</t>
  </si>
  <si>
    <t xml:space="preserve">409	</t>
  </si>
  <si>
    <t>1732.TW</t>
  </si>
  <si>
    <t xml:space="preserve">410	</t>
  </si>
  <si>
    <t>1733.TW</t>
  </si>
  <si>
    <t xml:space="preserve">411	</t>
  </si>
  <si>
    <t>1734.TW</t>
  </si>
  <si>
    <t xml:space="preserve">412	</t>
  </si>
  <si>
    <t>1735.TW</t>
  </si>
  <si>
    <t xml:space="preserve">413	</t>
  </si>
  <si>
    <t>1736.TW</t>
  </si>
  <si>
    <t xml:space="preserve">414	</t>
  </si>
  <si>
    <t>1737.TW</t>
  </si>
  <si>
    <t xml:space="preserve">415	</t>
  </si>
  <si>
    <t>1742.TW</t>
  </si>
  <si>
    <t xml:space="preserve">416	</t>
  </si>
  <si>
    <t>1752.TW</t>
  </si>
  <si>
    <t xml:space="preserve">417	</t>
  </si>
  <si>
    <t>1760.TW</t>
  </si>
  <si>
    <t xml:space="preserve">418	</t>
  </si>
  <si>
    <t>1762.TW</t>
  </si>
  <si>
    <t xml:space="preserve">419	</t>
  </si>
  <si>
    <t>1773.TW</t>
  </si>
  <si>
    <t xml:space="preserve">420	</t>
  </si>
  <si>
    <t>1776.TW</t>
  </si>
  <si>
    <t xml:space="preserve">421	</t>
  </si>
  <si>
    <t>1777.TW</t>
  </si>
  <si>
    <t xml:space="preserve">422	</t>
  </si>
  <si>
    <t xml:space="preserve">423	</t>
  </si>
  <si>
    <t>1783.TW</t>
  </si>
  <si>
    <t xml:space="preserve">424	</t>
  </si>
  <si>
    <t>1784.TW</t>
  </si>
  <si>
    <t xml:space="preserve">425	</t>
  </si>
  <si>
    <t>1785.TW</t>
  </si>
  <si>
    <t xml:space="preserve">426	</t>
  </si>
  <si>
    <t>1786.TW</t>
  </si>
  <si>
    <t xml:space="preserve">427	</t>
  </si>
  <si>
    <t>1788.TW</t>
  </si>
  <si>
    <t xml:space="preserve">428	</t>
  </si>
  <si>
    <t>1789.TW</t>
  </si>
  <si>
    <t xml:space="preserve">429	</t>
  </si>
  <si>
    <t>1795.TW</t>
  </si>
  <si>
    <t xml:space="preserve">430	</t>
  </si>
  <si>
    <t xml:space="preserve">431	</t>
  </si>
  <si>
    <t>1802.TW</t>
  </si>
  <si>
    <t xml:space="preserve">432	</t>
  </si>
  <si>
    <t xml:space="preserve">433	</t>
  </si>
  <si>
    <t>1806.TW</t>
  </si>
  <si>
    <t xml:space="preserve">434	</t>
  </si>
  <si>
    <t>1808.TW</t>
  </si>
  <si>
    <t xml:space="preserve">435	</t>
  </si>
  <si>
    <t>1809.TW</t>
  </si>
  <si>
    <t xml:space="preserve">436	</t>
  </si>
  <si>
    <t>1810.TW</t>
  </si>
  <si>
    <t xml:space="preserve">437	</t>
  </si>
  <si>
    <t>1813.TW</t>
  </si>
  <si>
    <t xml:space="preserve">438	</t>
  </si>
  <si>
    <t>1815.TW</t>
  </si>
  <si>
    <t xml:space="preserve">439	</t>
  </si>
  <si>
    <t>1817.TW</t>
  </si>
  <si>
    <t xml:space="preserve">440	</t>
  </si>
  <si>
    <t>1903.TW</t>
  </si>
  <si>
    <t xml:space="preserve">441	</t>
  </si>
  <si>
    <t>1904.TW</t>
  </si>
  <si>
    <t xml:space="preserve">442	</t>
  </si>
  <si>
    <t>1905.TW</t>
  </si>
  <si>
    <t xml:space="preserve">443	</t>
  </si>
  <si>
    <t>1906.TW</t>
  </si>
  <si>
    <t xml:space="preserve">444	</t>
  </si>
  <si>
    <t>1907.TW</t>
  </si>
  <si>
    <t xml:space="preserve">445	</t>
  </si>
  <si>
    <t>1909.TW</t>
  </si>
  <si>
    <t xml:space="preserve">446	</t>
  </si>
  <si>
    <t>2002.TW</t>
  </si>
  <si>
    <t xml:space="preserve">447	</t>
  </si>
  <si>
    <t>2006.TW</t>
  </si>
  <si>
    <t xml:space="preserve">448	</t>
  </si>
  <si>
    <t>2007.TW</t>
  </si>
  <si>
    <t xml:space="preserve">449	</t>
  </si>
  <si>
    <t>2008.TW</t>
  </si>
  <si>
    <t xml:space="preserve">450	</t>
  </si>
  <si>
    <t>2009.TW</t>
  </si>
  <si>
    <t xml:space="preserve">451	</t>
  </si>
  <si>
    <t>2010.TW</t>
  </si>
  <si>
    <t xml:space="preserve">452	</t>
  </si>
  <si>
    <t>2012.TW</t>
  </si>
  <si>
    <t xml:space="preserve">453	</t>
  </si>
  <si>
    <t>2013.TW</t>
  </si>
  <si>
    <t xml:space="preserve">454	</t>
  </si>
  <si>
    <t>2014.TW</t>
  </si>
  <si>
    <t xml:space="preserve">455	</t>
  </si>
  <si>
    <t>2015.TW</t>
  </si>
  <si>
    <t xml:space="preserve">456	</t>
  </si>
  <si>
    <t>2017.TW</t>
  </si>
  <si>
    <t xml:space="preserve">457	</t>
  </si>
  <si>
    <t>2020.TW</t>
  </si>
  <si>
    <t xml:space="preserve">458	</t>
  </si>
  <si>
    <t xml:space="preserve">459	</t>
  </si>
  <si>
    <t>2023.TW</t>
  </si>
  <si>
    <t xml:space="preserve">460	</t>
  </si>
  <si>
    <t>2024.TW</t>
  </si>
  <si>
    <t xml:space="preserve">461	</t>
  </si>
  <si>
    <t xml:space="preserve">462	</t>
  </si>
  <si>
    <t>2027.TW</t>
  </si>
  <si>
    <t xml:space="preserve">463	</t>
  </si>
  <si>
    <t xml:space="preserve">464	</t>
  </si>
  <si>
    <t>2029.TW</t>
  </si>
  <si>
    <t xml:space="preserve">465	</t>
  </si>
  <si>
    <t>2030.TW</t>
  </si>
  <si>
    <t xml:space="preserve">466	</t>
  </si>
  <si>
    <t>2031.TW</t>
  </si>
  <si>
    <t xml:space="preserve">467	</t>
  </si>
  <si>
    <t>2032.TW</t>
  </si>
  <si>
    <t xml:space="preserve">468	</t>
  </si>
  <si>
    <t>2033.TW</t>
  </si>
  <si>
    <t xml:space="preserve">469	</t>
  </si>
  <si>
    <t>2034.TW</t>
  </si>
  <si>
    <t xml:space="preserve">470	</t>
  </si>
  <si>
    <t>2035.TW</t>
  </si>
  <si>
    <t xml:space="preserve">471	</t>
  </si>
  <si>
    <t>2038.TW</t>
  </si>
  <si>
    <t xml:space="preserve">472	</t>
  </si>
  <si>
    <t>2049.TW</t>
  </si>
  <si>
    <t xml:space="preserve">473	</t>
  </si>
  <si>
    <t>2059.TW</t>
  </si>
  <si>
    <t xml:space="preserve">474	</t>
  </si>
  <si>
    <t>2062.TW</t>
  </si>
  <si>
    <t xml:space="preserve">475	</t>
  </si>
  <si>
    <t>2063.TW</t>
  </si>
  <si>
    <t xml:space="preserve">476	</t>
  </si>
  <si>
    <t>2064.TW</t>
  </si>
  <si>
    <t xml:space="preserve">477	</t>
  </si>
  <si>
    <t>2065.TW</t>
  </si>
  <si>
    <t xml:space="preserve">478	</t>
  </si>
  <si>
    <t>2066.TW</t>
  </si>
  <si>
    <t xml:space="preserve">479	</t>
  </si>
  <si>
    <t xml:space="preserve">480	</t>
  </si>
  <si>
    <t>2069.TW</t>
  </si>
  <si>
    <t xml:space="preserve">481	</t>
  </si>
  <si>
    <t>2070.TW</t>
  </si>
  <si>
    <t xml:space="preserve">482	</t>
  </si>
  <si>
    <t>2101.TW</t>
  </si>
  <si>
    <t xml:space="preserve">483	</t>
  </si>
  <si>
    <t>2102.TW</t>
  </si>
  <si>
    <t xml:space="preserve">484	</t>
  </si>
  <si>
    <t>2103.TW</t>
  </si>
  <si>
    <t xml:space="preserve">485	</t>
  </si>
  <si>
    <t>2104.TW</t>
  </si>
  <si>
    <t xml:space="preserve">486	</t>
  </si>
  <si>
    <t>2105.TW</t>
  </si>
  <si>
    <t xml:space="preserve">487	</t>
  </si>
  <si>
    <t>2106.TW</t>
  </si>
  <si>
    <t xml:space="preserve">488	</t>
  </si>
  <si>
    <t>2107.TW</t>
  </si>
  <si>
    <t xml:space="preserve">489	</t>
  </si>
  <si>
    <t>2108.TW</t>
  </si>
  <si>
    <t xml:space="preserve">490	</t>
  </si>
  <si>
    <t xml:space="preserve">491	</t>
  </si>
  <si>
    <t>2114.TW</t>
  </si>
  <si>
    <t xml:space="preserve">492	</t>
  </si>
  <si>
    <t>2115.TW</t>
  </si>
  <si>
    <t xml:space="preserve">493	</t>
  </si>
  <si>
    <t>2201.TW</t>
  </si>
  <si>
    <t xml:space="preserve">494	</t>
  </si>
  <si>
    <t>2204.TW</t>
  </si>
  <si>
    <t xml:space="preserve">495	</t>
  </si>
  <si>
    <t>2206.TW</t>
  </si>
  <si>
    <t xml:space="preserve">496	</t>
  </si>
  <si>
    <t>2207.TW</t>
  </si>
  <si>
    <t xml:space="preserve">497	</t>
  </si>
  <si>
    <t>2208.TW</t>
  </si>
  <si>
    <t xml:space="preserve">498	</t>
  </si>
  <si>
    <t>2221.TW</t>
  </si>
  <si>
    <t xml:space="preserve">499	</t>
  </si>
  <si>
    <t>2228.TW</t>
  </si>
  <si>
    <t xml:space="preserve">500	</t>
  </si>
  <si>
    <t>2230.TW</t>
  </si>
  <si>
    <t xml:space="preserve">501	</t>
  </si>
  <si>
    <t>2231.TW</t>
  </si>
  <si>
    <t xml:space="preserve">502	</t>
  </si>
  <si>
    <t>2233.TW</t>
  </si>
  <si>
    <t xml:space="preserve">503	</t>
  </si>
  <si>
    <t>2235.TW</t>
  </si>
  <si>
    <t xml:space="preserve">504	</t>
  </si>
  <si>
    <t>2236.TW</t>
  </si>
  <si>
    <t xml:space="preserve">505	</t>
  </si>
  <si>
    <t>2239.TW</t>
  </si>
  <si>
    <t xml:space="preserve">506	</t>
  </si>
  <si>
    <t>2241.TW</t>
  </si>
  <si>
    <t xml:space="preserve">507	</t>
  </si>
  <si>
    <t>2243.TW</t>
  </si>
  <si>
    <t xml:space="preserve">508	</t>
  </si>
  <si>
    <t>2247.TW</t>
  </si>
  <si>
    <t xml:space="preserve">509	</t>
  </si>
  <si>
    <t>2301.TW</t>
  </si>
  <si>
    <t xml:space="preserve">510	</t>
  </si>
  <si>
    <t>2302.TW</t>
  </si>
  <si>
    <t xml:space="preserve">511	</t>
  </si>
  <si>
    <t>2303.TW</t>
  </si>
  <si>
    <t xml:space="preserve">512	</t>
  </si>
  <si>
    <t>2305.TW</t>
  </si>
  <si>
    <t xml:space="preserve">513	</t>
  </si>
  <si>
    <t>2308.TW</t>
  </si>
  <si>
    <t xml:space="preserve">514	</t>
  </si>
  <si>
    <t>2312.TW</t>
  </si>
  <si>
    <t xml:space="preserve">515	</t>
  </si>
  <si>
    <t>2313.TW</t>
  </si>
  <si>
    <t xml:space="preserve">516	</t>
  </si>
  <si>
    <t>2314.TW</t>
  </si>
  <si>
    <t xml:space="preserve">517	</t>
  </si>
  <si>
    <t>2316.TW</t>
  </si>
  <si>
    <t xml:space="preserve">518	</t>
  </si>
  <si>
    <t>2317.TW</t>
  </si>
  <si>
    <t xml:space="preserve">519	</t>
  </si>
  <si>
    <t xml:space="preserve">520	</t>
  </si>
  <si>
    <t>2323.TW</t>
  </si>
  <si>
    <t xml:space="preserve">521	</t>
  </si>
  <si>
    <t>2324.TW</t>
  </si>
  <si>
    <t xml:space="preserve">522	</t>
  </si>
  <si>
    <t>2327.TW</t>
  </si>
  <si>
    <t xml:space="preserve">523	</t>
  </si>
  <si>
    <t>2328.TW</t>
  </si>
  <si>
    <t xml:space="preserve">524	</t>
  </si>
  <si>
    <t>2329.TW</t>
  </si>
  <si>
    <t xml:space="preserve">525	</t>
  </si>
  <si>
    <t>2330.TW</t>
  </si>
  <si>
    <t xml:space="preserve">526	</t>
  </si>
  <si>
    <t>2331.TW</t>
  </si>
  <si>
    <t xml:space="preserve">527	</t>
  </si>
  <si>
    <t xml:space="preserve">528	</t>
  </si>
  <si>
    <t>2337.TW</t>
  </si>
  <si>
    <t xml:space="preserve">529	</t>
  </si>
  <si>
    <t>2338.TW</t>
  </si>
  <si>
    <t xml:space="preserve">530	</t>
  </si>
  <si>
    <t>2340.TW</t>
  </si>
  <si>
    <t xml:space="preserve">531	</t>
  </si>
  <si>
    <t>2342.TW</t>
  </si>
  <si>
    <t xml:space="preserve">532	</t>
  </si>
  <si>
    <t>2344.TW</t>
  </si>
  <si>
    <t xml:space="preserve">533	</t>
  </si>
  <si>
    <t>2345.TW</t>
  </si>
  <si>
    <t xml:space="preserve">534	</t>
  </si>
  <si>
    <t>2347.TW</t>
  </si>
  <si>
    <t xml:space="preserve">535	</t>
  </si>
  <si>
    <t>2348.TW</t>
  </si>
  <si>
    <t xml:space="preserve">536	</t>
  </si>
  <si>
    <t xml:space="preserve">537	</t>
  </si>
  <si>
    <t>2351.TW</t>
  </si>
  <si>
    <t xml:space="preserve">538	</t>
  </si>
  <si>
    <t>2352.TW</t>
  </si>
  <si>
    <t xml:space="preserve">539	</t>
  </si>
  <si>
    <t>2353.TW</t>
  </si>
  <si>
    <t xml:space="preserve">540	</t>
  </si>
  <si>
    <t>2354.TW</t>
  </si>
  <si>
    <t xml:space="preserve">541	</t>
  </si>
  <si>
    <t>2355.TW</t>
  </si>
  <si>
    <t xml:space="preserve">542	</t>
  </si>
  <si>
    <t>2356.TW</t>
  </si>
  <si>
    <t xml:space="preserve">543	</t>
  </si>
  <si>
    <t>2357.TW</t>
  </si>
  <si>
    <t xml:space="preserve">544	</t>
  </si>
  <si>
    <t>2358.TW</t>
  </si>
  <si>
    <t xml:space="preserve">545	</t>
  </si>
  <si>
    <t>2359.TW</t>
  </si>
  <si>
    <t xml:space="preserve">546	</t>
  </si>
  <si>
    <t>2360.TW</t>
  </si>
  <si>
    <t xml:space="preserve">547	</t>
  </si>
  <si>
    <t>2362.TW</t>
  </si>
  <si>
    <t xml:space="preserve">548	</t>
  </si>
  <si>
    <t>2363.TW</t>
  </si>
  <si>
    <t xml:space="preserve">549	</t>
  </si>
  <si>
    <t xml:space="preserve">550	</t>
  </si>
  <si>
    <t>2365.TW</t>
  </si>
  <si>
    <t xml:space="preserve">551	</t>
  </si>
  <si>
    <t>2367.TW</t>
  </si>
  <si>
    <t xml:space="preserve">552	</t>
  </si>
  <si>
    <t>2368.TW</t>
  </si>
  <si>
    <t xml:space="preserve">553	</t>
  </si>
  <si>
    <t>2369.TW</t>
  </si>
  <si>
    <t xml:space="preserve">554	</t>
  </si>
  <si>
    <t>2371.TW</t>
  </si>
  <si>
    <t xml:space="preserve">555	</t>
  </si>
  <si>
    <t>2373.TW</t>
  </si>
  <si>
    <t xml:space="preserve">556	</t>
  </si>
  <si>
    <t>2374.TW</t>
  </si>
  <si>
    <t xml:space="preserve">557	</t>
  </si>
  <si>
    <t>2375.TW</t>
  </si>
  <si>
    <t xml:space="preserve">558	</t>
  </si>
  <si>
    <t>2376.TW</t>
  </si>
  <si>
    <t xml:space="preserve">559	</t>
  </si>
  <si>
    <t>2377.TW</t>
  </si>
  <si>
    <t xml:space="preserve">560	</t>
  </si>
  <si>
    <t>2379.TW</t>
  </si>
  <si>
    <t xml:space="preserve">561	</t>
  </si>
  <si>
    <t xml:space="preserve">562	</t>
  </si>
  <si>
    <t>2382.TW</t>
  </si>
  <si>
    <t xml:space="preserve">563	</t>
  </si>
  <si>
    <t>2383.TW</t>
  </si>
  <si>
    <t xml:space="preserve">564	</t>
  </si>
  <si>
    <t>2385.TW</t>
  </si>
  <si>
    <t xml:space="preserve">565	</t>
  </si>
  <si>
    <t>2387.TW</t>
  </si>
  <si>
    <t xml:space="preserve">566	</t>
  </si>
  <si>
    <t>2388.TW</t>
  </si>
  <si>
    <t xml:space="preserve">567	</t>
  </si>
  <si>
    <t>2390.TW</t>
  </si>
  <si>
    <t xml:space="preserve">568	</t>
  </si>
  <si>
    <t>2392.TW</t>
  </si>
  <si>
    <t xml:space="preserve">569	</t>
  </si>
  <si>
    <t>2393.TW</t>
  </si>
  <si>
    <t xml:space="preserve">570	</t>
  </si>
  <si>
    <t>2395.TW</t>
  </si>
  <si>
    <t xml:space="preserve">571	</t>
  </si>
  <si>
    <t>2397.TW</t>
  </si>
  <si>
    <t xml:space="preserve">572	</t>
  </si>
  <si>
    <t>2399.TW</t>
  </si>
  <si>
    <t xml:space="preserve">573	</t>
  </si>
  <si>
    <t>2401.TW</t>
  </si>
  <si>
    <t xml:space="preserve">574	</t>
  </si>
  <si>
    <t>2402.TW</t>
  </si>
  <si>
    <t xml:space="preserve">575	</t>
  </si>
  <si>
    <t>2404.TW</t>
  </si>
  <si>
    <t xml:space="preserve">576	</t>
  </si>
  <si>
    <t xml:space="preserve">577	</t>
  </si>
  <si>
    <t xml:space="preserve">578	</t>
  </si>
  <si>
    <t>2408.TW</t>
  </si>
  <si>
    <t xml:space="preserve">579	</t>
  </si>
  <si>
    <t>2409.TW</t>
  </si>
  <si>
    <t xml:space="preserve">580	</t>
  </si>
  <si>
    <t>2412.TW</t>
  </si>
  <si>
    <t xml:space="preserve">581	</t>
  </si>
  <si>
    <t>2413.TW</t>
  </si>
  <si>
    <t xml:space="preserve">582	</t>
  </si>
  <si>
    <t>2414.TW</t>
  </si>
  <si>
    <t xml:space="preserve">583	</t>
  </si>
  <si>
    <t>2415.TW</t>
  </si>
  <si>
    <t xml:space="preserve">584	</t>
  </si>
  <si>
    <t>2417.TW</t>
  </si>
  <si>
    <t xml:space="preserve">585	</t>
  </si>
  <si>
    <t>2419.TW</t>
  </si>
  <si>
    <t xml:space="preserve">586	</t>
  </si>
  <si>
    <t>2420.TW</t>
  </si>
  <si>
    <t xml:space="preserve">587	</t>
  </si>
  <si>
    <t>2421.TW</t>
  </si>
  <si>
    <t xml:space="preserve">588	</t>
  </si>
  <si>
    <t>2423.TW</t>
  </si>
  <si>
    <t xml:space="preserve">589	</t>
  </si>
  <si>
    <t xml:space="preserve">590	</t>
  </si>
  <si>
    <t>2425.TW</t>
  </si>
  <si>
    <t xml:space="preserve">591	</t>
  </si>
  <si>
    <t>2426.TW</t>
  </si>
  <si>
    <t xml:space="preserve">592	</t>
  </si>
  <si>
    <t>2427.TW</t>
  </si>
  <si>
    <t xml:space="preserve">593	</t>
  </si>
  <si>
    <t>2428.TW</t>
  </si>
  <si>
    <t xml:space="preserve">594	</t>
  </si>
  <si>
    <t xml:space="preserve">595	</t>
  </si>
  <si>
    <t>2430.TW</t>
  </si>
  <si>
    <t xml:space="preserve">596	</t>
  </si>
  <si>
    <t>2431.TW</t>
  </si>
  <si>
    <t xml:space="preserve">597	</t>
  </si>
  <si>
    <t>2433.TW</t>
  </si>
  <si>
    <t xml:space="preserve">598	</t>
  </si>
  <si>
    <t xml:space="preserve">599	</t>
  </si>
  <si>
    <t>2436.TW</t>
  </si>
  <si>
    <t xml:space="preserve">600	</t>
  </si>
  <si>
    <t xml:space="preserve">601	</t>
  </si>
  <si>
    <t>2439.TW</t>
  </si>
  <si>
    <t xml:space="preserve">602	</t>
  </si>
  <si>
    <t xml:space="preserve">603	</t>
  </si>
  <si>
    <t>2441.TW</t>
  </si>
  <si>
    <t xml:space="preserve">604	</t>
  </si>
  <si>
    <t>2442.TW</t>
  </si>
  <si>
    <t xml:space="preserve">605	</t>
  </si>
  <si>
    <t xml:space="preserve">606	</t>
  </si>
  <si>
    <t xml:space="preserve">607	</t>
  </si>
  <si>
    <t>2449.TW</t>
  </si>
  <si>
    <t xml:space="preserve">608	</t>
  </si>
  <si>
    <t>2450.TW</t>
  </si>
  <si>
    <t xml:space="preserve">609	</t>
  </si>
  <si>
    <t>2451.TW</t>
  </si>
  <si>
    <t xml:space="preserve">610	</t>
  </si>
  <si>
    <t>2453.TW</t>
  </si>
  <si>
    <t xml:space="preserve">611	</t>
  </si>
  <si>
    <t>2454.TW</t>
  </si>
  <si>
    <t xml:space="preserve">612	</t>
  </si>
  <si>
    <t>2455.TW</t>
  </si>
  <si>
    <t xml:space="preserve">613	</t>
  </si>
  <si>
    <t>2456.TW</t>
  </si>
  <si>
    <t xml:space="preserve">614	</t>
  </si>
  <si>
    <t>2457.TW</t>
  </si>
  <si>
    <t xml:space="preserve">615	</t>
  </si>
  <si>
    <t>2458.TW</t>
  </si>
  <si>
    <t xml:space="preserve">616	</t>
  </si>
  <si>
    <t>2459.TW</t>
  </si>
  <si>
    <t xml:space="preserve">617	</t>
  </si>
  <si>
    <t>2460.TW</t>
  </si>
  <si>
    <t xml:space="preserve">618	</t>
  </si>
  <si>
    <t>2461.TW</t>
  </si>
  <si>
    <t xml:space="preserve">619	</t>
  </si>
  <si>
    <t>2462.TW</t>
  </si>
  <si>
    <t xml:space="preserve">620	</t>
  </si>
  <si>
    <t>2464.TW</t>
  </si>
  <si>
    <t xml:space="preserve">621	</t>
  </si>
  <si>
    <t xml:space="preserve">622	</t>
  </si>
  <si>
    <t>2466.TW</t>
  </si>
  <si>
    <t xml:space="preserve">623	</t>
  </si>
  <si>
    <t>2467.TW</t>
  </si>
  <si>
    <t xml:space="preserve">624	</t>
  </si>
  <si>
    <t>2468.TW</t>
  </si>
  <si>
    <t xml:space="preserve">625	</t>
  </si>
  <si>
    <t>2471.TW</t>
  </si>
  <si>
    <t xml:space="preserve">626	</t>
  </si>
  <si>
    <t>2472.TW</t>
  </si>
  <si>
    <t xml:space="preserve">627	</t>
  </si>
  <si>
    <t>2474.TW</t>
  </si>
  <si>
    <t xml:space="preserve">628	</t>
  </si>
  <si>
    <t>2476.TW</t>
  </si>
  <si>
    <t xml:space="preserve">629	</t>
  </si>
  <si>
    <t>2477.TW</t>
  </si>
  <si>
    <t xml:space="preserve">630	</t>
  </si>
  <si>
    <t>2478.TW</t>
  </si>
  <si>
    <t xml:space="preserve">631	</t>
  </si>
  <si>
    <t>2480.TW</t>
  </si>
  <si>
    <t xml:space="preserve">632	</t>
  </si>
  <si>
    <t>2481.TW</t>
  </si>
  <si>
    <t xml:space="preserve">633	</t>
  </si>
  <si>
    <t>2482.TW</t>
  </si>
  <si>
    <t xml:space="preserve">634	</t>
  </si>
  <si>
    <t>2483.TW</t>
  </si>
  <si>
    <t xml:space="preserve">635	</t>
  </si>
  <si>
    <t>2484.TW</t>
  </si>
  <si>
    <t xml:space="preserve">636	</t>
  </si>
  <si>
    <t>2485.TW</t>
  </si>
  <si>
    <t xml:space="preserve">637	</t>
  </si>
  <si>
    <t>2486.TW</t>
  </si>
  <si>
    <t xml:space="preserve">638	</t>
  </si>
  <si>
    <t>2488.TW</t>
  </si>
  <si>
    <t xml:space="preserve">639	</t>
  </si>
  <si>
    <t xml:space="preserve">640	</t>
  </si>
  <si>
    <t>2491.TW</t>
  </si>
  <si>
    <t xml:space="preserve">641	</t>
  </si>
  <si>
    <t>2492.TW</t>
  </si>
  <si>
    <t xml:space="preserve">642	</t>
  </si>
  <si>
    <t>2493.TW</t>
  </si>
  <si>
    <t xml:space="preserve">643	</t>
  </si>
  <si>
    <t>2495.TW</t>
  </si>
  <si>
    <t xml:space="preserve">644	</t>
  </si>
  <si>
    <t>2496.TW</t>
  </si>
  <si>
    <t xml:space="preserve">645	</t>
  </si>
  <si>
    <t>2497.TW</t>
  </si>
  <si>
    <t xml:space="preserve">646	</t>
  </si>
  <si>
    <t>2498.TW</t>
  </si>
  <si>
    <t xml:space="preserve">647	</t>
  </si>
  <si>
    <t>2501.TW</t>
  </si>
  <si>
    <t xml:space="preserve">648	</t>
  </si>
  <si>
    <t>2504.TW</t>
  </si>
  <si>
    <t xml:space="preserve">649	</t>
  </si>
  <si>
    <t>2505.TW</t>
  </si>
  <si>
    <t xml:space="preserve">650	</t>
  </si>
  <si>
    <t>2506.TW</t>
  </si>
  <si>
    <t xml:space="preserve">651	</t>
  </si>
  <si>
    <t>2509.TW</t>
  </si>
  <si>
    <t xml:space="preserve">652	</t>
  </si>
  <si>
    <t>2511.TW</t>
  </si>
  <si>
    <t xml:space="preserve">653	</t>
  </si>
  <si>
    <t>2514.TW</t>
  </si>
  <si>
    <t xml:space="preserve">654	</t>
  </si>
  <si>
    <t>2515.TW</t>
  </si>
  <si>
    <t xml:space="preserve">655	</t>
  </si>
  <si>
    <t xml:space="preserve">656	</t>
  </si>
  <si>
    <t>2520.TW</t>
  </si>
  <si>
    <t xml:space="preserve">657	</t>
  </si>
  <si>
    <t>2524.TW</t>
  </si>
  <si>
    <t xml:space="preserve">658	</t>
  </si>
  <si>
    <t>2527.TW</t>
  </si>
  <si>
    <t xml:space="preserve">659	</t>
  </si>
  <si>
    <t>2528.TW</t>
  </si>
  <si>
    <t xml:space="preserve">660	</t>
  </si>
  <si>
    <t>2530.TW</t>
  </si>
  <si>
    <t xml:space="preserve">661	</t>
  </si>
  <si>
    <t>2534.TW</t>
  </si>
  <si>
    <t xml:space="preserve">662	</t>
  </si>
  <si>
    <t>2535.TW</t>
  </si>
  <si>
    <t xml:space="preserve">663	</t>
  </si>
  <si>
    <t>2536.TW</t>
  </si>
  <si>
    <t xml:space="preserve">664	</t>
  </si>
  <si>
    <t>2537.TW</t>
  </si>
  <si>
    <t xml:space="preserve">665	</t>
  </si>
  <si>
    <t>2538.TW</t>
  </si>
  <si>
    <t xml:space="preserve">666	</t>
  </si>
  <si>
    <t>2539.TW</t>
  </si>
  <si>
    <t xml:space="preserve">667	</t>
  </si>
  <si>
    <t>2540.TW</t>
  </si>
  <si>
    <t xml:space="preserve">668	</t>
  </si>
  <si>
    <t>2542.TW</t>
  </si>
  <si>
    <t xml:space="preserve">669	</t>
  </si>
  <si>
    <t xml:space="preserve">670	</t>
  </si>
  <si>
    <t>2545.TW</t>
  </si>
  <si>
    <t xml:space="preserve">671	</t>
  </si>
  <si>
    <t>2546.TW</t>
  </si>
  <si>
    <t xml:space="preserve">672	</t>
  </si>
  <si>
    <t>2547.TW</t>
  </si>
  <si>
    <t xml:space="preserve">673	</t>
  </si>
  <si>
    <t>2548.TW</t>
  </si>
  <si>
    <t xml:space="preserve">674	</t>
  </si>
  <si>
    <t>2596.TW</t>
  </si>
  <si>
    <t xml:space="preserve">675	</t>
  </si>
  <si>
    <t>2597.TW</t>
  </si>
  <si>
    <t xml:space="preserve">676	</t>
  </si>
  <si>
    <t>2601.TW</t>
  </si>
  <si>
    <t xml:space="preserve">677	</t>
  </si>
  <si>
    <t>2603.TW</t>
  </si>
  <si>
    <t xml:space="preserve">678	</t>
  </si>
  <si>
    <t>2605.TW</t>
  </si>
  <si>
    <t xml:space="preserve">679	</t>
  </si>
  <si>
    <t>2606.TW</t>
  </si>
  <si>
    <t xml:space="preserve">680	</t>
  </si>
  <si>
    <t>2607.TW</t>
  </si>
  <si>
    <t xml:space="preserve">681	</t>
  </si>
  <si>
    <t>2608.TW</t>
  </si>
  <si>
    <t xml:space="preserve">682	</t>
  </si>
  <si>
    <t>2609.TW</t>
  </si>
  <si>
    <t xml:space="preserve">683	</t>
  </si>
  <si>
    <t>2610.TW</t>
  </si>
  <si>
    <t xml:space="preserve">684	</t>
  </si>
  <si>
    <t>2611.TW</t>
  </si>
  <si>
    <t xml:space="preserve">685	</t>
  </si>
  <si>
    <t>2612.TW</t>
  </si>
  <si>
    <t xml:space="preserve">686	</t>
  </si>
  <si>
    <t>2613.TW</t>
  </si>
  <si>
    <t xml:space="preserve">687	</t>
  </si>
  <si>
    <t>2614.TW</t>
  </si>
  <si>
    <t xml:space="preserve">688	</t>
  </si>
  <si>
    <t>2615.TW</t>
  </si>
  <si>
    <t xml:space="preserve">689	</t>
  </si>
  <si>
    <t>2616.TW</t>
  </si>
  <si>
    <t xml:space="preserve">690	</t>
  </si>
  <si>
    <t>2617.TW</t>
  </si>
  <si>
    <t xml:space="preserve">691	</t>
  </si>
  <si>
    <t>2618.TW</t>
  </si>
  <si>
    <t xml:space="preserve">692	</t>
  </si>
  <si>
    <t>2633.TW</t>
  </si>
  <si>
    <t xml:space="preserve">693	</t>
  </si>
  <si>
    <t>2634.TW</t>
  </si>
  <si>
    <t xml:space="preserve">694	</t>
  </si>
  <si>
    <t>2636.TW</t>
  </si>
  <si>
    <t xml:space="preserve">695	</t>
  </si>
  <si>
    <t>2637.TW</t>
  </si>
  <si>
    <t xml:space="preserve">696	</t>
  </si>
  <si>
    <t>2640.TW</t>
  </si>
  <si>
    <t xml:space="preserve">697	</t>
  </si>
  <si>
    <t>2641.TW</t>
  </si>
  <si>
    <t xml:space="preserve">698	</t>
  </si>
  <si>
    <t>2642.TW</t>
  </si>
  <si>
    <t xml:space="preserve">699	</t>
  </si>
  <si>
    <t>2643.TW</t>
  </si>
  <si>
    <t xml:space="preserve">700	</t>
  </si>
  <si>
    <t>2701.TW</t>
  </si>
  <si>
    <t xml:space="preserve">701	</t>
  </si>
  <si>
    <t xml:space="preserve">702	</t>
  </si>
  <si>
    <t>2704.TW</t>
  </si>
  <si>
    <t xml:space="preserve">703	</t>
  </si>
  <si>
    <t xml:space="preserve">704	</t>
  </si>
  <si>
    <t>2706.TW</t>
  </si>
  <si>
    <t xml:space="preserve">705	</t>
  </si>
  <si>
    <t>2707.TW</t>
  </si>
  <si>
    <t xml:space="preserve">706	</t>
  </si>
  <si>
    <t>2712.TW</t>
  </si>
  <si>
    <t xml:space="preserve">707	</t>
  </si>
  <si>
    <t xml:space="preserve">708	</t>
  </si>
  <si>
    <t>2722.TW</t>
  </si>
  <si>
    <t xml:space="preserve">709	</t>
  </si>
  <si>
    <t>2723.TW</t>
  </si>
  <si>
    <t xml:space="preserve">710	</t>
  </si>
  <si>
    <t xml:space="preserve">711	</t>
  </si>
  <si>
    <t>2726.TW</t>
  </si>
  <si>
    <t xml:space="preserve">712	</t>
  </si>
  <si>
    <t>2727.TW</t>
  </si>
  <si>
    <t xml:space="preserve">713	</t>
  </si>
  <si>
    <t>2731.TW</t>
  </si>
  <si>
    <t xml:space="preserve">714	</t>
  </si>
  <si>
    <t>2732.TW</t>
  </si>
  <si>
    <t xml:space="preserve">715	</t>
  </si>
  <si>
    <t xml:space="preserve">716	</t>
  </si>
  <si>
    <t>2736.TW</t>
  </si>
  <si>
    <t xml:space="preserve">717	</t>
  </si>
  <si>
    <t>2739.TW</t>
  </si>
  <si>
    <t xml:space="preserve">718	</t>
  </si>
  <si>
    <t>2743.TW</t>
  </si>
  <si>
    <t xml:space="preserve">719	</t>
  </si>
  <si>
    <t>2748.TW</t>
  </si>
  <si>
    <t xml:space="preserve">720	</t>
  </si>
  <si>
    <t>2754.TW</t>
  </si>
  <si>
    <t xml:space="preserve">721	</t>
  </si>
  <si>
    <t>2801.TW</t>
  </si>
  <si>
    <t xml:space="preserve">722	</t>
  </si>
  <si>
    <t>2809.TW</t>
  </si>
  <si>
    <t xml:space="preserve">723	</t>
  </si>
  <si>
    <t>2812.TW</t>
  </si>
  <si>
    <t xml:space="preserve">724	</t>
  </si>
  <si>
    <t>2816.TW</t>
  </si>
  <si>
    <t xml:space="preserve">725	</t>
  </si>
  <si>
    <t>2820.TW</t>
  </si>
  <si>
    <t xml:space="preserve">726	</t>
  </si>
  <si>
    <t>2823.TW</t>
  </si>
  <si>
    <t xml:space="preserve">727	</t>
  </si>
  <si>
    <t>2832.TW</t>
  </si>
  <si>
    <t xml:space="preserve">728	</t>
  </si>
  <si>
    <t>2834.TW</t>
  </si>
  <si>
    <t xml:space="preserve">729	</t>
  </si>
  <si>
    <t>2836.TW</t>
  </si>
  <si>
    <t xml:space="preserve">730	</t>
  </si>
  <si>
    <t>2838.TW</t>
  </si>
  <si>
    <t xml:space="preserve">731	</t>
  </si>
  <si>
    <t xml:space="preserve">732	</t>
  </si>
  <si>
    <t>2845.TW</t>
  </si>
  <si>
    <t xml:space="preserve">733	</t>
  </si>
  <si>
    <t>2849.TW</t>
  </si>
  <si>
    <t xml:space="preserve">734	</t>
  </si>
  <si>
    <t>2850.TW</t>
  </si>
  <si>
    <t xml:space="preserve">735	</t>
  </si>
  <si>
    <t>2851.TW</t>
  </si>
  <si>
    <t xml:space="preserve">736	</t>
  </si>
  <si>
    <t>2852.TW</t>
  </si>
  <si>
    <t xml:space="preserve">737	</t>
  </si>
  <si>
    <t>2855.TW</t>
  </si>
  <si>
    <t xml:space="preserve">738	</t>
  </si>
  <si>
    <t>2867.TW</t>
  </si>
  <si>
    <t xml:space="preserve">739	</t>
  </si>
  <si>
    <t>2880.TW</t>
  </si>
  <si>
    <t xml:space="preserve">740	</t>
  </si>
  <si>
    <t>2881.TW</t>
  </si>
  <si>
    <t xml:space="preserve">741	</t>
  </si>
  <si>
    <t>2882.TW</t>
  </si>
  <si>
    <t xml:space="preserve">742	</t>
  </si>
  <si>
    <t>2883.TW</t>
  </si>
  <si>
    <t xml:space="preserve">743	</t>
  </si>
  <si>
    <t>2884.TW</t>
  </si>
  <si>
    <t xml:space="preserve">744	</t>
  </si>
  <si>
    <t>2885.TW</t>
  </si>
  <si>
    <t xml:space="preserve">745	</t>
  </si>
  <si>
    <t>2886.TW</t>
  </si>
  <si>
    <t xml:space="preserve">746	</t>
  </si>
  <si>
    <t>2887.TW</t>
  </si>
  <si>
    <t xml:space="preserve">747	</t>
  </si>
  <si>
    <t>2888.TW</t>
  </si>
  <si>
    <t xml:space="preserve">748	</t>
  </si>
  <si>
    <t>2889.TW</t>
  </si>
  <si>
    <t xml:space="preserve">749	</t>
  </si>
  <si>
    <t>2890.TW</t>
  </si>
  <si>
    <t xml:space="preserve">750	</t>
  </si>
  <si>
    <t>2891.TW</t>
  </si>
  <si>
    <t xml:space="preserve">751	</t>
  </si>
  <si>
    <t>2892.TW</t>
  </si>
  <si>
    <t xml:space="preserve">752	</t>
  </si>
  <si>
    <t>2897.TW</t>
  </si>
  <si>
    <t xml:space="preserve">753	</t>
  </si>
  <si>
    <t>2901.TW</t>
  </si>
  <si>
    <t xml:space="preserve">754	</t>
  </si>
  <si>
    <t>2903.TW</t>
  </si>
  <si>
    <t xml:space="preserve">755	</t>
  </si>
  <si>
    <t>2904.TW</t>
  </si>
  <si>
    <t xml:space="preserve">756	</t>
  </si>
  <si>
    <t>2905.TW</t>
  </si>
  <si>
    <t xml:space="preserve">757	</t>
  </si>
  <si>
    <t>2906.TW</t>
  </si>
  <si>
    <t xml:space="preserve">758	</t>
  </si>
  <si>
    <t>2908.TW</t>
  </si>
  <si>
    <t xml:space="preserve">759	</t>
  </si>
  <si>
    <t>2910.TW</t>
  </si>
  <si>
    <t xml:space="preserve">760	</t>
  </si>
  <si>
    <t>2911.TW</t>
  </si>
  <si>
    <t xml:space="preserve">761	</t>
  </si>
  <si>
    <t>2912.TW</t>
  </si>
  <si>
    <t xml:space="preserve">762	</t>
  </si>
  <si>
    <t>2913.TW</t>
  </si>
  <si>
    <t xml:space="preserve">763	</t>
  </si>
  <si>
    <t>2915.TW</t>
  </si>
  <si>
    <t xml:space="preserve">764	</t>
  </si>
  <si>
    <t>2916.TW</t>
  </si>
  <si>
    <t xml:space="preserve">765	</t>
  </si>
  <si>
    <t xml:space="preserve">766	</t>
  </si>
  <si>
    <t>2926.TW</t>
  </si>
  <si>
    <t xml:space="preserve">767	</t>
  </si>
  <si>
    <t xml:space="preserve">768	</t>
  </si>
  <si>
    <t>2936.TW</t>
  </si>
  <si>
    <t xml:space="preserve">769	</t>
  </si>
  <si>
    <t xml:space="preserve">770	</t>
  </si>
  <si>
    <t>3002.TW</t>
  </si>
  <si>
    <t xml:space="preserve">771	</t>
  </si>
  <si>
    <t>3003.TW</t>
  </si>
  <si>
    <t xml:space="preserve">772	</t>
  </si>
  <si>
    <t>3004.TW</t>
  </si>
  <si>
    <t xml:space="preserve">773	</t>
  </si>
  <si>
    <t>3005.TW</t>
  </si>
  <si>
    <t xml:space="preserve">774	</t>
  </si>
  <si>
    <t>3006.TW</t>
  </si>
  <si>
    <t xml:space="preserve">775	</t>
  </si>
  <si>
    <t>3008.TW</t>
  </si>
  <si>
    <t xml:space="preserve">776	</t>
  </si>
  <si>
    <t>3010.TW</t>
  </si>
  <si>
    <t xml:space="preserve">777	</t>
  </si>
  <si>
    <t xml:space="preserve">778	</t>
  </si>
  <si>
    <t>3013.TW</t>
  </si>
  <si>
    <t xml:space="preserve">779	</t>
  </si>
  <si>
    <t>3014.TW</t>
  </si>
  <si>
    <t xml:space="preserve">780	</t>
  </si>
  <si>
    <t>3015.TW</t>
  </si>
  <si>
    <t xml:space="preserve">781	</t>
  </si>
  <si>
    <t>3016.TW</t>
  </si>
  <si>
    <t xml:space="preserve">782	</t>
  </si>
  <si>
    <t>3017.TW</t>
  </si>
  <si>
    <t xml:space="preserve">783	</t>
  </si>
  <si>
    <t xml:space="preserve">784	</t>
  </si>
  <si>
    <t>3019.TW</t>
  </si>
  <si>
    <t xml:space="preserve">785	</t>
  </si>
  <si>
    <t>3021.TW</t>
  </si>
  <si>
    <t xml:space="preserve">786	</t>
  </si>
  <si>
    <t>3022.TW</t>
  </si>
  <si>
    <t xml:space="preserve">787	</t>
  </si>
  <si>
    <t>3023.TW</t>
  </si>
  <si>
    <t xml:space="preserve">788	</t>
  </si>
  <si>
    <t xml:space="preserve">789	</t>
  </si>
  <si>
    <t>3025.TW</t>
  </si>
  <si>
    <t xml:space="preserve">790	</t>
  </si>
  <si>
    <t>3026.TW</t>
  </si>
  <si>
    <t xml:space="preserve">791	</t>
  </si>
  <si>
    <t>3027.TW</t>
  </si>
  <si>
    <t xml:space="preserve">792	</t>
  </si>
  <si>
    <t>3028.TW</t>
  </si>
  <si>
    <t xml:space="preserve">793	</t>
  </si>
  <si>
    <t>3029.TW</t>
  </si>
  <si>
    <t xml:space="preserve">794	</t>
  </si>
  <si>
    <t>3030.TW</t>
  </si>
  <si>
    <t xml:space="preserve">795	</t>
  </si>
  <si>
    <t>3031.TW</t>
  </si>
  <si>
    <t xml:space="preserve">796	</t>
  </si>
  <si>
    <t>3032.TW</t>
  </si>
  <si>
    <t xml:space="preserve">797	</t>
  </si>
  <si>
    <t>3033.TW</t>
  </si>
  <si>
    <t xml:space="preserve">798	</t>
  </si>
  <si>
    <t>3034.TW</t>
  </si>
  <si>
    <t xml:space="preserve">799	</t>
  </si>
  <si>
    <t>3035.TW</t>
  </si>
  <si>
    <t xml:space="preserve">800	</t>
  </si>
  <si>
    <t>3036.TW</t>
  </si>
  <si>
    <t xml:space="preserve">801	</t>
  </si>
  <si>
    <t>3037.TW</t>
  </si>
  <si>
    <t xml:space="preserve">802	</t>
  </si>
  <si>
    <t>3038.TW</t>
  </si>
  <si>
    <t xml:space="preserve">803	</t>
  </si>
  <si>
    <t>3040.TW</t>
  </si>
  <si>
    <t xml:space="preserve">804	</t>
  </si>
  <si>
    <t>3041.TW</t>
  </si>
  <si>
    <t xml:space="preserve">805	</t>
  </si>
  <si>
    <t>3042.TW</t>
  </si>
  <si>
    <t xml:space="preserve">806	</t>
  </si>
  <si>
    <t xml:space="preserve">807	</t>
  </si>
  <si>
    <t>3044.TW</t>
  </si>
  <si>
    <t xml:space="preserve">808	</t>
  </si>
  <si>
    <t>3045.TW</t>
  </si>
  <si>
    <t xml:space="preserve">809	</t>
  </si>
  <si>
    <t xml:space="preserve">810	</t>
  </si>
  <si>
    <t>3047.TW</t>
  </si>
  <si>
    <t xml:space="preserve">811	</t>
  </si>
  <si>
    <t>3048.TW</t>
  </si>
  <si>
    <t xml:space="preserve">812	</t>
  </si>
  <si>
    <t>3049.TW</t>
  </si>
  <si>
    <t xml:space="preserve">813	</t>
  </si>
  <si>
    <t>3050.TW</t>
  </si>
  <si>
    <t xml:space="preserve">814	</t>
  </si>
  <si>
    <t xml:space="preserve">815	</t>
  </si>
  <si>
    <t>3052.TW</t>
  </si>
  <si>
    <t xml:space="preserve">816	</t>
  </si>
  <si>
    <t>3054.TW</t>
  </si>
  <si>
    <t xml:space="preserve">817	</t>
  </si>
  <si>
    <t>3055.TW</t>
  </si>
  <si>
    <t xml:space="preserve">818	</t>
  </si>
  <si>
    <t>3056.TW</t>
  </si>
  <si>
    <t xml:space="preserve">819	</t>
  </si>
  <si>
    <t xml:space="preserve">820	</t>
  </si>
  <si>
    <t>3058.TW</t>
  </si>
  <si>
    <t xml:space="preserve">821	</t>
  </si>
  <si>
    <t>3059.TW</t>
  </si>
  <si>
    <t xml:space="preserve">822	</t>
  </si>
  <si>
    <t>3060.TW</t>
  </si>
  <si>
    <t xml:space="preserve">823	</t>
  </si>
  <si>
    <t>3062.TW</t>
  </si>
  <si>
    <t xml:space="preserve">824	</t>
  </si>
  <si>
    <t xml:space="preserve">825	</t>
  </si>
  <si>
    <t xml:space="preserve">826	</t>
  </si>
  <si>
    <t>3071.TW</t>
  </si>
  <si>
    <t xml:space="preserve">827	</t>
  </si>
  <si>
    <t xml:space="preserve">828	</t>
  </si>
  <si>
    <t>3078.TW</t>
  </si>
  <si>
    <t xml:space="preserve">829	</t>
  </si>
  <si>
    <t>3081.TW</t>
  </si>
  <si>
    <t xml:space="preserve">830	</t>
  </si>
  <si>
    <t>3083.TW</t>
  </si>
  <si>
    <t xml:space="preserve">831	</t>
  </si>
  <si>
    <t xml:space="preserve">832	</t>
  </si>
  <si>
    <t>3086.TW</t>
  </si>
  <si>
    <t xml:space="preserve">833	</t>
  </si>
  <si>
    <t>3088.TW</t>
  </si>
  <si>
    <t xml:space="preserve">834	</t>
  </si>
  <si>
    <t>3090.TW</t>
  </si>
  <si>
    <t xml:space="preserve">835	</t>
  </si>
  <si>
    <t>3092.TW</t>
  </si>
  <si>
    <t xml:space="preserve">836	</t>
  </si>
  <si>
    <t>3093.TW</t>
  </si>
  <si>
    <t xml:space="preserve">837	</t>
  </si>
  <si>
    <t>3094.TW</t>
  </si>
  <si>
    <t xml:space="preserve">838	</t>
  </si>
  <si>
    <t xml:space="preserve">839	</t>
  </si>
  <si>
    <t>3105.TW</t>
  </si>
  <si>
    <t xml:space="preserve">840	</t>
  </si>
  <si>
    <t>3114.TW</t>
  </si>
  <si>
    <t xml:space="preserve">841	</t>
  </si>
  <si>
    <t>3118.TW</t>
  </si>
  <si>
    <t xml:space="preserve">842	</t>
  </si>
  <si>
    <t>3122.TW</t>
  </si>
  <si>
    <t xml:space="preserve">843	</t>
  </si>
  <si>
    <t>3128.TW</t>
  </si>
  <si>
    <t xml:space="preserve">844	</t>
  </si>
  <si>
    <t>3130.TW</t>
  </si>
  <si>
    <t xml:space="preserve">845	</t>
  </si>
  <si>
    <t>3141.TW</t>
  </si>
  <si>
    <t xml:space="preserve">846	</t>
  </si>
  <si>
    <t>3144.TW</t>
  </si>
  <si>
    <t xml:space="preserve">847	</t>
  </si>
  <si>
    <t>3147.TW</t>
  </si>
  <si>
    <t xml:space="preserve">848	</t>
  </si>
  <si>
    <t xml:space="preserve">849	</t>
  </si>
  <si>
    <t>3152.TW</t>
  </si>
  <si>
    <t xml:space="preserve">850	</t>
  </si>
  <si>
    <t xml:space="preserve">851	</t>
  </si>
  <si>
    <t>3163.TW</t>
  </si>
  <si>
    <t xml:space="preserve">852	</t>
  </si>
  <si>
    <t>3164.TW</t>
  </si>
  <si>
    <t xml:space="preserve">853	</t>
  </si>
  <si>
    <t>3167.TW</t>
  </si>
  <si>
    <t xml:space="preserve">854	</t>
  </si>
  <si>
    <t>3169.TW</t>
  </si>
  <si>
    <t xml:space="preserve">855	</t>
  </si>
  <si>
    <t>3171.TW</t>
  </si>
  <si>
    <t xml:space="preserve">856	</t>
  </si>
  <si>
    <t>3178.TW</t>
  </si>
  <si>
    <t xml:space="preserve">857	</t>
  </si>
  <si>
    <t>3188.TW</t>
  </si>
  <si>
    <t xml:space="preserve">858	</t>
  </si>
  <si>
    <t>3189.TW</t>
  </si>
  <si>
    <t xml:space="preserve">859	</t>
  </si>
  <si>
    <t xml:space="preserve">860	</t>
  </si>
  <si>
    <t xml:space="preserve">861	</t>
  </si>
  <si>
    <t>3205.TW</t>
  </si>
  <si>
    <t xml:space="preserve">862	</t>
  </si>
  <si>
    <t>3206.TW</t>
  </si>
  <si>
    <t xml:space="preserve">863	</t>
  </si>
  <si>
    <t xml:space="preserve">864	</t>
  </si>
  <si>
    <t>3209.TW</t>
  </si>
  <si>
    <t xml:space="preserve">865	</t>
  </si>
  <si>
    <t>3211.TW</t>
  </si>
  <si>
    <t xml:space="preserve">866	</t>
  </si>
  <si>
    <t>3213.TW</t>
  </si>
  <si>
    <t xml:space="preserve">867	</t>
  </si>
  <si>
    <t>3217.TW</t>
  </si>
  <si>
    <t xml:space="preserve">868	</t>
  </si>
  <si>
    <t>3218.TW</t>
  </si>
  <si>
    <t xml:space="preserve">869	</t>
  </si>
  <si>
    <t xml:space="preserve">870	</t>
  </si>
  <si>
    <t>3221.TW</t>
  </si>
  <si>
    <t xml:space="preserve">871	</t>
  </si>
  <si>
    <t>3224.TW</t>
  </si>
  <si>
    <t xml:space="preserve">872	</t>
  </si>
  <si>
    <t>3226.TW</t>
  </si>
  <si>
    <t xml:space="preserve">873	</t>
  </si>
  <si>
    <t>3227.TW</t>
  </si>
  <si>
    <t xml:space="preserve">874	</t>
  </si>
  <si>
    <t xml:space="preserve">875	</t>
  </si>
  <si>
    <t xml:space="preserve">876	</t>
  </si>
  <si>
    <t>3231.TW</t>
  </si>
  <si>
    <t xml:space="preserve">877	</t>
  </si>
  <si>
    <t>3232.TW</t>
  </si>
  <si>
    <t xml:space="preserve">878	</t>
  </si>
  <si>
    <t>3234.TW</t>
  </si>
  <si>
    <t xml:space="preserve">879	</t>
  </si>
  <si>
    <t>3236.TW</t>
  </si>
  <si>
    <t xml:space="preserve">880	</t>
  </si>
  <si>
    <t>3252.TW</t>
  </si>
  <si>
    <t xml:space="preserve">881	</t>
  </si>
  <si>
    <t>3257.TW</t>
  </si>
  <si>
    <t xml:space="preserve">882	</t>
  </si>
  <si>
    <t xml:space="preserve">883	</t>
  </si>
  <si>
    <t>3260.TW</t>
  </si>
  <si>
    <t xml:space="preserve">884	</t>
  </si>
  <si>
    <t>3264.TW</t>
  </si>
  <si>
    <t xml:space="preserve">885	</t>
  </si>
  <si>
    <t>3265.TW</t>
  </si>
  <si>
    <t xml:space="preserve">886	</t>
  </si>
  <si>
    <t>3266.TW</t>
  </si>
  <si>
    <t xml:space="preserve">887	</t>
  </si>
  <si>
    <t>3272.TW</t>
  </si>
  <si>
    <t xml:space="preserve">888	</t>
  </si>
  <si>
    <t xml:space="preserve">889	</t>
  </si>
  <si>
    <t>3284.TW</t>
  </si>
  <si>
    <t xml:space="preserve">890	</t>
  </si>
  <si>
    <t>3285.TW</t>
  </si>
  <si>
    <t xml:space="preserve">891	</t>
  </si>
  <si>
    <t>3287.TW</t>
  </si>
  <si>
    <t xml:space="preserve">892	</t>
  </si>
  <si>
    <t xml:space="preserve">893	</t>
  </si>
  <si>
    <t>3289.TW</t>
  </si>
  <si>
    <t xml:space="preserve">894	</t>
  </si>
  <si>
    <t>3290.TW</t>
  </si>
  <si>
    <t xml:space="preserve">895	</t>
  </si>
  <si>
    <t>3293.TW</t>
  </si>
  <si>
    <t xml:space="preserve">896	</t>
  </si>
  <si>
    <t>3294.TW</t>
  </si>
  <si>
    <t xml:space="preserve">897	</t>
  </si>
  <si>
    <t>3296.TW</t>
  </si>
  <si>
    <t xml:space="preserve">898	</t>
  </si>
  <si>
    <t>3297.TW</t>
  </si>
  <si>
    <t xml:space="preserve">899	</t>
  </si>
  <si>
    <t>3303.TW</t>
  </si>
  <si>
    <t xml:space="preserve">900	</t>
  </si>
  <si>
    <t>3305.TW</t>
  </si>
  <si>
    <t xml:space="preserve">901	</t>
  </si>
  <si>
    <t>3306.TW</t>
  </si>
  <si>
    <t xml:space="preserve">902	</t>
  </si>
  <si>
    <t xml:space="preserve">903	</t>
  </si>
  <si>
    <t>3310.TW</t>
  </si>
  <si>
    <t xml:space="preserve">904	</t>
  </si>
  <si>
    <t>3311.TW</t>
  </si>
  <si>
    <t xml:space="preserve">905	</t>
  </si>
  <si>
    <t>3312.TW</t>
  </si>
  <si>
    <t xml:space="preserve">906	</t>
  </si>
  <si>
    <t xml:space="preserve">907	</t>
  </si>
  <si>
    <t>3317.TW</t>
  </si>
  <si>
    <t xml:space="preserve">908	</t>
  </si>
  <si>
    <t xml:space="preserve">909	</t>
  </si>
  <si>
    <t xml:space="preserve">910	</t>
  </si>
  <si>
    <t>3323.TW</t>
  </si>
  <si>
    <t xml:space="preserve">911	</t>
  </si>
  <si>
    <t>3324.TW</t>
  </si>
  <si>
    <t xml:space="preserve">912	</t>
  </si>
  <si>
    <t>3325.TW</t>
  </si>
  <si>
    <t xml:space="preserve">913	</t>
  </si>
  <si>
    <t>3332.TW</t>
  </si>
  <si>
    <t xml:space="preserve">914	</t>
  </si>
  <si>
    <t>3338.TW</t>
  </si>
  <si>
    <t xml:space="preserve">915	</t>
  </si>
  <si>
    <t xml:space="preserve">916	</t>
  </si>
  <si>
    <t>3346.TW</t>
  </si>
  <si>
    <t xml:space="preserve">917	</t>
  </si>
  <si>
    <t>3354.TW</t>
  </si>
  <si>
    <t xml:space="preserve">918	</t>
  </si>
  <si>
    <t>3356.TW</t>
  </si>
  <si>
    <t xml:space="preserve">919	</t>
  </si>
  <si>
    <t>3360.TW</t>
  </si>
  <si>
    <t xml:space="preserve">920	</t>
  </si>
  <si>
    <t>3362.TW</t>
  </si>
  <si>
    <t xml:space="preserve">921	</t>
  </si>
  <si>
    <t>3363.TW</t>
  </si>
  <si>
    <t xml:space="preserve">922	</t>
  </si>
  <si>
    <t>3372.TW</t>
  </si>
  <si>
    <t xml:space="preserve">923	</t>
  </si>
  <si>
    <t>3373.TW</t>
  </si>
  <si>
    <t xml:space="preserve">924	</t>
  </si>
  <si>
    <t>3374.TW</t>
  </si>
  <si>
    <t xml:space="preserve">925	</t>
  </si>
  <si>
    <t>3376.TW</t>
  </si>
  <si>
    <t xml:space="preserve">926	</t>
  </si>
  <si>
    <t>3379.TW</t>
  </si>
  <si>
    <t xml:space="preserve">927	</t>
  </si>
  <si>
    <t>3380.TW</t>
  </si>
  <si>
    <t xml:space="preserve">928	</t>
  </si>
  <si>
    <t xml:space="preserve">929	</t>
  </si>
  <si>
    <t>3388.TW</t>
  </si>
  <si>
    <t xml:space="preserve">930	</t>
  </si>
  <si>
    <t>3390.TW</t>
  </si>
  <si>
    <t xml:space="preserve">931	</t>
  </si>
  <si>
    <t>3402.TW</t>
  </si>
  <si>
    <t xml:space="preserve">932	</t>
  </si>
  <si>
    <t>3406.TW</t>
  </si>
  <si>
    <t xml:space="preserve">933	</t>
  </si>
  <si>
    <t>3413.TW</t>
  </si>
  <si>
    <t xml:space="preserve">934	</t>
  </si>
  <si>
    <t>3416.TW</t>
  </si>
  <si>
    <t xml:space="preserve">935	</t>
  </si>
  <si>
    <t>3419.TW</t>
  </si>
  <si>
    <t xml:space="preserve">936	</t>
  </si>
  <si>
    <t>3432.TW</t>
  </si>
  <si>
    <t xml:space="preserve">937	</t>
  </si>
  <si>
    <t>3434.TW</t>
  </si>
  <si>
    <t xml:space="preserve">938	</t>
  </si>
  <si>
    <t>3437.TW</t>
  </si>
  <si>
    <t xml:space="preserve">939	</t>
  </si>
  <si>
    <t>3438.TW</t>
  </si>
  <si>
    <t xml:space="preserve">940	</t>
  </si>
  <si>
    <t>3441.TW</t>
  </si>
  <si>
    <t xml:space="preserve">941	</t>
  </si>
  <si>
    <t>3443.TW</t>
  </si>
  <si>
    <t xml:space="preserve">942	</t>
  </si>
  <si>
    <t>3444.TW</t>
  </si>
  <si>
    <t xml:space="preserve">943	</t>
  </si>
  <si>
    <t>3450.TW</t>
  </si>
  <si>
    <t xml:space="preserve">944	</t>
  </si>
  <si>
    <t>3454.TW</t>
  </si>
  <si>
    <t xml:space="preserve">945	</t>
  </si>
  <si>
    <t>3455.TW</t>
  </si>
  <si>
    <t xml:space="preserve">946	</t>
  </si>
  <si>
    <t>3466.TW</t>
  </si>
  <si>
    <t xml:space="preserve">947	</t>
  </si>
  <si>
    <t>3479.TW</t>
  </si>
  <si>
    <t xml:space="preserve">948	</t>
  </si>
  <si>
    <t>3481.TW</t>
  </si>
  <si>
    <t xml:space="preserve">949	</t>
  </si>
  <si>
    <t>3483.TW</t>
  </si>
  <si>
    <t xml:space="preserve">950	</t>
  </si>
  <si>
    <t>3484.TW</t>
  </si>
  <si>
    <t xml:space="preserve">951	</t>
  </si>
  <si>
    <t>3489.TW</t>
  </si>
  <si>
    <t xml:space="preserve">952	</t>
  </si>
  <si>
    <t>3490.TW</t>
  </si>
  <si>
    <t xml:space="preserve">953	</t>
  </si>
  <si>
    <t>3491.TW</t>
  </si>
  <si>
    <t xml:space="preserve">954	</t>
  </si>
  <si>
    <t>3492.TW</t>
  </si>
  <si>
    <t xml:space="preserve">955	</t>
  </si>
  <si>
    <t xml:space="preserve">956	</t>
  </si>
  <si>
    <t>3498.TW</t>
  </si>
  <si>
    <t xml:space="preserve">957	</t>
  </si>
  <si>
    <t>3499.TW</t>
  </si>
  <si>
    <t xml:space="preserve">958	</t>
  </si>
  <si>
    <t>3501.TW</t>
  </si>
  <si>
    <t xml:space="preserve">959	</t>
  </si>
  <si>
    <t>3504.TW</t>
  </si>
  <si>
    <t xml:space="preserve">960	</t>
  </si>
  <si>
    <t>3508.TW</t>
  </si>
  <si>
    <t xml:space="preserve">961	</t>
  </si>
  <si>
    <t>3511.TW</t>
  </si>
  <si>
    <t xml:space="preserve">962	</t>
  </si>
  <si>
    <t>3512.TW</t>
  </si>
  <si>
    <t xml:space="preserve">963	</t>
  </si>
  <si>
    <t>3515.TW</t>
  </si>
  <si>
    <t xml:space="preserve">964	</t>
  </si>
  <si>
    <t>3516.TW</t>
  </si>
  <si>
    <t xml:space="preserve">965	</t>
  </si>
  <si>
    <t>3518.TW</t>
  </si>
  <si>
    <t xml:space="preserve">966	</t>
  </si>
  <si>
    <t xml:space="preserve">967	</t>
  </si>
  <si>
    <t>3521.TW</t>
  </si>
  <si>
    <t xml:space="preserve">968	</t>
  </si>
  <si>
    <t>3522.TW</t>
  </si>
  <si>
    <t xml:space="preserve">969	</t>
  </si>
  <si>
    <t xml:space="preserve">970	</t>
  </si>
  <si>
    <t>3526.TW</t>
  </si>
  <si>
    <t xml:space="preserve">971	</t>
  </si>
  <si>
    <t>3527.TW</t>
  </si>
  <si>
    <t xml:space="preserve">972	</t>
  </si>
  <si>
    <t>3528.TW</t>
  </si>
  <si>
    <t xml:space="preserve">973	</t>
  </si>
  <si>
    <t>3529.TW</t>
  </si>
  <si>
    <t xml:space="preserve">974	</t>
  </si>
  <si>
    <t>3530.TW</t>
  </si>
  <si>
    <t xml:space="preserve">975	</t>
  </si>
  <si>
    <t>3531.TW</t>
  </si>
  <si>
    <t xml:space="preserve">976	</t>
  </si>
  <si>
    <t>3532.TW</t>
  </si>
  <si>
    <t xml:space="preserve">977	</t>
  </si>
  <si>
    <t>3533.TW</t>
  </si>
  <si>
    <t xml:space="preserve">978	</t>
  </si>
  <si>
    <t>3535.TW</t>
  </si>
  <si>
    <t xml:space="preserve">979	</t>
  </si>
  <si>
    <t xml:space="preserve">980	</t>
  </si>
  <si>
    <t>3537.TW</t>
  </si>
  <si>
    <t xml:space="preserve">981	</t>
  </si>
  <si>
    <t>3540.TW</t>
  </si>
  <si>
    <t xml:space="preserve">982	</t>
  </si>
  <si>
    <t>3541.TW</t>
  </si>
  <si>
    <t xml:space="preserve">983	</t>
  </si>
  <si>
    <t>3543.TW</t>
  </si>
  <si>
    <t xml:space="preserve">984	</t>
  </si>
  <si>
    <t>3545.TW</t>
  </si>
  <si>
    <t xml:space="preserve">985	</t>
  </si>
  <si>
    <t>3546.TW</t>
  </si>
  <si>
    <t xml:space="preserve">986	</t>
  </si>
  <si>
    <t>3548.TW</t>
  </si>
  <si>
    <t xml:space="preserve">987	</t>
  </si>
  <si>
    <t>3550.TW</t>
  </si>
  <si>
    <t xml:space="preserve">988	</t>
  </si>
  <si>
    <t>3551.TW</t>
  </si>
  <si>
    <t xml:space="preserve">989	</t>
  </si>
  <si>
    <t>3552.TW</t>
  </si>
  <si>
    <t xml:space="preserve">990	</t>
  </si>
  <si>
    <t xml:space="preserve">991	</t>
  </si>
  <si>
    <t>3556.TW</t>
  </si>
  <si>
    <t xml:space="preserve">992	</t>
  </si>
  <si>
    <t>3557.TW</t>
  </si>
  <si>
    <t xml:space="preserve">993	</t>
  </si>
  <si>
    <t>3558.TW</t>
  </si>
  <si>
    <t xml:space="preserve">994	</t>
  </si>
  <si>
    <t>3563.TW</t>
  </si>
  <si>
    <t xml:space="preserve">995	</t>
  </si>
  <si>
    <t>3567.TW</t>
  </si>
  <si>
    <t xml:space="preserve">996	</t>
  </si>
  <si>
    <t xml:space="preserve">997	</t>
  </si>
  <si>
    <t>3577.TW</t>
  </si>
  <si>
    <t xml:space="preserve">998	</t>
  </si>
  <si>
    <t>3580.TW</t>
  </si>
  <si>
    <t xml:space="preserve">999	</t>
  </si>
  <si>
    <t>3581.TW</t>
  </si>
  <si>
    <t xml:space="preserve">1000	</t>
  </si>
  <si>
    <t>3583.TW</t>
  </si>
  <si>
    <t xml:space="preserve">1001	</t>
  </si>
  <si>
    <t>3587.TW</t>
  </si>
  <si>
    <t xml:space="preserve">1002	</t>
  </si>
  <si>
    <t>3588.TW</t>
  </si>
  <si>
    <t xml:space="preserve">1003	</t>
  </si>
  <si>
    <t>3591.TW</t>
  </si>
  <si>
    <t xml:space="preserve">1004	</t>
  </si>
  <si>
    <t xml:space="preserve">1005	</t>
  </si>
  <si>
    <t>3594.TW</t>
  </si>
  <si>
    <t xml:space="preserve">1006	</t>
  </si>
  <si>
    <t>3596.TW</t>
  </si>
  <si>
    <t xml:space="preserve">1007	</t>
  </si>
  <si>
    <t>3597.TW</t>
  </si>
  <si>
    <t xml:space="preserve">1008	</t>
  </si>
  <si>
    <t>3605.TW</t>
  </si>
  <si>
    <t xml:space="preserve">1009	</t>
  </si>
  <si>
    <t>3607.TW</t>
  </si>
  <si>
    <t xml:space="preserve">1010	</t>
  </si>
  <si>
    <t>3609.TW</t>
  </si>
  <si>
    <t xml:space="preserve">1011	</t>
  </si>
  <si>
    <t>3611.TW</t>
  </si>
  <si>
    <t xml:space="preserve">1012	</t>
  </si>
  <si>
    <t>3615.TW</t>
  </si>
  <si>
    <t xml:space="preserve">1013	</t>
  </si>
  <si>
    <t>3617.TW</t>
  </si>
  <si>
    <t xml:space="preserve">1014	</t>
  </si>
  <si>
    <t>3622.TW</t>
  </si>
  <si>
    <t xml:space="preserve">1015	</t>
  </si>
  <si>
    <t>3623.TW</t>
  </si>
  <si>
    <t xml:space="preserve">1016	</t>
  </si>
  <si>
    <t>3624.TW</t>
  </si>
  <si>
    <t xml:space="preserve">1017	</t>
  </si>
  <si>
    <t>3625.TW</t>
  </si>
  <si>
    <t xml:space="preserve">1018	</t>
  </si>
  <si>
    <t>3628.TW</t>
  </si>
  <si>
    <t xml:space="preserve">1019	</t>
  </si>
  <si>
    <t>3630.TW</t>
  </si>
  <si>
    <t xml:space="preserve">1020	</t>
  </si>
  <si>
    <t>3631.TW</t>
  </si>
  <si>
    <t xml:space="preserve">1021	</t>
  </si>
  <si>
    <t xml:space="preserve">1022	</t>
  </si>
  <si>
    <t xml:space="preserve">1023	</t>
  </si>
  <si>
    <t>3645.TW</t>
  </si>
  <si>
    <t xml:space="preserve">1024	</t>
  </si>
  <si>
    <t>3646.TW</t>
  </si>
  <si>
    <t xml:space="preserve">1025	</t>
  </si>
  <si>
    <t>3652.TW</t>
  </si>
  <si>
    <t xml:space="preserve">1026	</t>
  </si>
  <si>
    <t>3653.TW</t>
  </si>
  <si>
    <t xml:space="preserve">1027	</t>
  </si>
  <si>
    <t>3661.TW</t>
  </si>
  <si>
    <t xml:space="preserve">1028	</t>
  </si>
  <si>
    <t>3663.TW</t>
  </si>
  <si>
    <t xml:space="preserve">1029	</t>
  </si>
  <si>
    <t>3664.TW</t>
  </si>
  <si>
    <t xml:space="preserve">1030	</t>
  </si>
  <si>
    <t>3665.TW</t>
  </si>
  <si>
    <t xml:space="preserve">1031	</t>
  </si>
  <si>
    <t>3666.TW</t>
  </si>
  <si>
    <t xml:space="preserve">1032	</t>
  </si>
  <si>
    <t>3669.TW</t>
  </si>
  <si>
    <t xml:space="preserve">1033	</t>
  </si>
  <si>
    <t>3672.TW</t>
  </si>
  <si>
    <t xml:space="preserve">1034	</t>
  </si>
  <si>
    <t>3673.TW</t>
  </si>
  <si>
    <t>TPK-KY</t>
  </si>
  <si>
    <t xml:space="preserve">1035	</t>
  </si>
  <si>
    <t>3675.TW</t>
  </si>
  <si>
    <t xml:space="preserve">1036	</t>
  </si>
  <si>
    <t>3679.TW</t>
  </si>
  <si>
    <t xml:space="preserve">1037	</t>
  </si>
  <si>
    <t>3680.TW</t>
  </si>
  <si>
    <t xml:space="preserve">1038	</t>
  </si>
  <si>
    <t xml:space="preserve">1039	</t>
  </si>
  <si>
    <t>3685.TW</t>
  </si>
  <si>
    <t xml:space="preserve">1040	</t>
  </si>
  <si>
    <t xml:space="preserve">1041	</t>
  </si>
  <si>
    <t>3687.TW</t>
  </si>
  <si>
    <t xml:space="preserve">1042	</t>
  </si>
  <si>
    <t>3689.TW</t>
  </si>
  <si>
    <t xml:space="preserve">1043	</t>
  </si>
  <si>
    <t>3691.TW</t>
  </si>
  <si>
    <t xml:space="preserve">1044	</t>
  </si>
  <si>
    <t>3693.TW</t>
  </si>
  <si>
    <t xml:space="preserve">1045	</t>
  </si>
  <si>
    <t>3694.TW</t>
  </si>
  <si>
    <t xml:space="preserve">1046	</t>
  </si>
  <si>
    <t>3702.TW</t>
  </si>
  <si>
    <t xml:space="preserve">1047	</t>
  </si>
  <si>
    <t>3703.TW</t>
  </si>
  <si>
    <t xml:space="preserve">1048	</t>
  </si>
  <si>
    <t>3704.TW</t>
  </si>
  <si>
    <t xml:space="preserve">1049	</t>
  </si>
  <si>
    <t>3705.TW</t>
  </si>
  <si>
    <t xml:space="preserve">1050	</t>
  </si>
  <si>
    <t>3706.TW</t>
  </si>
  <si>
    <t xml:space="preserve">1051	</t>
  </si>
  <si>
    <t>3707.TW</t>
  </si>
  <si>
    <t xml:space="preserve">1052	</t>
  </si>
  <si>
    <t>3708.TW</t>
  </si>
  <si>
    <t xml:space="preserve">1053	</t>
  </si>
  <si>
    <t>3709.TW</t>
  </si>
  <si>
    <t xml:space="preserve">1054	</t>
  </si>
  <si>
    <t>3710.TW</t>
  </si>
  <si>
    <t xml:space="preserve">1055	</t>
  </si>
  <si>
    <t>3711.TW</t>
  </si>
  <si>
    <t xml:space="preserve">1056	</t>
  </si>
  <si>
    <t>3712.TW</t>
  </si>
  <si>
    <t xml:space="preserve">1057	</t>
  </si>
  <si>
    <t>3714.TW</t>
  </si>
  <si>
    <t xml:space="preserve">1058	</t>
  </si>
  <si>
    <t>4102.TW</t>
  </si>
  <si>
    <t xml:space="preserve">1059	</t>
  </si>
  <si>
    <t>4104.TW</t>
  </si>
  <si>
    <t xml:space="preserve">1060	</t>
  </si>
  <si>
    <t>4105.TW</t>
  </si>
  <si>
    <t xml:space="preserve">1061	</t>
  </si>
  <si>
    <t>4106.TW</t>
  </si>
  <si>
    <t xml:space="preserve">1062	</t>
  </si>
  <si>
    <t>4107.TW</t>
  </si>
  <si>
    <t xml:space="preserve">1063	</t>
  </si>
  <si>
    <t xml:space="preserve">1064	</t>
  </si>
  <si>
    <t>4109.TW</t>
  </si>
  <si>
    <t xml:space="preserve">1065	</t>
  </si>
  <si>
    <t>4111.TW</t>
  </si>
  <si>
    <t xml:space="preserve">1066	</t>
  </si>
  <si>
    <t>4113.TW</t>
  </si>
  <si>
    <t xml:space="preserve">1067	</t>
  </si>
  <si>
    <t>4114.TW</t>
  </si>
  <si>
    <t xml:space="preserve">1068	</t>
  </si>
  <si>
    <t>4116.TW</t>
  </si>
  <si>
    <t xml:space="preserve">1069	</t>
  </si>
  <si>
    <t>4119.TW</t>
  </si>
  <si>
    <t xml:space="preserve">1070	</t>
  </si>
  <si>
    <t>4120.TW</t>
  </si>
  <si>
    <t xml:space="preserve">1071	</t>
  </si>
  <si>
    <t>4121.TW</t>
  </si>
  <si>
    <t xml:space="preserve">1072	</t>
  </si>
  <si>
    <t>4123.TW</t>
  </si>
  <si>
    <t xml:space="preserve">1073	</t>
  </si>
  <si>
    <t>4126.TW</t>
  </si>
  <si>
    <t xml:space="preserve">1074	</t>
  </si>
  <si>
    <t xml:space="preserve">1075	</t>
  </si>
  <si>
    <t>4129.TW</t>
  </si>
  <si>
    <t xml:space="preserve">1076	</t>
  </si>
  <si>
    <t>4130.TW</t>
  </si>
  <si>
    <t xml:space="preserve">1077	</t>
  </si>
  <si>
    <t>4133.TW</t>
  </si>
  <si>
    <t xml:space="preserve">1078	</t>
  </si>
  <si>
    <t>4137.TW</t>
  </si>
  <si>
    <t xml:space="preserve">1079	</t>
  </si>
  <si>
    <t>4138.TW</t>
  </si>
  <si>
    <t xml:space="preserve">1080	</t>
  </si>
  <si>
    <t>4139.TW</t>
  </si>
  <si>
    <t xml:space="preserve">1081	</t>
  </si>
  <si>
    <t>4141.TW</t>
  </si>
  <si>
    <t xml:space="preserve">1082	</t>
  </si>
  <si>
    <t>4142.TW</t>
  </si>
  <si>
    <t xml:space="preserve">1083	</t>
  </si>
  <si>
    <t>4148.TW</t>
  </si>
  <si>
    <t xml:space="preserve">1084	</t>
  </si>
  <si>
    <t>4153.TW</t>
  </si>
  <si>
    <t xml:space="preserve">1085	</t>
  </si>
  <si>
    <t>4155.TW</t>
  </si>
  <si>
    <t xml:space="preserve">1086	</t>
  </si>
  <si>
    <t xml:space="preserve">1087	</t>
  </si>
  <si>
    <t>4161.TW</t>
  </si>
  <si>
    <t xml:space="preserve">1088	</t>
  </si>
  <si>
    <t>4162.TW</t>
  </si>
  <si>
    <t xml:space="preserve">1089	</t>
  </si>
  <si>
    <t>4163.TW</t>
  </si>
  <si>
    <t xml:space="preserve">1090	</t>
  </si>
  <si>
    <t>4164.TW</t>
  </si>
  <si>
    <t xml:space="preserve">1091	</t>
  </si>
  <si>
    <t>4168.TW</t>
  </si>
  <si>
    <t xml:space="preserve">1092	</t>
  </si>
  <si>
    <t>4171.TW</t>
  </si>
  <si>
    <t xml:space="preserve">1093	</t>
  </si>
  <si>
    <t>4173.TW</t>
  </si>
  <si>
    <t xml:space="preserve">1094	</t>
  </si>
  <si>
    <t>4174.TW</t>
  </si>
  <si>
    <t xml:space="preserve">1095	</t>
  </si>
  <si>
    <t>4175.TW</t>
  </si>
  <si>
    <t xml:space="preserve">1096	</t>
  </si>
  <si>
    <t>4190.TW</t>
  </si>
  <si>
    <t xml:space="preserve">1097	</t>
  </si>
  <si>
    <t>4205.TW</t>
  </si>
  <si>
    <t xml:space="preserve">1098	</t>
  </si>
  <si>
    <t>4207.TW</t>
  </si>
  <si>
    <t xml:space="preserve">1099	</t>
  </si>
  <si>
    <t>4303.TW</t>
  </si>
  <si>
    <t xml:space="preserve">1100	</t>
  </si>
  <si>
    <t xml:space="preserve">1101	</t>
  </si>
  <si>
    <t>4305.TW</t>
  </si>
  <si>
    <t xml:space="preserve">1102	</t>
  </si>
  <si>
    <t>4306.TW</t>
  </si>
  <si>
    <t xml:space="preserve">1103	</t>
  </si>
  <si>
    <t>4401.TW</t>
  </si>
  <si>
    <t xml:space="preserve">1104	</t>
  </si>
  <si>
    <t>4406.TW</t>
  </si>
  <si>
    <t xml:space="preserve">1105	</t>
  </si>
  <si>
    <t xml:space="preserve">1106	</t>
  </si>
  <si>
    <t>4414.TW</t>
  </si>
  <si>
    <t xml:space="preserve">1107	</t>
  </si>
  <si>
    <t>4416.TW</t>
  </si>
  <si>
    <t xml:space="preserve">1108	</t>
  </si>
  <si>
    <t>4417.TW</t>
  </si>
  <si>
    <t xml:space="preserve">1109	</t>
  </si>
  <si>
    <t>4420.TW</t>
  </si>
  <si>
    <t xml:space="preserve">1110	</t>
  </si>
  <si>
    <t>4426.TW</t>
  </si>
  <si>
    <t xml:space="preserve">1111	</t>
  </si>
  <si>
    <t>4429.TW</t>
  </si>
  <si>
    <t xml:space="preserve">1112	</t>
  </si>
  <si>
    <t>4430.TW</t>
  </si>
  <si>
    <t xml:space="preserve">1113	</t>
  </si>
  <si>
    <t>4432.TW</t>
  </si>
  <si>
    <t xml:space="preserve">1114	</t>
  </si>
  <si>
    <t>4433.TW</t>
  </si>
  <si>
    <t xml:space="preserve">1115	</t>
  </si>
  <si>
    <t>4438.TW</t>
  </si>
  <si>
    <t xml:space="preserve">1116	</t>
  </si>
  <si>
    <t>4439.TW</t>
  </si>
  <si>
    <t xml:space="preserve">1117	</t>
  </si>
  <si>
    <t>4502.TW</t>
  </si>
  <si>
    <t xml:space="preserve">1118	</t>
  </si>
  <si>
    <t>4503.TW</t>
  </si>
  <si>
    <t xml:space="preserve">1119	</t>
  </si>
  <si>
    <t>4506.TW</t>
  </si>
  <si>
    <t xml:space="preserve">1120	</t>
  </si>
  <si>
    <t>4510.TW</t>
  </si>
  <si>
    <t xml:space="preserve">1121	</t>
  </si>
  <si>
    <t>4513.TW</t>
  </si>
  <si>
    <t xml:space="preserve">1122	</t>
  </si>
  <si>
    <t>4523.TW</t>
  </si>
  <si>
    <t xml:space="preserve">1123	</t>
  </si>
  <si>
    <t>4526.TW</t>
  </si>
  <si>
    <t xml:space="preserve">1124	</t>
  </si>
  <si>
    <t>4527.TW</t>
  </si>
  <si>
    <t xml:space="preserve">1125	</t>
  </si>
  <si>
    <t>4528.TW</t>
  </si>
  <si>
    <t xml:space="preserve">1126	</t>
  </si>
  <si>
    <t xml:space="preserve">1127	</t>
  </si>
  <si>
    <t xml:space="preserve">1128	</t>
  </si>
  <si>
    <t>4532.TW</t>
  </si>
  <si>
    <t xml:space="preserve">1129	</t>
  </si>
  <si>
    <t>4533.TW</t>
  </si>
  <si>
    <t xml:space="preserve">1130	</t>
  </si>
  <si>
    <t>4534.TW</t>
  </si>
  <si>
    <t xml:space="preserve">1131	</t>
  </si>
  <si>
    <t>4535.TW</t>
  </si>
  <si>
    <t xml:space="preserve">1132	</t>
  </si>
  <si>
    <t>4536.TW</t>
  </si>
  <si>
    <t xml:space="preserve">1133	</t>
  </si>
  <si>
    <t>4538.TW</t>
  </si>
  <si>
    <t xml:space="preserve">1134	</t>
  </si>
  <si>
    <t>4540.TW</t>
  </si>
  <si>
    <t xml:space="preserve">1135	</t>
  </si>
  <si>
    <t>4541.TW</t>
  </si>
  <si>
    <t xml:space="preserve">1136	</t>
  </si>
  <si>
    <t>4543.TW</t>
  </si>
  <si>
    <t xml:space="preserve">1137	</t>
  </si>
  <si>
    <t>4545.TW</t>
  </si>
  <si>
    <t xml:space="preserve">1138	</t>
  </si>
  <si>
    <t>4549.TW</t>
  </si>
  <si>
    <t xml:space="preserve">1139	</t>
  </si>
  <si>
    <t>4550.TW</t>
  </si>
  <si>
    <t xml:space="preserve">1140	</t>
  </si>
  <si>
    <t>4551.TW</t>
  </si>
  <si>
    <t xml:space="preserve">1141	</t>
  </si>
  <si>
    <t>4552.TW</t>
  </si>
  <si>
    <t xml:space="preserve">1142	</t>
  </si>
  <si>
    <t>4555.TW</t>
  </si>
  <si>
    <t xml:space="preserve">1143	</t>
  </si>
  <si>
    <t>4556.TW</t>
  </si>
  <si>
    <t xml:space="preserve">1144	</t>
  </si>
  <si>
    <t>4557.TW</t>
  </si>
  <si>
    <t xml:space="preserve">1145	</t>
  </si>
  <si>
    <t>4560.TW</t>
  </si>
  <si>
    <t xml:space="preserve">1146	</t>
  </si>
  <si>
    <t>4561.TW</t>
  </si>
  <si>
    <t xml:space="preserve">1147	</t>
  </si>
  <si>
    <t>4562.TW</t>
  </si>
  <si>
    <t xml:space="preserve">1148	</t>
  </si>
  <si>
    <t>4563.TW</t>
  </si>
  <si>
    <t xml:space="preserve">1149	</t>
  </si>
  <si>
    <t>4564.TW</t>
  </si>
  <si>
    <t xml:space="preserve">1150	</t>
  </si>
  <si>
    <t>4566.TW</t>
  </si>
  <si>
    <t xml:space="preserve">1151	</t>
  </si>
  <si>
    <t>4568.TW</t>
  </si>
  <si>
    <t xml:space="preserve">1152	</t>
  </si>
  <si>
    <t>4571.TW</t>
  </si>
  <si>
    <t xml:space="preserve">1153	</t>
  </si>
  <si>
    <t>4572.TW</t>
  </si>
  <si>
    <t xml:space="preserve">1154	</t>
  </si>
  <si>
    <t>4576.TW</t>
  </si>
  <si>
    <t xml:space="preserve">1155	</t>
  </si>
  <si>
    <t>4580.TW</t>
  </si>
  <si>
    <t xml:space="preserve">1156	</t>
  </si>
  <si>
    <t>4581.TW</t>
  </si>
  <si>
    <t xml:space="preserve">1157	</t>
  </si>
  <si>
    <t xml:space="preserve">1158	</t>
  </si>
  <si>
    <t>4702.TW</t>
  </si>
  <si>
    <t xml:space="preserve">1159	</t>
  </si>
  <si>
    <t>4706.TW</t>
  </si>
  <si>
    <t xml:space="preserve">1160	</t>
  </si>
  <si>
    <t>4707.TW</t>
  </si>
  <si>
    <t xml:space="preserve">1161	</t>
  </si>
  <si>
    <t>4711.TW</t>
  </si>
  <si>
    <t xml:space="preserve">1162	</t>
  </si>
  <si>
    <t xml:space="preserve">1163	</t>
  </si>
  <si>
    <t>4714.TW</t>
  </si>
  <si>
    <t xml:space="preserve">1164	</t>
  </si>
  <si>
    <t>4716.TW</t>
  </si>
  <si>
    <t xml:space="preserve">1165	</t>
  </si>
  <si>
    <t>4720.TW</t>
  </si>
  <si>
    <t xml:space="preserve">1166	</t>
  </si>
  <si>
    <t>4721.TW</t>
  </si>
  <si>
    <t xml:space="preserve">1167	</t>
  </si>
  <si>
    <t>4722.TW</t>
  </si>
  <si>
    <t xml:space="preserve">1168	</t>
  </si>
  <si>
    <t>4728.TW</t>
  </si>
  <si>
    <t xml:space="preserve">1169	</t>
  </si>
  <si>
    <t>4735.TW</t>
  </si>
  <si>
    <t xml:space="preserve">1170	</t>
  </si>
  <si>
    <t>4736.TW</t>
  </si>
  <si>
    <t xml:space="preserve">1171	</t>
  </si>
  <si>
    <t>4737.TW</t>
  </si>
  <si>
    <t xml:space="preserve">1172	</t>
  </si>
  <si>
    <t>4739.TW</t>
  </si>
  <si>
    <t xml:space="preserve">1173	</t>
  </si>
  <si>
    <t>4741.TW</t>
  </si>
  <si>
    <t xml:space="preserve">1174	</t>
  </si>
  <si>
    <t>4744.TW</t>
  </si>
  <si>
    <t xml:space="preserve">1175	</t>
  </si>
  <si>
    <t>4745.TW</t>
  </si>
  <si>
    <t xml:space="preserve">1176	</t>
  </si>
  <si>
    <t>4746.TW</t>
  </si>
  <si>
    <t xml:space="preserve">1177	</t>
  </si>
  <si>
    <t>4747.TW</t>
  </si>
  <si>
    <t xml:space="preserve">1178	</t>
  </si>
  <si>
    <t>4755.TW</t>
  </si>
  <si>
    <t xml:space="preserve">1179	</t>
  </si>
  <si>
    <t>4760.TW</t>
  </si>
  <si>
    <t xml:space="preserve">1180	</t>
  </si>
  <si>
    <t>4763.TW</t>
  </si>
  <si>
    <t xml:space="preserve">1181	</t>
  </si>
  <si>
    <t>4764.TW</t>
  </si>
  <si>
    <t xml:space="preserve">1182	</t>
  </si>
  <si>
    <t>4766.TW</t>
  </si>
  <si>
    <t xml:space="preserve">1183	</t>
  </si>
  <si>
    <t>4803.TW</t>
  </si>
  <si>
    <t>VHQ-KY</t>
  </si>
  <si>
    <t xml:space="preserve">1184	</t>
  </si>
  <si>
    <t>4804.TW</t>
  </si>
  <si>
    <t xml:space="preserve">1185	</t>
  </si>
  <si>
    <t xml:space="preserve">1186	</t>
  </si>
  <si>
    <t>4807.TW</t>
  </si>
  <si>
    <t xml:space="preserve">1187	</t>
  </si>
  <si>
    <t xml:space="preserve">1188	</t>
  </si>
  <si>
    <t>4904.TW</t>
  </si>
  <si>
    <t xml:space="preserve">1189	</t>
  </si>
  <si>
    <t>4905.TW</t>
  </si>
  <si>
    <t xml:space="preserve">1190	</t>
  </si>
  <si>
    <t>4906.TW</t>
  </si>
  <si>
    <t xml:space="preserve">1191	</t>
  </si>
  <si>
    <t>4907.TW</t>
  </si>
  <si>
    <t xml:space="preserve">1192	</t>
  </si>
  <si>
    <t>4908.TW</t>
  </si>
  <si>
    <t xml:space="preserve">1193	</t>
  </si>
  <si>
    <t>4909.TW</t>
  </si>
  <si>
    <t xml:space="preserve">1194	</t>
  </si>
  <si>
    <t>4912.TW</t>
  </si>
  <si>
    <t xml:space="preserve">1195	</t>
  </si>
  <si>
    <t>4915.TW</t>
  </si>
  <si>
    <t xml:space="preserve">1196	</t>
  </si>
  <si>
    <t>4916.TW</t>
  </si>
  <si>
    <t xml:space="preserve">1197	</t>
  </si>
  <si>
    <t>4919.TW</t>
  </si>
  <si>
    <t xml:space="preserve">1198	</t>
  </si>
  <si>
    <t xml:space="preserve">1199	</t>
  </si>
  <si>
    <t>4927.TW</t>
  </si>
  <si>
    <t xml:space="preserve">1200	</t>
  </si>
  <si>
    <t>4930.TW</t>
  </si>
  <si>
    <t xml:space="preserve">1201	</t>
  </si>
  <si>
    <t>4931.TW</t>
  </si>
  <si>
    <t xml:space="preserve">1202	</t>
  </si>
  <si>
    <t>4933.TW</t>
  </si>
  <si>
    <t xml:space="preserve">1203	</t>
  </si>
  <si>
    <t xml:space="preserve">1204	</t>
  </si>
  <si>
    <t>4935.TW</t>
  </si>
  <si>
    <t xml:space="preserve">1205	</t>
  </si>
  <si>
    <t>4938.TW</t>
  </si>
  <si>
    <t xml:space="preserve">1206	</t>
  </si>
  <si>
    <t>4939.TW</t>
  </si>
  <si>
    <t xml:space="preserve">1207	</t>
  </si>
  <si>
    <t>4942.TW</t>
  </si>
  <si>
    <t xml:space="preserve">1208	</t>
  </si>
  <si>
    <t>4943.TW</t>
  </si>
  <si>
    <t xml:space="preserve">1209	</t>
  </si>
  <si>
    <t xml:space="preserve">1210	</t>
  </si>
  <si>
    <t>4952.TW</t>
  </si>
  <si>
    <t xml:space="preserve">1211	</t>
  </si>
  <si>
    <t>4953.TW</t>
  </si>
  <si>
    <t xml:space="preserve">1212	</t>
  </si>
  <si>
    <t>4956.TW</t>
  </si>
  <si>
    <t xml:space="preserve">1213	</t>
  </si>
  <si>
    <t>4958.TW</t>
  </si>
  <si>
    <t xml:space="preserve">1214	</t>
  </si>
  <si>
    <t>4960.TW</t>
  </si>
  <si>
    <t xml:space="preserve">1215	</t>
  </si>
  <si>
    <t>4961.TW</t>
  </si>
  <si>
    <t xml:space="preserve">1216	</t>
  </si>
  <si>
    <t>4966.TW</t>
  </si>
  <si>
    <t xml:space="preserve">1217	</t>
  </si>
  <si>
    <t>4967.TW</t>
  </si>
  <si>
    <t xml:space="preserve">1218	</t>
  </si>
  <si>
    <t>4968.TW</t>
  </si>
  <si>
    <t xml:space="preserve">1219	</t>
  </si>
  <si>
    <t>4971.TW</t>
  </si>
  <si>
    <t>IET-KY</t>
  </si>
  <si>
    <t xml:space="preserve">1220	</t>
  </si>
  <si>
    <t>4972.TW</t>
  </si>
  <si>
    <t xml:space="preserve">1221	</t>
  </si>
  <si>
    <t>4973.TW</t>
  </si>
  <si>
    <t xml:space="preserve">1222	</t>
  </si>
  <si>
    <t>4974.TW</t>
  </si>
  <si>
    <t xml:space="preserve">1223	</t>
  </si>
  <si>
    <t>4976.TW</t>
  </si>
  <si>
    <t xml:space="preserve">1224	</t>
  </si>
  <si>
    <t>4977.TW</t>
  </si>
  <si>
    <t xml:space="preserve">1225	</t>
  </si>
  <si>
    <t>4979.TW</t>
  </si>
  <si>
    <t xml:space="preserve">1226	</t>
  </si>
  <si>
    <t xml:space="preserve">1227	</t>
  </si>
  <si>
    <t>4991.TW</t>
  </si>
  <si>
    <t xml:space="preserve">1228	</t>
  </si>
  <si>
    <t>4994.TW</t>
  </si>
  <si>
    <t xml:space="preserve">1229	</t>
  </si>
  <si>
    <t>4995.TW</t>
  </si>
  <si>
    <t xml:space="preserve">1230	</t>
  </si>
  <si>
    <t>4999.TW</t>
  </si>
  <si>
    <t xml:space="preserve">1231	</t>
  </si>
  <si>
    <t>5007.TW</t>
  </si>
  <si>
    <t xml:space="preserve">1232	</t>
  </si>
  <si>
    <t>5009.TW</t>
  </si>
  <si>
    <t xml:space="preserve">1233	</t>
  </si>
  <si>
    <t>5011.TW</t>
  </si>
  <si>
    <t xml:space="preserve">1234	</t>
  </si>
  <si>
    <t>5013.TW</t>
  </si>
  <si>
    <t xml:space="preserve">1235	</t>
  </si>
  <si>
    <t>5014.TW</t>
  </si>
  <si>
    <t xml:space="preserve">1236	</t>
  </si>
  <si>
    <t>5015.TW</t>
  </si>
  <si>
    <t xml:space="preserve">1237	</t>
  </si>
  <si>
    <t>5016.TW</t>
  </si>
  <si>
    <t xml:space="preserve">1238	</t>
  </si>
  <si>
    <t>5102.TW</t>
  </si>
  <si>
    <t xml:space="preserve">1239	</t>
  </si>
  <si>
    <t>5201.TW</t>
  </si>
  <si>
    <t xml:space="preserve">1240	</t>
  </si>
  <si>
    <t xml:space="preserve">1241	</t>
  </si>
  <si>
    <t>5203.TW</t>
  </si>
  <si>
    <t xml:space="preserve">1242	</t>
  </si>
  <si>
    <t>5206.TW</t>
  </si>
  <si>
    <t xml:space="preserve">1243	</t>
  </si>
  <si>
    <t xml:space="preserve">1244	</t>
  </si>
  <si>
    <t>5211.TW</t>
  </si>
  <si>
    <t xml:space="preserve">1245	</t>
  </si>
  <si>
    <t>5212.TW</t>
  </si>
  <si>
    <t xml:space="preserve">1246	</t>
  </si>
  <si>
    <t>5213.TW</t>
  </si>
  <si>
    <t xml:space="preserve">1247	</t>
  </si>
  <si>
    <t>5215.TW</t>
  </si>
  <si>
    <t xml:space="preserve">1248	</t>
  </si>
  <si>
    <t>5220.TW</t>
  </si>
  <si>
    <t xml:space="preserve">1249	</t>
  </si>
  <si>
    <t>5223.TW</t>
  </si>
  <si>
    <t xml:space="preserve">1250	</t>
  </si>
  <si>
    <t>5225.TW</t>
  </si>
  <si>
    <t xml:space="preserve">1251	</t>
  </si>
  <si>
    <t>5230.TW</t>
  </si>
  <si>
    <t xml:space="preserve">1252	</t>
  </si>
  <si>
    <t>5234.TW</t>
  </si>
  <si>
    <t xml:space="preserve">1253	</t>
  </si>
  <si>
    <t>5243.TW</t>
  </si>
  <si>
    <t xml:space="preserve">1254	</t>
  </si>
  <si>
    <t>5245.TW</t>
  </si>
  <si>
    <t xml:space="preserve">1255	</t>
  </si>
  <si>
    <t>5251.TW</t>
  </si>
  <si>
    <t xml:space="preserve">1256	</t>
  </si>
  <si>
    <t>5258.TW</t>
  </si>
  <si>
    <t xml:space="preserve">1257	</t>
  </si>
  <si>
    <t>5263.TW</t>
  </si>
  <si>
    <t xml:space="preserve">1258	</t>
  </si>
  <si>
    <t>5269.TW</t>
  </si>
  <si>
    <t xml:space="preserve">1259	</t>
  </si>
  <si>
    <t>5272.TW</t>
  </si>
  <si>
    <t xml:space="preserve">1260	</t>
  </si>
  <si>
    <t>5274.TW</t>
  </si>
  <si>
    <t xml:space="preserve">1261	</t>
  </si>
  <si>
    <t>5281.TW</t>
  </si>
  <si>
    <t xml:space="preserve">1262	</t>
  </si>
  <si>
    <t>5283.TW</t>
  </si>
  <si>
    <t xml:space="preserve">1263	</t>
  </si>
  <si>
    <t>5284.TW</t>
  </si>
  <si>
    <t>jpp-KY</t>
  </si>
  <si>
    <t xml:space="preserve">1264	</t>
  </si>
  <si>
    <t>5285.TW</t>
  </si>
  <si>
    <t xml:space="preserve">1265	</t>
  </si>
  <si>
    <t>5287.TW</t>
  </si>
  <si>
    <t xml:space="preserve">1266	</t>
  </si>
  <si>
    <t>5288.TW</t>
  </si>
  <si>
    <t xml:space="preserve">1267	</t>
  </si>
  <si>
    <t>5289.TW</t>
  </si>
  <si>
    <t xml:space="preserve">1268	</t>
  </si>
  <si>
    <t>5291.TW</t>
  </si>
  <si>
    <t xml:space="preserve">1269	</t>
  </si>
  <si>
    <t>5299.TW</t>
  </si>
  <si>
    <t xml:space="preserve">1270	</t>
  </si>
  <si>
    <t xml:space="preserve">1271	</t>
  </si>
  <si>
    <t xml:space="preserve">1272	</t>
  </si>
  <si>
    <t>5306.TW</t>
  </si>
  <si>
    <t xml:space="preserve">1273	</t>
  </si>
  <si>
    <t xml:space="preserve">1274	</t>
  </si>
  <si>
    <t xml:space="preserve">1275	</t>
  </si>
  <si>
    <t>5312.TW</t>
  </si>
  <si>
    <t xml:space="preserve">1276	</t>
  </si>
  <si>
    <t xml:space="preserve">1277	</t>
  </si>
  <si>
    <t>5315.TW</t>
  </si>
  <si>
    <t xml:space="preserve">1278	</t>
  </si>
  <si>
    <t>5321.TW</t>
  </si>
  <si>
    <t xml:space="preserve">1279	</t>
  </si>
  <si>
    <t xml:space="preserve">1280	</t>
  </si>
  <si>
    <t xml:space="preserve">1281	</t>
  </si>
  <si>
    <t xml:space="preserve">1282	</t>
  </si>
  <si>
    <t xml:space="preserve">1283	</t>
  </si>
  <si>
    <t xml:space="preserve">1284	</t>
  </si>
  <si>
    <t>5347.TW</t>
  </si>
  <si>
    <t xml:space="preserve">1285	</t>
  </si>
  <si>
    <t>5351.TW</t>
  </si>
  <si>
    <t xml:space="preserve">1286	</t>
  </si>
  <si>
    <t>5353.TW</t>
  </si>
  <si>
    <t xml:space="preserve">1287	</t>
  </si>
  <si>
    <t xml:space="preserve">1288	</t>
  </si>
  <si>
    <t>5356.TW</t>
  </si>
  <si>
    <t xml:space="preserve">1289	</t>
  </si>
  <si>
    <t>5371.TW</t>
  </si>
  <si>
    <t xml:space="preserve">1290	</t>
  </si>
  <si>
    <t xml:space="preserve">1291	</t>
  </si>
  <si>
    <t xml:space="preserve">1292	</t>
  </si>
  <si>
    <t>5386.TW</t>
  </si>
  <si>
    <t xml:space="preserve">1293	</t>
  </si>
  <si>
    <t>5388.TW</t>
  </si>
  <si>
    <t xml:space="preserve">1294	</t>
  </si>
  <si>
    <t>5392.TW</t>
  </si>
  <si>
    <t xml:space="preserve">1295	</t>
  </si>
  <si>
    <t>5398.TW</t>
  </si>
  <si>
    <t xml:space="preserve">1296	</t>
  </si>
  <si>
    <t>5403.TW</t>
  </si>
  <si>
    <t xml:space="preserve">1297	</t>
  </si>
  <si>
    <t>5410.TW</t>
  </si>
  <si>
    <t xml:space="preserve">1298	</t>
  </si>
  <si>
    <t>5425.TW</t>
  </si>
  <si>
    <t xml:space="preserve">1299	</t>
  </si>
  <si>
    <t>5426.TW</t>
  </si>
  <si>
    <t xml:space="preserve">1300	</t>
  </si>
  <si>
    <t>5432.TW</t>
  </si>
  <si>
    <t xml:space="preserve">1301	</t>
  </si>
  <si>
    <t>5434.TW</t>
  </si>
  <si>
    <t xml:space="preserve">1302	</t>
  </si>
  <si>
    <t>5438.TW</t>
  </si>
  <si>
    <t xml:space="preserve">1303	</t>
  </si>
  <si>
    <t>5439.TW</t>
  </si>
  <si>
    <t xml:space="preserve">1304	</t>
  </si>
  <si>
    <t>5443.TW</t>
  </si>
  <si>
    <t xml:space="preserve">1305	</t>
  </si>
  <si>
    <t>5450.TW</t>
  </si>
  <si>
    <t xml:space="preserve">1306	</t>
  </si>
  <si>
    <t>5452.TW</t>
  </si>
  <si>
    <t xml:space="preserve">1307	</t>
  </si>
  <si>
    <t xml:space="preserve">1308	</t>
  </si>
  <si>
    <t>5457.TW</t>
  </si>
  <si>
    <t xml:space="preserve">1309	</t>
  </si>
  <si>
    <t xml:space="preserve">1310	</t>
  </si>
  <si>
    <t>5464.TW</t>
  </si>
  <si>
    <t xml:space="preserve">1311	</t>
  </si>
  <si>
    <t>5465.TW</t>
  </si>
  <si>
    <t xml:space="preserve">1312	</t>
  </si>
  <si>
    <t xml:space="preserve">1313	</t>
  </si>
  <si>
    <t>5469.TW</t>
  </si>
  <si>
    <t xml:space="preserve">1314	</t>
  </si>
  <si>
    <t>5471.TW</t>
  </si>
  <si>
    <t xml:space="preserve">1315	</t>
  </si>
  <si>
    <t>5474.TW</t>
  </si>
  <si>
    <t xml:space="preserve">1316	</t>
  </si>
  <si>
    <t xml:space="preserve">1317	</t>
  </si>
  <si>
    <t>5478.TW</t>
  </si>
  <si>
    <t xml:space="preserve">1318	</t>
  </si>
  <si>
    <t>5481.TW</t>
  </si>
  <si>
    <t xml:space="preserve">1319	</t>
  </si>
  <si>
    <t>5483.TW</t>
  </si>
  <si>
    <t xml:space="preserve">1320	</t>
  </si>
  <si>
    <t xml:space="preserve">1321	</t>
  </si>
  <si>
    <t>5487.TW</t>
  </si>
  <si>
    <t xml:space="preserve">1322	</t>
  </si>
  <si>
    <t xml:space="preserve">1323	</t>
  </si>
  <si>
    <t>5489.TW</t>
  </si>
  <si>
    <t xml:space="preserve">1324	</t>
  </si>
  <si>
    <t>5490.TW</t>
  </si>
  <si>
    <t xml:space="preserve">1325	</t>
  </si>
  <si>
    <t>5493.TW</t>
  </si>
  <si>
    <t xml:space="preserve">1326	</t>
  </si>
  <si>
    <t>5498.TW</t>
  </si>
  <si>
    <t xml:space="preserve">1327	</t>
  </si>
  <si>
    <t>5508.TW</t>
  </si>
  <si>
    <t xml:space="preserve">1328	</t>
  </si>
  <si>
    <t>5511.TW</t>
  </si>
  <si>
    <t xml:space="preserve">1329	</t>
  </si>
  <si>
    <t>5512.TW</t>
  </si>
  <si>
    <t xml:space="preserve">1330	</t>
  </si>
  <si>
    <t>5514.TW</t>
  </si>
  <si>
    <t xml:space="preserve">1331	</t>
  </si>
  <si>
    <t>5515.TW</t>
  </si>
  <si>
    <t xml:space="preserve">1332	</t>
  </si>
  <si>
    <t>5516.TW</t>
  </si>
  <si>
    <t xml:space="preserve">1333	</t>
  </si>
  <si>
    <t>5519.TW</t>
  </si>
  <si>
    <t xml:space="preserve">1334	</t>
  </si>
  <si>
    <t>5520.TW</t>
  </si>
  <si>
    <t xml:space="preserve">1335	</t>
  </si>
  <si>
    <t>5521.TW</t>
  </si>
  <si>
    <t xml:space="preserve">1336	</t>
  </si>
  <si>
    <t>5522.TW</t>
  </si>
  <si>
    <t xml:space="preserve">1337	</t>
  </si>
  <si>
    <t>5523.TW</t>
  </si>
  <si>
    <t xml:space="preserve">1338	</t>
  </si>
  <si>
    <t>5525.TW</t>
  </si>
  <si>
    <t xml:space="preserve">1339	</t>
  </si>
  <si>
    <t xml:space="preserve">1340	</t>
  </si>
  <si>
    <t>5530.TW</t>
  </si>
  <si>
    <t xml:space="preserve">1341	</t>
  </si>
  <si>
    <t>5531.TW</t>
  </si>
  <si>
    <t xml:space="preserve">1342	</t>
  </si>
  <si>
    <t>5533.TW</t>
  </si>
  <si>
    <t xml:space="preserve">1343	</t>
  </si>
  <si>
    <t>5534.TW</t>
  </si>
  <si>
    <t xml:space="preserve">1344	</t>
  </si>
  <si>
    <t>5536.TW</t>
  </si>
  <si>
    <t xml:space="preserve">1345	</t>
  </si>
  <si>
    <t>5538.TW</t>
  </si>
  <si>
    <t xml:space="preserve">1346	</t>
  </si>
  <si>
    <t>5546.TW</t>
  </si>
  <si>
    <t xml:space="preserve">1347	</t>
  </si>
  <si>
    <t>5603.TW</t>
  </si>
  <si>
    <t xml:space="preserve">1348	</t>
  </si>
  <si>
    <t>5604.TW</t>
  </si>
  <si>
    <t xml:space="preserve">1349	</t>
  </si>
  <si>
    <t>5607.TW</t>
  </si>
  <si>
    <t xml:space="preserve">1350	</t>
  </si>
  <si>
    <t>5608.TW</t>
  </si>
  <si>
    <t xml:space="preserve">1351	</t>
  </si>
  <si>
    <t>5609.TW</t>
  </si>
  <si>
    <t xml:space="preserve">1352	</t>
  </si>
  <si>
    <t xml:space="preserve">1353	</t>
  </si>
  <si>
    <t xml:space="preserve">1354	</t>
  </si>
  <si>
    <t>5704.TW</t>
  </si>
  <si>
    <t xml:space="preserve">1355	</t>
  </si>
  <si>
    <t>5706.TW</t>
  </si>
  <si>
    <t xml:space="preserve">1356	</t>
  </si>
  <si>
    <t>5820.TW</t>
  </si>
  <si>
    <t xml:space="preserve">1357	</t>
  </si>
  <si>
    <t>5864.TW</t>
  </si>
  <si>
    <t xml:space="preserve">1358	</t>
  </si>
  <si>
    <t>5871.TW</t>
  </si>
  <si>
    <t xml:space="preserve">1359	</t>
  </si>
  <si>
    <t>5876.TW</t>
  </si>
  <si>
    <t xml:space="preserve">1360	</t>
  </si>
  <si>
    <t>5880.TW</t>
  </si>
  <si>
    <t xml:space="preserve">1361	</t>
  </si>
  <si>
    <t xml:space="preserve">1362	</t>
  </si>
  <si>
    <t>5903.TW</t>
  </si>
  <si>
    <t xml:space="preserve">1363	</t>
  </si>
  <si>
    <t>5904.TW</t>
  </si>
  <si>
    <t xml:space="preserve">1364	</t>
  </si>
  <si>
    <t>5905.TW</t>
  </si>
  <si>
    <t xml:space="preserve">1365	</t>
  </si>
  <si>
    <t>5906.TW</t>
  </si>
  <si>
    <t xml:space="preserve">1366	</t>
  </si>
  <si>
    <t>5907.TW</t>
  </si>
  <si>
    <t xml:space="preserve">1367	</t>
  </si>
  <si>
    <t>6005.TW</t>
  </si>
  <si>
    <t xml:space="preserve">1368	</t>
  </si>
  <si>
    <t>6015.TW</t>
  </si>
  <si>
    <t xml:space="preserve">1369	</t>
  </si>
  <si>
    <t>6016.TW</t>
  </si>
  <si>
    <t xml:space="preserve">1370	</t>
  </si>
  <si>
    <t>6020.TW</t>
  </si>
  <si>
    <t xml:space="preserve">1371	</t>
  </si>
  <si>
    <t>6021.TW</t>
  </si>
  <si>
    <t xml:space="preserve">1372	</t>
  </si>
  <si>
    <t>6023.TW</t>
  </si>
  <si>
    <t xml:space="preserve">1373	</t>
  </si>
  <si>
    <t>6024.TW</t>
  </si>
  <si>
    <t xml:space="preserve">1374	</t>
  </si>
  <si>
    <t>6026.TW</t>
  </si>
  <si>
    <t xml:space="preserve">1375	</t>
  </si>
  <si>
    <t>6101.TW</t>
  </si>
  <si>
    <t xml:space="preserve">1376	</t>
  </si>
  <si>
    <t xml:space="preserve">1377	</t>
  </si>
  <si>
    <t>6104.TW</t>
  </si>
  <si>
    <t xml:space="preserve">1378	</t>
  </si>
  <si>
    <t>6108.TW</t>
  </si>
  <si>
    <t xml:space="preserve">1379	</t>
  </si>
  <si>
    <t>6109.TW</t>
  </si>
  <si>
    <t xml:space="preserve">1380	</t>
  </si>
  <si>
    <t>6111.TW</t>
  </si>
  <si>
    <t xml:space="preserve">1381	</t>
  </si>
  <si>
    <t>6112.TW</t>
  </si>
  <si>
    <t xml:space="preserve">1382	</t>
  </si>
  <si>
    <t xml:space="preserve">1383	</t>
  </si>
  <si>
    <t>6114.TW</t>
  </si>
  <si>
    <t xml:space="preserve">1384	</t>
  </si>
  <si>
    <t>6115.TW</t>
  </si>
  <si>
    <t xml:space="preserve">1385	</t>
  </si>
  <si>
    <t>6116.TW</t>
  </si>
  <si>
    <t xml:space="preserve">1386	</t>
  </si>
  <si>
    <t>6117.TW</t>
  </si>
  <si>
    <t xml:space="preserve">1387	</t>
  </si>
  <si>
    <t>6118.TW</t>
  </si>
  <si>
    <t xml:space="preserve">1388	</t>
  </si>
  <si>
    <t>6120.TW</t>
  </si>
  <si>
    <t xml:space="preserve">1389	</t>
  </si>
  <si>
    <t>6121.TW</t>
  </si>
  <si>
    <t xml:space="preserve">1390	</t>
  </si>
  <si>
    <t>6122.TW</t>
  </si>
  <si>
    <t xml:space="preserve">1391	</t>
  </si>
  <si>
    <t>6123.TW</t>
  </si>
  <si>
    <t xml:space="preserve">1392	</t>
  </si>
  <si>
    <t>6124.TW</t>
  </si>
  <si>
    <t xml:space="preserve">1393	</t>
  </si>
  <si>
    <t>6125.TW</t>
  </si>
  <si>
    <t xml:space="preserve">1394	</t>
  </si>
  <si>
    <t>6126.TW</t>
  </si>
  <si>
    <t xml:space="preserve">1395	</t>
  </si>
  <si>
    <t>6127.TW</t>
  </si>
  <si>
    <t xml:space="preserve">1396	</t>
  </si>
  <si>
    <t>6128.TW</t>
  </si>
  <si>
    <t xml:space="preserve">1397	</t>
  </si>
  <si>
    <t xml:space="preserve">1398	</t>
  </si>
  <si>
    <t>6133.TW</t>
  </si>
  <si>
    <t xml:space="preserve">1399	</t>
  </si>
  <si>
    <t>6134.TW</t>
  </si>
  <si>
    <t xml:space="preserve">1400	</t>
  </si>
  <si>
    <t>6136.TW</t>
  </si>
  <si>
    <t xml:space="preserve">1401	</t>
  </si>
  <si>
    <t>6138.TW</t>
  </si>
  <si>
    <t xml:space="preserve">1402	</t>
  </si>
  <si>
    <t>6139.TW</t>
  </si>
  <si>
    <t xml:space="preserve">1403	</t>
  </si>
  <si>
    <t>6140.TW</t>
  </si>
  <si>
    <t xml:space="preserve">1404	</t>
  </si>
  <si>
    <t>6141.TW</t>
  </si>
  <si>
    <t xml:space="preserve">1405	</t>
  </si>
  <si>
    <t xml:space="preserve">1406	</t>
  </si>
  <si>
    <t>6143.TW</t>
  </si>
  <si>
    <t xml:space="preserve">1407	</t>
  </si>
  <si>
    <t>6144.TW</t>
  </si>
  <si>
    <t xml:space="preserve">1408	</t>
  </si>
  <si>
    <t>6146.TW</t>
  </si>
  <si>
    <t xml:space="preserve">1409	</t>
  </si>
  <si>
    <t>6147.TW</t>
  </si>
  <si>
    <t xml:space="preserve">1410	</t>
  </si>
  <si>
    <t>6148.TW</t>
  </si>
  <si>
    <t xml:space="preserve">1411	</t>
  </si>
  <si>
    <t>6150.TW</t>
  </si>
  <si>
    <t xml:space="preserve">1412	</t>
  </si>
  <si>
    <t>6151.TW</t>
  </si>
  <si>
    <t xml:space="preserve">1413	</t>
  </si>
  <si>
    <t xml:space="preserve">1414	</t>
  </si>
  <si>
    <t>6153.TW</t>
  </si>
  <si>
    <t xml:space="preserve">1415	</t>
  </si>
  <si>
    <t>6154.TW</t>
  </si>
  <si>
    <t xml:space="preserve">1416	</t>
  </si>
  <si>
    <t>6155.TW</t>
  </si>
  <si>
    <t xml:space="preserve">1417	</t>
  </si>
  <si>
    <t>6156.TW</t>
  </si>
  <si>
    <t xml:space="preserve">1418	</t>
  </si>
  <si>
    <t>6158.TW</t>
  </si>
  <si>
    <t xml:space="preserve">1419	</t>
  </si>
  <si>
    <t>6160.TW</t>
  </si>
  <si>
    <t xml:space="preserve">1420	</t>
  </si>
  <si>
    <t>6161.TW</t>
  </si>
  <si>
    <t xml:space="preserve">1421	</t>
  </si>
  <si>
    <t>6163.TW</t>
  </si>
  <si>
    <t xml:space="preserve">1422	</t>
  </si>
  <si>
    <t>6164.TW</t>
  </si>
  <si>
    <t xml:space="preserve">1423	</t>
  </si>
  <si>
    <t>6165.TW</t>
  </si>
  <si>
    <t xml:space="preserve">1424	</t>
  </si>
  <si>
    <t>6166.TW</t>
  </si>
  <si>
    <t xml:space="preserve">1425	</t>
  </si>
  <si>
    <t xml:space="preserve">1426	</t>
  </si>
  <si>
    <t>6168.TW</t>
  </si>
  <si>
    <t xml:space="preserve">1427	</t>
  </si>
  <si>
    <t>6170.TW</t>
  </si>
  <si>
    <t xml:space="preserve">1428	</t>
  </si>
  <si>
    <t>6171.TW</t>
  </si>
  <si>
    <t xml:space="preserve">1429	</t>
  </si>
  <si>
    <t xml:space="preserve">1430	</t>
  </si>
  <si>
    <t>6173.TW</t>
  </si>
  <si>
    <t xml:space="preserve">1431	</t>
  </si>
  <si>
    <t>6174.TW</t>
  </si>
  <si>
    <t xml:space="preserve">1432	</t>
  </si>
  <si>
    <t>6175.TW</t>
  </si>
  <si>
    <t xml:space="preserve">1433	</t>
  </si>
  <si>
    <t>6176.TW</t>
  </si>
  <si>
    <t xml:space="preserve">1434	</t>
  </si>
  <si>
    <t>6177.TW</t>
  </si>
  <si>
    <t xml:space="preserve">1435	</t>
  </si>
  <si>
    <t>6179.TW</t>
  </si>
  <si>
    <t xml:space="preserve">1436	</t>
  </si>
  <si>
    <t>6180.TW</t>
  </si>
  <si>
    <t xml:space="preserve">1437	</t>
  </si>
  <si>
    <t>6182.TW</t>
  </si>
  <si>
    <t xml:space="preserve">1438	</t>
  </si>
  <si>
    <t>6183.TW</t>
  </si>
  <si>
    <t xml:space="preserve">1439	</t>
  </si>
  <si>
    <t>6184.TW</t>
  </si>
  <si>
    <t xml:space="preserve">1440	</t>
  </si>
  <si>
    <t>6185.TW</t>
  </si>
  <si>
    <t xml:space="preserve">1441	</t>
  </si>
  <si>
    <t>6186.TW</t>
  </si>
  <si>
    <t xml:space="preserve">1442	</t>
  </si>
  <si>
    <t>6187.TW</t>
  </si>
  <si>
    <t xml:space="preserve">1443	</t>
  </si>
  <si>
    <t>6188.TW</t>
  </si>
  <si>
    <t xml:space="preserve">1444	</t>
  </si>
  <si>
    <t>6189.TW</t>
  </si>
  <si>
    <t xml:space="preserve">1445	</t>
  </si>
  <si>
    <t>6190.TW</t>
  </si>
  <si>
    <t xml:space="preserve">1446	</t>
  </si>
  <si>
    <t>6191.TW</t>
  </si>
  <si>
    <t xml:space="preserve">1447	</t>
  </si>
  <si>
    <t>6192.TW</t>
  </si>
  <si>
    <t xml:space="preserve">1448	</t>
  </si>
  <si>
    <t>6194.TW</t>
  </si>
  <si>
    <t xml:space="preserve">1449	</t>
  </si>
  <si>
    <t>6195.TW</t>
  </si>
  <si>
    <t xml:space="preserve">1450	</t>
  </si>
  <si>
    <t>6196.TW</t>
  </si>
  <si>
    <t xml:space="preserve">1451	</t>
  </si>
  <si>
    <t>6197.TW</t>
  </si>
  <si>
    <t xml:space="preserve">1452	</t>
  </si>
  <si>
    <t>6201.TW</t>
  </si>
  <si>
    <t xml:space="preserve">1453	</t>
  </si>
  <si>
    <t>6202.TW</t>
  </si>
  <si>
    <t xml:space="preserve">1454	</t>
  </si>
  <si>
    <t>6203.TW</t>
  </si>
  <si>
    <t xml:space="preserve">1455	</t>
  </si>
  <si>
    <t>6204.TW</t>
  </si>
  <si>
    <t xml:space="preserve">1456	</t>
  </si>
  <si>
    <t>6205.TW</t>
  </si>
  <si>
    <t xml:space="preserve">1457	</t>
  </si>
  <si>
    <t>6206.TW</t>
  </si>
  <si>
    <t xml:space="preserve">1458	</t>
  </si>
  <si>
    <t>6207.TW</t>
  </si>
  <si>
    <t xml:space="preserve">1459	</t>
  </si>
  <si>
    <t>6208.TW</t>
  </si>
  <si>
    <t xml:space="preserve">1460	</t>
  </si>
  <si>
    <t>6209.TW</t>
  </si>
  <si>
    <t xml:space="preserve">1461	</t>
  </si>
  <si>
    <t>6210.TW</t>
  </si>
  <si>
    <t xml:space="preserve">1462	</t>
  </si>
  <si>
    <t>6212.TW</t>
  </si>
  <si>
    <t xml:space="preserve">1463	</t>
  </si>
  <si>
    <t>6213.TW</t>
  </si>
  <si>
    <t xml:space="preserve">1464	</t>
  </si>
  <si>
    <t>6214.TW</t>
  </si>
  <si>
    <t xml:space="preserve">1465	</t>
  </si>
  <si>
    <t>6215.TW</t>
  </si>
  <si>
    <t xml:space="preserve">1466	</t>
  </si>
  <si>
    <t>6216.TW</t>
  </si>
  <si>
    <t xml:space="preserve">1467	</t>
  </si>
  <si>
    <t>6217.TW</t>
  </si>
  <si>
    <t xml:space="preserve">1468	</t>
  </si>
  <si>
    <t>6218.TW</t>
  </si>
  <si>
    <t xml:space="preserve">1469	</t>
  </si>
  <si>
    <t>6219.TW</t>
  </si>
  <si>
    <t xml:space="preserve">1470	</t>
  </si>
  <si>
    <t>6220.TW</t>
  </si>
  <si>
    <t xml:space="preserve">1471	</t>
  </si>
  <si>
    <t>6221.TW</t>
  </si>
  <si>
    <t xml:space="preserve">1472	</t>
  </si>
  <si>
    <t xml:space="preserve">1473	</t>
  </si>
  <si>
    <t>6223.TW</t>
  </si>
  <si>
    <t xml:space="preserve">1474	</t>
  </si>
  <si>
    <t>6224.TW</t>
  </si>
  <si>
    <t xml:space="preserve">1475	</t>
  </si>
  <si>
    <t xml:space="preserve">1476	</t>
  </si>
  <si>
    <t>6226.TW</t>
  </si>
  <si>
    <t xml:space="preserve">1477	</t>
  </si>
  <si>
    <t>6227.TW</t>
  </si>
  <si>
    <t xml:space="preserve">1478	</t>
  </si>
  <si>
    <t xml:space="preserve">1479	</t>
  </si>
  <si>
    <t>6229.TW</t>
  </si>
  <si>
    <t xml:space="preserve">1480	</t>
  </si>
  <si>
    <t>6230.TW</t>
  </si>
  <si>
    <t xml:space="preserve">1481	</t>
  </si>
  <si>
    <t>6231.TW</t>
  </si>
  <si>
    <t xml:space="preserve">1482	</t>
  </si>
  <si>
    <t>6233.TW</t>
  </si>
  <si>
    <t xml:space="preserve">1483	</t>
  </si>
  <si>
    <t>6234.TW</t>
  </si>
  <si>
    <t xml:space="preserve">1484	</t>
  </si>
  <si>
    <t>6235.TW</t>
  </si>
  <si>
    <t xml:space="preserve">1485	</t>
  </si>
  <si>
    <t>6237.TW</t>
  </si>
  <si>
    <t xml:space="preserve">1486	</t>
  </si>
  <si>
    <t>6239.TW</t>
  </si>
  <si>
    <t xml:space="preserve">1487	</t>
  </si>
  <si>
    <t>6240.TW</t>
  </si>
  <si>
    <t xml:space="preserve">1488	</t>
  </si>
  <si>
    <t xml:space="preserve">1489	</t>
  </si>
  <si>
    <t xml:space="preserve">1490	</t>
  </si>
  <si>
    <t xml:space="preserve">1491	</t>
  </si>
  <si>
    <t>6245.TW</t>
  </si>
  <si>
    <t xml:space="preserve">1492	</t>
  </si>
  <si>
    <t>6246.TW</t>
  </si>
  <si>
    <t xml:space="preserve">1493	</t>
  </si>
  <si>
    <t>6248.TW</t>
  </si>
  <si>
    <t xml:space="preserve">1494	</t>
  </si>
  <si>
    <t>6251.TW</t>
  </si>
  <si>
    <t xml:space="preserve">1495	</t>
  </si>
  <si>
    <t>6257.TW</t>
  </si>
  <si>
    <t xml:space="preserve">1496	</t>
  </si>
  <si>
    <t>6261.TW</t>
  </si>
  <si>
    <t xml:space="preserve">1497	</t>
  </si>
  <si>
    <t>6263.TW</t>
  </si>
  <si>
    <t xml:space="preserve">1498	</t>
  </si>
  <si>
    <t xml:space="preserve">1499	</t>
  </si>
  <si>
    <t>6265.TW</t>
  </si>
  <si>
    <t xml:space="preserve">1500	</t>
  </si>
  <si>
    <t>6266.TW</t>
  </si>
  <si>
    <t xml:space="preserve">1501	</t>
  </si>
  <si>
    <t>6269.TW</t>
  </si>
  <si>
    <t xml:space="preserve">1502	</t>
  </si>
  <si>
    <t>6270.TW</t>
  </si>
  <si>
    <t xml:space="preserve">1503	</t>
  </si>
  <si>
    <t>6271.TW</t>
  </si>
  <si>
    <t xml:space="preserve">1504	</t>
  </si>
  <si>
    <t>6274.TW</t>
  </si>
  <si>
    <t xml:space="preserve">1505	</t>
  </si>
  <si>
    <t>6275.TW</t>
  </si>
  <si>
    <t xml:space="preserve">1506	</t>
  </si>
  <si>
    <t>6276.TW</t>
  </si>
  <si>
    <t xml:space="preserve">1507	</t>
  </si>
  <si>
    <t>6277.TW</t>
  </si>
  <si>
    <t xml:space="preserve">1508	</t>
  </si>
  <si>
    <t>6278.TW</t>
  </si>
  <si>
    <t xml:space="preserve">1509	</t>
  </si>
  <si>
    <t>6279.TW</t>
  </si>
  <si>
    <t xml:space="preserve">1510	</t>
  </si>
  <si>
    <t>6281.TW</t>
  </si>
  <si>
    <t xml:space="preserve">1511	</t>
  </si>
  <si>
    <t>6282.TW</t>
  </si>
  <si>
    <t xml:space="preserve">1512	</t>
  </si>
  <si>
    <t>6283.TW</t>
  </si>
  <si>
    <t xml:space="preserve">1513	</t>
  </si>
  <si>
    <t>6284.TW</t>
  </si>
  <si>
    <t xml:space="preserve">1514	</t>
  </si>
  <si>
    <t>6285.TW</t>
  </si>
  <si>
    <t xml:space="preserve">1515	</t>
  </si>
  <si>
    <t xml:space="preserve">1516	</t>
  </si>
  <si>
    <t>6288.TW</t>
  </si>
  <si>
    <t xml:space="preserve">1517	</t>
  </si>
  <si>
    <t xml:space="preserve">1518	</t>
  </si>
  <si>
    <t>6290.TW</t>
  </si>
  <si>
    <t xml:space="preserve">1519	</t>
  </si>
  <si>
    <t xml:space="preserve">1520	</t>
  </si>
  <si>
    <t>6292.TW</t>
  </si>
  <si>
    <t xml:space="preserve">1521	</t>
  </si>
  <si>
    <t>6294.TW</t>
  </si>
  <si>
    <t xml:space="preserve">1522	</t>
  </si>
  <si>
    <t xml:space="preserve">1523	</t>
  </si>
  <si>
    <t>6405.TW</t>
  </si>
  <si>
    <t xml:space="preserve">1524	</t>
  </si>
  <si>
    <t>6409.TW</t>
  </si>
  <si>
    <t xml:space="preserve">1525	</t>
  </si>
  <si>
    <t>6411.TW</t>
  </si>
  <si>
    <t xml:space="preserve">1526	</t>
  </si>
  <si>
    <t>6412.TW</t>
  </si>
  <si>
    <t xml:space="preserve">1527	</t>
  </si>
  <si>
    <t>6414.TW</t>
  </si>
  <si>
    <t xml:space="preserve">1528	</t>
  </si>
  <si>
    <t>6415.TW</t>
  </si>
  <si>
    <t xml:space="preserve">1529	</t>
  </si>
  <si>
    <t>6416.TW</t>
  </si>
  <si>
    <t xml:space="preserve">1530	</t>
  </si>
  <si>
    <t>6417.TW</t>
  </si>
  <si>
    <t xml:space="preserve">1531	</t>
  </si>
  <si>
    <t>6418.TW</t>
  </si>
  <si>
    <t xml:space="preserve">1532	</t>
  </si>
  <si>
    <t>6425.TW</t>
  </si>
  <si>
    <t xml:space="preserve">1533	</t>
  </si>
  <si>
    <t>6426.TW</t>
  </si>
  <si>
    <t xml:space="preserve">1534	</t>
  </si>
  <si>
    <t xml:space="preserve">1535	</t>
  </si>
  <si>
    <t>6435.TW</t>
  </si>
  <si>
    <t xml:space="preserve">1536	</t>
  </si>
  <si>
    <t>6438.TW</t>
  </si>
  <si>
    <t xml:space="preserve">1537	</t>
  </si>
  <si>
    <t>6441.TW</t>
  </si>
  <si>
    <t xml:space="preserve">1538	</t>
  </si>
  <si>
    <t>6442.TW</t>
  </si>
  <si>
    <t xml:space="preserve">1539	</t>
  </si>
  <si>
    <t>6443.TW</t>
  </si>
  <si>
    <t xml:space="preserve">1540	</t>
  </si>
  <si>
    <t>6449.TW</t>
  </si>
  <si>
    <t xml:space="preserve">1541	</t>
  </si>
  <si>
    <t>6451.TW</t>
  </si>
  <si>
    <t xml:space="preserve">1542	</t>
  </si>
  <si>
    <t>6456.TW</t>
  </si>
  <si>
    <t>GIS-KY</t>
  </si>
  <si>
    <t xml:space="preserve">1543	</t>
  </si>
  <si>
    <t>6461.TW</t>
  </si>
  <si>
    <t xml:space="preserve">1544	</t>
  </si>
  <si>
    <t>6462.TW</t>
  </si>
  <si>
    <t xml:space="preserve">1545	</t>
  </si>
  <si>
    <t>6464.TW</t>
  </si>
  <si>
    <t xml:space="preserve">1546	</t>
  </si>
  <si>
    <t xml:space="preserve">1547	</t>
  </si>
  <si>
    <t>6469.TW</t>
  </si>
  <si>
    <t xml:space="preserve">1548	</t>
  </si>
  <si>
    <t>6470.TW</t>
  </si>
  <si>
    <t xml:space="preserve">1549	</t>
  </si>
  <si>
    <t>6472.TW</t>
  </si>
  <si>
    <t xml:space="preserve">1550	</t>
  </si>
  <si>
    <t>6477.TW</t>
  </si>
  <si>
    <t xml:space="preserve">1551	</t>
  </si>
  <si>
    <t>6485.TW</t>
  </si>
  <si>
    <t xml:space="preserve">1552	</t>
  </si>
  <si>
    <t>6486.TW</t>
  </si>
  <si>
    <t xml:space="preserve">1553	</t>
  </si>
  <si>
    <t>6488.TW</t>
  </si>
  <si>
    <t xml:space="preserve">1554	</t>
  </si>
  <si>
    <t>6491.TW</t>
  </si>
  <si>
    <t xml:space="preserve">1555	</t>
  </si>
  <si>
    <t>6494.TW</t>
  </si>
  <si>
    <t xml:space="preserve">1556	</t>
  </si>
  <si>
    <t>6496.TW</t>
  </si>
  <si>
    <t xml:space="preserve">1557	</t>
  </si>
  <si>
    <t>6504.TW</t>
  </si>
  <si>
    <t xml:space="preserve">1558	</t>
  </si>
  <si>
    <t>6505.TW</t>
  </si>
  <si>
    <t xml:space="preserve">1559	</t>
  </si>
  <si>
    <t>6506.TW</t>
  </si>
  <si>
    <t xml:space="preserve">1560	</t>
  </si>
  <si>
    <t>6508.TW</t>
  </si>
  <si>
    <t xml:space="preserve">1561	</t>
  </si>
  <si>
    <t>6509.TW</t>
  </si>
  <si>
    <t xml:space="preserve">1562	</t>
  </si>
  <si>
    <t>6510.TW</t>
  </si>
  <si>
    <t xml:space="preserve">1563	</t>
  </si>
  <si>
    <t>6514.TW</t>
  </si>
  <si>
    <t xml:space="preserve">1564	</t>
  </si>
  <si>
    <t>6516.TW</t>
  </si>
  <si>
    <t xml:space="preserve">1565	</t>
  </si>
  <si>
    <t>6523.TW</t>
  </si>
  <si>
    <t xml:space="preserve">1566	</t>
  </si>
  <si>
    <t>6525.TW</t>
  </si>
  <si>
    <t xml:space="preserve">1567	</t>
  </si>
  <si>
    <t>6530.TW</t>
  </si>
  <si>
    <t xml:space="preserve">1568	</t>
  </si>
  <si>
    <t>6531.TW</t>
  </si>
  <si>
    <t xml:space="preserve">1569	</t>
  </si>
  <si>
    <t>6532.TW</t>
  </si>
  <si>
    <t xml:space="preserve">1570	</t>
  </si>
  <si>
    <t>6533.TW</t>
  </si>
  <si>
    <t xml:space="preserve">1571	</t>
  </si>
  <si>
    <t>6538.TW</t>
  </si>
  <si>
    <t xml:space="preserve">1572	</t>
  </si>
  <si>
    <t xml:space="preserve">1573	</t>
  </si>
  <si>
    <t>6542.TW</t>
  </si>
  <si>
    <t xml:space="preserve">1574	</t>
  </si>
  <si>
    <t>6548.TW</t>
  </si>
  <si>
    <t xml:space="preserve">1575	</t>
  </si>
  <si>
    <t>6552.TW</t>
  </si>
  <si>
    <t xml:space="preserve">1576	</t>
  </si>
  <si>
    <t>6558.TW</t>
  </si>
  <si>
    <t xml:space="preserve">1577	</t>
  </si>
  <si>
    <t>6561.TW</t>
  </si>
  <si>
    <t xml:space="preserve">1578	</t>
  </si>
  <si>
    <t>6573.TW</t>
  </si>
  <si>
    <t xml:space="preserve">1579	</t>
  </si>
  <si>
    <t>6577.TW</t>
  </si>
  <si>
    <t xml:space="preserve">1580	</t>
  </si>
  <si>
    <t>6578.TW</t>
  </si>
  <si>
    <t xml:space="preserve">1581	</t>
  </si>
  <si>
    <t>6579.TW</t>
  </si>
  <si>
    <t xml:space="preserve">1582	</t>
  </si>
  <si>
    <t>6581.TW</t>
  </si>
  <si>
    <t xml:space="preserve">1583	</t>
  </si>
  <si>
    <t>6582.TW</t>
  </si>
  <si>
    <t xml:space="preserve">1584	</t>
  </si>
  <si>
    <t>6591.TW</t>
  </si>
  <si>
    <t xml:space="preserve">1585	</t>
  </si>
  <si>
    <t>6592.TW</t>
  </si>
  <si>
    <t xml:space="preserve">1586	</t>
  </si>
  <si>
    <t>6596.TW</t>
  </si>
  <si>
    <t xml:space="preserve">1587	</t>
  </si>
  <si>
    <t>6598.TW</t>
  </si>
  <si>
    <t xml:space="preserve">1588	</t>
  </si>
  <si>
    <t>6603.TW</t>
  </si>
  <si>
    <t xml:space="preserve">1589	</t>
  </si>
  <si>
    <t>6605.TW</t>
  </si>
  <si>
    <t xml:space="preserve">1590	</t>
  </si>
  <si>
    <t>6609.TW</t>
  </si>
  <si>
    <t xml:space="preserve">1591	</t>
  </si>
  <si>
    <t>6612.TW</t>
  </si>
  <si>
    <t xml:space="preserve">1592	</t>
  </si>
  <si>
    <t>6613.TW</t>
  </si>
  <si>
    <t xml:space="preserve">1593	</t>
  </si>
  <si>
    <t>6625.TW</t>
  </si>
  <si>
    <t xml:space="preserve">1594	</t>
  </si>
  <si>
    <t>6641.TW</t>
  </si>
  <si>
    <t xml:space="preserve">1595	</t>
  </si>
  <si>
    <t>6643.TW</t>
  </si>
  <si>
    <t>M31</t>
  </si>
  <si>
    <t xml:space="preserve">1596	</t>
  </si>
  <si>
    <t>6654.TW</t>
  </si>
  <si>
    <t xml:space="preserve">1597	</t>
  </si>
  <si>
    <t>6655.TW</t>
  </si>
  <si>
    <t xml:space="preserve">1598	</t>
  </si>
  <si>
    <t>6664.TW</t>
  </si>
  <si>
    <t xml:space="preserve">1599	</t>
  </si>
  <si>
    <t>6666.TW</t>
  </si>
  <si>
    <t xml:space="preserve">1600	</t>
  </si>
  <si>
    <t>6667.TW</t>
  </si>
  <si>
    <t xml:space="preserve">1601	</t>
  </si>
  <si>
    <t>6668.TW</t>
  </si>
  <si>
    <t xml:space="preserve">1602	</t>
  </si>
  <si>
    <t>6669.TW</t>
  </si>
  <si>
    <t xml:space="preserve">1603	</t>
  </si>
  <si>
    <t>6670.TW</t>
  </si>
  <si>
    <t xml:space="preserve">1604	</t>
  </si>
  <si>
    <t>6671.TW</t>
  </si>
  <si>
    <t xml:space="preserve">1605	</t>
  </si>
  <si>
    <t>6672.TW</t>
  </si>
  <si>
    <t xml:space="preserve">1606	</t>
  </si>
  <si>
    <t>6674.TW</t>
  </si>
  <si>
    <t xml:space="preserve">1607	</t>
  </si>
  <si>
    <t>6679.TW</t>
  </si>
  <si>
    <t xml:space="preserve">1608	</t>
  </si>
  <si>
    <t>6698.TW</t>
  </si>
  <si>
    <t xml:space="preserve">1609	</t>
  </si>
  <si>
    <t>6706.TW</t>
  </si>
  <si>
    <t xml:space="preserve">1610	</t>
  </si>
  <si>
    <t>6715.TW</t>
  </si>
  <si>
    <t xml:space="preserve">1611	</t>
  </si>
  <si>
    <t>6732.TW</t>
  </si>
  <si>
    <t xml:space="preserve">1612	</t>
  </si>
  <si>
    <t>6754.TW</t>
  </si>
  <si>
    <t xml:space="preserve">1613	</t>
  </si>
  <si>
    <t>6803.TW</t>
  </si>
  <si>
    <t xml:space="preserve">1614	</t>
  </si>
  <si>
    <t>8011.TW</t>
  </si>
  <si>
    <t xml:space="preserve">1615	</t>
  </si>
  <si>
    <t>8016.TW</t>
  </si>
  <si>
    <t xml:space="preserve">1616	</t>
  </si>
  <si>
    <t>8021.TW</t>
  </si>
  <si>
    <t xml:space="preserve">1617	</t>
  </si>
  <si>
    <t>8024.TW</t>
  </si>
  <si>
    <t xml:space="preserve">1618	</t>
  </si>
  <si>
    <t>8027.TW</t>
  </si>
  <si>
    <t xml:space="preserve">1619	</t>
  </si>
  <si>
    <t>8028.TW</t>
  </si>
  <si>
    <t xml:space="preserve">1620	</t>
  </si>
  <si>
    <t>8032.TW</t>
  </si>
  <si>
    <t xml:space="preserve">1621	</t>
  </si>
  <si>
    <t xml:space="preserve">1622	</t>
  </si>
  <si>
    <t>8034.TW</t>
  </si>
  <si>
    <t xml:space="preserve">1623	</t>
  </si>
  <si>
    <t>8039.TW</t>
  </si>
  <si>
    <t xml:space="preserve">1624	</t>
  </si>
  <si>
    <t xml:space="preserve">1625	</t>
  </si>
  <si>
    <t>8042.TW</t>
  </si>
  <si>
    <t xml:space="preserve">1626	</t>
  </si>
  <si>
    <t>8043.TW</t>
  </si>
  <si>
    <t xml:space="preserve">1627	</t>
  </si>
  <si>
    <t>8044.TW</t>
  </si>
  <si>
    <t xml:space="preserve">1628	</t>
  </si>
  <si>
    <t>8046.TW</t>
  </si>
  <si>
    <t xml:space="preserve">1629	</t>
  </si>
  <si>
    <t>8047.TW</t>
  </si>
  <si>
    <t xml:space="preserve">1630	</t>
  </si>
  <si>
    <t>8048.TW</t>
  </si>
  <si>
    <t xml:space="preserve">1631	</t>
  </si>
  <si>
    <t>8049.TW</t>
  </si>
  <si>
    <t xml:space="preserve">1632	</t>
  </si>
  <si>
    <t>8050.TW</t>
  </si>
  <si>
    <t xml:space="preserve">1633	</t>
  </si>
  <si>
    <t>8054.TW</t>
  </si>
  <si>
    <t xml:space="preserve">1634	</t>
  </si>
  <si>
    <t>8059.TW</t>
  </si>
  <si>
    <t xml:space="preserve">1635	</t>
  </si>
  <si>
    <t>8064.TW</t>
  </si>
  <si>
    <t xml:space="preserve">1636	</t>
  </si>
  <si>
    <t>8066.TW</t>
  </si>
  <si>
    <t xml:space="preserve">1637	</t>
  </si>
  <si>
    <t xml:space="preserve">1638	</t>
  </si>
  <si>
    <t>8069.TW</t>
  </si>
  <si>
    <t xml:space="preserve">1639	</t>
  </si>
  <si>
    <t>8070.TW</t>
  </si>
  <si>
    <t xml:space="preserve">1640	</t>
  </si>
  <si>
    <t>8071.TW</t>
  </si>
  <si>
    <t xml:space="preserve">1641	</t>
  </si>
  <si>
    <t>8072.TW</t>
  </si>
  <si>
    <t xml:space="preserve">1642	</t>
  </si>
  <si>
    <t>8074.TW</t>
  </si>
  <si>
    <t xml:space="preserve">1643	</t>
  </si>
  <si>
    <t>8076.TW</t>
  </si>
  <si>
    <t xml:space="preserve">1644	</t>
  </si>
  <si>
    <t>8081.TW</t>
  </si>
  <si>
    <t xml:space="preserve">1645	</t>
  </si>
  <si>
    <t>8083.TW</t>
  </si>
  <si>
    <t>8086.TW</t>
  </si>
  <si>
    <t>8088.TW</t>
  </si>
  <si>
    <t>8089.TW</t>
  </si>
  <si>
    <t>8091.TW</t>
  </si>
  <si>
    <t>8096.TW</t>
  </si>
  <si>
    <t>8097.TW</t>
  </si>
  <si>
    <t>8099.TW</t>
  </si>
  <si>
    <t>8103.TW</t>
  </si>
  <si>
    <t>8104.TW</t>
  </si>
  <si>
    <t>8105.TW</t>
  </si>
  <si>
    <t>8107.TW</t>
  </si>
  <si>
    <t>8109.TW</t>
  </si>
  <si>
    <t>8110.TW</t>
  </si>
  <si>
    <t>8111.TW</t>
  </si>
  <si>
    <t>8112.TW</t>
  </si>
  <si>
    <t>8114.TW</t>
  </si>
  <si>
    <t>8131.TW</t>
  </si>
  <si>
    <t>8147.TW</t>
  </si>
  <si>
    <t>8150.TW</t>
  </si>
  <si>
    <t>8155.TW</t>
  </si>
  <si>
    <t>8163.TW</t>
  </si>
  <si>
    <t>8171.TW</t>
  </si>
  <si>
    <t>8182.TW</t>
  </si>
  <si>
    <t>8183.TW</t>
  </si>
  <si>
    <t>8210.TW</t>
  </si>
  <si>
    <t>8213.TW</t>
  </si>
  <si>
    <t>8215.TW</t>
  </si>
  <si>
    <t>8222.TW</t>
  </si>
  <si>
    <t>8234.TW</t>
  </si>
  <si>
    <t>8240.TW</t>
  </si>
  <si>
    <t>8249.TW</t>
  </si>
  <si>
    <t>8255.TW</t>
  </si>
  <si>
    <t>8261.TW</t>
  </si>
  <si>
    <t>8271.TW</t>
  </si>
  <si>
    <t>8284.TW</t>
  </si>
  <si>
    <t>8289.TW</t>
  </si>
  <si>
    <t>8299.TW</t>
  </si>
  <si>
    <t>8341.TW</t>
  </si>
  <si>
    <t>8342.TW</t>
  </si>
  <si>
    <t>8349.TW</t>
  </si>
  <si>
    <t>8354.TW</t>
  </si>
  <si>
    <t>8358.TW</t>
  </si>
  <si>
    <t>8367.TW</t>
  </si>
  <si>
    <t>8374.TW</t>
  </si>
  <si>
    <t>8383.TW</t>
  </si>
  <si>
    <t>8390.TW</t>
  </si>
  <si>
    <t>8401.TW</t>
  </si>
  <si>
    <t>8403.TW</t>
  </si>
  <si>
    <t>8404.TW</t>
  </si>
  <si>
    <t>8406.TW</t>
  </si>
  <si>
    <t>8410.TW</t>
  </si>
  <si>
    <t>8411.TW</t>
  </si>
  <si>
    <t>8415.TW</t>
  </si>
  <si>
    <t>8418.TW</t>
  </si>
  <si>
    <t>8420.TW</t>
  </si>
  <si>
    <t>8422.TW</t>
  </si>
  <si>
    <t>8424.TW</t>
  </si>
  <si>
    <t>8426.TW</t>
  </si>
  <si>
    <t>8427.TW</t>
  </si>
  <si>
    <t>8429.TW</t>
  </si>
  <si>
    <t>8431.TW</t>
  </si>
  <si>
    <t>8432.TW</t>
  </si>
  <si>
    <t>8433.TW</t>
  </si>
  <si>
    <t>8435.TW</t>
  </si>
  <si>
    <t>8436.TW</t>
  </si>
  <si>
    <t>8437.TW</t>
  </si>
  <si>
    <t>8440.TW</t>
  </si>
  <si>
    <t>8442.TW</t>
  </si>
  <si>
    <t>8443.TW</t>
  </si>
  <si>
    <t>8444.TW</t>
  </si>
  <si>
    <t>8446.TW</t>
  </si>
  <si>
    <t>8450.TW</t>
  </si>
  <si>
    <t>8454.TW</t>
  </si>
  <si>
    <t>8462.TW</t>
  </si>
  <si>
    <t>8463.TW</t>
  </si>
  <si>
    <t>8464.TW</t>
  </si>
  <si>
    <t>8466.TW</t>
  </si>
  <si>
    <t>8467.TW</t>
  </si>
  <si>
    <t>8473.TW</t>
  </si>
  <si>
    <t>8478.TW</t>
  </si>
  <si>
    <t>8480.TW</t>
  </si>
  <si>
    <t>8481.TW</t>
  </si>
  <si>
    <t>8482.TW</t>
  </si>
  <si>
    <t>8488.TW</t>
  </si>
  <si>
    <t>8489.TW</t>
  </si>
  <si>
    <t>8499.TW</t>
  </si>
  <si>
    <t>8905.TW</t>
  </si>
  <si>
    <t>8906.TW</t>
  </si>
  <si>
    <t>8908.TW</t>
  </si>
  <si>
    <t>8916.TW</t>
  </si>
  <si>
    <t>8917.TW</t>
  </si>
  <si>
    <t>8923.TW</t>
  </si>
  <si>
    <t>8924.TW</t>
  </si>
  <si>
    <t>8926.TW</t>
  </si>
  <si>
    <t>8927.TW</t>
  </si>
  <si>
    <t>8928.TW</t>
  </si>
  <si>
    <t>8929.TW</t>
  </si>
  <si>
    <t>8930.TW</t>
  </si>
  <si>
    <t>8931.TW</t>
  </si>
  <si>
    <t>8936.TW</t>
  </si>
  <si>
    <t>8937.TW</t>
  </si>
  <si>
    <t>8938.TW</t>
  </si>
  <si>
    <t>8940.TW</t>
  </si>
  <si>
    <t>8941.TW</t>
  </si>
  <si>
    <t>8942.TW</t>
  </si>
  <si>
    <t>8996.TW</t>
  </si>
  <si>
    <t>9802.TW</t>
  </si>
  <si>
    <t>9902.TW</t>
  </si>
  <si>
    <t>9904.TW</t>
  </si>
  <si>
    <t>9905.TW</t>
  </si>
  <si>
    <t>9907.TW</t>
  </si>
  <si>
    <t>9908.TW</t>
  </si>
  <si>
    <t>9910.TW</t>
  </si>
  <si>
    <t>9911.TW</t>
  </si>
  <si>
    <t>9914.TW</t>
  </si>
  <si>
    <t>9917.TW</t>
  </si>
  <si>
    <t>9918.TW</t>
  </si>
  <si>
    <t>9919.TW</t>
  </si>
  <si>
    <t>9921.TW</t>
  </si>
  <si>
    <t>9924.TW</t>
  </si>
  <si>
    <t>9925.TW</t>
  </si>
  <si>
    <t>9926.TW</t>
  </si>
  <si>
    <t>9927.TW</t>
  </si>
  <si>
    <t>9929.TW</t>
  </si>
  <si>
    <t>9930.TW</t>
  </si>
  <si>
    <t>9931.TW</t>
  </si>
  <si>
    <t>9933.TW</t>
  </si>
  <si>
    <t>9934.TW</t>
  </si>
  <si>
    <t>9935.TW</t>
  </si>
  <si>
    <t>9937.TW</t>
  </si>
  <si>
    <t>9938.TW</t>
  </si>
  <si>
    <t>9939.TW</t>
  </si>
  <si>
    <t>9940.TW</t>
  </si>
  <si>
    <t>9941.TW</t>
  </si>
  <si>
    <t>9942.TW</t>
  </si>
  <si>
    <t>9943.TW</t>
  </si>
  <si>
    <t>9944.TW</t>
  </si>
  <si>
    <t>9945.TW</t>
  </si>
  <si>
    <t>9946.TW</t>
  </si>
  <si>
    <t>9949.TW</t>
  </si>
  <si>
    <t>9951.TW</t>
  </si>
  <si>
    <t>9955.TW</t>
  </si>
  <si>
    <t>9958.TW</t>
  </si>
  <si>
    <t>9960.TW</t>
  </si>
  <si>
    <t>9962.TW</t>
  </si>
  <si>
    <t>1213.TW</t>
  </si>
  <si>
    <t>1341.TW</t>
  </si>
  <si>
    <t>1342.TW</t>
  </si>
  <si>
    <t>1413.TW</t>
  </si>
  <si>
    <t>1418.TW</t>
  </si>
  <si>
    <t>1435.TW</t>
  </si>
  <si>
    <t>1438.TW</t>
  </si>
  <si>
    <t>1441.TW</t>
  </si>
  <si>
    <t>1443.TW</t>
  </si>
  <si>
    <t>1459.TW</t>
  </si>
  <si>
    <t>1460.TW</t>
  </si>
  <si>
    <t>1468.TW</t>
  </si>
  <si>
    <t>1471.TW</t>
  </si>
  <si>
    <t>1472.TW</t>
  </si>
  <si>
    <t>1475.TW</t>
  </si>
  <si>
    <t>1506.TW</t>
  </si>
  <si>
    <t>1512.TW</t>
  </si>
  <si>
    <t>1538.TW</t>
  </si>
  <si>
    <t>1616.TW</t>
  </si>
  <si>
    <t>1781.TW</t>
  </si>
  <si>
    <t>1796.TW</t>
  </si>
  <si>
    <t>1799.TW</t>
  </si>
  <si>
    <t>1805.TW</t>
  </si>
  <si>
    <t>2022.TW</t>
  </si>
  <si>
    <t>2025.TW</t>
  </si>
  <si>
    <t>2028.TW</t>
  </si>
  <si>
    <t>2061.TW</t>
  </si>
  <si>
    <t>2067.TW</t>
  </si>
  <si>
    <t>2109.TW</t>
  </si>
  <si>
    <t>2211.TW</t>
  </si>
  <si>
    <t>2227.TW</t>
  </si>
  <si>
    <t>2321.TW</t>
  </si>
  <si>
    <t>2349.TW</t>
  </si>
  <si>
    <t>2364.TW</t>
  </si>
  <si>
    <t>2380.TW</t>
  </si>
  <si>
    <t>2405.TW</t>
  </si>
  <si>
    <t>2406.TW</t>
  </si>
  <si>
    <t>2424.TW</t>
  </si>
  <si>
    <t>2429.TW</t>
  </si>
  <si>
    <t>2434.TW</t>
  </si>
  <si>
    <t>2438.TW</t>
  </si>
  <si>
    <t>2440.TW</t>
  </si>
  <si>
    <t>2443.TW</t>
  </si>
  <si>
    <t>2444.TW</t>
  </si>
  <si>
    <t>2465.TW</t>
  </si>
  <si>
    <t>2516.TW</t>
  </si>
  <si>
    <t>2543.TW</t>
  </si>
  <si>
    <t>2630.TW</t>
  </si>
  <si>
    <t>2702.TW</t>
  </si>
  <si>
    <t>2705.TW</t>
  </si>
  <si>
    <t>2718.TW</t>
  </si>
  <si>
    <t>2719.TW</t>
  </si>
  <si>
    <t>2724.TW</t>
  </si>
  <si>
    <t>2729.TW</t>
  </si>
  <si>
    <t>2734.TW</t>
  </si>
  <si>
    <t>2740.TW</t>
  </si>
  <si>
    <t>2745.TW</t>
  </si>
  <si>
    <t>2752.TW</t>
  </si>
  <si>
    <t>2755.TW</t>
  </si>
  <si>
    <t>2841.TW</t>
  </si>
  <si>
    <t>2923.TW</t>
  </si>
  <si>
    <t>2924.TW</t>
  </si>
  <si>
    <t>2937.TW</t>
  </si>
  <si>
    <t>2939.TW</t>
  </si>
  <si>
    <t>3011.TW</t>
  </si>
  <si>
    <t>3018.TW</t>
  </si>
  <si>
    <t>3024.TW</t>
  </si>
  <si>
    <t>3043.TW</t>
  </si>
  <si>
    <t>3046.TW</t>
  </si>
  <si>
    <t>3051.TW</t>
  </si>
  <si>
    <t>3057.TW</t>
  </si>
  <si>
    <t>3064.TW</t>
  </si>
  <si>
    <t>3066.TW</t>
  </si>
  <si>
    <t>3067.TW</t>
  </si>
  <si>
    <t>3073.TW</t>
  </si>
  <si>
    <t>3085.TW</t>
  </si>
  <si>
    <t>3095.TW</t>
  </si>
  <si>
    <t>3115.TW</t>
  </si>
  <si>
    <t>3131.TW</t>
  </si>
  <si>
    <t>3138.TW</t>
  </si>
  <si>
    <t>3149.TW</t>
  </si>
  <si>
    <t>3162.TW</t>
  </si>
  <si>
    <t>3176.TW</t>
  </si>
  <si>
    <t>3191.TW</t>
  </si>
  <si>
    <t>3202.TW</t>
  </si>
  <si>
    <t>3207.TW</t>
  </si>
  <si>
    <t>3219.TW</t>
  </si>
  <si>
    <t>3228.TW</t>
  </si>
  <si>
    <t>3229.TW</t>
  </si>
  <si>
    <t>3230.TW</t>
  </si>
  <si>
    <t>3259.TW</t>
  </si>
  <si>
    <t>3268.TW</t>
  </si>
  <si>
    <t>3276.TW</t>
  </si>
  <si>
    <t>3288.TW</t>
  </si>
  <si>
    <t>3308.TW</t>
  </si>
  <si>
    <t>3313.TW</t>
  </si>
  <si>
    <t>3321.TW</t>
  </si>
  <si>
    <t>3322.TW</t>
  </si>
  <si>
    <t>3339.TW</t>
  </si>
  <si>
    <t>3383.TW</t>
  </si>
  <si>
    <t>3426.TW</t>
  </si>
  <si>
    <t>3465.TW</t>
  </si>
  <si>
    <t>3520.TW</t>
  </si>
  <si>
    <t>3536.TW</t>
  </si>
  <si>
    <t>3555.TW</t>
  </si>
  <si>
    <t>3564.TW</t>
  </si>
  <si>
    <t>3570.TW</t>
  </si>
  <si>
    <t>3576.TW</t>
  </si>
  <si>
    <t>3593.TW</t>
  </si>
  <si>
    <t>3629.TW</t>
  </si>
  <si>
    <t>3632.TW</t>
  </si>
  <si>
    <t>3642.TW</t>
  </si>
  <si>
    <t>3682.TW</t>
  </si>
  <si>
    <t>3684.TW</t>
  </si>
  <si>
    <t>3686.TW</t>
  </si>
  <si>
    <t>3701.TW</t>
  </si>
  <si>
    <t>3713.TW</t>
  </si>
  <si>
    <t>4108.TW</t>
  </si>
  <si>
    <t>4127.TW</t>
  </si>
  <si>
    <t>4128.TW</t>
  </si>
  <si>
    <t>4131.TW</t>
  </si>
  <si>
    <t>4147.TW</t>
  </si>
  <si>
    <t>4154.TW</t>
  </si>
  <si>
    <t>4157.TW</t>
  </si>
  <si>
    <t>4160.TW</t>
  </si>
  <si>
    <t>4167.TW</t>
  </si>
  <si>
    <t>4183.TW</t>
  </si>
  <si>
    <t>4188.TW</t>
  </si>
  <si>
    <t>4192.TW</t>
  </si>
  <si>
    <t>4198.TW</t>
  </si>
  <si>
    <t>4304.TW</t>
  </si>
  <si>
    <t>4402.TW</t>
  </si>
  <si>
    <t>4413.TW</t>
  </si>
  <si>
    <t>4419.TW</t>
  </si>
  <si>
    <t>4529.TW</t>
  </si>
  <si>
    <t>4530.TW</t>
  </si>
  <si>
    <t>4542.TW</t>
  </si>
  <si>
    <t>4554.TW</t>
  </si>
  <si>
    <t>4609.TW</t>
  </si>
  <si>
    <t>4726.TW</t>
  </si>
  <si>
    <t>4729.TW</t>
  </si>
  <si>
    <t>4743.TW</t>
  </si>
  <si>
    <t>4754.TW</t>
  </si>
  <si>
    <t>4767.TW</t>
  </si>
  <si>
    <t>4806.TW</t>
  </si>
  <si>
    <t>4903.TW</t>
  </si>
  <si>
    <t>4911.TW</t>
  </si>
  <si>
    <t>4924.TW</t>
  </si>
  <si>
    <t>4934.TW</t>
  </si>
  <si>
    <t>4944.TW</t>
  </si>
  <si>
    <t>4945.TW</t>
  </si>
  <si>
    <t>4946.TW</t>
  </si>
  <si>
    <t>4950.TW</t>
  </si>
  <si>
    <t>4987.TW</t>
  </si>
  <si>
    <t>5202.TW</t>
  </si>
  <si>
    <t>5205.TW</t>
  </si>
  <si>
    <t>5209.TW</t>
  </si>
  <si>
    <t>5210.TW</t>
  </si>
  <si>
    <t>5227.TW</t>
  </si>
  <si>
    <t>5276.TW</t>
  </si>
  <si>
    <t>5278.TW</t>
  </si>
  <si>
    <t>5301.TW</t>
  </si>
  <si>
    <t>5302.TW</t>
  </si>
  <si>
    <t>5309.TW</t>
  </si>
  <si>
    <t>5310.TW</t>
  </si>
  <si>
    <t>5314.TW</t>
  </si>
  <si>
    <t>5324.TW</t>
  </si>
  <si>
    <t>5328.TW</t>
  </si>
  <si>
    <t>5340.TW</t>
  </si>
  <si>
    <t>5344.TW</t>
  </si>
  <si>
    <t>5345.TW</t>
  </si>
  <si>
    <t>5348.TW</t>
  </si>
  <si>
    <t>5355.TW</t>
  </si>
  <si>
    <t>5364.TW</t>
  </si>
  <si>
    <t>5381.TW</t>
  </si>
  <si>
    <t>5383.TW</t>
  </si>
  <si>
    <t>5455.TW</t>
  </si>
  <si>
    <t>5468.TW</t>
  </si>
  <si>
    <t>5475.TW</t>
  </si>
  <si>
    <t>5488.TW</t>
  </si>
  <si>
    <t>5529.TW</t>
  </si>
  <si>
    <t>5543.TW</t>
  </si>
  <si>
    <t>5601.TW</t>
  </si>
  <si>
    <t>5701.TW</t>
  </si>
  <si>
    <t>5703.TW</t>
  </si>
  <si>
    <t>5878.TW</t>
  </si>
  <si>
    <t>5902.TW</t>
  </si>
  <si>
    <t>6103.TW</t>
  </si>
  <si>
    <t>6113.TW</t>
  </si>
  <si>
    <t>6129.TW</t>
  </si>
  <si>
    <t>6130.TW</t>
  </si>
  <si>
    <t>6142.TW</t>
  </si>
  <si>
    <t>6152.TW</t>
  </si>
  <si>
    <t>6167.TW</t>
  </si>
  <si>
    <t>6169.TW</t>
  </si>
  <si>
    <t>6198.TW</t>
  </si>
  <si>
    <t>6199.TW</t>
  </si>
  <si>
    <t>6222.TW</t>
  </si>
  <si>
    <t>6225.TW</t>
  </si>
  <si>
    <t>6228.TW</t>
  </si>
  <si>
    <t>6236.TW</t>
  </si>
  <si>
    <t>6241.TW</t>
  </si>
  <si>
    <t>6242.TW</t>
  </si>
  <si>
    <t>6244.TW</t>
  </si>
  <si>
    <t>6247.TW</t>
  </si>
  <si>
    <t>6259.TW</t>
  </si>
  <si>
    <t>6264.TW</t>
  </si>
  <si>
    <t>6287.TW</t>
  </si>
  <si>
    <t>6289.TW</t>
  </si>
  <si>
    <t>6291.TW</t>
  </si>
  <si>
    <t>6419.TW</t>
  </si>
  <si>
    <t>6431.TW</t>
  </si>
  <si>
    <t>6432.TW</t>
  </si>
  <si>
    <t>6446.TW</t>
  </si>
  <si>
    <t>6457.TW</t>
  </si>
  <si>
    <t xml:space="preserve">1646	</t>
  </si>
  <si>
    <t xml:space="preserve">1647	</t>
  </si>
  <si>
    <t xml:space="preserve">1648	</t>
  </si>
  <si>
    <t xml:space="preserve">1649	</t>
  </si>
  <si>
    <t>6465.TW</t>
  </si>
  <si>
    <t xml:space="preserve">1650	</t>
  </si>
  <si>
    <t xml:space="preserve">1651	</t>
  </si>
  <si>
    <t xml:space="preserve">1652	</t>
  </si>
  <si>
    <t xml:space="preserve">1653	</t>
  </si>
  <si>
    <t xml:space="preserve">1654	</t>
  </si>
  <si>
    <t>6482.TW</t>
  </si>
  <si>
    <t xml:space="preserve">1655	</t>
  </si>
  <si>
    <t xml:space="preserve">1656	</t>
  </si>
  <si>
    <t xml:space="preserve">1657	</t>
  </si>
  <si>
    <t xml:space="preserve">1658	</t>
  </si>
  <si>
    <t xml:space="preserve">1659	</t>
  </si>
  <si>
    <t>6492.TW</t>
  </si>
  <si>
    <t xml:space="preserve">1660	</t>
  </si>
  <si>
    <t xml:space="preserve">1661	</t>
  </si>
  <si>
    <t xml:space="preserve">1662	</t>
  </si>
  <si>
    <t>6499.TW</t>
  </si>
  <si>
    <t xml:space="preserve">1663	</t>
  </si>
  <si>
    <t xml:space="preserve">1664	</t>
  </si>
  <si>
    <t xml:space="preserve">1665	</t>
  </si>
  <si>
    <t xml:space="preserve">1666	</t>
  </si>
  <si>
    <t xml:space="preserve">1667	</t>
  </si>
  <si>
    <t xml:space="preserve">1668	</t>
  </si>
  <si>
    <t xml:space="preserve">1669	</t>
  </si>
  <si>
    <t>6512.TW</t>
  </si>
  <si>
    <t xml:space="preserve">1670	</t>
  </si>
  <si>
    <t xml:space="preserve">1671	</t>
  </si>
  <si>
    <t>6515.TW</t>
  </si>
  <si>
    <t xml:space="preserve">1672	</t>
  </si>
  <si>
    <t xml:space="preserve">1673	</t>
  </si>
  <si>
    <t xml:space="preserve">1674	</t>
  </si>
  <si>
    <t xml:space="preserve">1675	</t>
  </si>
  <si>
    <t>6527.TW</t>
  </si>
  <si>
    <t xml:space="preserve">1676	</t>
  </si>
  <si>
    <t xml:space="preserve">1677	</t>
  </si>
  <si>
    <t xml:space="preserve">1678	</t>
  </si>
  <si>
    <t xml:space="preserve">1679	</t>
  </si>
  <si>
    <t xml:space="preserve">1680	</t>
  </si>
  <si>
    <t>6535.TW</t>
  </si>
  <si>
    <t xml:space="preserve">1681	</t>
  </si>
  <si>
    <t xml:space="preserve">1682	</t>
  </si>
  <si>
    <t>6541.TW</t>
  </si>
  <si>
    <t xml:space="preserve">1683	</t>
  </si>
  <si>
    <t xml:space="preserve">1684	</t>
  </si>
  <si>
    <t>6547.TW</t>
  </si>
  <si>
    <t xml:space="preserve">1685	</t>
  </si>
  <si>
    <t xml:space="preserve">1686	</t>
  </si>
  <si>
    <t xml:space="preserve">1687	</t>
  </si>
  <si>
    <t>6556.TW</t>
  </si>
  <si>
    <t xml:space="preserve">1688	</t>
  </si>
  <si>
    <t xml:space="preserve">1689	</t>
  </si>
  <si>
    <t>6560.TW</t>
  </si>
  <si>
    <t xml:space="preserve">1690	</t>
  </si>
  <si>
    <t xml:space="preserve">1691	</t>
  </si>
  <si>
    <t>6568.TW</t>
  </si>
  <si>
    <t xml:space="preserve">1692	</t>
  </si>
  <si>
    <t>6569.TW</t>
  </si>
  <si>
    <t xml:space="preserve">1693	</t>
  </si>
  <si>
    <t>6570.TW</t>
  </si>
  <si>
    <t xml:space="preserve">1694	</t>
  </si>
  <si>
    <t xml:space="preserve">1695	</t>
  </si>
  <si>
    <t>6574.TW</t>
  </si>
  <si>
    <t xml:space="preserve">1696	</t>
  </si>
  <si>
    <t>6576.TW</t>
  </si>
  <si>
    <t xml:space="preserve">1697	</t>
  </si>
  <si>
    <t xml:space="preserve">1698	</t>
  </si>
  <si>
    <t xml:space="preserve">1699	</t>
  </si>
  <si>
    <t xml:space="preserve">1700	</t>
  </si>
  <si>
    <t xml:space="preserve">1701	</t>
  </si>
  <si>
    <t xml:space="preserve">1702	</t>
  </si>
  <si>
    <t>6588.TW</t>
  </si>
  <si>
    <t xml:space="preserve">1703	</t>
  </si>
  <si>
    <t>6589.TW</t>
  </si>
  <si>
    <t xml:space="preserve">1704	</t>
  </si>
  <si>
    <t>6590.TW</t>
  </si>
  <si>
    <t xml:space="preserve">1705	</t>
  </si>
  <si>
    <t xml:space="preserve">1706	</t>
  </si>
  <si>
    <t xml:space="preserve">1707	</t>
  </si>
  <si>
    <t>6593.TW</t>
  </si>
  <si>
    <t xml:space="preserve">1708	</t>
  </si>
  <si>
    <t>6594.TW</t>
  </si>
  <si>
    <t xml:space="preserve">1709	</t>
  </si>
  <si>
    <t xml:space="preserve">1710	</t>
  </si>
  <si>
    <t xml:space="preserve">1711	</t>
  </si>
  <si>
    <t xml:space="preserve">1712	</t>
  </si>
  <si>
    <t xml:space="preserve">1713	</t>
  </si>
  <si>
    <t xml:space="preserve">1714	</t>
  </si>
  <si>
    <t xml:space="preserve">1715	</t>
  </si>
  <si>
    <t xml:space="preserve">1716	</t>
  </si>
  <si>
    <t>6615.TW</t>
  </si>
  <si>
    <t xml:space="preserve">1717	</t>
  </si>
  <si>
    <t>6616.TW</t>
  </si>
  <si>
    <t xml:space="preserve">1718	</t>
  </si>
  <si>
    <t>6624.TW</t>
  </si>
  <si>
    <t xml:space="preserve">1719	</t>
  </si>
  <si>
    <t xml:space="preserve">1720	</t>
  </si>
  <si>
    <t>6629.TW</t>
  </si>
  <si>
    <t xml:space="preserve">1721	</t>
  </si>
  <si>
    <t>6640.TW</t>
  </si>
  <si>
    <t xml:space="preserve">1722	</t>
  </si>
  <si>
    <t xml:space="preserve">1723	</t>
  </si>
  <si>
    <t>6642.TW</t>
  </si>
  <si>
    <t xml:space="preserve">1724	</t>
  </si>
  <si>
    <t xml:space="preserve">1725	</t>
  </si>
  <si>
    <t>6649.TW</t>
  </si>
  <si>
    <t xml:space="preserve">1726	</t>
  </si>
  <si>
    <t>6651.TW</t>
  </si>
  <si>
    <t xml:space="preserve">1727	</t>
  </si>
  <si>
    <t xml:space="preserve">1728	</t>
  </si>
  <si>
    <t xml:space="preserve">1729	</t>
  </si>
  <si>
    <t>6661.TW</t>
  </si>
  <si>
    <t xml:space="preserve">1730	</t>
  </si>
  <si>
    <t>6662.TW</t>
  </si>
  <si>
    <t xml:space="preserve">1731	</t>
  </si>
  <si>
    <t xml:space="preserve">1732	</t>
  </si>
  <si>
    <t xml:space="preserve">1733	</t>
  </si>
  <si>
    <t xml:space="preserve">1734	</t>
  </si>
  <si>
    <t>6680.TW</t>
  </si>
  <si>
    <t>6683.TW</t>
  </si>
  <si>
    <t>6690.TW</t>
  </si>
  <si>
    <t>6697.TW</t>
  </si>
  <si>
    <t>6703.TW</t>
  </si>
  <si>
    <t>6712.TW</t>
  </si>
  <si>
    <t>6716.TW</t>
  </si>
  <si>
    <t>6727.TW</t>
  </si>
  <si>
    <t>6728.TW</t>
  </si>
  <si>
    <t>6733.TW</t>
  </si>
  <si>
    <t>6743.TW</t>
  </si>
  <si>
    <t>6747.TW</t>
  </si>
  <si>
    <t>6751.TW</t>
  </si>
  <si>
    <t>6752.TW</t>
  </si>
  <si>
    <t>6756.TW</t>
  </si>
  <si>
    <t>6762.TW</t>
  </si>
  <si>
    <t>6767.TW</t>
  </si>
  <si>
    <t>6776.TW</t>
  </si>
  <si>
    <t>6781.TW</t>
  </si>
  <si>
    <t>7402.TW</t>
  </si>
  <si>
    <t>7556.TW</t>
  </si>
  <si>
    <t>8033.TW</t>
  </si>
  <si>
    <t>8038.TW</t>
  </si>
  <si>
    <t>8040.TW</t>
  </si>
  <si>
    <t>8067.TW</t>
  </si>
  <si>
    <t>8068.TW</t>
  </si>
  <si>
    <t>8077.TW</t>
  </si>
  <si>
    <t>8084.TW</t>
  </si>
  <si>
    <t>8085.TW</t>
  </si>
  <si>
    <t>8087.TW</t>
  </si>
  <si>
    <t>8092.TW</t>
  </si>
  <si>
    <t>8093.TW</t>
  </si>
  <si>
    <t>8101.TW</t>
  </si>
  <si>
    <t>8121.TW</t>
  </si>
  <si>
    <t>8176.TW</t>
  </si>
  <si>
    <t>8201.TW</t>
  </si>
  <si>
    <t>8277.TW</t>
  </si>
  <si>
    <t>8279.TW</t>
  </si>
  <si>
    <t>8291.TW</t>
  </si>
  <si>
    <t>8409.TW</t>
  </si>
  <si>
    <t>8416.TW</t>
  </si>
  <si>
    <t>8421.TW</t>
  </si>
  <si>
    <t>8423.TW</t>
  </si>
  <si>
    <t>8455.TW</t>
  </si>
  <si>
    <t>8472.TW</t>
  </si>
  <si>
    <t>8476.TW</t>
  </si>
  <si>
    <t>8477.TW</t>
  </si>
  <si>
    <t>8921.TW</t>
  </si>
  <si>
    <t>8932.TW</t>
  </si>
  <si>
    <t>8933.TW</t>
  </si>
  <si>
    <t>8935.TW</t>
  </si>
  <si>
    <t>9906.TW</t>
  </si>
  <si>
    <t>9912.TW</t>
  </si>
  <si>
    <t>9928.TW</t>
  </si>
  <si>
    <t>9950.TW</t>
  </si>
  <si>
    <t>杰力</t>
  </si>
  <si>
    <t>健椿</t>
  </si>
  <si>
    <t>霈方</t>
  </si>
  <si>
    <t>雃博</t>
  </si>
  <si>
    <t>橋椿</t>
  </si>
  <si>
    <t>元禎</t>
  </si>
  <si>
    <t>奇鋐</t>
  </si>
  <si>
    <t>金麗科</t>
  </si>
  <si>
    <t>祥碩</t>
  </si>
  <si>
    <t>環球晶</t>
  </si>
  <si>
    <t>合世</t>
  </si>
  <si>
    <t>永日</t>
  </si>
  <si>
    <t>瑞基</t>
  </si>
  <si>
    <t>樺漢</t>
  </si>
  <si>
    <t>宣德</t>
  </si>
  <si>
    <t>易威</t>
  </si>
  <si>
    <t>6768.TW</t>
  </si>
  <si>
    <t>2929.TW</t>
  </si>
  <si>
    <t>歐買尬</t>
  </si>
  <si>
    <t>四維航</t>
  </si>
  <si>
    <t>撼訊</t>
  </si>
  <si>
    <t>台玻</t>
  </si>
  <si>
    <t>南紡</t>
  </si>
  <si>
    <t>3357.TW</t>
  </si>
  <si>
    <t>燁輝</t>
  </si>
  <si>
    <t>長榮</t>
  </si>
  <si>
    <t>華榮</t>
  </si>
  <si>
    <t>麗臺</t>
  </si>
  <si>
    <t>華紙</t>
  </si>
  <si>
    <t>新光鋼</t>
  </si>
  <si>
    <t>吉祥全</t>
  </si>
  <si>
    <t>毛寶</t>
  </si>
  <si>
    <t>康那香</t>
  </si>
  <si>
    <t>新昕纖</t>
  </si>
  <si>
    <t>云辰</t>
  </si>
  <si>
    <t>國光生</t>
  </si>
  <si>
    <t>網家</t>
  </si>
  <si>
    <t>台航</t>
  </si>
  <si>
    <t>新麗</t>
  </si>
  <si>
    <t>南六</t>
  </si>
  <si>
    <t>寶齡富錦</t>
  </si>
  <si>
    <t>杏輝</t>
  </si>
  <si>
    <t>美吾華</t>
  </si>
  <si>
    <t>恆大</t>
  </si>
  <si>
    <t>威致</t>
  </si>
  <si>
    <t>健策</t>
  </si>
  <si>
    <t>宅配通</t>
  </si>
  <si>
    <t>億泰</t>
  </si>
  <si>
    <t>佳大</t>
  </si>
  <si>
    <t>聚亨</t>
  </si>
  <si>
    <t>海光</t>
  </si>
  <si>
    <t>美亞</t>
  </si>
  <si>
    <t>裕民</t>
  </si>
  <si>
    <t>金像電</t>
  </si>
  <si>
    <t>研通</t>
  </si>
  <si>
    <t>新鋼</t>
  </si>
  <si>
    <t>陽明</t>
  </si>
  <si>
    <t>盛餘</t>
  </si>
  <si>
    <t>中鴻</t>
  </si>
  <si>
    <t>映泰</t>
  </si>
  <si>
    <t>大億金茂</t>
  </si>
  <si>
    <t>燁興</t>
  </si>
  <si>
    <t>聯發</t>
  </si>
  <si>
    <t>東和</t>
  </si>
  <si>
    <t>建通</t>
  </si>
  <si>
    <t>新興</t>
  </si>
  <si>
    <t>慧洋-KY</t>
  </si>
  <si>
    <t>官田鋼</t>
  </si>
  <si>
    <t>正德</t>
  </si>
  <si>
    <t>喬鼎</t>
  </si>
  <si>
    <t>建錩</t>
  </si>
  <si>
    <t>中櫃</t>
  </si>
  <si>
    <t>大東</t>
  </si>
  <si>
    <t>志信</t>
  </si>
  <si>
    <t>淘帝-KY</t>
  </si>
  <si>
    <t>宏洲</t>
  </si>
  <si>
    <t>東洋</t>
  </si>
  <si>
    <t>聚隆</t>
  </si>
  <si>
    <t>精剛</t>
  </si>
  <si>
    <t>集盛</t>
  </si>
  <si>
    <t>高興昌</t>
  </si>
  <si>
    <t>嘉里大榮</t>
  </si>
  <si>
    <t>景岳</t>
  </si>
  <si>
    <t>致新</t>
  </si>
  <si>
    <t>圓剛</t>
  </si>
  <si>
    <t>佳凌</t>
  </si>
  <si>
    <t>東森</t>
  </si>
  <si>
    <t>先進光</t>
  </si>
  <si>
    <t>天良</t>
  </si>
  <si>
    <t>杏國</t>
  </si>
  <si>
    <t>笙科</t>
  </si>
  <si>
    <t>中美實</t>
  </si>
  <si>
    <t>大世科</t>
  </si>
  <si>
    <t>致茂</t>
  </si>
  <si>
    <t>公準</t>
  </si>
  <si>
    <t>鈺太</t>
  </si>
  <si>
    <t>笙泉</t>
  </si>
  <si>
    <t>倉和</t>
  </si>
  <si>
    <t>亞信</t>
  </si>
  <si>
    <t>璟德</t>
  </si>
  <si>
    <t>精星</t>
  </si>
  <si>
    <t>誠創</t>
  </si>
  <si>
    <t>南帝</t>
  </si>
  <si>
    <t>申豐</t>
  </si>
  <si>
    <t>第一銅</t>
  </si>
  <si>
    <t>青雲</t>
  </si>
  <si>
    <t>商丞</t>
  </si>
  <si>
    <t>穩懋</t>
  </si>
  <si>
    <t>大宇</t>
  </si>
  <si>
    <t>德宏</t>
  </si>
  <si>
    <t>味王</t>
  </si>
  <si>
    <t>豪展</t>
  </si>
  <si>
    <t>和康生</t>
  </si>
  <si>
    <t>兆赫</t>
  </si>
  <si>
    <t>晶豪科</t>
  </si>
  <si>
    <t>漢磊</t>
  </si>
  <si>
    <t>榮剛</t>
  </si>
  <si>
    <t>台富</t>
  </si>
  <si>
    <t>浪凡</t>
  </si>
  <si>
    <t>創惟</t>
  </si>
  <si>
    <t>福壽</t>
  </si>
  <si>
    <t>飛宏</t>
  </si>
  <si>
    <t>中鋼</t>
  </si>
  <si>
    <t>寶徠</t>
  </si>
  <si>
    <t>虹光</t>
  </si>
  <si>
    <t>訊芯-KY</t>
  </si>
  <si>
    <t>美時</t>
  </si>
  <si>
    <t>尖點</t>
  </si>
  <si>
    <t>達能</t>
  </si>
  <si>
    <t>泰福-KY</t>
  </si>
  <si>
    <t>嘉澤</t>
  </si>
  <si>
    <t>順德</t>
  </si>
  <si>
    <t>金居</t>
  </si>
  <si>
    <t>系微</t>
  </si>
  <si>
    <t>國巨</t>
  </si>
  <si>
    <t>聯合再生</t>
  </si>
  <si>
    <t>大學光</t>
  </si>
  <si>
    <t>桂盟</t>
  </si>
  <si>
    <t>艾笛森</t>
  </si>
  <si>
    <t>國喬</t>
  </si>
  <si>
    <t>三陽工業</t>
  </si>
  <si>
    <t>創意</t>
  </si>
  <si>
    <t>昇銳</t>
  </si>
  <si>
    <t>中租-KY</t>
  </si>
  <si>
    <t>日月光投控</t>
  </si>
  <si>
    <t>大國鋼</t>
  </si>
  <si>
    <t>敬鵬</t>
  </si>
  <si>
    <t>台聚</t>
  </si>
  <si>
    <t>茂迪</t>
  </si>
  <si>
    <t>億光</t>
  </si>
  <si>
    <t>華城</t>
  </si>
  <si>
    <t>亞德客-KY</t>
  </si>
  <si>
    <t>榮運</t>
  </si>
  <si>
    <t>研華</t>
  </si>
  <si>
    <t>炎洲</t>
  </si>
  <si>
    <t>光聯</t>
  </si>
  <si>
    <t>聯華食</t>
  </si>
  <si>
    <t>潤弘</t>
  </si>
  <si>
    <t>捷敏-KY</t>
  </si>
  <si>
    <t>和勤</t>
  </si>
  <si>
    <t>豐泰</t>
  </si>
  <si>
    <t>驊訊</t>
  </si>
  <si>
    <t>台光電</t>
  </si>
  <si>
    <t>信義</t>
  </si>
  <si>
    <t>景碩</t>
  </si>
  <si>
    <t>拓凱</t>
  </si>
  <si>
    <t>大江</t>
  </si>
  <si>
    <t>上海商銀</t>
  </si>
  <si>
    <t>勤凱</t>
  </si>
  <si>
    <t>統新</t>
  </si>
  <si>
    <t>台勝科</t>
  </si>
  <si>
    <t>慶豐富</t>
  </si>
  <si>
    <t>康控-KY</t>
  </si>
  <si>
    <t>松瑞藥</t>
  </si>
  <si>
    <t>東元</t>
  </si>
  <si>
    <t>台虹</t>
  </si>
  <si>
    <t>力成</t>
  </si>
  <si>
    <t>元太</t>
  </si>
  <si>
    <t>華固</t>
  </si>
  <si>
    <t>技嘉</t>
  </si>
  <si>
    <t>光群雷</t>
  </si>
  <si>
    <t>億豐</t>
  </si>
  <si>
    <t>中磊</t>
  </si>
  <si>
    <t xml:space="preserve">1735	</t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</si>
  <si>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</si>
  <si>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</si>
  <si>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</si>
  <si>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</si>
  <si>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</si>
  <si>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</si>
  <si>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</si>
  <si>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</si>
  <si>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大成</t>
  </si>
  <si>
    <t>大飲</t>
  </si>
  <si>
    <t>卜蜂</t>
  </si>
  <si>
    <t>統一</t>
  </si>
  <si>
    <t>愛之味</t>
  </si>
  <si>
    <t>泰山</t>
  </si>
  <si>
    <t>台榮</t>
  </si>
  <si>
    <t>福懋油</t>
  </si>
  <si>
    <t>佳格</t>
  </si>
  <si>
    <t>聯華</t>
  </si>
  <si>
    <t>大統益</t>
  </si>
  <si>
    <t>天仁</t>
  </si>
  <si>
    <t>黑松</t>
  </si>
  <si>
    <t>興泰</t>
  </si>
  <si>
    <t>宏亞</t>
  </si>
  <si>
    <t>鮮活果汁-KY</t>
  </si>
  <si>
    <t>南僑</t>
  </si>
  <si>
    <t>臺鹽</t>
  </si>
  <si>
    <t>台塑</t>
  </si>
  <si>
    <t>南亞</t>
  </si>
  <si>
    <t>華夏</t>
  </si>
  <si>
    <t>三芳</t>
  </si>
  <si>
    <t>亞聚</t>
  </si>
  <si>
    <t>台達化</t>
  </si>
  <si>
    <t>台苯</t>
  </si>
  <si>
    <t>聯成</t>
  </si>
  <si>
    <t>中石化</t>
  </si>
  <si>
    <t>達新</t>
  </si>
  <si>
    <t>大洋</t>
  </si>
  <si>
    <t>永裕</t>
  </si>
  <si>
    <t>地球</t>
  </si>
  <si>
    <t>台化</t>
  </si>
  <si>
    <t>再生-KY</t>
  </si>
  <si>
    <t>勝悅-KY</t>
  </si>
  <si>
    <t>富林-KY</t>
  </si>
  <si>
    <t>遠東新</t>
  </si>
  <si>
    <t>新纖</t>
  </si>
  <si>
    <t>南染</t>
  </si>
  <si>
    <t>嘉裕</t>
  </si>
  <si>
    <t>東華</t>
  </si>
  <si>
    <t>新紡</t>
  </si>
  <si>
    <t>利華</t>
  </si>
  <si>
    <t>福懋</t>
  </si>
  <si>
    <t>中和</t>
  </si>
  <si>
    <t>立益</t>
  </si>
  <si>
    <t>力麗</t>
  </si>
  <si>
    <t>宏和</t>
  </si>
  <si>
    <t>力鵬</t>
  </si>
  <si>
    <t>佳和</t>
  </si>
  <si>
    <t>年興</t>
  </si>
  <si>
    <t>宏益</t>
  </si>
  <si>
    <t>大將</t>
  </si>
  <si>
    <t>怡華</t>
  </si>
  <si>
    <t>宜進</t>
  </si>
  <si>
    <t>宏遠</t>
  </si>
  <si>
    <t>強盛</t>
  </si>
  <si>
    <t>得力</t>
  </si>
  <si>
    <t>偉全</t>
  </si>
  <si>
    <t>南緯</t>
  </si>
  <si>
    <t>昶和</t>
  </si>
  <si>
    <t>大統新創</t>
  </si>
  <si>
    <t>台南</t>
  </si>
  <si>
    <t>弘裕</t>
  </si>
  <si>
    <t>業旺</t>
  </si>
  <si>
    <t>儒鴻</t>
  </si>
  <si>
    <t>聚陽</t>
  </si>
  <si>
    <t>如興</t>
  </si>
  <si>
    <t>利勤</t>
  </si>
  <si>
    <t>廣越</t>
  </si>
  <si>
    <t>冠星-KY</t>
  </si>
  <si>
    <t>士電</t>
  </si>
  <si>
    <t>正道</t>
  </si>
  <si>
    <t>永大</t>
  </si>
  <si>
    <t>中興電</t>
  </si>
  <si>
    <t>亞力</t>
  </si>
  <si>
    <t>力山</t>
  </si>
  <si>
    <t>利奇</t>
  </si>
  <si>
    <t>日馳</t>
  </si>
  <si>
    <t>鑽全</t>
  </si>
  <si>
    <t>恩德</t>
  </si>
  <si>
    <t>樂士</t>
  </si>
  <si>
    <t>亞崴</t>
  </si>
  <si>
    <t>高林股</t>
  </si>
  <si>
    <t>勤美</t>
  </si>
  <si>
    <t>中宇</t>
  </si>
  <si>
    <t>廣隆</t>
  </si>
  <si>
    <t>正峰</t>
  </si>
  <si>
    <t>巨庭</t>
  </si>
  <si>
    <t>喬福</t>
  </si>
  <si>
    <t>錩泰</t>
  </si>
  <si>
    <t>伸興</t>
  </si>
  <si>
    <t>中砂</t>
  </si>
  <si>
    <t>程泰</t>
  </si>
  <si>
    <t>永冠-KY</t>
  </si>
  <si>
    <t>直得</t>
  </si>
  <si>
    <t>艾姆勒</t>
  </si>
  <si>
    <t>大同</t>
  </si>
  <si>
    <t>大量</t>
  </si>
  <si>
    <t>東台</t>
  </si>
  <si>
    <t>瑞智</t>
  </si>
  <si>
    <t>全球傳動</t>
  </si>
  <si>
    <t>力達-KY</t>
  </si>
  <si>
    <t>氣立</t>
  </si>
  <si>
    <t>強信-KY</t>
  </si>
  <si>
    <t>穎漢</t>
  </si>
  <si>
    <t>元翎</t>
  </si>
  <si>
    <t>時碩工業</t>
  </si>
  <si>
    <t>鈞興-KY</t>
  </si>
  <si>
    <t>駐龍</t>
  </si>
  <si>
    <t>大銀微系統</t>
  </si>
  <si>
    <t>豐祥-KY</t>
  </si>
  <si>
    <t>寶一</t>
  </si>
  <si>
    <t>羅昇</t>
  </si>
  <si>
    <t>高力</t>
  </si>
  <si>
    <t>華電</t>
  </si>
  <si>
    <t>聲寶</t>
  </si>
  <si>
    <t>華新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</si>
  <si>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</si>
  <si>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</si>
  <si>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</si>
  <si>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</si>
  <si>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</si>
  <si>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</si>
  <si>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</si>
  <si>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</si>
  <si>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燦星網</t>
  </si>
  <si>
    <t>禾聯碩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</si>
  <si>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</si>
  <si>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</si>
  <si>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</si>
  <si>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</si>
  <si>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</si>
  <si>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</si>
  <si>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</si>
  <si>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</si>
  <si>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</si>
  <si>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三晃</t>
  </si>
  <si>
    <t>台肥</t>
  </si>
  <si>
    <t>中碳</t>
  </si>
  <si>
    <t>永記</t>
  </si>
  <si>
    <t>中華化</t>
  </si>
  <si>
    <t>花仙子</t>
  </si>
  <si>
    <t>日勝化</t>
  </si>
  <si>
    <t>勝一</t>
  </si>
  <si>
    <t>展宇</t>
  </si>
  <si>
    <t>上緯投控</t>
  </si>
  <si>
    <t>德淵</t>
  </si>
  <si>
    <t>國精化</t>
  </si>
  <si>
    <t>康普</t>
  </si>
  <si>
    <t>三福化</t>
  </si>
  <si>
    <t>材料-KY</t>
  </si>
  <si>
    <t>雙鍵</t>
  </si>
  <si>
    <t>南寶</t>
  </si>
  <si>
    <t>中化</t>
  </si>
  <si>
    <t>葡萄王</t>
  </si>
  <si>
    <t>生達</t>
  </si>
  <si>
    <t>五鼎</t>
  </si>
  <si>
    <t>喬山</t>
  </si>
  <si>
    <t>中化生</t>
  </si>
  <si>
    <t>科妍</t>
  </si>
  <si>
    <t>神隆</t>
  </si>
  <si>
    <t>永信</t>
  </si>
  <si>
    <t>佳醫</t>
  </si>
  <si>
    <t>旭富</t>
  </si>
  <si>
    <t>亞諾法</t>
  </si>
  <si>
    <t>麗豐-KY</t>
  </si>
  <si>
    <t>龍燈-KY</t>
  </si>
  <si>
    <t>全宇生技-KY</t>
  </si>
  <si>
    <t>訊映</t>
  </si>
  <si>
    <t>承業醫</t>
  </si>
  <si>
    <t>佐登-KY</t>
  </si>
  <si>
    <t>華廣</t>
  </si>
  <si>
    <t>晶碩</t>
  </si>
  <si>
    <t>羅麗芬-KY</t>
  </si>
  <si>
    <t>冠軍</t>
  </si>
  <si>
    <t>中釉</t>
  </si>
  <si>
    <t>和成</t>
  </si>
  <si>
    <t>凱撒衛</t>
  </si>
  <si>
    <t>士紙</t>
  </si>
  <si>
    <t>正隆</t>
  </si>
  <si>
    <t>寶隆</t>
  </si>
  <si>
    <t>永豐餘</t>
  </si>
  <si>
    <t>榮成</t>
  </si>
  <si>
    <t>東和鋼鐵</t>
  </si>
  <si>
    <t>春源</t>
  </si>
  <si>
    <t>春雨</t>
  </si>
  <si>
    <t>中鋼構</t>
  </si>
  <si>
    <t>豐興</t>
  </si>
  <si>
    <t>志聯</t>
  </si>
  <si>
    <t>千興</t>
  </si>
  <si>
    <t>彰源</t>
  </si>
  <si>
    <t>允強</t>
  </si>
  <si>
    <t>運錩</t>
  </si>
  <si>
    <t>長榮鋼</t>
  </si>
  <si>
    <t>豐達科</t>
  </si>
  <si>
    <t>三星</t>
  </si>
  <si>
    <t>東明-KY</t>
  </si>
  <si>
    <t>世紀鋼</t>
  </si>
  <si>
    <t>南港</t>
  </si>
  <si>
    <t>泰豐</t>
  </si>
  <si>
    <t>台橡</t>
  </si>
  <si>
    <t>國際中橡</t>
  </si>
  <si>
    <t>正新</t>
  </si>
  <si>
    <t>建大</t>
  </si>
  <si>
    <t>厚生</t>
  </si>
  <si>
    <t>華豐</t>
  </si>
  <si>
    <t>鑫永銓</t>
  </si>
  <si>
    <t>東陽</t>
  </si>
  <si>
    <t>廣華-KY</t>
  </si>
  <si>
    <t>昭輝</t>
  </si>
  <si>
    <t>瑞利</t>
  </si>
  <si>
    <t>大億</t>
  </si>
  <si>
    <t>堤維西</t>
  </si>
  <si>
    <t>耿鼎</t>
  </si>
  <si>
    <t>江申</t>
  </si>
  <si>
    <t>車王電</t>
  </si>
  <si>
    <t>和大</t>
  </si>
  <si>
    <t>倉佑</t>
  </si>
  <si>
    <t>吉茂</t>
  </si>
  <si>
    <t>六暉-KY</t>
  </si>
  <si>
    <t>裕隆</t>
  </si>
  <si>
    <t>中華</t>
  </si>
  <si>
    <t>和泰車</t>
  </si>
  <si>
    <t>裕日車</t>
  </si>
  <si>
    <t>劍麟</t>
  </si>
  <si>
    <t>為升</t>
  </si>
  <si>
    <t>宇隆</t>
  </si>
  <si>
    <t>百達-KY</t>
  </si>
  <si>
    <t>英利-KY</t>
  </si>
  <si>
    <t>宏旭-KY</t>
  </si>
  <si>
    <t>汎德永業</t>
  </si>
  <si>
    <t>怡利電</t>
  </si>
  <si>
    <t>麗清</t>
  </si>
  <si>
    <t>智伸科</t>
  </si>
  <si>
    <t>永新-KY</t>
  </si>
  <si>
    <t>光隆精密-KY</t>
  </si>
  <si>
    <t>聯嘉</t>
  </si>
  <si>
    <t>帝寶</t>
  </si>
  <si>
    <t>麗正</t>
  </si>
  <si>
    <t>聯電</t>
  </si>
  <si>
    <t>華泰</t>
  </si>
  <si>
    <t>台積電</t>
  </si>
  <si>
    <t>旺宏</t>
  </si>
  <si>
    <t>光罩</t>
  </si>
  <si>
    <t>茂矽</t>
  </si>
  <si>
    <t>華邦電</t>
  </si>
  <si>
    <t>矽統</t>
  </si>
  <si>
    <t>菱生</t>
  </si>
  <si>
    <t>瑞昱</t>
  </si>
  <si>
    <t>威盛</t>
  </si>
  <si>
    <t>凌陽</t>
  </si>
  <si>
    <t>南亞科</t>
  </si>
  <si>
    <t>統懋</t>
  </si>
  <si>
    <t>偉詮電</t>
  </si>
  <si>
    <t>超豐</t>
  </si>
  <si>
    <t>京元電子</t>
  </si>
  <si>
    <t>創見</t>
  </si>
  <si>
    <t>聯發科</t>
  </si>
  <si>
    <t>義隆</t>
  </si>
  <si>
    <t>強茂</t>
  </si>
  <si>
    <t>聯陽</t>
  </si>
  <si>
    <t>嘉晶</t>
  </si>
  <si>
    <t>聯詠</t>
  </si>
  <si>
    <t>智原</t>
  </si>
  <si>
    <t>揚智</t>
  </si>
  <si>
    <t>立萬利</t>
  </si>
  <si>
    <t>聯傑</t>
  </si>
  <si>
    <t>虹冠電</t>
  </si>
  <si>
    <t>京鼎</t>
  </si>
  <si>
    <t>晶相光</t>
  </si>
  <si>
    <t>敦泰</t>
  </si>
  <si>
    <t>辛耘</t>
  </si>
  <si>
    <t>通嘉</t>
  </si>
  <si>
    <t>世芯-KY</t>
  </si>
  <si>
    <t>新唐</t>
  </si>
  <si>
    <t>凌通</t>
  </si>
  <si>
    <t>天鈺</t>
  </si>
  <si>
    <t>十銓</t>
  </si>
  <si>
    <t>立積</t>
  </si>
  <si>
    <t>界霖</t>
  </si>
  <si>
    <t>松翰</t>
  </si>
  <si>
    <t>盛群</t>
  </si>
  <si>
    <t>矽格</t>
  </si>
  <si>
    <t>同欣電</t>
  </si>
  <si>
    <t>矽力-KY</t>
  </si>
  <si>
    <t>穎崴</t>
  </si>
  <si>
    <t>晶心科</t>
  </si>
  <si>
    <t>易華電</t>
  </si>
  <si>
    <t>虹揚-KY</t>
  </si>
  <si>
    <t>威鋒電子</t>
  </si>
  <si>
    <t>矽創</t>
  </si>
  <si>
    <t>昇陽半導體</t>
  </si>
  <si>
    <t>華東</t>
  </si>
  <si>
    <t>福懋科</t>
  </si>
  <si>
    <t>南茂</t>
  </si>
  <si>
    <t>富鼎</t>
  </si>
  <si>
    <t>宇瞻</t>
  </si>
  <si>
    <t>光寶科</t>
  </si>
  <si>
    <t>全友</t>
  </si>
  <si>
    <t>仁寶</t>
  </si>
  <si>
    <t>精英</t>
  </si>
  <si>
    <t>佳世達</t>
  </si>
  <si>
    <t>宏碁</t>
  </si>
  <si>
    <t>英業達</t>
  </si>
  <si>
    <t>華碩</t>
  </si>
  <si>
    <t>藍天</t>
  </si>
  <si>
    <t>倫飛</t>
  </si>
  <si>
    <t>昆盈</t>
  </si>
  <si>
    <t>微星</t>
  </si>
  <si>
    <t>廣達</t>
  </si>
  <si>
    <t>精元</t>
  </si>
  <si>
    <t>友通</t>
  </si>
  <si>
    <t>浩鑫</t>
  </si>
  <si>
    <t>隴華</t>
  </si>
  <si>
    <t>承啟</t>
  </si>
  <si>
    <t>新美齊</t>
  </si>
  <si>
    <t>歐格</t>
  </si>
  <si>
    <t>神基</t>
  </si>
  <si>
    <t>晟銘電</t>
  </si>
  <si>
    <t>威強電</t>
  </si>
  <si>
    <t>建碁</t>
  </si>
  <si>
    <t>銘異</t>
  </si>
  <si>
    <t>緯創</t>
  </si>
  <si>
    <t>融程電</t>
  </si>
  <si>
    <t>誠研</t>
  </si>
  <si>
    <t>華擎</t>
  </si>
  <si>
    <t>大眾控</t>
  </si>
  <si>
    <t>神達</t>
  </si>
  <si>
    <t>永崴投控</t>
  </si>
  <si>
    <t>事欣科</t>
  </si>
  <si>
    <t>和碩</t>
  </si>
  <si>
    <t>科嘉-KY</t>
  </si>
  <si>
    <t>虹堡</t>
  </si>
  <si>
    <t>迎廣</t>
  </si>
  <si>
    <t>上福</t>
  </si>
  <si>
    <t>凌華</t>
  </si>
  <si>
    <t>互億</t>
  </si>
  <si>
    <t>飛捷</t>
  </si>
  <si>
    <t>尼得科超眾</t>
  </si>
  <si>
    <t>華孚</t>
  </si>
  <si>
    <t>宏正</t>
  </si>
  <si>
    <t>研揚</t>
  </si>
  <si>
    <t>動力-KY</t>
  </si>
  <si>
    <t>緯穎</t>
  </si>
  <si>
    <t>振樺電</t>
  </si>
  <si>
    <t>達方</t>
  </si>
  <si>
    <t>勤誠</t>
  </si>
  <si>
    <t>偉聯</t>
  </si>
  <si>
    <t>中環</t>
  </si>
  <si>
    <t>光磊</t>
  </si>
  <si>
    <t>錸德</t>
  </si>
  <si>
    <t>佳能</t>
  </si>
  <si>
    <t>友達</t>
  </si>
  <si>
    <t>鼎元</t>
  </si>
  <si>
    <t>翔耀</t>
  </si>
  <si>
    <t>冠西電</t>
  </si>
  <si>
    <t>一詮</t>
  </si>
  <si>
    <t>大立光</t>
  </si>
  <si>
    <t>亞光</t>
  </si>
  <si>
    <t>憶聲</t>
  </si>
  <si>
    <t>佰鴻</t>
  </si>
  <si>
    <t>全台</t>
  </si>
  <si>
    <t>和鑫</t>
  </si>
  <si>
    <t>鈺德</t>
  </si>
  <si>
    <t>力特</t>
  </si>
  <si>
    <t>華晶科</t>
  </si>
  <si>
    <t>正達</t>
  </si>
  <si>
    <t>奇偶</t>
  </si>
  <si>
    <t>新世紀</t>
  </si>
  <si>
    <t>玉晶光</t>
  </si>
  <si>
    <t>榮創</t>
  </si>
  <si>
    <t>晶睿</t>
  </si>
  <si>
    <t>群創</t>
  </si>
  <si>
    <t>揚明光</t>
  </si>
  <si>
    <t>晶彩科</t>
  </si>
  <si>
    <t>州巧</t>
  </si>
  <si>
    <t>牧德</t>
  </si>
  <si>
    <t>洋華</t>
  </si>
  <si>
    <t>圓展</t>
  </si>
  <si>
    <t>富采</t>
  </si>
  <si>
    <t>太極</t>
  </si>
  <si>
    <t>茂林-KY</t>
  </si>
  <si>
    <t>嘉彰</t>
  </si>
  <si>
    <t>光鋐</t>
  </si>
  <si>
    <t>誠美材</t>
  </si>
  <si>
    <t>達興材料</t>
  </si>
  <si>
    <t>乙盛-KY</t>
  </si>
  <si>
    <t>彩晶</t>
  </si>
  <si>
    <t>達運</t>
  </si>
  <si>
    <t>華興</t>
  </si>
  <si>
    <t>宏齊</t>
  </si>
  <si>
    <t>瑞儀</t>
  </si>
  <si>
    <t>今國光</t>
  </si>
  <si>
    <t>天瀚</t>
  </si>
  <si>
    <t>光鼎</t>
  </si>
  <si>
    <t>台表科</t>
  </si>
  <si>
    <t>華上</t>
  </si>
  <si>
    <t>悅城</t>
  </si>
  <si>
    <t>光麗-KY</t>
  </si>
  <si>
    <t>安集</t>
  </si>
  <si>
    <t>中揚光</t>
  </si>
  <si>
    <t>惠特</t>
  </si>
  <si>
    <t>錸寶</t>
  </si>
  <si>
    <t>凌巨</t>
  </si>
  <si>
    <t>明基材</t>
  </si>
  <si>
    <t>台揚</t>
  </si>
  <si>
    <t>東訊</t>
  </si>
  <si>
    <t>友訊</t>
  </si>
  <si>
    <t>智邦</t>
  </si>
  <si>
    <t>中華電</t>
  </si>
  <si>
    <t>仲琦</t>
  </si>
  <si>
    <t>美律</t>
  </si>
  <si>
    <t>兆勁</t>
  </si>
  <si>
    <t>神腦</t>
  </si>
  <si>
    <t>全新</t>
  </si>
  <si>
    <t>宏達電</t>
  </si>
  <si>
    <t>星通</t>
  </si>
  <si>
    <t>盛達</t>
  </si>
  <si>
    <t>台灣大</t>
  </si>
  <si>
    <t>訊舟</t>
  </si>
  <si>
    <t>建漢</t>
  </si>
  <si>
    <t>閎暉</t>
  </si>
  <si>
    <t>明泰</t>
  </si>
  <si>
    <t>譁裕</t>
  </si>
  <si>
    <t>智易</t>
  </si>
  <si>
    <t>亞太電</t>
  </si>
  <si>
    <t>海華</t>
  </si>
  <si>
    <t>合勤控</t>
  </si>
  <si>
    <t>遠傳</t>
  </si>
  <si>
    <t>正文</t>
  </si>
  <si>
    <t>眾達-KY</t>
  </si>
  <si>
    <t>富爾特</t>
  </si>
  <si>
    <t>友勁</t>
  </si>
  <si>
    <t>百一</t>
  </si>
  <si>
    <t>居易</t>
  </si>
  <si>
    <t>啟碁</t>
  </si>
  <si>
    <t>瑞祺電通</t>
  </si>
  <si>
    <t>光聖</t>
  </si>
  <si>
    <t>鋐寶科技</t>
  </si>
  <si>
    <t>台通</t>
  </si>
  <si>
    <t>華冠</t>
  </si>
  <si>
    <t>首利</t>
  </si>
  <si>
    <t>信錦</t>
  </si>
  <si>
    <t>川湖</t>
  </si>
  <si>
    <t>台達電</t>
  </si>
  <si>
    <t>華通</t>
  </si>
  <si>
    <t>楠梓電</t>
  </si>
  <si>
    <t>廣宇</t>
  </si>
  <si>
    <t>燿華</t>
  </si>
  <si>
    <t>凱美</t>
  </si>
  <si>
    <t>群光</t>
  </si>
  <si>
    <t>正崴</t>
  </si>
  <si>
    <t>毅嘉</t>
  </si>
  <si>
    <t>環科</t>
  </si>
  <si>
    <t>錩新</t>
  </si>
  <si>
    <t>新巨</t>
  </si>
  <si>
    <t>建準</t>
  </si>
  <si>
    <t>興勤</t>
  </si>
  <si>
    <t>銘旺科</t>
  </si>
  <si>
    <t>聯昌</t>
  </si>
  <si>
    <t>太空梭</t>
  </si>
  <si>
    <t>奇力新</t>
  </si>
  <si>
    <t>良得電</t>
  </si>
  <si>
    <t>志聖</t>
  </si>
  <si>
    <t>立隆電</t>
  </si>
  <si>
    <t>鉅祥</t>
  </si>
  <si>
    <t>大毅</t>
  </si>
  <si>
    <t>百容</t>
  </si>
  <si>
    <t>希華</t>
  </si>
  <si>
    <t>華新科</t>
  </si>
  <si>
    <t>揚博</t>
  </si>
  <si>
    <t>健和興</t>
  </si>
  <si>
    <t>今皓</t>
  </si>
  <si>
    <t>全漢</t>
  </si>
  <si>
    <t>鴻名</t>
  </si>
  <si>
    <t>信邦</t>
  </si>
  <si>
    <t>禾伸堂</t>
  </si>
  <si>
    <t>偉訓</t>
  </si>
  <si>
    <t>欣興</t>
  </si>
  <si>
    <t>晶技</t>
  </si>
  <si>
    <t>健鼎</t>
  </si>
  <si>
    <t>立德</t>
  </si>
  <si>
    <t>日電貿</t>
  </si>
  <si>
    <t>鴻碩</t>
  </si>
  <si>
    <t>晟鈦</t>
  </si>
  <si>
    <t>勝德</t>
  </si>
  <si>
    <t>聯德</t>
  </si>
  <si>
    <t>同泰</t>
  </si>
  <si>
    <t>泰碩</t>
  </si>
  <si>
    <t>新日興</t>
  </si>
  <si>
    <t>台端</t>
  </si>
  <si>
    <t>維熹</t>
  </si>
  <si>
    <t>聯穎</t>
  </si>
  <si>
    <t>力銘</t>
  </si>
  <si>
    <t>宏致</t>
  </si>
  <si>
    <t>谷崧</t>
  </si>
  <si>
    <t>達邁</t>
  </si>
  <si>
    <t>新至陞</t>
  </si>
  <si>
    <t>銘鈺</t>
  </si>
  <si>
    <t>聯德控股-KY</t>
  </si>
  <si>
    <t>致伸</t>
  </si>
  <si>
    <t>泰鼎-KY</t>
  </si>
  <si>
    <t>臻鼎-KY</t>
  </si>
  <si>
    <t>榮科</t>
  </si>
  <si>
    <t>鑫禾</t>
  </si>
  <si>
    <t>瀚宇博</t>
  </si>
  <si>
    <t>競國</t>
  </si>
  <si>
    <t>鎰勝</t>
  </si>
  <si>
    <t>金橋</t>
  </si>
  <si>
    <t>柏承</t>
  </si>
  <si>
    <t>嘉聯益</t>
  </si>
  <si>
    <t>鈞寶</t>
  </si>
  <si>
    <t>精成科</t>
  </si>
  <si>
    <t>佳必琪</t>
  </si>
  <si>
    <t>詮欣</t>
  </si>
  <si>
    <t>聯茂</t>
  </si>
  <si>
    <t>聚鼎</t>
  </si>
  <si>
    <t>台郡</t>
  </si>
  <si>
    <t>康舒</t>
  </si>
  <si>
    <t>群電</t>
  </si>
  <si>
    <t>鈺邦</t>
  </si>
  <si>
    <t>騰輝電子-KY</t>
  </si>
  <si>
    <t>嘉基</t>
  </si>
  <si>
    <t>南電</t>
  </si>
  <si>
    <t>瀚荃</t>
  </si>
  <si>
    <t>志超</t>
  </si>
  <si>
    <t>菱光</t>
  </si>
  <si>
    <t>聯強</t>
  </si>
  <si>
    <t>精技</t>
  </si>
  <si>
    <t>燦坤</t>
  </si>
  <si>
    <t>敦吉</t>
  </si>
  <si>
    <t>華立</t>
  </si>
  <si>
    <t>增你強</t>
  </si>
  <si>
    <t>威健</t>
  </si>
  <si>
    <t>文曄</t>
  </si>
  <si>
    <t>益登</t>
  </si>
  <si>
    <t>蔚華科</t>
  </si>
  <si>
    <t>全科</t>
  </si>
  <si>
    <t>弘憶股</t>
  </si>
  <si>
    <t>安馳</t>
  </si>
  <si>
    <t>大聯大</t>
  </si>
  <si>
    <t>崇越</t>
  </si>
  <si>
    <t>豐藝</t>
  </si>
  <si>
    <t>全國電</t>
  </si>
  <si>
    <t>展碁國際</t>
  </si>
  <si>
    <t>長華*</t>
  </si>
  <si>
    <t>陞泰</t>
  </si>
  <si>
    <t>至上</t>
  </si>
  <si>
    <t>三商電</t>
  </si>
  <si>
    <t>凌群</t>
  </si>
  <si>
    <t>華經</t>
  </si>
  <si>
    <t>資通</t>
  </si>
  <si>
    <t>敦陽科</t>
  </si>
  <si>
    <t>零壹</t>
  </si>
  <si>
    <t>一零四</t>
  </si>
  <si>
    <t>傳奇</t>
  </si>
  <si>
    <t>訊連</t>
  </si>
  <si>
    <t>聚碩</t>
  </si>
  <si>
    <t>關貿</t>
  </si>
  <si>
    <t>精誠</t>
  </si>
  <si>
    <t>金寶</t>
  </si>
  <si>
    <t>鴻海</t>
  </si>
  <si>
    <t>鴻準</t>
  </si>
  <si>
    <t>所羅門</t>
  </si>
  <si>
    <t>震旦行</t>
  </si>
  <si>
    <t>漢唐</t>
  </si>
  <si>
    <t>固緯</t>
  </si>
  <si>
    <t>互盛電</t>
  </si>
  <si>
    <t>盟立</t>
  </si>
  <si>
    <t>可成</t>
  </si>
  <si>
    <t>美隆電</t>
  </si>
  <si>
    <t>連宇</t>
  </si>
  <si>
    <t>漢平</t>
  </si>
  <si>
    <t>普安</t>
  </si>
  <si>
    <t>同開</t>
  </si>
  <si>
    <t>德律</t>
  </si>
  <si>
    <t>科風</t>
  </si>
  <si>
    <t>昇貿</t>
  </si>
  <si>
    <t>聯鈞</t>
  </si>
  <si>
    <t>柏騰</t>
  </si>
  <si>
    <t>碩天</t>
  </si>
  <si>
    <t>貿聯-KY</t>
  </si>
  <si>
    <t>東科-KY</t>
  </si>
  <si>
    <t>亞翔</t>
  </si>
  <si>
    <t>巨路</t>
  </si>
  <si>
    <t>帆宣</t>
  </si>
  <si>
    <t>亞弘電</t>
  </si>
  <si>
    <t>和椿</t>
  </si>
  <si>
    <t>淳安</t>
  </si>
  <si>
    <t>旭隼</t>
  </si>
  <si>
    <t>迅得</t>
  </si>
  <si>
    <t>興能高</t>
  </si>
  <si>
    <t>旭暉應材</t>
  </si>
  <si>
    <t>無敵</t>
  </si>
  <si>
    <t>上曜</t>
  </si>
  <si>
    <t>上市建材營造</t>
  </si>
  <si>
    <t>華友聯</t>
  </si>
  <si>
    <t>三地開發</t>
  </si>
  <si>
    <t>名軒</t>
  </si>
  <si>
    <t>潤隆</t>
  </si>
  <si>
    <t>國建</t>
  </si>
  <si>
    <t>國產</t>
  </si>
  <si>
    <t>國揚</t>
  </si>
  <si>
    <t>太設</t>
  </si>
  <si>
    <t>全坤建</t>
  </si>
  <si>
    <t>太子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</si>
  <si>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</si>
  <si>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</si>
  <si>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</si>
  <si>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</si>
  <si>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</si>
  <si>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</si>
  <si>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</si>
  <si>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</si>
  <si>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</si>
  <si>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</si>
  <si>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</si>
  <si>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</si>
  <si>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</si>
  <si>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</si>
  <si>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</si>
  <si>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</si>
  <si>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</si>
  <si>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</si>
  <si>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</si>
  <si>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台開</t>
  </si>
  <si>
    <t>鼎固-KY</t>
  </si>
  <si>
    <t>夆典</t>
  </si>
  <si>
    <t>總太</t>
  </si>
  <si>
    <t>昇陽</t>
  </si>
  <si>
    <t>欣陸</t>
  </si>
  <si>
    <t>建國</t>
  </si>
  <si>
    <t>隆大</t>
  </si>
  <si>
    <t>工信</t>
  </si>
  <si>
    <t>遠雄</t>
  </si>
  <si>
    <t>順天</t>
  </si>
  <si>
    <t>鄉林</t>
  </si>
  <si>
    <t>皇鼎</t>
  </si>
  <si>
    <t>長虹</t>
  </si>
  <si>
    <t>永固-KY</t>
  </si>
  <si>
    <t>達麗</t>
  </si>
  <si>
    <t>欣巴巴</t>
  </si>
  <si>
    <t>三發地產</t>
  </si>
  <si>
    <t>台船</t>
  </si>
  <si>
    <t>華航</t>
  </si>
  <si>
    <t>中航</t>
  </si>
  <si>
    <t>萬海</t>
  </si>
  <si>
    <t>長榮航</t>
  </si>
  <si>
    <t>亞航</t>
  </si>
  <si>
    <t>台灣高鐵</t>
  </si>
  <si>
    <t>漢翔</t>
  </si>
  <si>
    <t>台驊投控</t>
  </si>
  <si>
    <t>遠雄港</t>
  </si>
  <si>
    <t>建新國際</t>
  </si>
  <si>
    <t>萬企</t>
  </si>
  <si>
    <t>華園</t>
  </si>
  <si>
    <t>國賓</t>
  </si>
  <si>
    <t>六福</t>
  </si>
  <si>
    <t>第一店</t>
  </si>
  <si>
    <t>晶華</t>
  </si>
  <si>
    <t>遠雄來</t>
  </si>
  <si>
    <t>夏都</t>
  </si>
  <si>
    <t>美食-KY</t>
  </si>
  <si>
    <t>王品</t>
  </si>
  <si>
    <t>雄獅</t>
  </si>
  <si>
    <t>寒舍</t>
  </si>
  <si>
    <t>雲品</t>
  </si>
  <si>
    <t>鳳凰</t>
  </si>
  <si>
    <t>柏文</t>
  </si>
  <si>
    <t>新天地</t>
  </si>
  <si>
    <t>好樂迪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</si>
  <si>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</si>
  <si>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</si>
  <si>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</si>
  <si>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</si>
  <si>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</si>
  <si>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</si>
  <si>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</si>
  <si>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</si>
  <si>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</si>
  <si>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</si>
  <si>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</si>
  <si>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</si>
  <si>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</si>
  <si>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</si>
  <si>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</si>
  <si>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</si>
  <si>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</si>
  <si>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</si>
  <si>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</si>
  <si>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</si>
  <si>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</si>
  <si>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</si>
  <si>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</si>
  <si>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</si>
  <si>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</si>
  <si>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</si>
  <si>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</si>
  <si>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</si>
  <si>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</si>
  <si>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</si>
  <si>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</si>
  <si>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合庫金</t>
  </si>
  <si>
    <t>群益證</t>
  </si>
  <si>
    <t>群益期</t>
  </si>
  <si>
    <t>大魯閣</t>
  </si>
  <si>
    <t>益航</t>
  </si>
  <si>
    <t>欣欣</t>
  </si>
  <si>
    <t>遠百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</si>
  <si>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</si>
  <si>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</si>
  <si>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</si>
  <si>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</si>
  <si>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</si>
  <si>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</si>
  <si>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</si>
  <si>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</si>
  <si>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客思達-KY</t>
  </si>
  <si>
    <t>凱羿-KY</t>
  </si>
  <si>
    <t>日成-KY</t>
  </si>
  <si>
    <t>台南-KY</t>
  </si>
  <si>
    <t>大洋-KY</t>
  </si>
  <si>
    <t>金麗-KY</t>
  </si>
  <si>
    <t>阿瘦</t>
  </si>
  <si>
    <t>富邦媒</t>
  </si>
  <si>
    <t>山隆</t>
  </si>
  <si>
    <t>台塑化</t>
  </si>
  <si>
    <t>台汽電</t>
  </si>
  <si>
    <t>大台北</t>
  </si>
  <si>
    <t>欣天然</t>
  </si>
  <si>
    <t>新海</t>
  </si>
  <si>
    <t>欣高</t>
  </si>
  <si>
    <t>全國</t>
  </si>
  <si>
    <t>八貫</t>
  </si>
  <si>
    <t>廣豐</t>
  </si>
  <si>
    <t>中福</t>
  </si>
  <si>
    <t>勤益控</t>
  </si>
  <si>
    <t>川飛</t>
  </si>
  <si>
    <t>海悅</t>
  </si>
  <si>
    <t>廷鑫</t>
  </si>
  <si>
    <t>億麗</t>
  </si>
  <si>
    <t>卓越</t>
  </si>
  <si>
    <t>龍邦</t>
  </si>
  <si>
    <t>匯僑</t>
  </si>
  <si>
    <t>遠見</t>
  </si>
  <si>
    <t>嘉威</t>
  </si>
  <si>
    <t>大豐電</t>
  </si>
  <si>
    <t>台數科</t>
  </si>
  <si>
    <t>鋼聯</t>
  </si>
  <si>
    <t>和潤企業</t>
  </si>
  <si>
    <t>必應</t>
  </si>
  <si>
    <t>基士德-KY</t>
  </si>
  <si>
    <t>科定</t>
  </si>
  <si>
    <t>復盛應用</t>
  </si>
  <si>
    <t>三能-KY</t>
  </si>
  <si>
    <t>匯僑設計</t>
  </si>
  <si>
    <t>志強-KY</t>
  </si>
  <si>
    <t>雷虎</t>
  </si>
  <si>
    <t>日友</t>
  </si>
  <si>
    <t>百和興業-KY</t>
  </si>
  <si>
    <t>福貞-KY</t>
  </si>
  <si>
    <t>可寧衛</t>
  </si>
  <si>
    <t>基勝-KY</t>
  </si>
  <si>
    <t>威宏-KY</t>
  </si>
  <si>
    <t>潤泰材</t>
  </si>
  <si>
    <t>美吉吉-KY</t>
  </si>
  <si>
    <t>波力-KY</t>
  </si>
  <si>
    <t>山林水</t>
  </si>
  <si>
    <t>東哥遊艇</t>
  </si>
  <si>
    <t>泰昇-KY</t>
  </si>
  <si>
    <t>政伸</t>
  </si>
  <si>
    <t>商億-KY</t>
  </si>
  <si>
    <t>吉源-KY</t>
  </si>
  <si>
    <t>鼎炫-KY</t>
  </si>
  <si>
    <t>鈺齊-KY</t>
  </si>
  <si>
    <t>台火</t>
  </si>
  <si>
    <t>寶成</t>
  </si>
  <si>
    <t>大華</t>
  </si>
  <si>
    <t>統一實</t>
  </si>
  <si>
    <t>櫻花</t>
  </si>
  <si>
    <t>美利達</t>
  </si>
  <si>
    <t>中保科</t>
  </si>
  <si>
    <t>巨大</t>
  </si>
  <si>
    <t>福興</t>
  </si>
  <si>
    <t>新保</t>
  </si>
  <si>
    <t>泰銘</t>
  </si>
  <si>
    <t>中視</t>
  </si>
  <si>
    <t>秋雨</t>
  </si>
  <si>
    <t>中聯資源</t>
  </si>
  <si>
    <t>中鼎</t>
  </si>
  <si>
    <t>成霖</t>
  </si>
  <si>
    <t>百和</t>
  </si>
  <si>
    <t>宏全</t>
  </si>
  <si>
    <t>裕融</t>
  </si>
  <si>
    <t>茂順</t>
  </si>
  <si>
    <t>潤泰新</t>
  </si>
  <si>
    <t>佳龍</t>
  </si>
  <si>
    <t>其祥-KY</t>
  </si>
  <si>
    <t>德麥</t>
  </si>
  <si>
    <t>金穎生技</t>
  </si>
  <si>
    <t>中華食</t>
  </si>
  <si>
    <t>環泰</t>
  </si>
  <si>
    <t>信立</t>
  </si>
  <si>
    <t>勝昱</t>
  </si>
  <si>
    <t>世坤</t>
  </si>
  <si>
    <t>冠好</t>
  </si>
  <si>
    <t>萬國通</t>
  </si>
  <si>
    <t>東隆興</t>
  </si>
  <si>
    <t>福大</t>
  </si>
  <si>
    <t>飛寶企業</t>
  </si>
  <si>
    <t>金洲</t>
  </si>
  <si>
    <t>元勝</t>
  </si>
  <si>
    <t>光明</t>
  </si>
  <si>
    <t>聚紡</t>
  </si>
  <si>
    <t>銘旺實</t>
  </si>
  <si>
    <t>興采</t>
  </si>
  <si>
    <t>力肯</t>
  </si>
  <si>
    <t>新麥</t>
  </si>
  <si>
    <t>駿吉-KY</t>
  </si>
  <si>
    <t>宏佳騰</t>
  </si>
  <si>
    <t>世德</t>
  </si>
  <si>
    <t>嘉鋼</t>
  </si>
  <si>
    <t>精湛</t>
  </si>
  <si>
    <t>泰茂</t>
  </si>
  <si>
    <t>謚源</t>
  </si>
  <si>
    <t>精確</t>
  </si>
  <si>
    <t>至寶電</t>
  </si>
  <si>
    <t>彬台</t>
  </si>
  <si>
    <t>台興</t>
  </si>
  <si>
    <t>健信</t>
  </si>
  <si>
    <t>金雨</t>
  </si>
  <si>
    <t>崇友</t>
  </si>
  <si>
    <t>高鋒</t>
  </si>
  <si>
    <t>福裕</t>
  </si>
  <si>
    <t>永彰</t>
  </si>
  <si>
    <t>方土霖</t>
  </si>
  <si>
    <t>江興鍛</t>
  </si>
  <si>
    <t>宏易</t>
  </si>
  <si>
    <t>協易機</t>
  </si>
  <si>
    <t>慶騰</t>
  </si>
  <si>
    <t>至興</t>
  </si>
  <si>
    <t>大詠城</t>
  </si>
  <si>
    <t>萬在</t>
  </si>
  <si>
    <t>桓達</t>
  </si>
  <si>
    <t>長佳</t>
  </si>
  <si>
    <t>百德</t>
  </si>
  <si>
    <t>科際精密</t>
  </si>
  <si>
    <t>捷流閥業</t>
  </si>
  <si>
    <t>擎邦</t>
  </si>
  <si>
    <t>易發</t>
  </si>
  <si>
    <t>富強鑫</t>
  </si>
  <si>
    <t>瀧澤科</t>
  </si>
  <si>
    <t>鈦昇</t>
  </si>
  <si>
    <t>瑞穎</t>
  </si>
  <si>
    <t>朋程</t>
  </si>
  <si>
    <t>皇田</t>
  </si>
  <si>
    <t>風青</t>
  </si>
  <si>
    <t>唐鋒</t>
  </si>
  <si>
    <t>台蠟</t>
  </si>
  <si>
    <t>大恭</t>
  </si>
  <si>
    <t>磐亞</t>
  </si>
  <si>
    <t>永純</t>
  </si>
  <si>
    <t>永捷</t>
  </si>
  <si>
    <t>大立</t>
  </si>
  <si>
    <t>美琪瑪</t>
  </si>
  <si>
    <t>泓瀚</t>
  </si>
  <si>
    <t>國碳科</t>
  </si>
  <si>
    <t>誠泰科技</t>
  </si>
  <si>
    <t>雙邦</t>
  </si>
  <si>
    <t>聚和</t>
  </si>
  <si>
    <t>精華</t>
  </si>
  <si>
    <t>祺驊</t>
  </si>
  <si>
    <t>南光</t>
  </si>
  <si>
    <t>生泰</t>
  </si>
  <si>
    <t>訊聯</t>
  </si>
  <si>
    <t>杏昌</t>
  </si>
  <si>
    <t>寶利徠</t>
  </si>
  <si>
    <t>進階</t>
  </si>
  <si>
    <t>基亞</t>
  </si>
  <si>
    <t>佰研</t>
  </si>
  <si>
    <t>邦特</t>
  </si>
  <si>
    <t>加捷生醫</t>
  </si>
  <si>
    <t>濟生</t>
  </si>
  <si>
    <t>健喬</t>
  </si>
  <si>
    <t>明基醫</t>
  </si>
  <si>
    <t>友華</t>
  </si>
  <si>
    <t>晟德</t>
  </si>
  <si>
    <t>太醫</t>
  </si>
  <si>
    <t>中天</t>
  </si>
  <si>
    <t>聯合</t>
  </si>
  <si>
    <t>健亞</t>
  </si>
  <si>
    <t>晶宇</t>
  </si>
  <si>
    <t>曜亞</t>
  </si>
  <si>
    <t>馬光-KY</t>
  </si>
  <si>
    <t>中裕</t>
  </si>
  <si>
    <t>鈺緯</t>
  </si>
  <si>
    <t>康樂-KY</t>
  </si>
  <si>
    <t>太景*-KY</t>
  </si>
  <si>
    <t>創源</t>
  </si>
  <si>
    <t>聿新科</t>
  </si>
  <si>
    <t>智擎</t>
  </si>
  <si>
    <t>鐿鈦</t>
  </si>
  <si>
    <t>醣聯</t>
  </si>
  <si>
    <t>浩鼎</t>
  </si>
  <si>
    <t>杏一</t>
  </si>
  <si>
    <t>福永生技</t>
  </si>
  <si>
    <t>安克</t>
  </si>
  <si>
    <t>欣大健康</t>
  </si>
  <si>
    <t>雙美</t>
  </si>
  <si>
    <t>泰博</t>
  </si>
  <si>
    <t>合一</t>
  </si>
  <si>
    <t>皇將</t>
  </si>
  <si>
    <t>合富-KY</t>
  </si>
  <si>
    <t>強生</t>
  </si>
  <si>
    <t>德英</t>
  </si>
  <si>
    <t>寶島科</t>
  </si>
  <si>
    <t>星寶國際</t>
  </si>
  <si>
    <t>立康</t>
  </si>
  <si>
    <t>藥華藥</t>
  </si>
  <si>
    <t>益得</t>
  </si>
  <si>
    <t>大樹</t>
  </si>
  <si>
    <t>科懋</t>
  </si>
  <si>
    <t>益安</t>
  </si>
  <si>
    <t>達爾膚</t>
  </si>
  <si>
    <t>明達醫</t>
  </si>
  <si>
    <t>順藥</t>
  </si>
  <si>
    <t>醫揚</t>
  </si>
  <si>
    <t>逸達</t>
  </si>
  <si>
    <t>台康生技</t>
  </si>
  <si>
    <t>奈米醫材</t>
  </si>
  <si>
    <t>慧智</t>
  </si>
  <si>
    <t>台生材</t>
  </si>
  <si>
    <t>威健生技</t>
  </si>
  <si>
    <t>樂斯科</t>
  </si>
  <si>
    <t>軒郁</t>
  </si>
  <si>
    <t>長聖</t>
  </si>
  <si>
    <t>博晟生醫</t>
  </si>
  <si>
    <t>亨泰光</t>
  </si>
  <si>
    <t>達亞</t>
  </si>
  <si>
    <t>台微醫</t>
  </si>
  <si>
    <t>生展</t>
  </si>
  <si>
    <t>盛弘</t>
  </si>
  <si>
    <t>金可-KY</t>
  </si>
  <si>
    <t>商之器</t>
  </si>
  <si>
    <t>東生華</t>
  </si>
  <si>
    <t>唐榮</t>
  </si>
  <si>
    <t>世鎧</t>
  </si>
  <si>
    <t>晉椿</t>
  </si>
  <si>
    <t>世豐</t>
  </si>
  <si>
    <t>久陽</t>
  </si>
  <si>
    <t>強新</t>
  </si>
  <si>
    <t>華祺</t>
  </si>
  <si>
    <t>松和</t>
  </si>
  <si>
    <t>沛波</t>
  </si>
  <si>
    <t>恒耀</t>
  </si>
  <si>
    <t>青鋼</t>
  </si>
  <si>
    <t>有益</t>
  </si>
  <si>
    <t>富強</t>
  </si>
  <si>
    <t>天方能源</t>
  </si>
  <si>
    <t>晶宏</t>
  </si>
  <si>
    <t>原相</t>
  </si>
  <si>
    <t>鑫創</t>
  </si>
  <si>
    <t>威剛</t>
  </si>
  <si>
    <t>欣銓</t>
  </si>
  <si>
    <t>台星科</t>
  </si>
  <si>
    <t>海德威</t>
  </si>
  <si>
    <t>尼克森</t>
  </si>
  <si>
    <t>典範</t>
  </si>
  <si>
    <t>精材</t>
  </si>
  <si>
    <t>類比科</t>
  </si>
  <si>
    <t>聚積</t>
  </si>
  <si>
    <t>力旺</t>
  </si>
  <si>
    <t>重鵬</t>
  </si>
  <si>
    <t>禾瑞亞</t>
  </si>
  <si>
    <t>逸昌</t>
  </si>
  <si>
    <t>博磊</t>
  </si>
  <si>
    <t>德微</t>
  </si>
  <si>
    <t>家登</t>
  </si>
  <si>
    <t>陞達科技</t>
  </si>
  <si>
    <t>譜瑞-KY</t>
  </si>
  <si>
    <t>廣穎</t>
  </si>
  <si>
    <t>環宇-KY</t>
  </si>
  <si>
    <t>信驊</t>
  </si>
  <si>
    <t>太欣</t>
  </si>
  <si>
    <t>世紀</t>
  </si>
  <si>
    <t>立衛</t>
  </si>
  <si>
    <t>世界</t>
  </si>
  <si>
    <t>鈺創</t>
  </si>
  <si>
    <t>台半</t>
  </si>
  <si>
    <t>凱鈺</t>
  </si>
  <si>
    <t>中美晶</t>
  </si>
  <si>
    <t>通泰</t>
  </si>
  <si>
    <t>合邦</t>
  </si>
  <si>
    <t>普誠</t>
  </si>
  <si>
    <t>茂達</t>
  </si>
  <si>
    <t>頎邦</t>
  </si>
  <si>
    <t>合晶</t>
  </si>
  <si>
    <t>凌泰</t>
  </si>
  <si>
    <t>旺矽</t>
  </si>
  <si>
    <t>旺玖</t>
  </si>
  <si>
    <t>久元</t>
  </si>
  <si>
    <t>元隆</t>
  </si>
  <si>
    <t>沛亨</t>
  </si>
  <si>
    <t>晶焱</t>
  </si>
  <si>
    <t>大中</t>
  </si>
  <si>
    <t>紘康</t>
  </si>
  <si>
    <t>神盾</t>
  </si>
  <si>
    <t>點序</t>
  </si>
  <si>
    <t>九齊</t>
  </si>
  <si>
    <t>精測</t>
  </si>
  <si>
    <t>瑞耘</t>
  </si>
  <si>
    <t>長科*</t>
  </si>
  <si>
    <t>宏觀</t>
  </si>
  <si>
    <t>展匯科</t>
  </si>
  <si>
    <t>均華</t>
  </si>
  <si>
    <t>全宇昕</t>
  </si>
  <si>
    <t>雍智科技</t>
  </si>
  <si>
    <t>應廣</t>
  </si>
  <si>
    <t>昇佳電子</t>
  </si>
  <si>
    <t>意德士</t>
  </si>
  <si>
    <t>佑華</t>
  </si>
  <si>
    <t>九暘</t>
  </si>
  <si>
    <t>安國</t>
  </si>
  <si>
    <t>宏捷科</t>
  </si>
  <si>
    <t>品安</t>
  </si>
  <si>
    <t>群聯</t>
  </si>
  <si>
    <t>濱川</t>
  </si>
  <si>
    <t>協禧</t>
  </si>
  <si>
    <t>艾訊</t>
  </si>
  <si>
    <t>順達</t>
  </si>
  <si>
    <t>茂訊</t>
  </si>
  <si>
    <t>東碩</t>
  </si>
  <si>
    <t>廣寰科</t>
  </si>
  <si>
    <t>加百裕</t>
  </si>
  <si>
    <t>旭品</t>
  </si>
  <si>
    <t>安勤</t>
  </si>
  <si>
    <t>力致</t>
  </si>
  <si>
    <t>鴻翊</t>
  </si>
  <si>
    <t>曜越</t>
  </si>
  <si>
    <t>泓格</t>
  </si>
  <si>
    <t>磐儀</t>
  </si>
  <si>
    <t>鼎翰</t>
  </si>
  <si>
    <t>西勝</t>
  </si>
  <si>
    <t>精聯</t>
  </si>
  <si>
    <t>營邦</t>
  </si>
  <si>
    <t>鑫聯大投控</t>
  </si>
  <si>
    <t>欣厚-KY</t>
  </si>
  <si>
    <t>新盛力</t>
  </si>
  <si>
    <t>科誠</t>
  </si>
  <si>
    <t>安力-KY</t>
  </si>
  <si>
    <t>宜鼎</t>
  </si>
  <si>
    <t>協益</t>
  </si>
  <si>
    <t>振發</t>
  </si>
  <si>
    <t>東友</t>
  </si>
  <si>
    <t>富驊</t>
  </si>
  <si>
    <t>聰泰</t>
  </si>
  <si>
    <t>同亨</t>
  </si>
  <si>
    <t>新普</t>
  </si>
  <si>
    <t>上奇</t>
  </si>
  <si>
    <t>欣技</t>
  </si>
  <si>
    <t>捷波</t>
  </si>
  <si>
    <t>廣明</t>
  </si>
  <si>
    <t>全譜</t>
  </si>
  <si>
    <t>安鈦克</t>
  </si>
  <si>
    <t>廣錠</t>
  </si>
  <si>
    <t>維田</t>
  </si>
  <si>
    <t>勁豐</t>
  </si>
  <si>
    <t>鑫創電子</t>
  </si>
  <si>
    <t>廣積</t>
  </si>
  <si>
    <t>伍豐</t>
  </si>
  <si>
    <t>新漢</t>
  </si>
  <si>
    <t>森田</t>
  </si>
  <si>
    <t>李洲</t>
  </si>
  <si>
    <t>錦明</t>
  </si>
  <si>
    <t>杭特</t>
  </si>
  <si>
    <t>泰谷</t>
  </si>
  <si>
    <t>哲固</t>
  </si>
  <si>
    <t>聯一光</t>
  </si>
  <si>
    <t>由田</t>
  </si>
  <si>
    <t>單井</t>
  </si>
  <si>
    <t>亞帝歐</t>
  </si>
  <si>
    <t>迎輝</t>
  </si>
  <si>
    <t>先益</t>
  </si>
  <si>
    <t>安可</t>
  </si>
  <si>
    <t>富晶通</t>
  </si>
  <si>
    <t>新鉅科</t>
  </si>
  <si>
    <t>元創精密</t>
  </si>
  <si>
    <t>碩禾</t>
  </si>
  <si>
    <t>新晶投控</t>
  </si>
  <si>
    <t>熒茂</t>
  </si>
  <si>
    <t>友輝</t>
  </si>
  <si>
    <t>兆遠</t>
  </si>
  <si>
    <t>湯石照明</t>
  </si>
  <si>
    <t>晶達</t>
  </si>
  <si>
    <t>萬達光電</t>
  </si>
  <si>
    <t>雷笛克光學</t>
  </si>
  <si>
    <t>智晶</t>
  </si>
  <si>
    <t>天鉞電</t>
  </si>
  <si>
    <t>大峽谷-KY</t>
  </si>
  <si>
    <t>中光電</t>
  </si>
  <si>
    <t>均豪</t>
  </si>
  <si>
    <t>廣運</t>
  </si>
  <si>
    <t>久正</t>
  </si>
  <si>
    <t>上揚</t>
  </si>
  <si>
    <t>高僑</t>
  </si>
  <si>
    <t>臺龍</t>
  </si>
  <si>
    <t>京晨科</t>
  </si>
  <si>
    <t>勝品</t>
  </si>
  <si>
    <t>欣普羅</t>
  </si>
  <si>
    <t>邑錡</t>
  </si>
  <si>
    <t>晶采</t>
  </si>
  <si>
    <t>東捷</t>
  </si>
  <si>
    <t>華鎂鑫</t>
  </si>
  <si>
    <t>立碁</t>
  </si>
  <si>
    <t>華宏</t>
  </si>
  <si>
    <t>聯亞</t>
  </si>
  <si>
    <t>及成</t>
  </si>
  <si>
    <t>波若威</t>
  </si>
  <si>
    <t>台嘉碩</t>
  </si>
  <si>
    <t>光環</t>
  </si>
  <si>
    <t>鼎天</t>
  </si>
  <si>
    <t>上詮</t>
  </si>
  <si>
    <t>致振</t>
  </si>
  <si>
    <t>昇達科</t>
  </si>
  <si>
    <t>環天科</t>
  </si>
  <si>
    <t>神準</t>
  </si>
  <si>
    <t>其陽</t>
  </si>
  <si>
    <t>研勤</t>
  </si>
  <si>
    <t>安瑞-KY</t>
  </si>
  <si>
    <t>康聯訊</t>
  </si>
  <si>
    <t>榮昌</t>
  </si>
  <si>
    <t>聯光通</t>
  </si>
  <si>
    <t>台聯電</t>
  </si>
  <si>
    <t>前鼎</t>
  </si>
  <si>
    <t>新復興</t>
  </si>
  <si>
    <t>華星光</t>
  </si>
  <si>
    <t>系通</t>
  </si>
  <si>
    <t>台林</t>
  </si>
  <si>
    <t>亞元</t>
  </si>
  <si>
    <t>振曜</t>
  </si>
  <si>
    <t>華電網</t>
  </si>
  <si>
    <t>統振</t>
  </si>
  <si>
    <t>萬泰科</t>
  </si>
  <si>
    <t>豪勉</t>
  </si>
  <si>
    <t>易通展</t>
  </si>
  <si>
    <t>立端</t>
  </si>
  <si>
    <t>普萊德</t>
  </si>
  <si>
    <t>韋僑</t>
  </si>
  <si>
    <t>威潤</t>
  </si>
  <si>
    <t>宇智</t>
  </si>
  <si>
    <t>互動</t>
  </si>
  <si>
    <t>芮特-KY</t>
  </si>
  <si>
    <t>創威</t>
  </si>
  <si>
    <t>是方</t>
  </si>
  <si>
    <t>東典光電</t>
  </si>
  <si>
    <t>榮群</t>
  </si>
  <si>
    <t>德勝</t>
  </si>
  <si>
    <t>凱碩</t>
  </si>
  <si>
    <t>康全電訊</t>
  </si>
  <si>
    <t>常珵</t>
  </si>
  <si>
    <t>天宇</t>
  </si>
  <si>
    <t>智捷</t>
  </si>
  <si>
    <t>台翰</t>
  </si>
  <si>
    <t>川寶</t>
  </si>
  <si>
    <t>富喬</t>
  </si>
  <si>
    <t>僑威</t>
  </si>
  <si>
    <t>好德</t>
  </si>
  <si>
    <t>寶島極</t>
  </si>
  <si>
    <t>新揚科</t>
  </si>
  <si>
    <t>和進</t>
  </si>
  <si>
    <t>樺晟</t>
  </si>
  <si>
    <t>志豐</t>
  </si>
  <si>
    <t>耀勝</t>
  </si>
  <si>
    <t>千如</t>
  </si>
  <si>
    <t>宇環</t>
  </si>
  <si>
    <t>點晶</t>
  </si>
  <si>
    <t>東浦</t>
  </si>
  <si>
    <t>英濟</t>
  </si>
  <si>
    <t>佳穎</t>
  </si>
  <si>
    <t>斐成</t>
  </si>
  <si>
    <t>建舜電</t>
  </si>
  <si>
    <t>幸康</t>
  </si>
  <si>
    <t>律勝</t>
  </si>
  <si>
    <t>崇越電</t>
  </si>
  <si>
    <t>旭軟</t>
  </si>
  <si>
    <t>進泰電子</t>
  </si>
  <si>
    <t>崧騰</t>
  </si>
  <si>
    <t>長盛</t>
  </si>
  <si>
    <t>矽瑪</t>
  </si>
  <si>
    <t>皇龍</t>
  </si>
  <si>
    <t>華盈</t>
  </si>
  <si>
    <t>凡甲</t>
  </si>
  <si>
    <t>堡達</t>
  </si>
  <si>
    <t>兆利</t>
  </si>
  <si>
    <t>映興</t>
  </si>
  <si>
    <t>光頡</t>
  </si>
  <si>
    <t>晟楠</t>
  </si>
  <si>
    <t>艾恩特</t>
  </si>
  <si>
    <t>湧德</t>
  </si>
  <si>
    <t>連展投控</t>
  </si>
  <si>
    <t>科嶠</t>
  </si>
  <si>
    <t>亞電</t>
  </si>
  <si>
    <t>亞泰</t>
  </si>
  <si>
    <t>立凱-KY</t>
  </si>
  <si>
    <t>邑昇</t>
  </si>
  <si>
    <t>系統電</t>
  </si>
  <si>
    <t>華容</t>
  </si>
  <si>
    <t>建榮</t>
  </si>
  <si>
    <t>天揚</t>
  </si>
  <si>
    <t>佳總</t>
  </si>
  <si>
    <t>合正</t>
  </si>
  <si>
    <t>高技</t>
  </si>
  <si>
    <t>同協</t>
  </si>
  <si>
    <t>霖宏</t>
  </si>
  <si>
    <t>松普</t>
  </si>
  <si>
    <t>凱崴</t>
  </si>
  <si>
    <t>久威</t>
  </si>
  <si>
    <t>業強</t>
  </si>
  <si>
    <t>信音</t>
  </si>
  <si>
    <t>九豪</t>
  </si>
  <si>
    <t>萬旭</t>
  </si>
  <si>
    <t>松上</t>
  </si>
  <si>
    <t>禾昌</t>
  </si>
  <si>
    <t>信昌電</t>
  </si>
  <si>
    <t>安碁</t>
  </si>
  <si>
    <t>立敦</t>
  </si>
  <si>
    <t>幃翔</t>
  </si>
  <si>
    <t>育富</t>
  </si>
  <si>
    <t>海韻電</t>
  </si>
  <si>
    <t>艾華</t>
  </si>
  <si>
    <t>雷科</t>
  </si>
  <si>
    <t>日揚</t>
  </si>
  <si>
    <t>慶生</t>
  </si>
  <si>
    <t>中探針</t>
  </si>
  <si>
    <t>岳豐</t>
  </si>
  <si>
    <t>百徽</t>
  </si>
  <si>
    <t>泰詠</t>
  </si>
  <si>
    <t>台燿</t>
  </si>
  <si>
    <t>胡連</t>
  </si>
  <si>
    <t>佳邦</t>
  </si>
  <si>
    <t>良維</t>
  </si>
  <si>
    <t>迅德</t>
  </si>
  <si>
    <t>詠昇</t>
  </si>
  <si>
    <t>今展科</t>
  </si>
  <si>
    <t>富致</t>
  </si>
  <si>
    <t>群翊</t>
  </si>
  <si>
    <t>亞泰金屬</t>
  </si>
  <si>
    <t>長園科</t>
  </si>
  <si>
    <t>金山電</t>
  </si>
  <si>
    <t>蜜望實</t>
  </si>
  <si>
    <t>能率網通</t>
  </si>
  <si>
    <t>鉅橡</t>
  </si>
  <si>
    <t>翔名</t>
  </si>
  <si>
    <t>保銳</t>
  </si>
  <si>
    <t>博大</t>
  </si>
  <si>
    <t>越峰</t>
  </si>
  <si>
    <t>正淩</t>
  </si>
  <si>
    <t>博智</t>
  </si>
  <si>
    <t>加高</t>
  </si>
  <si>
    <t>泰藝</t>
  </si>
  <si>
    <t>尚茂</t>
  </si>
  <si>
    <t>三顧</t>
  </si>
  <si>
    <t>昱捷</t>
  </si>
  <si>
    <t>尚立</t>
  </si>
  <si>
    <t>利機</t>
  </si>
  <si>
    <t>亞矽</t>
  </si>
  <si>
    <t>建達</t>
  </si>
  <si>
    <t>順發</t>
  </si>
  <si>
    <t>茂綸</t>
  </si>
  <si>
    <t>方土昶</t>
  </si>
  <si>
    <t>倍微</t>
  </si>
  <si>
    <t>光菱</t>
  </si>
  <si>
    <t>志旭</t>
  </si>
  <si>
    <t>全達</t>
  </si>
  <si>
    <t>巨虹</t>
  </si>
  <si>
    <t>擎亞</t>
  </si>
  <si>
    <t>大綜</t>
  </si>
  <si>
    <t>大塚</t>
  </si>
  <si>
    <t>緯軟</t>
  </si>
  <si>
    <t>凱衛</t>
  </si>
  <si>
    <t>力新</t>
  </si>
  <si>
    <t>新鼎</t>
  </si>
  <si>
    <t>寶碩</t>
  </si>
  <si>
    <t>蒙恬</t>
  </si>
  <si>
    <t>凌網</t>
  </si>
  <si>
    <t>天剛</t>
  </si>
  <si>
    <t>中菲</t>
  </si>
  <si>
    <t>國眾</t>
  </si>
  <si>
    <t>訊達</t>
  </si>
  <si>
    <t>驊宏資</t>
  </si>
  <si>
    <t>晉泰</t>
  </si>
  <si>
    <t>松崗</t>
  </si>
  <si>
    <t>通訊-KY</t>
  </si>
  <si>
    <t>勤崴國際</t>
  </si>
  <si>
    <t>普鴻</t>
  </si>
  <si>
    <t>台灣銘板</t>
  </si>
  <si>
    <t>安碁資訊</t>
  </si>
  <si>
    <t>東捷資訊</t>
  </si>
  <si>
    <t>智聯服務</t>
  </si>
  <si>
    <t>叡揚</t>
  </si>
  <si>
    <t>三竹</t>
  </si>
  <si>
    <t>實威</t>
  </si>
  <si>
    <t>光洋科</t>
  </si>
  <si>
    <t>全域</t>
  </si>
  <si>
    <t>港建</t>
  </si>
  <si>
    <t>弘塑</t>
  </si>
  <si>
    <t>微端</t>
  </si>
  <si>
    <t>宜特</t>
  </si>
  <si>
    <t>岱稜</t>
  </si>
  <si>
    <t>雙鴻</t>
  </si>
  <si>
    <t>漢科</t>
  </si>
  <si>
    <t>陽程</t>
  </si>
  <si>
    <t>位速</t>
  </si>
  <si>
    <t>西柏</t>
  </si>
  <si>
    <t>世禾</t>
  </si>
  <si>
    <t>同致</t>
  </si>
  <si>
    <t>友威科</t>
  </si>
  <si>
    <t>閎康</t>
  </si>
  <si>
    <t>盈正</t>
  </si>
  <si>
    <t>駿熠電</t>
  </si>
  <si>
    <t>鑫科</t>
  </si>
  <si>
    <t>橙的</t>
  </si>
  <si>
    <t>中茂</t>
  </si>
  <si>
    <t>金利</t>
  </si>
  <si>
    <t>佶優</t>
  </si>
  <si>
    <t>彩富</t>
  </si>
  <si>
    <t>三聯</t>
  </si>
  <si>
    <t>聖暉</t>
  </si>
  <si>
    <t>耕興</t>
  </si>
  <si>
    <t>晉倫</t>
  </si>
  <si>
    <t>萬潤</t>
  </si>
  <si>
    <t>淇譽電</t>
  </si>
  <si>
    <t>元山</t>
  </si>
  <si>
    <t>啟發電</t>
  </si>
  <si>
    <t>朋億</t>
  </si>
  <si>
    <t>天正國際</t>
  </si>
  <si>
    <t>信紘科</t>
  </si>
  <si>
    <t>星雲</t>
  </si>
  <si>
    <t>福華</t>
  </si>
  <si>
    <t>建暐</t>
  </si>
  <si>
    <t>千附</t>
  </si>
  <si>
    <t>匯鑽科</t>
  </si>
  <si>
    <t>大拓-KY</t>
  </si>
  <si>
    <t>綠意</t>
  </si>
  <si>
    <t>上櫃建材營造</t>
  </si>
  <si>
    <t>鑫龍騰</t>
  </si>
  <si>
    <t>森寶</t>
  </si>
  <si>
    <t>聯上</t>
  </si>
  <si>
    <t>三圓</t>
  </si>
  <si>
    <t>富宇</t>
  </si>
  <si>
    <t>坤悅</t>
  </si>
  <si>
    <t>亞昕</t>
  </si>
  <si>
    <t>士開</t>
  </si>
  <si>
    <t>昇益</t>
  </si>
  <si>
    <t>永信建</t>
  </si>
  <si>
    <t>德昌</t>
  </si>
  <si>
    <t>力麒</t>
  </si>
  <si>
    <t>三豐</t>
  </si>
  <si>
    <t>雙喜</t>
  </si>
  <si>
    <t>力泰</t>
  </si>
  <si>
    <t>豐謙</t>
  </si>
  <si>
    <t>桓鼎-KY</t>
  </si>
  <si>
    <t>新潤</t>
  </si>
  <si>
    <t>理銘</t>
  </si>
  <si>
    <t>富旺</t>
  </si>
  <si>
    <t>富裔</t>
  </si>
  <si>
    <t>惠普</t>
  </si>
  <si>
    <t>捷迅</t>
  </si>
  <si>
    <t>台聯櫃</t>
  </si>
  <si>
    <t>陸海</t>
  </si>
  <si>
    <t>中連貨</t>
  </si>
  <si>
    <t>中菲行</t>
  </si>
  <si>
    <t>安心</t>
  </si>
  <si>
    <t>漢來美食</t>
  </si>
  <si>
    <t>晶悅</t>
  </si>
  <si>
    <t>燦星旅</t>
  </si>
  <si>
    <t>富驛-KY</t>
  </si>
  <si>
    <t>雅茗-KY</t>
  </si>
  <si>
    <t>瓦城</t>
  </si>
  <si>
    <t>六角</t>
  </si>
  <si>
    <t>易飛網</t>
  </si>
  <si>
    <t>高野</t>
  </si>
  <si>
    <t>天蔥</t>
  </si>
  <si>
    <t>山富</t>
  </si>
  <si>
    <t>五福</t>
  </si>
  <si>
    <t>豆府</t>
  </si>
  <si>
    <t>亞洲藏壽司</t>
  </si>
  <si>
    <t>揚秦</t>
  </si>
  <si>
    <t>海灣</t>
  </si>
  <si>
    <t>御頂</t>
  </si>
  <si>
    <t>大略-KY</t>
  </si>
  <si>
    <t>寶得利</t>
  </si>
  <si>
    <t>力麗店</t>
  </si>
  <si>
    <t>劍湖山</t>
  </si>
  <si>
    <t>亞都</t>
  </si>
  <si>
    <t>老爺知</t>
  </si>
  <si>
    <t>洛碁</t>
  </si>
  <si>
    <t>日盛金</t>
  </si>
  <si>
    <t>致和證</t>
  </si>
  <si>
    <t>台名</t>
  </si>
  <si>
    <t>宏遠證</t>
  </si>
  <si>
    <t>康和證</t>
  </si>
  <si>
    <t>大展證</t>
  </si>
  <si>
    <t>大慶證</t>
  </si>
  <si>
    <t>元大期</t>
  </si>
  <si>
    <t>福邦證</t>
  </si>
  <si>
    <t>滿心</t>
  </si>
  <si>
    <t>東凌-KY</t>
  </si>
  <si>
    <t>集雅社</t>
  </si>
  <si>
    <t>新洲</t>
  </si>
  <si>
    <t>德記</t>
  </si>
  <si>
    <t>全家</t>
  </si>
  <si>
    <t>寶雅</t>
  </si>
  <si>
    <t>南仁湖</t>
  </si>
  <si>
    <t>詩肯</t>
  </si>
  <si>
    <t>上洋</t>
  </si>
  <si>
    <t>來思達</t>
  </si>
  <si>
    <t>弘帆</t>
  </si>
  <si>
    <t>關中</t>
  </si>
  <si>
    <t>邁達康</t>
  </si>
  <si>
    <t>欣雄</t>
  </si>
  <si>
    <t>欣泰</t>
  </si>
  <si>
    <t>北基</t>
  </si>
  <si>
    <t>大汽電</t>
  </si>
  <si>
    <t>大甲</t>
  </si>
  <si>
    <t>大車隊</t>
  </si>
  <si>
    <t>太普高</t>
  </si>
  <si>
    <t>耀億</t>
  </si>
  <si>
    <t>淳紳</t>
  </si>
  <si>
    <t>晟田</t>
  </si>
  <si>
    <t>旭然</t>
  </si>
  <si>
    <t>牧東</t>
  </si>
  <si>
    <t>達輝-KY</t>
  </si>
  <si>
    <t>慕康生醫</t>
  </si>
  <si>
    <t>南良</t>
  </si>
  <si>
    <t>新華</t>
  </si>
  <si>
    <t>龍巖</t>
  </si>
  <si>
    <t>亞通</t>
  </si>
  <si>
    <t>天品</t>
  </si>
  <si>
    <t>康呈</t>
  </si>
  <si>
    <t>特昇-KY</t>
  </si>
  <si>
    <t>萬年清</t>
  </si>
  <si>
    <t>泰金-KY</t>
  </si>
  <si>
    <t>崑鼎</t>
  </si>
  <si>
    <t>益張</t>
  </si>
  <si>
    <t>金益鼎</t>
  </si>
  <si>
    <t>白紗科</t>
  </si>
  <si>
    <t>捷必勝-KY</t>
  </si>
  <si>
    <t>明揚</t>
  </si>
  <si>
    <t>旭源</t>
  </si>
  <si>
    <t>保綠-KY</t>
  </si>
  <si>
    <t>紅木-KY</t>
  </si>
  <si>
    <t>鉅邁</t>
  </si>
  <si>
    <t>大地-KY</t>
  </si>
  <si>
    <t>綠電</t>
  </si>
  <si>
    <t>綠河-KY</t>
  </si>
  <si>
    <t>台境</t>
  </si>
  <si>
    <t>裕國</t>
  </si>
  <si>
    <t>花王</t>
  </si>
  <si>
    <t>光隆</t>
  </si>
  <si>
    <t>沈氏</t>
  </si>
  <si>
    <t>大田</t>
  </si>
  <si>
    <t>鉅明</t>
  </si>
  <si>
    <t>富堡</t>
  </si>
  <si>
    <t>宏大</t>
  </si>
  <si>
    <t>邦泰</t>
  </si>
  <si>
    <t>國統</t>
  </si>
  <si>
    <t>合騏</t>
  </si>
  <si>
    <t>明安</t>
  </si>
  <si>
    <t>森鉅</t>
  </si>
  <si>
    <t>誠品生活</t>
  </si>
  <si>
    <t>泰偉</t>
  </si>
  <si>
    <t>網龍</t>
  </si>
  <si>
    <t>華義</t>
  </si>
  <si>
    <t>鈊象</t>
  </si>
  <si>
    <t>宇峻</t>
  </si>
  <si>
    <t>地心引力</t>
  </si>
  <si>
    <t>昇華</t>
  </si>
  <si>
    <t>辣椒</t>
  </si>
  <si>
    <t>智崴</t>
  </si>
  <si>
    <t>智冠</t>
  </si>
  <si>
    <t>寬魚國際</t>
  </si>
  <si>
    <t>大宇資</t>
  </si>
  <si>
    <t>得利影</t>
  </si>
  <si>
    <t>昱泉</t>
  </si>
  <si>
    <t>橘子</t>
  </si>
  <si>
    <t>智基</t>
  </si>
  <si>
    <t>弘煜科</t>
  </si>
  <si>
    <t>隆中</t>
  </si>
  <si>
    <t>寬宏藝術</t>
  </si>
  <si>
    <t>華研</t>
  </si>
  <si>
    <t>霹靂</t>
  </si>
  <si>
    <t>三貝德</t>
  </si>
  <si>
    <t>時報</t>
  </si>
  <si>
    <t>琉園</t>
  </si>
  <si>
    <t>茂生農經</t>
  </si>
  <si>
    <t>惠光</t>
  </si>
  <si>
    <t>達邦蛋白</t>
  </si>
  <si>
    <t>新零售</t>
  </si>
  <si>
    <t>尚凡</t>
  </si>
  <si>
    <t>數字</t>
  </si>
  <si>
    <t>夠麻吉</t>
  </si>
  <si>
    <t>創業家</t>
  </si>
  <si>
    <t>富味鄉</t>
  </si>
  <si>
    <t>--</t>
  </si>
  <si>
    <t>晨暉生技</t>
  </si>
  <si>
    <t>光晟生技</t>
  </si>
  <si>
    <t>旭東環保</t>
  </si>
  <si>
    <t>宜新實業</t>
  </si>
  <si>
    <t>巧新</t>
  </si>
  <si>
    <t>日高</t>
  </si>
  <si>
    <t>華德動能</t>
  </si>
  <si>
    <t>詠勝昌</t>
  </si>
  <si>
    <t>凱勝綠能</t>
  </si>
  <si>
    <t>華勝-KY</t>
  </si>
  <si>
    <t>湧盛</t>
  </si>
  <si>
    <t>春日</t>
  </si>
  <si>
    <t>長亨</t>
  </si>
  <si>
    <t>盛復</t>
  </si>
  <si>
    <t>寶緯</t>
  </si>
  <si>
    <t>久裕興</t>
  </si>
  <si>
    <t>宏偉</t>
  </si>
  <si>
    <t>高明鐵</t>
  </si>
  <si>
    <t>銓寶</t>
  </si>
  <si>
    <t>總格精密</t>
  </si>
  <si>
    <t>台灣精銳</t>
  </si>
  <si>
    <t>建德工業</t>
  </si>
  <si>
    <t>振躍精密</t>
  </si>
  <si>
    <t>奇鈦科</t>
  </si>
  <si>
    <t>尚化</t>
  </si>
  <si>
    <t>磐采</t>
  </si>
  <si>
    <t>晶呈科技</t>
  </si>
  <si>
    <t>上品</t>
  </si>
  <si>
    <t>納諾*-KY</t>
  </si>
  <si>
    <t>永虹先進</t>
  </si>
  <si>
    <t>立弘</t>
  </si>
  <si>
    <t>微邦</t>
  </si>
  <si>
    <t>普生</t>
  </si>
  <si>
    <t>國鼎</t>
  </si>
  <si>
    <t>太和-KY</t>
  </si>
  <si>
    <t>優你康</t>
  </si>
  <si>
    <t>明躍</t>
  </si>
  <si>
    <t>友霖</t>
  </si>
  <si>
    <t>泰宗</t>
  </si>
  <si>
    <t>因華</t>
  </si>
  <si>
    <t>尖端醫</t>
  </si>
  <si>
    <t>法德藥</t>
  </si>
  <si>
    <t>禾生技</t>
  </si>
  <si>
    <t>基米</t>
  </si>
  <si>
    <t>暐世</t>
  </si>
  <si>
    <t>彥臣</t>
  </si>
  <si>
    <t>雷虎生</t>
  </si>
  <si>
    <t>康科特</t>
  </si>
  <si>
    <t>麗彤</t>
  </si>
  <si>
    <t>普惠醫工</t>
  </si>
  <si>
    <t>景凱</t>
  </si>
  <si>
    <t>北極星藥業-KY</t>
  </si>
  <si>
    <t>安特羅</t>
  </si>
  <si>
    <t>創益</t>
  </si>
  <si>
    <t>博錸</t>
  </si>
  <si>
    <t>心悅</t>
  </si>
  <si>
    <t>台睿</t>
  </si>
  <si>
    <t>醣基</t>
  </si>
  <si>
    <t>安成生技</t>
  </si>
  <si>
    <t>共信-KY</t>
  </si>
  <si>
    <t>漢達</t>
  </si>
  <si>
    <t>華宇藥</t>
  </si>
  <si>
    <t>萊鎂醫</t>
  </si>
  <si>
    <t>欣耀</t>
  </si>
  <si>
    <t>醫影</t>
  </si>
  <si>
    <t>金萬林</t>
  </si>
  <si>
    <t>雅祥生醫</t>
  </si>
  <si>
    <t>華安</t>
  </si>
  <si>
    <t>康聯生醫</t>
  </si>
  <si>
    <t>瑩碩生技</t>
  </si>
  <si>
    <t>仁新</t>
  </si>
  <si>
    <t>昱厚生技</t>
  </si>
  <si>
    <t>常廣</t>
  </si>
  <si>
    <t>安盛生</t>
  </si>
  <si>
    <t>豐技生技</t>
  </si>
  <si>
    <t>冠亞</t>
  </si>
  <si>
    <t>視陽</t>
  </si>
  <si>
    <t>昱展新藥</t>
  </si>
  <si>
    <t>向榮生技</t>
  </si>
  <si>
    <t>晉弘</t>
  </si>
  <si>
    <t>圓點奈米</t>
  </si>
  <si>
    <t>三鼎生技</t>
  </si>
  <si>
    <t>路迦生醫</t>
  </si>
  <si>
    <t>晶鑽生醫</t>
  </si>
  <si>
    <t>溫士頓</t>
  </si>
  <si>
    <t>美萌</t>
  </si>
  <si>
    <t>世基生醫</t>
  </si>
  <si>
    <t>震南鐵</t>
  </si>
  <si>
    <t>世紀風電</t>
  </si>
  <si>
    <t>燁聯</t>
  </si>
  <si>
    <t>鈺寶</t>
  </si>
  <si>
    <t>瑞鼎</t>
  </si>
  <si>
    <t>力士</t>
  </si>
  <si>
    <t>智微</t>
  </si>
  <si>
    <t>精拓科</t>
  </si>
  <si>
    <t>全訊</t>
  </si>
  <si>
    <t>凌陽創新</t>
  </si>
  <si>
    <t>立達</t>
  </si>
  <si>
    <t>廣化</t>
  </si>
  <si>
    <t>億而得</t>
  </si>
  <si>
    <t>擎力</t>
  </si>
  <si>
    <t>安格</t>
  </si>
  <si>
    <t>廣閎科</t>
  </si>
  <si>
    <t>芯鼎</t>
  </si>
  <si>
    <t>奇邑</t>
  </si>
  <si>
    <t>天擎</t>
  </si>
  <si>
    <t>力智</t>
  </si>
  <si>
    <t>久昌</t>
  </si>
  <si>
    <t>力積電</t>
  </si>
  <si>
    <t>芯測</t>
  </si>
  <si>
    <t>華景電</t>
  </si>
  <si>
    <t>采鈺</t>
  </si>
  <si>
    <t>來頡</t>
  </si>
  <si>
    <t>眾智</t>
  </si>
  <si>
    <t>旭德</t>
  </si>
  <si>
    <t>拍檔</t>
  </si>
  <si>
    <t>寶德</t>
  </si>
  <si>
    <t>普達系統</t>
  </si>
  <si>
    <t>沅聖</t>
  </si>
  <si>
    <t>秀育</t>
  </si>
  <si>
    <t>富動科</t>
  </si>
  <si>
    <t>和暢科技</t>
  </si>
  <si>
    <t>公信</t>
  </si>
  <si>
    <t>眾福科</t>
  </si>
  <si>
    <t>敘豐</t>
  </si>
  <si>
    <t>山太士</t>
  </si>
  <si>
    <t>華信科</t>
  </si>
  <si>
    <t>云光</t>
  </si>
  <si>
    <t>百辰</t>
  </si>
  <si>
    <t>聯享</t>
  </si>
  <si>
    <t>華立捷</t>
  </si>
  <si>
    <t>旭東</t>
  </si>
  <si>
    <t>聚恆</t>
  </si>
  <si>
    <t>建騰</t>
  </si>
  <si>
    <t>弘凱</t>
  </si>
  <si>
    <t>景傳</t>
  </si>
  <si>
    <t>龍翩</t>
  </si>
  <si>
    <t>葳天</t>
  </si>
  <si>
    <t>達輝光電</t>
  </si>
  <si>
    <t>久禾光</t>
  </si>
  <si>
    <t>研晶</t>
  </si>
  <si>
    <t>和詮</t>
  </si>
  <si>
    <t>碩鑽材料</t>
  </si>
  <si>
    <t>進能服</t>
  </si>
  <si>
    <t>創王</t>
  </si>
  <si>
    <t>機光科技</t>
  </si>
  <si>
    <t>穎台科技</t>
  </si>
  <si>
    <t>晶瑞光</t>
  </si>
  <si>
    <t>梭特</t>
  </si>
  <si>
    <t>歐普羅</t>
  </si>
  <si>
    <t>佳得</t>
  </si>
  <si>
    <t>群登</t>
  </si>
  <si>
    <t>正基</t>
  </si>
  <si>
    <t>天凱科技</t>
  </si>
  <si>
    <t>詠業</t>
  </si>
  <si>
    <t>連騰</t>
  </si>
  <si>
    <t>連訊</t>
  </si>
  <si>
    <t>達運光電</t>
  </si>
  <si>
    <t>鎧鉅</t>
  </si>
  <si>
    <t>年程</t>
  </si>
  <si>
    <t>聯致</t>
  </si>
  <si>
    <t>佐臻</t>
  </si>
  <si>
    <t>鈺鎧</t>
  </si>
  <si>
    <t>欣訊科技</t>
  </si>
  <si>
    <t>紘通</t>
  </si>
  <si>
    <t>驊陞</t>
  </si>
  <si>
    <t>相互</t>
  </si>
  <si>
    <t>榮炭</t>
  </si>
  <si>
    <t>南俊國際</t>
  </si>
  <si>
    <t>立誠</t>
  </si>
  <si>
    <t>連鋐科技</t>
  </si>
  <si>
    <t>穩得</t>
  </si>
  <si>
    <t>富世達</t>
  </si>
  <si>
    <t>聯寶</t>
  </si>
  <si>
    <t>達勝</t>
  </si>
  <si>
    <t>帝聞</t>
  </si>
  <si>
    <t>彥陽</t>
  </si>
  <si>
    <t>建祥國際</t>
  </si>
  <si>
    <t>華豫寧</t>
  </si>
  <si>
    <t>嘉實</t>
  </si>
  <si>
    <t>碩豐</t>
  </si>
  <si>
    <t>物聯</t>
  </si>
  <si>
    <t>鼎恒</t>
  </si>
  <si>
    <t>虎門科技</t>
  </si>
  <si>
    <t>宏碁資訊</t>
  </si>
  <si>
    <t>捷智商訊</t>
  </si>
  <si>
    <t>碩網</t>
  </si>
  <si>
    <t>威睿</t>
  </si>
  <si>
    <t>達航</t>
  </si>
  <si>
    <t>有量</t>
  </si>
  <si>
    <t>斯其大</t>
  </si>
  <si>
    <t>伊雲谷</t>
  </si>
  <si>
    <t>洋基工程</t>
  </si>
  <si>
    <t>智慧光</t>
  </si>
  <si>
    <t>美達科技</t>
  </si>
  <si>
    <t>竹陞科技</t>
  </si>
  <si>
    <t>泰創工程</t>
  </si>
  <si>
    <t>樂揚</t>
  </si>
  <si>
    <t>久舜</t>
  </si>
  <si>
    <t>龍德造船</t>
  </si>
  <si>
    <t>台灣虎航</t>
  </si>
  <si>
    <t>乾杯</t>
  </si>
  <si>
    <t>美麗信</t>
  </si>
  <si>
    <t>維格</t>
  </si>
  <si>
    <t>老四川</t>
  </si>
  <si>
    <t>桃禧</t>
  </si>
  <si>
    <t>八方雲集</t>
  </si>
  <si>
    <t>聯發國際</t>
  </si>
  <si>
    <t>亞果遊艇</t>
  </si>
  <si>
    <t>錢櫃</t>
  </si>
  <si>
    <t>遠壽</t>
  </si>
  <si>
    <t>瑞興銀</t>
  </si>
  <si>
    <t>德信</t>
  </si>
  <si>
    <t>公勝保經</t>
  </si>
  <si>
    <t>床的世界</t>
  </si>
  <si>
    <t>京站</t>
  </si>
  <si>
    <t>三商家購</t>
  </si>
  <si>
    <t>振宇五金</t>
  </si>
  <si>
    <t>寶陞</t>
  </si>
  <si>
    <t>源大環能</t>
  </si>
  <si>
    <t>淘米</t>
  </si>
  <si>
    <t>好玩家*</t>
  </si>
  <si>
    <t>正瀚</t>
  </si>
  <si>
    <t>友松</t>
  </si>
  <si>
    <t>光禹國際</t>
  </si>
  <si>
    <t>方舟</t>
  </si>
  <si>
    <t>百聿數碼</t>
  </si>
  <si>
    <t>唯數</t>
  </si>
  <si>
    <t>帝圖</t>
  </si>
  <si>
    <t>碩辣椒</t>
  </si>
  <si>
    <t>學習王</t>
  </si>
  <si>
    <t>乂迪生</t>
  </si>
  <si>
    <t>樂意</t>
  </si>
  <si>
    <t>台視</t>
  </si>
  <si>
    <t>影一</t>
  </si>
  <si>
    <t>德河</t>
  </si>
  <si>
    <t>愛爾達</t>
  </si>
  <si>
    <t>利得</t>
  </si>
  <si>
    <t>真好玩</t>
  </si>
  <si>
    <t>兔將</t>
  </si>
  <si>
    <t>綠界科技</t>
  </si>
  <si>
    <t>知識科技</t>
  </si>
  <si>
    <t>華懋</t>
  </si>
  <si>
    <t>鼎基</t>
  </si>
  <si>
    <t>傑智環境</t>
  </si>
  <si>
    <t>啟坤</t>
  </si>
  <si>
    <t>亞洲教育</t>
  </si>
  <si>
    <t>平和環保</t>
  </si>
  <si>
    <t>永豐實</t>
  </si>
  <si>
    <t>天力離岸</t>
  </si>
  <si>
    <t>明係</t>
  </si>
  <si>
    <t>森崴能源</t>
  </si>
  <si>
    <t>凡事康</t>
  </si>
  <si>
    <t>環拓科技</t>
  </si>
  <si>
    <t>清淨海</t>
  </si>
  <si>
    <t>群利科技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</si>
  <si>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</si>
  <si>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</si>
  <si>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</si>
  <si>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</si>
  <si>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</si>
  <si>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</si>
  <si>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</si>
  <si>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</si>
  <si>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</si>
  <si>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</si>
  <si>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</si>
  <si>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</si>
  <si>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</si>
  <si>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</si>
  <si>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</si>
  <si>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</si>
  <si>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</si>
  <si>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</si>
  <si>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</si>
  <si>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</si>
  <si>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</si>
  <si>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盈利</t>
    <phoneticPr fontId="7" type="noConversion"/>
  </si>
  <si>
    <t>損失</t>
    <phoneticPr fontId="7" type="noConversion"/>
  </si>
  <si>
    <t>風險資金</t>
    <phoneticPr fontId="7" type="noConversion"/>
  </si>
  <si>
    <t>盈利筆數</t>
    <phoneticPr fontId="7" type="noConversion"/>
  </si>
  <si>
    <t>損失筆數</t>
    <phoneticPr fontId="7" type="noConversion"/>
  </si>
  <si>
    <t>平均獲利</t>
    <phoneticPr fontId="7" type="noConversion"/>
  </si>
  <si>
    <t>平均損失</t>
    <phoneticPr fontId="7" type="noConversion"/>
  </si>
  <si>
    <t>盈利勝率</t>
    <phoneticPr fontId="7" type="noConversion"/>
  </si>
  <si>
    <t>損失勝率</t>
    <phoneticPr fontId="7" type="noConversion"/>
  </si>
  <si>
    <t>期望值</t>
    <phoneticPr fontId="7" type="noConversion"/>
  </si>
  <si>
    <t>符合條件商品</t>
  </si>
  <si>
    <t>策略</t>
  </si>
  <si>
    <t>序號</t>
  </si>
  <si>
    <t xml:space="preserve">	代碼</t>
  </si>
  <si>
    <t xml:space="preserve">	商品</t>
  </si>
  <si>
    <t xml:space="preserve">	成交</t>
  </si>
  <si>
    <t xml:space="preserve">	漲幅%</t>
  </si>
  <si>
    <t xml:space="preserve">	總量</t>
  </si>
  <si>
    <t xml:space="preserve">	融券使用率</t>
  </si>
  <si>
    <t xml:space="preserve">	法人持股比例</t>
  </si>
  <si>
    <t xml:space="preserve">	融資使用率</t>
  </si>
  <si>
    <t xml:space="preserve">	投信持股比例</t>
  </si>
  <si>
    <t>倚強科</t>
  </si>
  <si>
    <t>三一東林</t>
  </si>
  <si>
    <t>美而快</t>
  </si>
  <si>
    <t>能率</t>
  </si>
  <si>
    <t>新門</t>
  </si>
  <si>
    <t>大城地產</t>
  </si>
  <si>
    <t>愛普*</t>
  </si>
  <si>
    <t xml:space="preserve">	大戶持股比例</t>
  </si>
  <si>
    <t>三洋實業</t>
  </si>
  <si>
    <t>2250.TW</t>
  </si>
  <si>
    <t>IKKA-KY</t>
  </si>
  <si>
    <t>2753.TW</t>
  </si>
  <si>
    <t>2947.TW</t>
  </si>
  <si>
    <t>3089.TW</t>
  </si>
  <si>
    <t>億杰</t>
  </si>
  <si>
    <t>4440.TW</t>
  </si>
  <si>
    <t>5222.TW</t>
  </si>
  <si>
    <t>5236.TW</t>
  </si>
  <si>
    <t>鉅陞</t>
  </si>
  <si>
    <t>6684.TW</t>
  </si>
  <si>
    <t>6741.TW</t>
  </si>
  <si>
    <t>91APP*-KY</t>
  </si>
  <si>
    <t>6788.TW</t>
  </si>
  <si>
    <t>6790.TW</t>
  </si>
  <si>
    <t>6840.TW</t>
  </si>
  <si>
    <t>東研信超-新</t>
  </si>
  <si>
    <t>6855.TW</t>
  </si>
  <si>
    <t>數泓科-新</t>
  </si>
  <si>
    <t>6857.TW</t>
  </si>
  <si>
    <t>宏碁智醫-新</t>
  </si>
  <si>
    <t>8080.TW</t>
  </si>
  <si>
    <t>永利聯合</t>
  </si>
  <si>
    <t xml:space="preserve">1736	</t>
  </si>
  <si>
    <t xml:space="preserve">1737	</t>
  </si>
  <si>
    <t xml:space="preserve">1738	</t>
  </si>
  <si>
    <t xml:space="preserve">1739	</t>
  </si>
  <si>
    <t xml:space="preserve">1740	</t>
  </si>
  <si>
    <t>張數</t>
    <phoneticPr fontId="7" type="noConversion"/>
  </si>
  <si>
    <t>現在價碼</t>
    <phoneticPr fontId="38" type="noConversion"/>
  </si>
  <si>
    <t>上市水泥,上市普通股(排除KY個股),上市普通股(排除營建與金融)</t>
  </si>
  <si>
    <t>上市食品,上市普通股(排除KY個股),上市普通股(排除營建與金融)</t>
  </si>
  <si>
    <t>上市食品,上市普通股(排除營建與金融)</t>
  </si>
  <si>
    <t>上市塑膠,上市普通股(排除KY個股),上市普通股(排除營建與金融)</t>
  </si>
  <si>
    <t>上市塑膠,上市普通股(排除營建與金融)</t>
  </si>
  <si>
    <t>上市紡織纖維,上市普通股(排除KY個股),上市普通股(排除營建與金融)</t>
  </si>
  <si>
    <t>上市紡織纖維,上市普通股(排除營建與金融)</t>
  </si>
  <si>
    <t>上市電機機械,上市普通股(排除KY個股),上市普通股(排除營建與金融)</t>
  </si>
  <si>
    <t>上市電機機械,上市普通股(排除營建與金融)</t>
  </si>
  <si>
    <t>上市電器電纜,上市普通股(排除KY個股),上市普通股(排除營建與金融)</t>
  </si>
  <si>
    <t>上市電器電纜,上市普通股(排除營建與金融)</t>
  </si>
  <si>
    <t>上市化學生技醫療,上市化工,上市普通股(排除KY個股),上市普通股(排除營建與金融)</t>
  </si>
  <si>
    <t>上市化學生技醫療,上市化工,上市普通股(排除營建與金融)</t>
  </si>
  <si>
    <t>上市化學生技醫療,上市生技醫療,上市普通股(排除KY個股),上市普通股(排除營建與金融)</t>
  </si>
  <si>
    <t>上市化學生技醫療,上市生技醫療,上市普通股(排除營建與金融)</t>
  </si>
  <si>
    <t>上市玻璃陶瓷,上市普通股(排除KY個股),上市普通股(排除營建與金融)</t>
  </si>
  <si>
    <t>上市造紙,上市普通股(排除KY個股),上市普通股(排除營建與金融)</t>
  </si>
  <si>
    <t>上市鋼鐵,上市普通股(排除KY個股),上市普通股(排除營建與金融)</t>
  </si>
  <si>
    <t>上市鋼鐵,上市普通股(排除營建與金融)</t>
  </si>
  <si>
    <t>上市橡膠,上市普通股(排除KY個股),上市普通股(排除營建與金融)</t>
  </si>
  <si>
    <t>上市汽車,上市普通股(排除KY個股),上市普通股(排除營建與金融)</t>
  </si>
  <si>
    <t>上市汽車,上市普通股(排除營建與金融)</t>
  </si>
  <si>
    <t>上市電子全部,上市半導體,上市普通股(排除KY個股),上市普通股(排除營建與金融)</t>
  </si>
  <si>
    <t>上市電子全部,上市半導體,上市普通股(排除營建與金融)</t>
  </si>
  <si>
    <t>上市電子全部,上市電腦及週邊設備,上市普通股(排除KY個股),上市普通股(排除營建與金融)</t>
  </si>
  <si>
    <t>上市電子全部,上市電腦及週邊設備,上市普通股(排除營建與金融)</t>
  </si>
  <si>
    <t>上市電子全部,上市光電,上市普通股(排除KY個股),上市普通股(排除營建與金融)</t>
  </si>
  <si>
    <t>上市電子全部,上市光電,上市普通股(排除營建與金融)</t>
  </si>
  <si>
    <t>上市電子全部,上市通信網路,上市普通股(排除KY個股),上市普通股(排除營建與金融)</t>
  </si>
  <si>
    <t>上市電子全部,上市通信網路,上市普通股(排除營建與金融)</t>
  </si>
  <si>
    <t>上市電子全部,上市電子零組件,上市普通股(排除KY個股),上市普通股(排除營建與金融)</t>
  </si>
  <si>
    <t>上市電子全部,上市電子零組件,上市普通股(排除營建與金融)</t>
  </si>
  <si>
    <t>上市電子全部,上市電子通路,上市普通股(排除KY個股),上市普通股(排除營建與金融)</t>
  </si>
  <si>
    <t>上市電子全部,上市資訊服務,上市普通股(排除KY個股),上市普通股(排除營建與金融)</t>
  </si>
  <si>
    <t>上市電子全部,上市其他電子,上市普通股(排除KY個股),上市普通股(排除營建與金融)</t>
  </si>
  <si>
    <t>上市電子全部,上市其他電子,上市普通股(排除營建與金融)</t>
  </si>
  <si>
    <t>上市建材營造,上市普通股(排除KY個股)</t>
  </si>
  <si>
    <t>上市航運業,上市普通股(排除KY個股),上市普通股(排除營建與金融)</t>
  </si>
  <si>
    <t>上市航運業,上市普通股(排除營建與金融)</t>
  </si>
  <si>
    <t>上市觀光,上市普通股(排除KY個股),上市普通股(排除營建與金融)</t>
  </si>
  <si>
    <t>上市觀光,上市普通股(排除營建與金融)</t>
  </si>
  <si>
    <t>上市金融保險,上市普通股(排除KY個股)</t>
  </si>
  <si>
    <t>上市貿易百貨,上市普通股(排除KY個股),上市普通股(排除營建與金融)</t>
  </si>
  <si>
    <t>上市貿易百貨,上市普通股(排除營建與金融)</t>
  </si>
  <si>
    <t>上市油電燃氣,上市普通股(排除KY個股),上市普通股(排除營建與金融)</t>
  </si>
  <si>
    <t>上市其他,上市普通股(排除KY個股),上市普通股(排除營建與金融)</t>
  </si>
  <si>
    <t>上市其他,上市普通股(排除營建與金融)</t>
  </si>
  <si>
    <t>進典-新</t>
  </si>
  <si>
    <t>上櫃食品,上櫃普通股(排除營建與金融)</t>
  </si>
  <si>
    <t>上櫃食品,上櫃普通股(排除KY個股),上櫃普通股(排除營建與金融)</t>
  </si>
  <si>
    <t>上櫃塑膠,上櫃普通股(排除KY個股),上櫃普通股(排除營建與金融)</t>
  </si>
  <si>
    <t>上櫃紡織纖維,上櫃普通股(排除KY個股),上櫃普通股(排除營建與金融)</t>
  </si>
  <si>
    <t>上櫃電機機械,上櫃普通股(排除KY個股),上櫃普通股(排除營建與金融)</t>
  </si>
  <si>
    <t>上櫃電機機械,上櫃普通股(排除營建與金融)</t>
  </si>
  <si>
    <t>上櫃電器電纜,上櫃普通股(排除KY個股),上櫃普通股(排除營建與金融)</t>
  </si>
  <si>
    <t>上櫃化工,上櫃普通股(排除KY個股),上櫃普通股(排除營建與金融)</t>
  </si>
  <si>
    <t>上櫃生技醫療,上櫃普通股(排除KY個股),上櫃普通股(排除營建與金融)</t>
  </si>
  <si>
    <t>上櫃生技醫療,上櫃普通股(排除營建與金融)</t>
  </si>
  <si>
    <t>上櫃鋼鐵,上櫃普通股(排除KY個股),上櫃普通股(排除營建與金融)</t>
  </si>
  <si>
    <t>上櫃橡膠,上櫃普通股(排除KY個股),上櫃普通股(排除營建與金融)</t>
  </si>
  <si>
    <t>上櫃電子全部,上櫃半導體,上櫃普通股(排除KY個股),上櫃普通股(排除營建與金融)</t>
  </si>
  <si>
    <t>上櫃電子全部,上櫃半導體,上櫃普通股(排除營建與金融)</t>
  </si>
  <si>
    <t>上櫃電子全部,上櫃電腦及週邊設備,上櫃普通股(排除KY個股),上櫃普通股(排除營建與金融)</t>
  </si>
  <si>
    <t>上櫃電子全部,上櫃電腦及週邊設備,上櫃普通股(排除營建與金融)</t>
  </si>
  <si>
    <t>上櫃電子全部,上櫃光電,上櫃普通股(排除KY個股),上櫃普通股(排除營建與金融)</t>
  </si>
  <si>
    <t>上櫃電子全部,上櫃光電,上櫃普通股(排除營建與金融)</t>
  </si>
  <si>
    <t>上櫃電子全部,上櫃通信網路,上櫃普通股(排除KY個股),上櫃普通股(排除營建與金融)</t>
  </si>
  <si>
    <t>上櫃電子全部,上櫃通信網路,上櫃普通股(排除營建與金融)</t>
  </si>
  <si>
    <t>上櫃電子全部,上櫃電子零組件,上櫃普通股(排除KY個股),上櫃普通股(排除營建與金融)</t>
  </si>
  <si>
    <t>上櫃電子全部,上櫃電子零組件,上櫃普通股(排除營建與金融)</t>
  </si>
  <si>
    <t>上櫃電子全部,上櫃電子通路,上櫃普通股(排除KY個股),上櫃普通股(排除營建與金融)</t>
  </si>
  <si>
    <t>上櫃電子全部,上櫃資訊服務,上櫃普通股(排除KY個股),上櫃普通股(排除營建與金融)</t>
  </si>
  <si>
    <t>上櫃電子全部,上櫃資訊服務,上櫃普通股(排除營建與金融)</t>
  </si>
  <si>
    <t>上櫃電子全部,上櫃其他電子,上櫃普通股(排除KY個股),上櫃普通股(排除營建與金融)</t>
  </si>
  <si>
    <t>上櫃電子全部,上櫃其他電子,上櫃普通股(排除營建與金融)</t>
  </si>
  <si>
    <t>上櫃建材營造,上櫃普通股(排除KY個股)</t>
  </si>
  <si>
    <t>上櫃航運業,上櫃普通股(排除KY個股),上櫃普通股(排除營建與金融)</t>
  </si>
  <si>
    <t>上櫃觀光,上櫃普通股(排除KY個股),上櫃普通股(排除營建與金融)</t>
  </si>
  <si>
    <t>上櫃觀光,上櫃普通股(排除營建與金融)</t>
  </si>
  <si>
    <t>上櫃金融,上櫃普通股(排除KY個股)</t>
  </si>
  <si>
    <t>上櫃貿易百貨,上櫃普通股(排除KY個股),上櫃普通股(排除營建與金融)</t>
  </si>
  <si>
    <t>上櫃貿易百貨,上櫃普通股(排除營建與金融)</t>
  </si>
  <si>
    <t>上櫃油電燃氣,上櫃普通股(排除KY個股),上櫃普通股(排除營建與金融)</t>
  </si>
  <si>
    <t>上櫃其他,上櫃普通股(排除KY個股),上櫃普通股(排除營建與金融)</t>
  </si>
  <si>
    <t>上櫃其他,上櫃普通股(排除營建與金融)</t>
  </si>
  <si>
    <t>上櫃文化創意,上櫃普通股(排除KY個股),上櫃普通股(排除營建與金融)</t>
  </si>
  <si>
    <t>上櫃文化創意,上櫃普通股(排除營建與金融)</t>
  </si>
  <si>
    <t>上櫃農業科技業,上櫃普通股(排除KY個股),上櫃普通股(排除營建與金融)</t>
  </si>
  <si>
    <t>上櫃電子商務,上櫃普通股(排除KY個股),上櫃普通股(排除營建與金融)</t>
  </si>
  <si>
    <t>上櫃電子商務,上櫃普通股(排除營建與金融)</t>
  </si>
  <si>
    <t>利統</t>
  </si>
  <si>
    <t>君帆</t>
  </si>
  <si>
    <t>千附精密</t>
  </si>
  <si>
    <t>聯亞藥</t>
  </si>
  <si>
    <t>亞果生醫</t>
  </si>
  <si>
    <t>新穎生醫</t>
  </si>
  <si>
    <t>巨生醫</t>
  </si>
  <si>
    <t>台新藥</t>
  </si>
  <si>
    <t>長佳智能</t>
  </si>
  <si>
    <t>拉法醫</t>
  </si>
  <si>
    <t>華上生醫</t>
  </si>
  <si>
    <t>雄順</t>
  </si>
  <si>
    <t>濾能</t>
  </si>
  <si>
    <t>一元素</t>
  </si>
  <si>
    <t>巨有科技</t>
  </si>
  <si>
    <t>邁科</t>
  </si>
  <si>
    <t>開陽投控</t>
  </si>
  <si>
    <t>展達</t>
  </si>
  <si>
    <t>太康精密</t>
  </si>
  <si>
    <t>天二科技</t>
  </si>
  <si>
    <t>圓裕</t>
  </si>
  <si>
    <t>為昇科</t>
  </si>
  <si>
    <t>和淞</t>
  </si>
  <si>
    <t>汎銓</t>
  </si>
  <si>
    <t>路易莎咖啡</t>
  </si>
  <si>
    <t>米斯特</t>
  </si>
  <si>
    <t>網石</t>
  </si>
  <si>
    <t>敏成健康</t>
  </si>
  <si>
    <t>信實</t>
  </si>
  <si>
    <t>金鼎科</t>
  </si>
  <si>
    <t>富利康科技</t>
  </si>
  <si>
    <t>損益</t>
    <phoneticPr fontId="38" type="noConversion"/>
  </si>
  <si>
    <t>損益率</t>
    <phoneticPr fontId="38" type="noConversion"/>
  </si>
  <si>
    <t>神州-DR</t>
  </si>
  <si>
    <t>巨騰-DR</t>
  </si>
  <si>
    <t>量大股</t>
    <phoneticPr fontId="7" type="noConversion"/>
  </si>
  <si>
    <t>量放大股</t>
    <phoneticPr fontId="7" type="noConversion"/>
  </si>
  <si>
    <t>成交重心股</t>
    <phoneticPr fontId="7" type="noConversion"/>
  </si>
  <si>
    <t>強勢股</t>
    <phoneticPr fontId="7" type="noConversion"/>
  </si>
  <si>
    <t>五日強勢股</t>
    <phoneticPr fontId="7" type="noConversion"/>
  </si>
  <si>
    <t>弱勢股</t>
    <phoneticPr fontId="7" type="noConversion"/>
  </si>
  <si>
    <t>五日弱勢股</t>
    <phoneticPr fontId="7" type="noConversion"/>
  </si>
  <si>
    <t>上漲家數</t>
    <phoneticPr fontId="7" type="noConversion"/>
  </si>
  <si>
    <t>下跌家數</t>
    <phoneticPr fontId="7" type="noConversion"/>
  </si>
  <si>
    <t>獲利</t>
    <phoneticPr fontId="7" type="noConversion"/>
  </si>
  <si>
    <t>虧損</t>
    <phoneticPr fontId="7" type="noConversion"/>
  </si>
  <si>
    <t>損益</t>
    <phoneticPr fontId="7" type="noConversion"/>
  </si>
  <si>
    <t>主力買進</t>
    <phoneticPr fontId="7" type="noConversion"/>
  </si>
  <si>
    <t>主力賣出</t>
    <phoneticPr fontId="7" type="noConversion"/>
  </si>
  <si>
    <t>權值股</t>
    <phoneticPr fontId="7" type="noConversion"/>
  </si>
  <si>
    <t>泰金寶-DR</t>
  </si>
  <si>
    <t>美德醫療-DR</t>
  </si>
  <si>
    <t>台股</t>
    <phoneticPr fontId="7" type="noConversion"/>
  </si>
  <si>
    <t>上市</t>
    <phoneticPr fontId="7" type="noConversion"/>
  </si>
  <si>
    <t>上櫃</t>
    <phoneticPr fontId="7" type="noConversion"/>
  </si>
  <si>
    <t>昨收</t>
  </si>
  <si>
    <t>昨收</t>
    <phoneticPr fontId="38" type="noConversion"/>
  </si>
  <si>
    <t>今日損益</t>
    <phoneticPr fontId="38" type="noConversion"/>
  </si>
  <si>
    <t>今日損益率</t>
    <phoneticPr fontId="38" type="noConversion"/>
  </si>
  <si>
    <t>損益(11.1)</t>
    <phoneticPr fontId="38" type="noConversion"/>
  </si>
  <si>
    <t>平盤家數</t>
    <phoneticPr fontId="7" type="noConversion"/>
  </si>
  <si>
    <t>相減</t>
    <phoneticPr fontId="7" type="noConversion"/>
  </si>
  <si>
    <t>殖利率</t>
    <phoneticPr fontId="7" type="noConversion"/>
  </si>
  <si>
    <t>毛利率</t>
    <phoneticPr fontId="7" type="noConversion"/>
  </si>
  <si>
    <t>稅後</t>
    <phoneticPr fontId="7" type="noConversion"/>
  </si>
  <si>
    <t>電動車概念股，聚合發佈9月財務數字稅後虧損300萬，連帶康普、美琪瑪等股價走跌。</t>
    <phoneticPr fontId="7" type="noConversion"/>
  </si>
  <si>
    <t>-</t>
    <phoneticPr fontId="7" type="noConversion"/>
  </si>
  <si>
    <t>記憶體廠商華邦電第三季獲利與營收同步創高，帶領整體記憶體產品漲價</t>
    <phoneticPr fontId="7" type="noConversion"/>
  </si>
  <si>
    <t>妖股</t>
    <phoneticPr fontId="7" type="noConversion"/>
  </si>
  <si>
    <t>台骅帶漲航運股</t>
    <phoneticPr fontId="7" type="noConversion"/>
  </si>
  <si>
    <t>LED燈廠，9月營收減少，觀望10月營收</t>
    <phoneticPr fontId="7" type="noConversion"/>
  </si>
  <si>
    <t>看漲，未來伺服器需求增，散熱需要。</t>
    <phoneticPr fontId="7" type="noConversion"/>
  </si>
  <si>
    <t>營收增加，盤整甚至有下降趨勢，靜等大紅K</t>
    <phoneticPr fontId="7" type="noConversion"/>
  </si>
  <si>
    <t>營收減少。處分大潤發普通股，全數售於全聯，獲利23.25億</t>
    <phoneticPr fontId="7" type="noConversion"/>
  </si>
  <si>
    <t>營收期減，週跳空漲多回檔整理</t>
    <phoneticPr fontId="7" type="noConversion"/>
  </si>
  <si>
    <t>營收減少</t>
    <phoneticPr fontId="7" type="noConversion"/>
  </si>
  <si>
    <t>低軌衛星，台揚受惠，領漲。</t>
    <phoneticPr fontId="7" type="noConversion"/>
  </si>
  <si>
    <t>威盛美國子公司與英特爾合作，支付35億攔部分員工。業外收益來掩飾本業業績實在不行。</t>
    <phoneticPr fontId="7" type="noConversion"/>
  </si>
  <si>
    <t>高檔回檔，營收增長。電源轉換器主力供應商。</t>
    <phoneticPr fontId="7" type="noConversion"/>
  </si>
  <si>
    <t>通訊網絡設備。法說會要低價回購股票，奇妙操作。</t>
    <phoneticPr fontId="7" type="noConversion"/>
  </si>
  <si>
    <t>因半導體短缺營收減緩。季成長、稅後淨利率創單季歷史新高。部分電子股11-12月營收衰退的事實需要面對。</t>
    <phoneticPr fontId="7" type="noConversion"/>
  </si>
  <si>
    <t>營收越好跌越多。技術面不看好。</t>
    <phoneticPr fontId="7" type="noConversion"/>
  </si>
  <si>
    <t>回檔，年成長率增加。主業為微電子、光電子光纖到府及車用LiDAR，電動車相關受惠。技術面，看跌。</t>
    <phoneticPr fontId="7" type="noConversion"/>
  </si>
  <si>
    <t>基本面不看好，周線技術看好</t>
    <phoneticPr fontId="7" type="noConversion"/>
  </si>
  <si>
    <t>技術面看好，</t>
    <phoneticPr fontId="7" type="noConversion"/>
  </si>
  <si>
    <t>高檔拉回，低檔買入</t>
    <phoneticPr fontId="7" type="noConversion"/>
  </si>
  <si>
    <t>類似公司晶豪科</t>
    <phoneticPr fontId="7" type="noConversion"/>
  </si>
  <si>
    <t>看好</t>
    <phoneticPr fontId="7" type="noConversion"/>
  </si>
  <si>
    <t>期減但技術面突破季線，網絡線材突破，美國基建股</t>
    <phoneticPr fontId="7" type="noConversion"/>
  </si>
  <si>
    <t>10月營收減少，要回檔整理了。元宇宙概念股，英偉達帶頭</t>
    <phoneticPr fontId="7" type="noConversion"/>
  </si>
  <si>
    <t>10月營收增加，週買進訊號，多頭線性，還會再漲</t>
    <phoneticPr fontId="7" type="noConversion"/>
  </si>
  <si>
    <t>基本面不錯，日站上SAR，有望續漲</t>
    <phoneticPr fontId="7" type="noConversion"/>
  </si>
  <si>
    <t>基本面籌碼不錯，突破日SAR，續漲</t>
    <phoneticPr fontId="7" type="noConversion"/>
  </si>
  <si>
    <t>站穩一線BMW、賓士和法拉利車用影音連接器地位。特斯拉電動車股</t>
    <phoneticPr fontId="7" type="noConversion"/>
  </si>
  <si>
    <t>營業毛利率、營益率、稅後淨利率全部成長，技術面不錯。看漲</t>
    <phoneticPr fontId="7" type="noConversion"/>
  </si>
  <si>
    <t>今年有拿下美國航海電腦大單</t>
    <phoneticPr fontId="7" type="noConversion"/>
  </si>
  <si>
    <t>10月營收增長，公司雖然還是負盈利，藉助電動車題材結合石墨烯材料，有望上漲</t>
    <phoneticPr fontId="7" type="noConversion"/>
  </si>
  <si>
    <t>資訊較少，主要 項目為手機機殼鍍膜、主要客戶來自大陸和宏達電，可能受宏達電影響成長的妖股。</t>
    <phoneticPr fontId="7" type="noConversion"/>
  </si>
  <si>
    <t>金士頓轉投資的快閃記憶體控制IC廠。英特爾新CPU搭配DDR5會有供貨商的需求，基本面和技術面都不錯。</t>
    <phoneticPr fontId="7" type="noConversion"/>
  </si>
  <si>
    <t>台積電建廠，不曉得會不會對太陽能電池有所需求。週站上sar，看漲</t>
    <phoneticPr fontId="7" type="noConversion"/>
  </si>
  <si>
    <t>威盛旗下USB3.0整合晶片供應商</t>
    <phoneticPr fontId="7" type="noConversion"/>
  </si>
  <si>
    <t>外資空單減少，唯一的解釋就是要做多權值股。10月營收增長，軸線基本面不錯，明天可能回檔後起漲。</t>
    <phoneticPr fontId="7" type="noConversion"/>
  </si>
  <si>
    <t>半導體封裝相關</t>
    <phoneticPr fontId="7" type="noConversion"/>
  </si>
  <si>
    <t>疫情逐漸解封，旅遊慢慢恢復。長夜優質空姐</t>
    <phoneticPr fontId="7" type="noConversion"/>
  </si>
  <si>
    <t>台灣首家3D堆疊晶元封裝</t>
    <phoneticPr fontId="7" type="noConversion"/>
  </si>
  <si>
    <t>疫情逐漸解封，旅遊慢慢恢復。</t>
    <phoneticPr fontId="7" type="noConversion"/>
  </si>
  <si>
    <t>10月營收減少，但週紅K突破SAR。元宇宙概念股，英偉達帶頭</t>
    <phoneticPr fontId="7" type="noConversion"/>
  </si>
  <si>
    <t>台積電設廠建材需要混泥土。</t>
    <phoneticPr fontId="7" type="noConversion"/>
  </si>
  <si>
    <t>手機、車用天線製造。電動車、元宇宙、低軌、5G。週站上SAR</t>
    <phoneticPr fontId="7" type="noConversion"/>
  </si>
  <si>
    <t>外資賣完內資賣，內資賣完散戶賣，散戶賣完跌停賣</t>
    <phoneticPr fontId="7" type="noConversion"/>
  </si>
  <si>
    <t>資料日期：2021年 11月 22日</t>
  </si>
  <si>
    <t xml:space="preserve">	01每日資料</t>
  </si>
  <si>
    <t>執行時間：2021-11-22 18:53 符合檔數(1741)</t>
  </si>
  <si>
    <t>2489.TW</t>
  </si>
  <si>
    <t>瑞軒</t>
  </si>
  <si>
    <t>樂威科-KY</t>
  </si>
  <si>
    <t>5460.TW</t>
  </si>
  <si>
    <t>5484.TW</t>
  </si>
  <si>
    <t>慧友</t>
  </si>
  <si>
    <t>6243.TW</t>
  </si>
  <si>
    <t>迅杰</t>
  </si>
  <si>
    <t>6404.TW</t>
  </si>
  <si>
    <t>6761.TW</t>
  </si>
  <si>
    <t>6806.TW</t>
  </si>
  <si>
    <t>6843.TW</t>
  </si>
  <si>
    <t xml:space="preserve">1741	</t>
  </si>
  <si>
    <t xml:space="preserve">	02每日資料（大戶）</t>
  </si>
  <si>
    <t>執行時間：2021-11-22 18:49 符合檔數(1743)</t>
  </si>
  <si>
    <t xml:space="preserve">1742	</t>
  </si>
  <si>
    <t xml:space="preserve">1743	</t>
  </si>
  <si>
    <t>DRAM缺貨，威剛前3季獲利，超越歷年全年表現。技術面起漲</t>
    <phoneticPr fontId="7" type="noConversion"/>
  </si>
  <si>
    <t>廠區台灣集江蘇蘇州，主要產品為新能源車電池管理系統、電機以及電控，由於成本大幅上漲，年增。技術面有望突破創新高</t>
    <phoneticPr fontId="7" type="noConversion"/>
  </si>
  <si>
    <t>薄膜電阻，全台第一家結合薄膜。技術面站上SAR</t>
    <phoneticPr fontId="7" type="noConversion"/>
  </si>
  <si>
    <t>中國最大電信體件產品服務商。技術面看漲</t>
    <phoneticPr fontId="7" type="noConversion"/>
  </si>
  <si>
    <t>無線通訊衛星天線。營收增加，技術線不錯。</t>
    <phoneticPr fontId="7" type="noConversion"/>
  </si>
  <si>
    <t>記憶體、矽晶圓。營收增加，技術面看好</t>
    <phoneticPr fontId="7" type="noConversion"/>
  </si>
  <si>
    <t>營收增加，以太網絡相關技術、IC設計。聯發科15億元收購。技術面看漲</t>
    <phoneticPr fontId="7" type="noConversion"/>
  </si>
  <si>
    <t>矽晶圓等原件代工，營收增加。技術面有望突破前高。</t>
    <phoneticPr fontId="7" type="noConversion"/>
  </si>
  <si>
    <t>營收減少，技術面盤偏弱。特斯拉、小米相關鐳射光測距探測。</t>
    <phoneticPr fontId="7" type="noConversion"/>
  </si>
  <si>
    <t>量大股+強勢股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</si>
</sst>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176" formatCode="0.00_);[Red]\(0.00\)"/>
    <numFmt numFmtId="177" formatCode="0_);[Red]\(0\)"/>
    <numFmt numFmtId="178" formatCode="_-&quot;$&quot;* #,##0_-;\-&quot;$&quot;* #,##0_-;_-&quot;$&quot;* &quot;-&quot;??_-;_-@_-"/>
    <numFmt numFmtId="179" formatCode="0.00_ "/>
    <numFmt numFmtId="180" formatCode="_-* #,##0.0_-;\-* #,##0.0_-;_-* &quot;-&quot;?_-;_-@_-"/>
    <numFmt numFmtId="181" formatCode="0_ "/>
  </numFmts>
  <fonts count="41">
    <font>
      <sz val="12"/>
      <color theme="1"/>
      <name val="新細明體"/>
      <family val="2"/>
      <charset val="134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4"/>
      <scheme val="minor"/>
    </font>
    <font>
      <sz val="11"/>
      <color theme="1"/>
      <name val="新細明體"/>
      <family val="2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9"/>
      <name val="新細明體"/>
      <family val="2"/>
      <charset val="134"/>
      <scheme val="minor"/>
    </font>
    <font>
      <b/>
      <sz val="12"/>
      <color rgb="FFFF0000"/>
      <name val="DengXian"/>
      <family val="3"/>
      <charset val="134"/>
    </font>
    <font>
      <b/>
      <sz val="12"/>
      <color rgb="FF0070C0"/>
      <name val="DengXian"/>
      <family val="3"/>
      <charset val="134"/>
    </font>
    <font>
      <sz val="11"/>
      <color theme="1"/>
      <name val="DengXian"/>
      <family val="3"/>
      <charset val="134"/>
    </font>
    <font>
      <b/>
      <sz val="12"/>
      <color rgb="FF00B050"/>
      <name val="DengXian"/>
      <family val="3"/>
      <charset val="134"/>
    </font>
    <font>
      <sz val="12"/>
      <color rgb="FF0070C0"/>
      <name val="DengXian"/>
      <family val="3"/>
      <charset val="134"/>
    </font>
    <font>
      <sz val="12"/>
      <color rgb="FFFF0000"/>
      <name val="DengXian"/>
      <family val="3"/>
      <charset val="134"/>
    </font>
    <font>
      <b/>
      <sz val="12"/>
      <color theme="1"/>
      <name val="DengXian"/>
      <family val="3"/>
      <charset val="134"/>
    </font>
    <font>
      <b/>
      <sz val="12"/>
      <name val="DengXian"/>
      <family val="3"/>
      <charset val="134"/>
    </font>
    <font>
      <sz val="12"/>
      <color theme="1"/>
      <name val="DengXian"/>
      <family val="3"/>
      <charset val="134"/>
    </font>
    <font>
      <b/>
      <sz val="12"/>
      <color rgb="FF7030A0"/>
      <name val="DengXian"/>
      <family val="3"/>
      <charset val="134"/>
    </font>
    <font>
      <sz val="12"/>
      <name val="DengXian"/>
      <family val="3"/>
      <charset val="134"/>
    </font>
    <font>
      <sz val="11"/>
      <color rgb="FF7030A0"/>
      <name val="DengXian"/>
      <family val="3"/>
      <charset val="134"/>
    </font>
    <font>
      <sz val="11"/>
      <color rgb="FFFF0000"/>
      <name val="DengXian"/>
      <family val="3"/>
      <charset val="134"/>
    </font>
    <font>
      <b/>
      <sz val="12"/>
      <color rgb="FF0070C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4"/>
      <scheme val="minor"/>
    </font>
    <font>
      <sz val="12"/>
      <color theme="1"/>
      <name val="新細明體"/>
      <family val="1"/>
      <charset val="136"/>
      <scheme val="major"/>
    </font>
    <font>
      <sz val="11"/>
      <color theme="1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b/>
      <sz val="12"/>
      <color rgb="FF00B050"/>
      <name val="Microsoft YaHei"/>
      <family val="1"/>
      <charset val="134"/>
    </font>
    <font>
      <sz val="9"/>
      <name val="新細明體"/>
      <family val="3"/>
      <charset val="136"/>
      <scheme val="minor"/>
    </font>
    <font>
      <sz val="12"/>
      <color theme="1"/>
      <name val="Microsoft YaHei"/>
      <family val="1"/>
      <charset val="134"/>
    </font>
    <font>
      <sz val="12"/>
      <color rgb="FF00B0F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5" fillId="0" borderId="0">
      <alignment vertical="center"/>
    </xf>
    <xf numFmtId="44" fontId="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61">
    <xf numFmtId="0" fontId="0" fillId="0" borderId="0" xfId="0">
      <alignment vertical="center"/>
    </xf>
    <xf numFmtId="0" fontId="10" fillId="0" borderId="0" xfId="1" applyFont="1">
      <alignment vertical="center"/>
    </xf>
    <xf numFmtId="0" fontId="16" fillId="0" borderId="0" xfId="0" applyFont="1">
      <alignment vertical="center"/>
    </xf>
    <xf numFmtId="176" fontId="15" fillId="0" borderId="0" xfId="1" applyNumberFormat="1" applyFont="1" applyAlignment="1">
      <alignment horizontal="left" vertical="center"/>
    </xf>
    <xf numFmtId="176" fontId="19" fillId="0" borderId="0" xfId="1" applyNumberFormat="1" applyFont="1">
      <alignment vertical="center"/>
    </xf>
    <xf numFmtId="0" fontId="16" fillId="0" borderId="0" xfId="1" applyFont="1">
      <alignment vertical="center"/>
    </xf>
    <xf numFmtId="0" fontId="20" fillId="0" borderId="0" xfId="1" applyFont="1">
      <alignment vertical="center"/>
    </xf>
    <xf numFmtId="0" fontId="21" fillId="0" borderId="0" xfId="0" applyFont="1" applyAlignment="1">
      <alignment horizontal="center" vertical="center"/>
    </xf>
    <xf numFmtId="0" fontId="10" fillId="2" borderId="1" xfId="1" applyFont="1" applyFill="1" applyBorder="1">
      <alignment vertical="center"/>
    </xf>
    <xf numFmtId="0" fontId="8" fillId="2" borderId="1" xfId="1" applyFont="1" applyFill="1" applyBorder="1" applyAlignment="1">
      <alignment horizontal="center" vertical="center"/>
    </xf>
    <xf numFmtId="176" fontId="8" fillId="2" borderId="1" xfId="1" applyNumberFormat="1" applyFont="1" applyFill="1" applyBorder="1" applyAlignment="1">
      <alignment horizontal="center" vertical="center"/>
    </xf>
    <xf numFmtId="0" fontId="16" fillId="2" borderId="1" xfId="0" applyFont="1" applyFill="1" applyBorder="1">
      <alignment vertical="center"/>
    </xf>
    <xf numFmtId="49" fontId="17" fillId="2" borderId="1" xfId="1" applyNumberFormat="1" applyFont="1" applyFill="1" applyBorder="1" applyAlignment="1">
      <alignment horizontal="right" vertical="center"/>
    </xf>
    <xf numFmtId="0" fontId="15" fillId="2" borderId="1" xfId="1" applyNumberFormat="1" applyFont="1" applyFill="1" applyBorder="1" applyAlignment="1">
      <alignment horizontal="right" vertical="center"/>
    </xf>
    <xf numFmtId="0" fontId="15" fillId="2" borderId="1" xfId="1" applyFont="1" applyFill="1" applyBorder="1" applyAlignment="1">
      <alignment horizontal="center" vertical="center"/>
    </xf>
    <xf numFmtId="49" fontId="9" fillId="2" borderId="1" xfId="1" applyNumberFormat="1" applyFont="1" applyFill="1" applyBorder="1" applyAlignment="1">
      <alignment horizontal="center" vertical="center"/>
    </xf>
    <xf numFmtId="176" fontId="9" fillId="2" borderId="1" xfId="1" applyNumberFormat="1" applyFont="1" applyFill="1" applyBorder="1" applyAlignment="1">
      <alignment horizontal="center" vertical="center"/>
    </xf>
    <xf numFmtId="176" fontId="15" fillId="2" borderId="1" xfId="1" applyNumberFormat="1" applyFont="1" applyFill="1" applyBorder="1" applyAlignment="1">
      <alignment horizontal="center" vertical="center"/>
    </xf>
    <xf numFmtId="176" fontId="17" fillId="2" borderId="1" xfId="1" applyNumberFormat="1" applyFont="1" applyFill="1" applyBorder="1" applyAlignment="1">
      <alignment horizontal="center" vertical="center"/>
    </xf>
    <xf numFmtId="176" fontId="14" fillId="2" borderId="1" xfId="1" applyNumberFormat="1" applyFont="1" applyFill="1" applyBorder="1" applyAlignment="1">
      <alignment horizontal="center" vertical="center"/>
    </xf>
    <xf numFmtId="10" fontId="14" fillId="2" borderId="1" xfId="1" applyNumberFormat="1" applyFont="1" applyFill="1" applyBorder="1" applyAlignment="1">
      <alignment horizontal="center" vertical="center"/>
    </xf>
    <xf numFmtId="49" fontId="15" fillId="2" borderId="1" xfId="1" applyNumberFormat="1" applyFont="1" applyFill="1" applyBorder="1" applyAlignment="1">
      <alignment horizontal="center" vertical="center"/>
    </xf>
    <xf numFmtId="14" fontId="8" fillId="2" borderId="1" xfId="1" applyNumberFormat="1" applyFont="1" applyFill="1" applyBorder="1" applyAlignment="1">
      <alignment horizontal="center" vertical="center"/>
    </xf>
    <xf numFmtId="14" fontId="8" fillId="2" borderId="1" xfId="1" applyNumberFormat="1" applyFont="1" applyFill="1" applyBorder="1" applyAlignment="1">
      <alignment horizontal="right" vertical="center"/>
    </xf>
    <xf numFmtId="14" fontId="11" fillId="2" borderId="1" xfId="1" applyNumberFormat="1" applyFont="1" applyFill="1" applyBorder="1" applyAlignment="1">
      <alignment horizontal="right" vertical="center"/>
    </xf>
    <xf numFmtId="177" fontId="15" fillId="2" borderId="1" xfId="1" applyNumberFormat="1" applyFont="1" applyFill="1" applyBorder="1" applyAlignment="1">
      <alignment horizontal="center" vertical="center"/>
    </xf>
    <xf numFmtId="176" fontId="24" fillId="0" borderId="0" xfId="0" applyNumberFormat="1" applyFont="1" applyAlignment="1">
      <alignment horizontal="right" vertical="center"/>
    </xf>
    <xf numFmtId="176" fontId="23" fillId="0" borderId="0" xfId="0" applyNumberFormat="1" applyFont="1" applyAlignment="1">
      <alignment horizontal="right" vertical="center"/>
    </xf>
    <xf numFmtId="176" fontId="6" fillId="0" borderId="0" xfId="0" applyNumberFormat="1" applyFont="1">
      <alignment vertical="center"/>
    </xf>
    <xf numFmtId="14" fontId="26" fillId="0" borderId="0" xfId="1" applyNumberFormat="1" applyFont="1" applyAlignment="1">
      <alignment horizontal="right" vertical="center"/>
    </xf>
    <xf numFmtId="176" fontId="29" fillId="0" borderId="0" xfId="1" applyNumberFormat="1" applyFont="1">
      <alignment vertical="center"/>
    </xf>
    <xf numFmtId="0" fontId="21" fillId="0" borderId="0" xfId="0" applyFont="1" applyFill="1" applyAlignment="1">
      <alignment horizontal="center" vertical="center"/>
    </xf>
    <xf numFmtId="176" fontId="23" fillId="0" borderId="0" xfId="0" applyNumberFormat="1" applyFont="1" applyFill="1" applyAlignment="1">
      <alignment horizontal="right" vertical="center"/>
    </xf>
    <xf numFmtId="176" fontId="27" fillId="0" borderId="0" xfId="1" applyNumberFormat="1" applyFont="1" applyFill="1">
      <alignment vertical="center"/>
    </xf>
    <xf numFmtId="10" fontId="30" fillId="0" borderId="0" xfId="1" applyNumberFormat="1" applyFont="1" applyFill="1">
      <alignment vertical="center"/>
    </xf>
    <xf numFmtId="3" fontId="31" fillId="0" borderId="0" xfId="1" applyNumberFormat="1" applyFont="1">
      <alignment vertical="center"/>
    </xf>
    <xf numFmtId="0" fontId="8" fillId="3" borderId="0" xfId="1" applyNumberFormat="1" applyFont="1" applyFill="1" applyAlignment="1">
      <alignment horizontal="right" vertical="center"/>
    </xf>
    <xf numFmtId="0" fontId="10" fillId="3" borderId="0" xfId="1" applyFont="1" applyFill="1">
      <alignment vertical="center"/>
    </xf>
    <xf numFmtId="0" fontId="16" fillId="3" borderId="0" xfId="0" applyFont="1" applyFill="1">
      <alignment vertical="center"/>
    </xf>
    <xf numFmtId="176" fontId="17" fillId="3" borderId="0" xfId="1" applyNumberFormat="1" applyFont="1" applyFill="1" applyAlignment="1">
      <alignment horizontal="right" vertical="center"/>
    </xf>
    <xf numFmtId="0" fontId="11" fillId="3" borderId="0" xfId="1" applyFont="1" applyFill="1" applyAlignment="1">
      <alignment horizontal="center" vertical="center"/>
    </xf>
    <xf numFmtId="49" fontId="11" fillId="3" borderId="0" xfId="1" applyNumberFormat="1" applyFont="1" applyFill="1" applyAlignment="1">
      <alignment horizontal="right" vertical="center"/>
    </xf>
    <xf numFmtId="0" fontId="9" fillId="3" borderId="0" xfId="1" applyFont="1" applyFill="1">
      <alignment vertical="center"/>
    </xf>
    <xf numFmtId="176" fontId="8" fillId="3" borderId="0" xfId="1" applyNumberFormat="1" applyFont="1" applyFill="1" applyAlignment="1">
      <alignment horizontal="right" vertical="center"/>
    </xf>
    <xf numFmtId="176" fontId="11" fillId="3" borderId="0" xfId="1" applyNumberFormat="1" applyFont="1" applyFill="1" applyAlignment="1">
      <alignment horizontal="right" vertical="center"/>
    </xf>
    <xf numFmtId="176" fontId="13" fillId="3" borderId="0" xfId="1" applyNumberFormat="1" applyFont="1" applyFill="1">
      <alignment vertical="center"/>
    </xf>
    <xf numFmtId="176" fontId="12" fillId="3" borderId="0" xfId="1" applyNumberFormat="1" applyFont="1" applyFill="1">
      <alignment vertical="center"/>
    </xf>
    <xf numFmtId="176" fontId="14" fillId="3" borderId="0" xfId="1" applyNumberFormat="1" applyFont="1" applyFill="1">
      <alignment vertical="center"/>
    </xf>
    <xf numFmtId="10" fontId="16" fillId="3" borderId="0" xfId="1" applyNumberFormat="1" applyFont="1" applyFill="1">
      <alignment vertical="center"/>
    </xf>
    <xf numFmtId="49" fontId="8" fillId="3" borderId="0" xfId="1" applyNumberFormat="1" applyFont="1" applyFill="1" applyAlignment="1">
      <alignment horizontal="center" vertical="center"/>
    </xf>
    <xf numFmtId="177" fontId="18" fillId="3" borderId="0" xfId="1" applyNumberFormat="1" applyFont="1" applyFill="1" applyAlignment="1">
      <alignment horizontal="right" vertical="center"/>
    </xf>
    <xf numFmtId="49" fontId="15" fillId="3" borderId="0" xfId="1" applyNumberFormat="1" applyFont="1" applyFill="1">
      <alignment vertical="center"/>
    </xf>
    <xf numFmtId="49" fontId="16" fillId="3" borderId="0" xfId="1" applyNumberFormat="1" applyFont="1" applyFill="1">
      <alignment vertical="center"/>
    </xf>
    <xf numFmtId="176" fontId="24" fillId="0" borderId="0" xfId="0" applyNumberFormat="1" applyFont="1" applyFill="1" applyAlignment="1">
      <alignment horizontal="right" vertical="center"/>
    </xf>
    <xf numFmtId="181" fontId="24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32" fillId="0" borderId="0" xfId="0" applyFont="1">
      <alignment vertical="center"/>
    </xf>
    <xf numFmtId="0" fontId="22" fillId="0" borderId="0" xfId="0" applyFont="1" applyFill="1" applyAlignment="1">
      <alignment horizontal="center" vertical="center"/>
    </xf>
    <xf numFmtId="176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0" fillId="0" borderId="0" xfId="0">
      <alignment vertical="center"/>
    </xf>
    <xf numFmtId="181" fontId="24" fillId="0" borderId="0" xfId="0" applyNumberFormat="1" applyFont="1" applyFill="1" applyAlignment="1">
      <alignment horizontal="right" vertical="center"/>
    </xf>
    <xf numFmtId="49" fontId="23" fillId="0" borderId="0" xfId="0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0" fontId="30" fillId="0" borderId="0" xfId="0" applyFont="1" applyAlignment="1">
      <alignment horizontal="right" vertical="center"/>
    </xf>
    <xf numFmtId="0" fontId="30" fillId="0" borderId="0" xfId="0" applyFont="1" applyAlignment="1">
      <alignment horizontal="right"/>
    </xf>
    <xf numFmtId="0" fontId="33" fillId="0" borderId="2" xfId="0" applyFont="1" applyBorder="1" applyAlignment="1">
      <alignment horizontal="right" vertical="center"/>
    </xf>
    <xf numFmtId="0" fontId="33" fillId="6" borderId="2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right" vertical="center"/>
    </xf>
    <xf numFmtId="0" fontId="33" fillId="5" borderId="2" xfId="0" applyFont="1" applyFill="1" applyBorder="1" applyAlignment="1">
      <alignment horizontal="right" vertical="center"/>
    </xf>
    <xf numFmtId="179" fontId="33" fillId="0" borderId="0" xfId="0" applyNumberFormat="1" applyFont="1" applyAlignment="1">
      <alignment horizontal="right"/>
    </xf>
    <xf numFmtId="10" fontId="33" fillId="0" borderId="2" xfId="0" applyNumberFormat="1" applyFont="1" applyBorder="1">
      <alignment vertical="center"/>
    </xf>
    <xf numFmtId="176" fontId="15" fillId="2" borderId="1" xfId="1" applyNumberFormat="1" applyFont="1" applyFill="1" applyBorder="1" applyAlignment="1">
      <alignment horizontal="right" vertical="center"/>
    </xf>
    <xf numFmtId="176" fontId="10" fillId="0" borderId="0" xfId="1" applyNumberFormat="1" applyFont="1">
      <alignment vertical="center"/>
    </xf>
    <xf numFmtId="0" fontId="34" fillId="0" borderId="0" xfId="1" applyFont="1" applyFill="1">
      <alignment vertical="center"/>
    </xf>
    <xf numFmtId="176" fontId="23" fillId="0" borderId="0" xfId="1" applyNumberFormat="1" applyFont="1" applyAlignment="1">
      <alignment horizontal="right" vertical="center"/>
    </xf>
    <xf numFmtId="0" fontId="23" fillId="0" borderId="0" xfId="1" applyNumberFormat="1" applyFont="1" applyAlignment="1">
      <alignment horizontal="right" vertical="center"/>
    </xf>
    <xf numFmtId="176" fontId="28" fillId="0" borderId="0" xfId="1" applyNumberFormat="1" applyFont="1" applyFill="1" applyAlignment="1">
      <alignment horizontal="right" vertical="center"/>
    </xf>
    <xf numFmtId="176" fontId="27" fillId="0" borderId="0" xfId="1" applyNumberFormat="1" applyFont="1" applyAlignment="1">
      <alignment horizontal="right" vertical="center"/>
    </xf>
    <xf numFmtId="176" fontId="22" fillId="0" borderId="0" xfId="3" applyNumberFormat="1" applyFont="1" applyFill="1" applyAlignment="1">
      <alignment horizontal="right" vertical="center"/>
    </xf>
    <xf numFmtId="49" fontId="35" fillId="0" borderId="0" xfId="1" applyNumberFormat="1" applyFont="1" applyFill="1" applyAlignment="1">
      <alignment horizontal="center" vertical="center"/>
    </xf>
    <xf numFmtId="180" fontId="29" fillId="0" borderId="0" xfId="1" applyNumberFormat="1" applyFont="1" applyAlignment="1">
      <alignment horizontal="right" vertical="center"/>
    </xf>
    <xf numFmtId="14" fontId="36" fillId="0" borderId="0" xfId="1" applyNumberFormat="1" applyFont="1" applyAlignment="1">
      <alignment horizontal="right" vertical="center"/>
    </xf>
    <xf numFmtId="49" fontId="28" fillId="0" borderId="0" xfId="1" applyNumberFormat="1" applyFont="1" applyFill="1">
      <alignment vertical="center"/>
    </xf>
    <xf numFmtId="178" fontId="21" fillId="0" borderId="0" xfId="2" applyNumberFormat="1" applyFont="1" applyFill="1" applyAlignment="1">
      <alignment vertical="center"/>
    </xf>
    <xf numFmtId="0" fontId="30" fillId="0" borderId="0" xfId="0" applyFont="1" applyFill="1">
      <alignment vertical="center"/>
    </xf>
    <xf numFmtId="176" fontId="29" fillId="0" borderId="0" xfId="1" applyNumberFormat="1" applyFont="1" applyFill="1" applyAlignment="1">
      <alignment vertical="center"/>
    </xf>
    <xf numFmtId="10" fontId="26" fillId="0" borderId="0" xfId="1" applyNumberFormat="1" applyFont="1" applyFill="1" applyAlignment="1">
      <alignment vertical="center"/>
    </xf>
    <xf numFmtId="176" fontId="24" fillId="0" borderId="0" xfId="1" applyNumberFormat="1" applyFont="1" applyAlignment="1">
      <alignment horizontal="right" vertical="center"/>
    </xf>
    <xf numFmtId="176" fontId="22" fillId="0" borderId="0" xfId="1" applyNumberFormat="1" applyFont="1" applyAlignment="1">
      <alignment horizontal="right" vertical="center"/>
    </xf>
    <xf numFmtId="176" fontId="36" fillId="0" borderId="0" xfId="1" applyNumberFormat="1" applyFont="1" applyAlignment="1">
      <alignment horizontal="right" vertical="center"/>
    </xf>
    <xf numFmtId="176" fontId="30" fillId="0" borderId="0" xfId="1" applyNumberFormat="1" applyFont="1" applyFill="1" applyAlignment="1">
      <alignment horizontal="right" vertical="center"/>
    </xf>
    <xf numFmtId="49" fontId="37" fillId="0" borderId="0" xfId="1" applyNumberFormat="1" applyFont="1" applyFill="1" applyAlignment="1">
      <alignment horizontal="right" vertical="center"/>
    </xf>
    <xf numFmtId="176" fontId="27" fillId="0" borderId="0" xfId="0" applyNumberFormat="1" applyFont="1">
      <alignment vertical="center"/>
    </xf>
    <xf numFmtId="0" fontId="30" fillId="0" borderId="0" xfId="0" applyFont="1">
      <alignment vertical="center"/>
    </xf>
    <xf numFmtId="176" fontId="30" fillId="0" borderId="0" xfId="0" applyNumberFormat="1" applyFont="1">
      <alignment vertical="center"/>
    </xf>
    <xf numFmtId="0" fontId="34" fillId="3" borderId="0" xfId="1" applyFont="1" applyFill="1">
      <alignment vertical="center"/>
    </xf>
    <xf numFmtId="176" fontId="23" fillId="3" borderId="0" xfId="1" applyNumberFormat="1" applyFont="1" applyFill="1" applyAlignment="1">
      <alignment horizontal="right" vertical="center"/>
    </xf>
    <xf numFmtId="0" fontId="23" fillId="3" borderId="0" xfId="1" applyNumberFormat="1" applyFont="1" applyFill="1" applyAlignment="1">
      <alignment horizontal="right" vertical="center"/>
    </xf>
    <xf numFmtId="176" fontId="22" fillId="3" borderId="0" xfId="1" applyNumberFormat="1" applyFont="1" applyFill="1" applyAlignment="1">
      <alignment horizontal="right" vertical="center"/>
    </xf>
    <xf numFmtId="0" fontId="24" fillId="3" borderId="0" xfId="1" applyFont="1" applyFill="1" applyAlignment="1">
      <alignment horizontal="center" vertical="center"/>
    </xf>
    <xf numFmtId="49" fontId="24" fillId="3" borderId="0" xfId="1" applyNumberFormat="1" applyFont="1" applyFill="1" applyAlignment="1">
      <alignment horizontal="right" vertical="center"/>
    </xf>
    <xf numFmtId="0" fontId="21" fillId="3" borderId="0" xfId="1" applyFont="1" applyFill="1">
      <alignment vertical="center"/>
    </xf>
    <xf numFmtId="176" fontId="24" fillId="3" borderId="0" xfId="1" applyNumberFormat="1" applyFont="1" applyFill="1" applyAlignment="1">
      <alignment horizontal="right" vertical="center"/>
    </xf>
    <xf numFmtId="176" fontId="27" fillId="3" borderId="0" xfId="1" applyNumberFormat="1" applyFont="1" applyFill="1">
      <alignment vertical="center"/>
    </xf>
    <xf numFmtId="176" fontId="6" fillId="3" borderId="0" xfId="1" applyNumberFormat="1" applyFont="1" applyFill="1">
      <alignment vertical="center"/>
    </xf>
    <xf numFmtId="176" fontId="29" fillId="3" borderId="0" xfId="1" applyNumberFormat="1" applyFont="1" applyFill="1">
      <alignment vertical="center"/>
    </xf>
    <xf numFmtId="10" fontId="30" fillId="3" borderId="0" xfId="1" applyNumberFormat="1" applyFont="1" applyFill="1">
      <alignment vertical="center"/>
    </xf>
    <xf numFmtId="49" fontId="23" fillId="3" borderId="0" xfId="1" applyNumberFormat="1" applyFont="1" applyFill="1" applyAlignment="1">
      <alignment horizontal="center" vertical="center"/>
    </xf>
    <xf numFmtId="177" fontId="25" fillId="3" borderId="0" xfId="1" applyNumberFormat="1" applyFont="1" applyFill="1" applyAlignment="1">
      <alignment horizontal="right" vertical="center"/>
    </xf>
    <xf numFmtId="49" fontId="28" fillId="3" borderId="0" xfId="1" applyNumberFormat="1" applyFont="1" applyFill="1">
      <alignment vertical="center"/>
    </xf>
    <xf numFmtId="49" fontId="30" fillId="3" borderId="0" xfId="1" applyNumberFormat="1" applyFont="1" applyFill="1">
      <alignment vertical="center"/>
    </xf>
    <xf numFmtId="0" fontId="30" fillId="3" borderId="0" xfId="0" applyFont="1" applyFill="1">
      <alignment vertical="center"/>
    </xf>
    <xf numFmtId="176" fontId="30" fillId="0" borderId="0" xfId="1" applyNumberFormat="1" applyFont="1" applyAlignment="1">
      <alignment horizontal="right" vertical="center"/>
    </xf>
    <xf numFmtId="176" fontId="29" fillId="0" borderId="0" xfId="0" applyNumberFormat="1" applyFont="1" applyFill="1" applyAlignment="1">
      <alignment horizontal="right" vertical="center"/>
    </xf>
    <xf numFmtId="176" fontId="29" fillId="0" borderId="0" xfId="0" applyNumberFormat="1" applyFont="1" applyAlignment="1">
      <alignment horizontal="right" vertical="center"/>
    </xf>
    <xf numFmtId="176" fontId="22" fillId="0" borderId="0" xfId="0" applyNumberFormat="1" applyFont="1" applyFill="1" applyAlignment="1">
      <alignment horizontal="right" vertical="center"/>
    </xf>
    <xf numFmtId="0" fontId="13" fillId="2" borderId="1" xfId="1" applyFont="1" applyFill="1" applyBorder="1" applyAlignment="1">
      <alignment horizontal="righ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2" fillId="0" borderId="0" xfId="5" applyNumberFormat="1">
      <alignment vertical="center"/>
    </xf>
    <xf numFmtId="0" fontId="2" fillId="0" borderId="0" xfId="5">
      <alignment vertical="center"/>
    </xf>
    <xf numFmtId="0" fontId="2" fillId="0" borderId="0" xfId="5">
      <alignment vertical="center"/>
    </xf>
    <xf numFmtId="0" fontId="2" fillId="0" borderId="0" xfId="5">
      <alignment vertical="center"/>
    </xf>
    <xf numFmtId="0" fontId="2" fillId="0" borderId="0" xfId="5">
      <alignment vertical="center"/>
    </xf>
    <xf numFmtId="0" fontId="2" fillId="0" borderId="0" xfId="5">
      <alignment vertical="center"/>
    </xf>
    <xf numFmtId="0" fontId="24" fillId="0" borderId="0" xfId="0" applyNumberFormat="1" applyFont="1" applyFill="1" applyAlignment="1">
      <alignment horizontal="right" vertical="center"/>
    </xf>
    <xf numFmtId="0" fontId="24" fillId="0" borderId="0" xfId="1" applyNumberFormat="1" applyFont="1" applyFill="1" applyAlignment="1">
      <alignment horizontal="right" vertical="center"/>
    </xf>
    <xf numFmtId="180" fontId="29" fillId="0" borderId="0" xfId="1" applyNumberFormat="1" applyFont="1" applyFill="1" applyAlignment="1">
      <alignment horizontal="left" vertical="center"/>
    </xf>
    <xf numFmtId="176" fontId="0" fillId="0" borderId="0" xfId="0" applyNumberFormat="1">
      <alignment vertical="center"/>
    </xf>
    <xf numFmtId="10" fontId="30" fillId="0" borderId="0" xfId="0" applyNumberFormat="1" applyFon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0" fillId="0" borderId="2" xfId="0" applyFont="1" applyBorder="1">
      <alignment vertical="center"/>
    </xf>
    <xf numFmtId="0" fontId="39" fillId="0" borderId="2" xfId="0" applyFont="1" applyBorder="1" applyAlignment="1">
      <alignment horizontal="right" vertical="center"/>
    </xf>
    <xf numFmtId="0" fontId="30" fillId="0" borderId="2" xfId="0" applyFont="1" applyBorder="1" applyAlignment="1">
      <alignment horizontal="right" vertical="center"/>
    </xf>
    <xf numFmtId="0" fontId="30" fillId="0" borderId="2" xfId="0" applyFont="1" applyFill="1" applyBorder="1" applyAlignment="1">
      <alignment horizontal="right" vertical="center"/>
    </xf>
    <xf numFmtId="0" fontId="30" fillId="0" borderId="0" xfId="5" applyFont="1" applyAlignment="1">
      <alignment horizontal="right" vertical="center"/>
    </xf>
    <xf numFmtId="0" fontId="30" fillId="0" borderId="0" xfId="0" applyFont="1" applyAlignment="1">
      <alignment vertical="center"/>
    </xf>
    <xf numFmtId="10" fontId="30" fillId="0" borderId="0" xfId="0" applyNumberFormat="1" applyFont="1" applyAlignment="1">
      <alignment vertical="center"/>
    </xf>
    <xf numFmtId="2" fontId="30" fillId="0" borderId="2" xfId="0" applyNumberFormat="1" applyFont="1" applyBorder="1">
      <alignment vertical="center"/>
    </xf>
    <xf numFmtId="176" fontId="30" fillId="0" borderId="0" xfId="0" applyNumberFormat="1" applyFont="1" applyBorder="1">
      <alignment vertical="center"/>
    </xf>
    <xf numFmtId="2" fontId="0" fillId="0" borderId="0" xfId="0" applyNumberFormat="1" applyAlignment="1">
      <alignment horizontal="right" vertical="center"/>
    </xf>
    <xf numFmtId="0" fontId="24" fillId="0" borderId="0" xfId="0" applyFont="1">
      <alignment vertical="center"/>
    </xf>
    <xf numFmtId="0" fontId="1" fillId="0" borderId="0" xfId="6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10" fillId="0" borderId="0" xfId="1" applyFont="1" applyAlignment="1">
      <alignment horizontal="right" vertical="center"/>
    </xf>
    <xf numFmtId="0" fontId="14" fillId="2" borderId="1" xfId="1" applyFont="1" applyFill="1" applyBorder="1" applyAlignment="1">
      <alignment horizontal="right" vertical="center"/>
    </xf>
    <xf numFmtId="176" fontId="14" fillId="3" borderId="0" xfId="1" applyNumberFormat="1" applyFont="1" applyFill="1" applyAlignment="1">
      <alignment horizontal="right" vertical="center"/>
    </xf>
    <xf numFmtId="0" fontId="29" fillId="0" borderId="0" xfId="1" applyNumberFormat="1" applyFont="1" applyAlignment="1">
      <alignment horizontal="right" vertical="center"/>
    </xf>
    <xf numFmtId="176" fontId="29" fillId="3" borderId="0" xfId="1" applyNumberFormat="1" applyFont="1" applyFill="1" applyAlignment="1">
      <alignment horizontal="right" vertical="center"/>
    </xf>
    <xf numFmtId="0" fontId="14" fillId="2" borderId="1" xfId="1" applyFont="1" applyFill="1" applyBorder="1" applyAlignment="1">
      <alignment horizontal="center" vertical="center"/>
    </xf>
    <xf numFmtId="0" fontId="30" fillId="0" borderId="0" xfId="1" applyFont="1" applyFill="1">
      <alignment vertical="center"/>
    </xf>
    <xf numFmtId="0" fontId="40" fillId="2" borderId="1" xfId="1" applyFont="1" applyFill="1" applyBorder="1" applyAlignment="1">
      <alignment horizontal="right" vertical="center"/>
    </xf>
    <xf numFmtId="0" fontId="30" fillId="3" borderId="0" xfId="1" applyFont="1" applyFill="1">
      <alignment vertical="center"/>
    </xf>
    <xf numFmtId="0" fontId="30" fillId="0" borderId="0" xfId="6" applyFont="1" applyAlignment="1">
      <alignment horizontal="right" vertical="center"/>
    </xf>
    <xf numFmtId="0" fontId="39" fillId="0" borderId="2" xfId="0" applyFont="1" applyFill="1" applyBorder="1" applyAlignment="1">
      <alignment horizontal="right" vertical="center"/>
    </xf>
    <xf numFmtId="10" fontId="30" fillId="0" borderId="2" xfId="0" applyNumberFormat="1" applyFont="1" applyBorder="1">
      <alignment vertical="center"/>
    </xf>
    <xf numFmtId="0" fontId="16" fillId="7" borderId="0" xfId="0" applyFont="1" applyFill="1">
      <alignment vertical="center"/>
    </xf>
    <xf numFmtId="176" fontId="16" fillId="7" borderId="0" xfId="0" applyNumberFormat="1" applyFont="1" applyFill="1">
      <alignment vertical="center"/>
    </xf>
    <xf numFmtId="0" fontId="16" fillId="7" borderId="0" xfId="0" applyFont="1" applyFill="1" applyAlignment="1">
      <alignment horizontal="right" vertical="center"/>
    </xf>
    <xf numFmtId="0" fontId="30" fillId="7" borderId="0" xfId="0" applyFont="1" applyFill="1">
      <alignment vertical="center"/>
    </xf>
  </cellXfs>
  <cellStyles count="7">
    <cellStyle name="一般" xfId="0" builtinId="0"/>
    <cellStyle name="一般 2" xfId="3" xr:uid="{F55B2DD8-B28C-46FF-967A-675658B70F2B}"/>
    <cellStyle name="一般 3" xfId="1" xr:uid="{DE13FD87-A6F6-404C-96CE-F3CCE352CD95}"/>
    <cellStyle name="一般 4" xfId="4" xr:uid="{123EBDFC-C486-4389-9486-EAC8DFBAC2DC}"/>
    <cellStyle name="一般 5" xfId="5" xr:uid="{E7580B10-06CE-404E-B29E-4D81E57862B2}"/>
    <cellStyle name="一般 6" xfId="6" xr:uid="{A066B68B-A29E-4157-9D24-26C1CDAD497F}"/>
    <cellStyle name="貨幣 2" xfId="2" xr:uid="{457B524B-7DB4-4442-91ED-A970AD68D311}"/>
  </cellStyles>
  <dxfs count="73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color rgb="FF00B050"/>
      </font>
      <numFmt numFmtId="0" formatCode="General"/>
    </dxf>
    <dxf>
      <font>
        <color rgb="FF00B05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XQLITE" ddeTopic="Quote">
    <ddeItems>
      <ddeItem name="1101.TW-PreClose" advise="1">
        <values>
          <value>
            <val>47.8</val>
          </value>
        </values>
      </ddeItem>
      <ddeItem name="1101.TW-Price" advise="1">
        <values>
          <value>
            <val>47.7</val>
          </value>
        </values>
      </ddeItem>
      <ddeItem name="1102.TW-PreClose" advise="1">
        <values>
          <value>
            <val>44.1</val>
          </value>
        </values>
      </ddeItem>
      <ddeItem name="1102.TW-Price" advise="1">
        <values>
          <value>
            <val>43.65</val>
          </value>
        </values>
      </ddeItem>
      <ddeItem name="1103.TW-PreClose" advise="1">
        <values>
          <value>
            <val>20.8</val>
          </value>
        </values>
      </ddeItem>
      <ddeItem name="1103.TW-Price" advise="1">
        <values>
          <value>
            <val>20.7</val>
          </value>
        </values>
      </ddeItem>
      <ddeItem name="1104.TW-PreClose" advise="1">
        <values>
          <value>
            <val>21.1</val>
          </value>
        </values>
      </ddeItem>
      <ddeItem name="1104.TW-Price" advise="1">
        <values>
          <value>
            <val>21.05</val>
          </value>
        </values>
      </ddeItem>
      <ddeItem name="1108.TW-PreClose" advise="1">
        <values>
          <value>
            <val>11.75</val>
          </value>
        </values>
      </ddeItem>
      <ddeItem name="1108.TW-Price" advise="1">
        <values>
          <value t="str">
            <val>--</val>
          </value>
        </values>
      </ddeItem>
      <ddeItem name="1109.TW-PreClose" advise="1">
        <values>
          <value>
            <val>20.95</val>
          </value>
        </values>
      </ddeItem>
      <ddeItem name="1109.TW-Price" advise="1">
        <values>
          <value t="str">
            <val>--</val>
          </value>
        </values>
      </ddeItem>
      <ddeItem name="1110.TW-PreClose" advise="1">
        <values>
          <value>
            <val>21.2</val>
          </value>
        </values>
      </ddeItem>
      <ddeItem name="1110.TW-Price" advise="1">
        <values>
          <value>
            <val>21.2</val>
          </value>
        </values>
      </ddeItem>
      <ddeItem name="1201.TW-PreClose" advise="1">
        <values>
          <value>
            <val>22.3</val>
          </value>
        </values>
      </ddeItem>
      <ddeItem name="1201.TW-Price" advise="1">
        <values>
          <value>
            <val>22.3</val>
          </value>
        </values>
      </ddeItem>
      <ddeItem name="1203.TW-PreClose" advise="1">
        <values>
          <value>
            <val>33.1</val>
          </value>
        </values>
      </ddeItem>
      <ddeItem name="1203.TW-Price" advise="1">
        <values>
          <value t="str">
            <val>--</val>
          </value>
        </values>
      </ddeItem>
      <ddeItem name="1210.TW-PreClose" advise="1">
        <values>
          <value>
            <val>52.7</val>
          </value>
        </values>
      </ddeItem>
      <ddeItem name="1210.TW-Price" advise="1">
        <values>
          <value>
            <val>52.6</val>
          </value>
        </values>
      </ddeItem>
      <ddeItem name="1213.TW-PreClose" advise="1">
        <values>
          <value>
            <val>8.25</val>
          </value>
        </values>
      </ddeItem>
      <ddeItem name="1213.TW-Price" advise="1">
        <values>
          <value t="str">
            <val>--</val>
          </value>
        </values>
      </ddeItem>
      <ddeItem name="1215.TW-PreClose" advise="1">
        <values>
          <value>
            <val>81.8</val>
          </value>
        </values>
      </ddeItem>
      <ddeItem name="1215.TW-Price" advise="1">
        <values>
          <value t="str">
            <val>--</val>
          </value>
        </values>
      </ddeItem>
      <ddeItem name="1216.TW-PreClose" advise="1">
        <values>
          <value>
            <val>67.099999999999994</val>
          </value>
        </values>
      </ddeItem>
      <ddeItem name="1216.TW-Price" advise="1">
        <values>
          <value>
            <val>67.400000000000006</val>
          </value>
        </values>
      </ddeItem>
      <ddeItem name="1217.TW-PreClose" advise="1">
        <values>
          <value>
            <val>10.55</val>
          </value>
        </values>
      </ddeItem>
      <ddeItem name="1217.TW-Price" advise="1">
        <values>
          <value>
            <val>10.55</val>
          </value>
        </values>
      </ddeItem>
      <ddeItem name="1218.TW-PreClose" advise="1">
        <values>
          <value>
            <val>27.4</val>
          </value>
        </values>
      </ddeItem>
      <ddeItem name="1218.TW-Price" advise="1">
        <values>
          <value>
            <val>27.4</val>
          </value>
        </values>
      </ddeItem>
      <ddeItem name="1219.TW-PreClose" advise="1">
        <values>
          <value>
            <val>20.75</val>
          </value>
        </values>
      </ddeItem>
      <ddeItem name="1219.TW-Price" advise="1">
        <values>
          <value t="str">
            <val>--</val>
          </value>
        </values>
      </ddeItem>
      <ddeItem name="1220.TW-PreClose" advise="1">
        <values>
          <value>
            <val>15.4</val>
          </value>
        </values>
      </ddeItem>
      <ddeItem name="1220.TW-Price" advise="1">
        <values>
          <value>
            <val>15.45</val>
          </value>
        </values>
      </ddeItem>
      <ddeItem name="1225.TW-PreClose" advise="1">
        <values>
          <value>
            <val>50.4</val>
          </value>
        </values>
      </ddeItem>
      <ddeItem name="1225.TW-Price" advise="1">
        <values>
          <value t="str">
            <val>--</val>
          </value>
        </values>
      </ddeItem>
      <ddeItem name="1227.TW-PreClose" advise="1">
        <values>
          <value>
            <val>51.7</val>
          </value>
        </values>
      </ddeItem>
      <ddeItem name="1227.TW-Price" advise="1">
        <values>
          <value>
            <val>51.5</val>
          </value>
        </values>
      </ddeItem>
      <ddeItem name="1229.TW-PreClose" advise="1">
        <values>
          <value>
            <val>56.7</val>
          </value>
        </values>
      </ddeItem>
      <ddeItem name="1229.TW-Price" advise="1">
        <values>
          <value>
            <val>56.8</val>
          </value>
        </values>
      </ddeItem>
      <ddeItem name="1231.TW-PreClose" advise="1">
        <values>
          <value>
            <val>67.900000000000006</val>
          </value>
        </values>
      </ddeItem>
      <ddeItem name="1231.TW-Price" advise="1">
        <values>
          <value>
            <val>67.5</val>
          </value>
        </values>
      </ddeItem>
      <ddeItem name="1232.TW-PreClose" advise="1">
        <values>
          <value>
            <val>163</val>
          </value>
        </values>
      </ddeItem>
      <ddeItem name="1232.TW-Price" advise="1">
        <values>
          <value>
            <val>164</val>
          </value>
        </values>
      </ddeItem>
      <ddeItem name="1233.TW-PreClose" advise="1">
        <values>
          <value>
            <val>33.700000000000003</val>
          </value>
        </values>
      </ddeItem>
      <ddeItem name="1233.TW-Price" advise="1">
        <values>
          <value t="str">
            <val>--</val>
          </value>
        </values>
      </ddeItem>
      <ddeItem name="1234.TW-PreClose" advise="1">
        <values>
          <value>
            <val>35.299999999999997</val>
          </value>
        </values>
      </ddeItem>
      <ddeItem name="1234.TW-Price" advise="1">
        <values>
          <value t="str">
            <val>--</val>
          </value>
        </values>
      </ddeItem>
      <ddeItem name="1235.TW-PreClose" advise="1">
        <values>
          <value>
            <val>45</val>
          </value>
        </values>
      </ddeItem>
      <ddeItem name="1235.TW-Price" advise="1">
        <values>
          <value t="str">
            <val>--</val>
          </value>
        </values>
      </ddeItem>
      <ddeItem name="1236.TW-PreClose" advise="1">
        <values>
          <value>
            <val>20.05</val>
          </value>
        </values>
      </ddeItem>
      <ddeItem name="1236.TW-Price" advise="1">
        <values>
          <value>
            <val>20.399999999999999</val>
          </value>
        </values>
      </ddeItem>
      <ddeItem name="1240.TW-PreClose" advise="1">
        <values>
          <value>
            <val>50.9</val>
          </value>
        </values>
      </ddeItem>
      <ddeItem name="1240.TW-Price" advise="1">
        <values>
          <value t="str">
            <val>--</val>
          </value>
        </values>
      </ddeItem>
      <ddeItem name="1256.TW-PreClose" advise="1">
        <values>
          <value>
            <val>361</val>
          </value>
        </values>
      </ddeItem>
      <ddeItem name="1256.TW-Price" advise="1">
        <values>
          <value>
            <val>360.5</val>
          </value>
        </values>
      </ddeItem>
      <ddeItem name="1258.TW-PreClose" advise="1">
        <values>
          <value>
            <val>17.55</val>
          </value>
        </values>
      </ddeItem>
      <ddeItem name="1258.TW-Price" advise="1">
        <values>
          <value t="str">
            <val>--</val>
          </value>
        </values>
      </ddeItem>
      <ddeItem name="1259.TW-PreClose" advise="1">
        <values>
          <value>
            <val>69.3</val>
          </value>
        </values>
      </ddeItem>
      <ddeItem name="1259.TW-Price" advise="1">
        <values>
          <value t="str">
            <val>--</val>
          </value>
        </values>
      </ddeItem>
      <ddeItem name="1264.TW-PreClose" advise="1">
        <values>
          <value>
            <val>295</val>
          </value>
        </values>
      </ddeItem>
      <ddeItem name="1264.TW-Price" advise="1">
        <values>
          <value t="str">
            <val>--</val>
          </value>
        </values>
      </ddeItem>
      <ddeItem name="1268.TW-PreClose" advise="1">
        <values>
          <value>
            <val>119.5</val>
          </value>
        </values>
      </ddeItem>
      <ddeItem name="1268.TW-Price" advise="1">
        <values>
          <value>
            <val>119.5</val>
          </value>
        </values>
      </ddeItem>
      <ddeItem name="1301.TW-PreClose" advise="1">
        <values>
          <value>
            <val>105</val>
          </value>
        </values>
      </ddeItem>
      <ddeItem name="1301.TW-Price" advise="1">
        <values>
          <value>
            <val>105.5</val>
          </value>
        </values>
      </ddeItem>
      <ddeItem name="1303.TW-PreClose" advise="1">
        <values>
          <value>
            <val>85.6</val>
          </value>
        </values>
      </ddeItem>
      <ddeItem name="1303.TW-Price" advise="1">
        <values>
          <value>
            <val>85.8</val>
          </value>
        </values>
      </ddeItem>
      <ddeItem name="1304.TW-PreClose" advise="1">
        <values>
          <value>
            <val>32.35</val>
          </value>
        </values>
      </ddeItem>
      <ddeItem name="1304.TW-Price" advise="1">
        <values>
          <value>
            <val>32.85</val>
          </value>
        </values>
      </ddeItem>
      <ddeItem name="1305.TW-PreClose" advise="1">
        <values>
          <value>
            <val>34.85</val>
          </value>
        </values>
      </ddeItem>
      <ddeItem name="1305.TW-Price" advise="1">
        <values>
          <value>
            <val>35.25</val>
          </value>
        </values>
      </ddeItem>
      <ddeItem name="1307.TW-PreClose" advise="1">
        <values>
          <value>
            <val>20.75</val>
          </value>
        </values>
      </ddeItem>
      <ddeItem name="1307.TW-Price" advise="1">
        <values>
          <value t="str">
            <val>--</val>
          </value>
        </values>
      </ddeItem>
      <ddeItem name="1308.TW-PreClose" advise="1">
        <values>
          <value>
            <val>37.200000000000003</val>
          </value>
        </values>
      </ddeItem>
      <ddeItem name="1308.TW-Price" advise="1">
        <values>
          <value>
            <val>37.549999999999997</val>
          </value>
        </values>
      </ddeItem>
      <ddeItem name="1309.TW-PreClose" advise="1">
        <values>
          <value>
            <val>35.1</val>
          </value>
        </values>
      </ddeItem>
      <ddeItem name="1309.TW-Price" advise="1">
        <values>
          <value>
            <val>35.35</val>
          </value>
        </values>
      </ddeItem>
      <ddeItem name="1310.TW-PreClose" advise="1">
        <values>
          <value>
            <val>17.75</val>
          </value>
        </values>
      </ddeItem>
      <ddeItem name="1310.TW-Price" advise="1">
        <values>
          <value>
            <val>17.7</val>
          </value>
        </values>
      </ddeItem>
      <ddeItem name="1312.TW-PreClose" advise="1">
        <values>
          <value>
            <val>28.15</val>
          </value>
        </values>
      </ddeItem>
      <ddeItem name="1312.TW-Price" advise="1">
        <values>
          <value>
            <val>28.45</val>
          </value>
        </values>
      </ddeItem>
      <ddeItem name="1313.TW-PreClose" advise="1">
        <values>
          <value>
            <val>21.95</val>
          </value>
        </values>
      </ddeItem>
      <ddeItem name="1313.TW-Price" advise="1">
        <values>
          <value>
            <val>22.1</val>
          </value>
        </values>
      </ddeItem>
      <ddeItem name="1314.TW-PreClose" advise="1">
        <values>
          <value>
            <val>13.35</val>
          </value>
        </values>
      </ddeItem>
      <ddeItem name="1314.TW-Price" advise="1">
        <values>
          <value>
            <val>13.45</val>
          </value>
        </values>
      </ddeItem>
      <ddeItem name="1315.TW-PreClose" advise="1">
        <values>
          <value>
            <val>65.3</val>
          </value>
        </values>
      </ddeItem>
      <ddeItem name="1315.TW-Price" advise="1">
        <values>
          <value>
            <val>66</val>
          </value>
        </values>
      </ddeItem>
      <ddeItem name="1316.TW-PreClose" advise="1">
        <values>
          <value>
            <val>20.2</val>
          </value>
        </values>
      </ddeItem>
      <ddeItem name="1316.TW-Price" advise="1">
        <values>
          <value>
            <val>20.3</val>
          </value>
        </values>
      </ddeItem>
      <ddeItem name="1319.TW-PreClose" advise="1">
        <values>
          <value>
            <val>33.200000000000003</val>
          </value>
        </values>
      </ddeItem>
      <ddeItem name="1319.TW-Price" advise="1">
        <values>
          <value>
            <val>33.15</val>
          </value>
        </values>
      </ddeItem>
      <ddeItem name="1321.TW-PreClose" advise="1">
        <values>
          <value>
            <val>35.35</val>
          </value>
        </values>
      </ddeItem>
      <ddeItem name="1321.TW-Price" advise="1">
        <values>
          <value>
            <val>35.65</val>
          </value>
        </values>
      </ddeItem>
      <ddeItem name="1323.TW-PreClose" advise="1">
        <values>
          <value>
            <val>35.25</val>
          </value>
        </values>
      </ddeItem>
      <ddeItem name="1323.TW-Price" advise="1">
        <values>
          <value t="str">
            <val>--</val>
          </value>
        </values>
      </ddeItem>
      <ddeItem name="1324.TW-PreClose" advise="1">
        <values>
          <value>
            <val>11</val>
          </value>
        </values>
      </ddeItem>
      <ddeItem name="1324.TW-Price" advise="1">
        <values>
          <value t="str">
            <val>--</val>
          </value>
        </values>
      </ddeItem>
      <ddeItem name="1325.TW-PreClose" advise="1">
        <values>
          <value>
            <val>40</val>
          </value>
        </values>
      </ddeItem>
      <ddeItem name="1325.TW-Price" advise="1">
        <values>
          <value>
            <val>40</val>
          </value>
        </values>
      </ddeItem>
      <ddeItem name="1326.TW-PreClose" advise="1">
        <values>
          <value>
            <val>80.099999999999994</val>
          </value>
        </values>
      </ddeItem>
      <ddeItem name="1326.TW-Price" advise="1">
        <values>
          <value t="str">
            <val>--</val>
          </value>
        </values>
      </ddeItem>
      <ddeItem name="1336.TW-PreClose" advise="1">
        <values>
          <value>
            <val>20.6</val>
          </value>
        </values>
      </ddeItem>
      <ddeItem name="1336.TW-Price" advise="1">
        <values>
          <value t="str">
            <val>--</val>
          </value>
        </values>
      </ddeItem>
      <ddeItem name="1337.TW-PreClose" advise="1">
        <values>
          <value>
            <val>7.27</val>
          </value>
        </values>
      </ddeItem>
      <ddeItem name="1337.TW-Price" advise="1">
        <values>
          <value t="str">
            <val>--</val>
          </value>
        </values>
      </ddeItem>
      <ddeItem name="1338.TW-PreClose" advise="1">
        <values>
          <value>
            <val>51.2</val>
          </value>
        </values>
      </ddeItem>
      <ddeItem name="1338.TW-Price" advise="1">
        <values>
          <value t="str">
            <val>--</val>
          </value>
        </values>
      </ddeItem>
      <ddeItem name="1339.TW-PreClose" advise="1">
        <values>
          <value>
            <val>34.25</val>
          </value>
        </values>
      </ddeItem>
      <ddeItem name="1339.TW-Price" advise="1">
        <values>
          <value t="str">
            <val>--</val>
          </value>
        </values>
      </ddeItem>
      <ddeItem name="1340.TW-PreClose" advise="1">
        <values>
          <value>
            <val>11.5</val>
          </value>
        </values>
      </ddeItem>
      <ddeItem name="1340.TW-Price" advise="1">
        <values>
          <value>
            <val>11.5</val>
          </value>
        </values>
      </ddeItem>
      <ddeItem name="1341.TW-PreClose" advise="1">
        <values>
          <value>
            <val>68.599999999999994</val>
          </value>
        </values>
      </ddeItem>
      <ddeItem name="1341.TW-Price" advise="1">
        <values>
          <value>
            <val>68.8</val>
          </value>
        </values>
      </ddeItem>
      <ddeItem name="1342.TW-PreClose" advise="1">
        <values>
          <value>
            <val>56.3</val>
          </value>
        </values>
      </ddeItem>
      <ddeItem name="1342.TW-Price" advise="1">
        <values>
          <value t="str">
            <val>--</val>
          </value>
        </values>
      </ddeItem>
      <ddeItem name="1402.TW-PreClose" advise="1">
        <values>
          <value>
            <val>28.75</val>
          </value>
        </values>
      </ddeItem>
      <ddeItem name="1402.TW-Price" advise="1">
        <values>
          <value>
            <val>28.8</val>
          </value>
        </values>
      </ddeItem>
      <ddeItem name="1409.TW-PreClose" advise="1">
        <values>
          <value>
            <val>19.95</val>
          </value>
        </values>
      </ddeItem>
      <ddeItem name="1409.TW-Price" advise="1">
        <values>
          <value>
            <val>19.95</val>
          </value>
        </values>
      </ddeItem>
      <ddeItem name="1410.TW-PreClose" advise="1">
        <values>
          <value>
            <val>37.15</val>
          </value>
        </values>
      </ddeItem>
      <ddeItem name="1410.TW-Price" advise="1">
        <values>
          <value t="str">
            <val>--</val>
          </value>
        </values>
      </ddeItem>
      <ddeItem name="1413.TW-PreClose" advise="1">
        <values>
          <value>
            <val>10.1</val>
          </value>
        </values>
      </ddeItem>
      <ddeItem name="1413.TW-Price" advise="1">
        <values>
          <value t="str">
            <val>--</val>
          </value>
        </values>
      </ddeItem>
      <ddeItem name="1414.TW-PreClose" advise="1">
        <values>
          <value>
            <val>16.899999999999999</val>
          </value>
        </values>
      </ddeItem>
      <ddeItem name="1414.TW-Price" advise="1">
        <values>
          <value t="str">
            <val>--</val>
          </value>
        </values>
      </ddeItem>
      <ddeItem name="1416.TW-PreClose" advise="1">
        <values>
          <value>
            <val>11.2</val>
          </value>
        </values>
      </ddeItem>
      <ddeItem name="1416.TW-Price" advise="1">
        <values>
          <value t="str">
            <val>--</val>
          </value>
        </values>
      </ddeItem>
      <ddeItem name="1417.TW-PreClose" advise="1">
        <values>
          <value>
            <val>14.6</val>
          </value>
        </values>
      </ddeItem>
      <ddeItem name="1417.TW-Price" advise="1">
        <values>
          <value t="str">
            <val>--</val>
          </value>
        </values>
      </ddeItem>
      <ddeItem name="1418.TW-PreClose" advise="1">
        <values>
          <value>
            <val>10.7</val>
          </value>
        </values>
      </ddeItem>
      <ddeItem name="1418.TW-Price" advise="1">
        <values>
          <value t="str">
            <val>--</val>
          </value>
        </values>
      </ddeItem>
      <ddeItem name="1419.TW-PreClose" advise="1">
        <values>
          <value>
            <val>41.9</val>
          </value>
        </values>
      </ddeItem>
      <ddeItem name="1419.TW-Price" advise="1">
        <values>
          <value t="str">
            <val>--</val>
          </value>
        </values>
      </ddeItem>
      <ddeItem name="1423.TW-PreClose" advise="1">
        <values>
          <value>
            <val>19.55</val>
          </value>
        </values>
      </ddeItem>
      <ddeItem name="1423.TW-Price" advise="1">
        <values>
          <value t="str">
            <val>--</val>
          </value>
        </values>
      </ddeItem>
      <ddeItem name="1432.TW-PreClose" advise="1">
        <values>
          <value>
            <val>12.9</val>
          </value>
        </values>
      </ddeItem>
      <ddeItem name="1432.TW-Price" advise="1">
        <values>
          <value t="str">
            <val>--</val>
          </value>
        </values>
      </ddeItem>
      <ddeItem name="1434.TW-PreClose" advise="1">
        <values>
          <value>
            <val>29.2</val>
          </value>
        </values>
      </ddeItem>
      <ddeItem name="1434.TW-Price" advise="1">
        <values>
          <value t="str">
            <val>--</val>
          </value>
        </values>
      </ddeItem>
      <ddeItem name="1435.TW-PreClose" advise="1">
        <values>
          <value>
            <val>27.3</val>
          </value>
        </values>
      </ddeItem>
      <ddeItem name="1435.TW-Price" advise="1">
        <values>
          <value t="str">
            <val>--</val>
          </value>
        </values>
      </ddeItem>
      <ddeItem name="1436.TW-PreClose" advise="1">
        <values>
          <value>
            <val>54.3</val>
          </value>
        </values>
      </ddeItem>
      <ddeItem name="1436.TW-Price" advise="1">
        <values>
          <value t="str">
            <val>--</val>
          </value>
        </values>
      </ddeItem>
      <ddeItem name="1437.TW-PreClose" advise="1">
        <values>
          <value>
            <val>25.65</val>
          </value>
        </values>
      </ddeItem>
      <ddeItem name="1437.TW-Price" advise="1">
        <values>
          <value t="str">
            <val>--</val>
          </value>
        </values>
      </ddeItem>
      <ddeItem name="1438.TW-PreClose" advise="1">
        <values>
          <value>
            <val>33.299999999999997</val>
          </value>
        </values>
      </ddeItem>
      <ddeItem name="1438.TW-Price" advise="1">
        <values>
          <value t="str">
            <val>--</val>
          </value>
        </values>
      </ddeItem>
      <ddeItem name="1439.TW-PreClose" advise="1">
        <values>
          <value>
            <val>23.55</val>
          </value>
        </values>
      </ddeItem>
      <ddeItem name="1439.TW-Price" advise="1">
        <values>
          <value t="str">
            <val>--</val>
          </value>
        </values>
      </ddeItem>
      <ddeItem name="1440.TW-Capital" advise="1">
        <values>
          <value t="str">
            <val>--</val>
          </value>
        </values>
      </ddeItem>
      <ddeItem name="1440.TW-CashAndStockDividend" advise="1">
        <values>
          <value t="str">
            <val>--</val>
          </value>
        </values>
      </ddeItem>
      <ddeItem name="1440.TW-CashDividendYieldRate" advise="1">
        <values>
          <value t="str">
            <val>--</val>
          </value>
        </values>
      </ddeItem>
      <ddeItem name="1440.TW-MonthlyNetSalesYoY" advise="1">
        <values>
          <value t="str">
            <val>--</val>
          </value>
        </values>
      </ddeItem>
      <ddeItem name="1440.TW-NetIncomeGrowthRate" advise="1">
        <values>
          <value t="str">
            <val>--</val>
          </value>
        </values>
      </ddeItem>
      <ddeItem name="1440.TW-NetProfitMargin" advise="1">
        <values>
          <value t="str">
            <val>--</val>
          </value>
        </values>
      </ddeItem>
      <ddeItem name="1440.TW-OperatingProfitRatio" advise="1">
        <values>
          <value t="str">
            <val>--</val>
          </value>
        </values>
      </ddeItem>
      <ddeItem name="1440.TW-OperIncomeGrowthRate" advise="1">
        <values>
          <value t="str">
            <val>--</val>
          </value>
        </values>
      </ddeItem>
      <ddeItem name="1440.TW-PreClose" advise="1">
        <values>
          <value>
            <val>23.5</val>
          </value>
        </values>
      </ddeItem>
      <ddeItem name="1440.TW-Price" advise="1">
        <values>
          <value t="str">
            <val>--</val>
          </value>
        </values>
      </ddeItem>
      <ddeItem name="1440.TW-ProfitFourSeason" advise="1">
        <values>
          <value t="str">
            <val>--</val>
          </value>
        </values>
      </ddeItem>
      <ddeItem name="1440.TW-ProfitMargin" advise="1">
        <values>
          <value t="str">
            <val>--</val>
          </value>
        </values>
      </ddeItem>
      <ddeItem name="1440.TW-TFXRatio" advise="1">
        <values>
          <value t="str">
            <val>--</val>
          </value>
        </values>
      </ddeItem>
      <ddeItem name="1441.TW-PreClose" advise="1">
        <values>
          <value>
            <val>9.34</val>
          </value>
        </values>
      </ddeItem>
      <ddeItem name="1441.TW-Price" advise="1">
        <values>
          <value t="str">
            <val>--</val>
          </value>
        </values>
      </ddeItem>
      <ddeItem name="1442.TW-PreClose" advise="1">
        <values>
          <value>
            <val>24.3</val>
          </value>
        </values>
      </ddeItem>
      <ddeItem name="1442.TW-Price" advise="1">
        <values>
          <value>
            <val>24.1</val>
          </value>
        </values>
      </ddeItem>
      <ddeItem name="1443.TW-PreClose" advise="1">
        <values>
          <value>
            <val>17</val>
          </value>
        </values>
      </ddeItem>
      <ddeItem name="1443.TW-Price" advise="1">
        <values>
          <value>
            <val>17</val>
          </value>
        </values>
      </ddeItem>
      <ddeItem name="1444.TW-PreClose" advise="1">
        <values>
          <value>
            <val>11.45</val>
          </value>
        </values>
      </ddeItem>
      <ddeItem name="1444.TW-Price" advise="1">
        <values>
          <value t="str">
            <val>--</val>
          </value>
        </values>
      </ddeItem>
      <ddeItem name="1445.TW-PreClose" advise="1">
        <values>
          <value>
            <val>14.9</val>
          </value>
        </values>
      </ddeItem>
      <ddeItem name="1445.TW-Price" advise="1">
        <values>
          <value t="str">
            <val>--</val>
          </value>
        </values>
      </ddeItem>
      <ddeItem name="1446.TW-PreClose" advise="1">
        <values>
          <value>
            <val>33.25</val>
          </value>
        </values>
      </ddeItem>
      <ddeItem name="1446.TW-Price" advise="1">
        <values>
          <value t="str">
            <val>--</val>
          </value>
        </values>
      </ddeItem>
      <ddeItem name="1447.TW-PreClose" advise="1">
        <values>
          <value>
            <val>10.25</val>
          </value>
        </values>
      </ddeItem>
      <ddeItem name="1447.TW-Price" advise="1">
        <values>
          <value t="str">
            <val>--</val>
          </value>
        </values>
      </ddeItem>
      <ddeItem name="1449.TW-PreClose" advise="1">
        <values>
          <value>
            <val>16.05</val>
          </value>
        </values>
      </ddeItem>
      <ddeItem name="1449.TW-Price" advise="1">
        <values>
          <value t="str">
            <val>--</val>
          </value>
        </values>
      </ddeItem>
      <ddeItem name="1451.TW-PreClose" advise="1">
        <values>
          <value>
            <val>21.1</val>
          </value>
        </values>
      </ddeItem>
      <ddeItem name="1451.TW-Price" advise="1">
        <values>
          <value t="str">
            <val>--</val>
          </value>
        </values>
      </ddeItem>
      <ddeItem name="1452.TW-PreClose" advise="1">
        <values>
          <value>
            <val>23.35</val>
          </value>
        </values>
      </ddeItem>
      <ddeItem name="1452.TW-Price" advise="1">
        <values>
          <value t="str">
            <val>--</val>
          </value>
        </values>
      </ddeItem>
      <ddeItem name="1453.TW-PreClose" advise="1">
        <values>
          <value>
            <val>8.68</val>
          </value>
        </values>
      </ddeItem>
      <ddeItem name="1453.TW-Price" advise="1">
        <values>
          <value t="str">
            <val>--</val>
          </value>
        </values>
      </ddeItem>
      <ddeItem name="1454.TW-PreClose" advise="1">
        <values>
          <value>
            <val>10.85</val>
          </value>
        </values>
      </ddeItem>
      <ddeItem name="1454.TW-Price" advise="1">
        <values>
          <value t="str">
            <val>--</val>
          </value>
        </values>
      </ddeItem>
      <ddeItem name="1455.TW-PreClose" advise="1">
        <values>
          <value>
            <val>16.3</val>
          </value>
        </values>
      </ddeItem>
      <ddeItem name="1455.TW-Price" advise="1">
        <values>
          <value t="str">
            <val>--</val>
          </value>
        </values>
      </ddeItem>
      <ddeItem name="1456.TW-PreClose" advise="1">
        <values>
          <value>
            <val>21.25</val>
          </value>
        </values>
      </ddeItem>
      <ddeItem name="1456.TW-Price" advise="1">
        <values>
          <value t="str">
            <val>--</val>
          </value>
        </values>
      </ddeItem>
      <ddeItem name="1457.TW-PreClose" advise="1">
        <values>
          <value>
            <val>17.899999999999999</val>
          </value>
        </values>
      </ddeItem>
      <ddeItem name="1457.TW-Price" advise="1">
        <values>
          <value t="str">
            <val>--</val>
          </value>
        </values>
      </ddeItem>
      <ddeItem name="1459.TW-PreClose" advise="1">
        <values>
          <value>
            <val>13.5</val>
          </value>
        </values>
      </ddeItem>
      <ddeItem name="1459.TW-Price" advise="1">
        <values>
          <value>
            <val>13.65</val>
          </value>
        </values>
      </ddeItem>
      <ddeItem name="1460.TW-PreClose" advise="1">
        <values>
          <value>
            <val>9.42</val>
          </value>
        </values>
      </ddeItem>
      <ddeItem name="1460.TW-Price" advise="1">
        <values>
          <value>
            <val>9.44</val>
          </value>
        </values>
      </ddeItem>
      <ddeItem name="1463.TW-PreClose" advise="1">
        <values>
          <value>
            <val>14.1</val>
          </value>
        </values>
      </ddeItem>
      <ddeItem name="1463.TW-Price" advise="1">
        <values>
          <value t="str">
            <val>--</val>
          </value>
        </values>
      </ddeItem>
      <ddeItem name="1464.TW-PreClose" advise="1">
        <values>
          <value>
            <val>15.8</val>
          </value>
        </values>
      </ddeItem>
      <ddeItem name="1464.TW-Price" advise="1">
        <values>
          <value t="str">
            <val>--</val>
          </value>
        </values>
      </ddeItem>
      <ddeItem name="1465.TW-PreClose" advise="1">
        <values>
          <value>
            <val>12.4</val>
          </value>
        </values>
      </ddeItem>
      <ddeItem name="1465.TW-Price" advise="1">
        <values>
          <value t="str">
            <val>--</val>
          </value>
        </values>
      </ddeItem>
      <ddeItem name="1466.TW-PreClose" advise="1">
        <values>
          <value>
            <val>15.4</val>
          </value>
        </values>
      </ddeItem>
      <ddeItem name="1466.TW-Price" advise="1">
        <values>
          <value t="str">
            <val>--</val>
          </value>
        </values>
      </ddeItem>
      <ddeItem name="1467.TW-PreClose" advise="1">
        <values>
          <value>
            <val>14.25</val>
          </value>
        </values>
      </ddeItem>
      <ddeItem name="1467.TW-Price" advise="1">
        <values>
          <value>
            <val>14.4</val>
          </value>
        </values>
      </ddeItem>
      <ddeItem name="1468.TW-PreClose" advise="1">
        <values>
          <value>
            <val>12.95</val>
          </value>
        </values>
      </ddeItem>
      <ddeItem name="1468.TW-Price" advise="1">
        <values>
          <value t="str">
            <val>--</val>
          </value>
        </values>
      </ddeItem>
      <ddeItem name="1470.TW-PreClose" advise="1">
        <values>
          <value>
            <val>18.2</val>
          </value>
        </values>
      </ddeItem>
      <ddeItem name="1470.TW-Price" advise="1">
        <values>
          <value t="str">
            <val>--</val>
          </value>
        </values>
      </ddeItem>
      <ddeItem name="1471.TW-PreClose" advise="1">
        <values>
          <value>
            <val>7.43</val>
          </value>
        </values>
      </ddeItem>
      <ddeItem name="1471.TW-Price" advise="1">
        <values>
          <value t="str">
            <val>--</val>
          </value>
        </values>
      </ddeItem>
      <ddeItem name="1472.TW-PreClose" advise="1">
        <values>
          <value>
            <val>35</val>
          </value>
        </values>
      </ddeItem>
      <ddeItem name="1472.TW-Price" advise="1">
        <values>
          <value t="str">
            <val>--</val>
          </value>
        </values>
      </ddeItem>
      <ddeItem name="1473.TW-PreClose" advise="1">
        <values>
          <value>
            <val>18.05</val>
          </value>
        </values>
      </ddeItem>
      <ddeItem name="1473.TW-Price" advise="1">
        <values>
          <value t="str">
            <val>--</val>
          </value>
        </values>
      </ddeItem>
      <ddeItem name="1474.TW-PreClose" advise="1">
        <values>
          <value>
            <val>14.8</val>
          </value>
        </values>
      </ddeItem>
      <ddeItem name="1474.TW-Price" advise="1">
        <values>
          <value t="str">
            <val>--</val>
          </value>
        </values>
      </ddeItem>
      <ddeItem name="1475.TW-PreClose" advise="1">
        <values>
          <value>
            <val>47.75</val>
          </value>
        </values>
      </ddeItem>
      <ddeItem name="1475.TW-Price" advise="1">
        <values>
          <value t="str">
            <val>--</val>
          </value>
        </values>
      </ddeItem>
      <ddeItem name="1476.TW-PreClose" advise="1">
        <values>
          <value>
            <val>622</val>
          </value>
        </values>
      </ddeItem>
      <ddeItem name="1476.TW-Price" advise="1">
        <values>
          <value t="str">
            <val>--</val>
          </value>
        </values>
      </ddeItem>
      <ddeItem name="1477.TW-PreClose" advise="1">
        <values>
          <value>
            <val>242</val>
          </value>
        </values>
      </ddeItem>
      <ddeItem name="1477.TW-Price" advise="1">
        <values>
          <value t="str">
            <val>--</val>
          </value>
        </values>
      </ddeItem>
      <ddeItem name="1503.TW-PreClose" advise="1">
        <values>
          <value>
            <val>54.6</val>
          </value>
        </values>
      </ddeItem>
      <ddeItem name="1503.TW-Price" advise="1">
        <values>
          <value t="str">
            <val>--</val>
          </value>
        </values>
      </ddeItem>
      <ddeItem name="1504.TW-PreClose" advise="1">
        <values>
          <value>
            <val>30.8</val>
          </value>
        </values>
      </ddeItem>
      <ddeItem name="1504.TW-Price" advise="1">
        <values>
          <value t="str">
            <val>--</val>
          </value>
        </values>
      </ddeItem>
      <ddeItem name="1506.TW-PreClose" advise="1">
        <values>
          <value>
            <val>11.55</val>
          </value>
        </values>
      </ddeItem>
      <ddeItem name="1506.TW-Price" advise="1">
        <values>
          <value t="str">
            <val>--</val>
          </value>
        </values>
      </ddeItem>
      <ddeItem name="1507.TW-PreClose" advise="1">
        <values>
          <value>
            <val>64.400000000000006</val>
          </value>
        </values>
      </ddeItem>
      <ddeItem name="1507.TW-Price" advise="1">
        <values>
          <value t="str">
            <val>--</val>
          </value>
        </values>
      </ddeItem>
      <ddeItem name="1512.TW-PreClose" advise="1">
        <values>
          <value>
            <val>3.68</val>
          </value>
        </values>
      </ddeItem>
      <ddeItem name="1512.TW-Price" advise="1">
        <values>
          <value t="str">
            <val>--</val>
          </value>
        </values>
      </ddeItem>
      <ddeItem name="1513.TW-PreClose" advise="1">
        <values>
          <value>
            <val>45.95</val>
          </value>
        </values>
      </ddeItem>
      <ddeItem name="1513.TW-Price" advise="1">
        <values>
          <value t="str">
            <val>--</val>
          </value>
        </values>
      </ddeItem>
      <ddeItem name="1514.TW-PreClose" advise="1">
        <values>
          <value>
            <val>24.05</val>
          </value>
        </values>
      </ddeItem>
      <ddeItem name="1514.TW-Price" advise="1">
        <values>
          <value t="str">
            <val>--</val>
          </value>
        </values>
      </ddeItem>
      <ddeItem name="1515.TW-PreClose" advise="1">
        <values>
          <value>
            <val>64</val>
          </value>
        </values>
      </ddeItem>
      <ddeItem name="1515.TW-Price" advise="1">
        <values>
          <value t="str">
            <val>--</val>
          </value>
        </values>
      </ddeItem>
      <ddeItem name="1516.TW-PreClose" advise="1">
        <values>
          <value>
            <val>23.55</val>
          </value>
        </values>
      </ddeItem>
      <ddeItem name="1516.TW-Price" advise="1">
        <values>
          <value t="str">
            <val>--</val>
          </value>
        </values>
      </ddeItem>
      <ddeItem name="1517.TW-PreClose" advise="1">
        <values>
          <value>
            <val>27.3</val>
          </value>
        </values>
      </ddeItem>
      <ddeItem name="1517.TW-Price" advise="1">
        <values>
          <value t="str">
            <val>--</val>
          </value>
        </values>
      </ddeItem>
      <ddeItem name="1519.TW-PreClose" advise="1">
        <values>
          <value>
            <val>36</val>
          </value>
        </values>
      </ddeItem>
      <ddeItem name="1519.TW-Price" advise="1">
        <values>
          <value t="str">
            <val>--</val>
          </value>
        </values>
      </ddeItem>
      <ddeItem name="1521.TW-PreClose" advise="1">
        <values>
          <value>
            <val>41.65</val>
          </value>
        </values>
      </ddeItem>
      <ddeItem name="1521.TW-Price" advise="1">
        <values>
          <value t="str">
            <val>--</val>
          </value>
        </values>
      </ddeItem>
      <ddeItem name="1522.TW-PreClose" advise="1">
        <values>
          <value>
            <val>19.399999999999999</val>
          </value>
        </values>
      </ddeItem>
      <ddeItem name="1522.TW-Price" advise="1">
        <values>
          <value t="str">
            <val>--</val>
          </value>
        </values>
      </ddeItem>
      <ddeItem name="1524.TW-PreClose" advise="1">
        <values>
          <value>
            <val>9.99</val>
          </value>
        </values>
      </ddeItem>
      <ddeItem name="1524.TW-Price" advise="1">
        <values>
          <value t="str">
            <val>--</val>
          </value>
        </values>
      </ddeItem>
      <ddeItem name="1525.TW-PreClose" advise="1">
        <values>
          <value>
            <val>60.5</val>
          </value>
        </values>
      </ddeItem>
      <ddeItem name="1525.TW-Price" advise="1">
        <values>
          <value t="str">
            <val>--</val>
          </value>
        </values>
      </ddeItem>
      <ddeItem name="1526.TW-PreClose" advise="1">
        <values>
          <value>
            <val>50.3</val>
          </value>
        </values>
      </ddeItem>
      <ddeItem name="1526.TW-Price" advise="1">
        <values>
          <value t="str">
            <val>--</val>
          </value>
        </values>
      </ddeItem>
      <ddeItem name="1527.TW-PreClose" advise="1">
        <values>
          <value>
            <val>42.9</val>
          </value>
        </values>
      </ddeItem>
      <ddeItem name="1527.TW-Price" advise="1">
        <values>
          <value t="str">
            <val>--</val>
          </value>
        </values>
      </ddeItem>
      <ddeItem name="1528.TW-PreClose" advise="1">
        <values>
          <value>
            <val>11.3</val>
          </value>
        </values>
      </ddeItem>
      <ddeItem name="1528.TW-Price" advise="1">
        <values>
          <value t="str">
            <val>--</val>
          </value>
        </values>
      </ddeItem>
      <ddeItem name="1529.TW-PreClose" advise="1">
        <values>
          <value>
            <val>17.25</val>
          </value>
        </values>
      </ddeItem>
      <ddeItem name="1529.TW-Price" advise="1">
        <values>
          <value t="str">
            <val>--</val>
          </value>
        </values>
      </ddeItem>
      <ddeItem name="1530.TW-PreClose" advise="1">
        <values>
          <value>
            <val>32.85</val>
          </value>
        </values>
      </ddeItem>
      <ddeItem name="1530.TW-Price" advise="1">
        <values>
          <value t="str">
            <val>--</val>
          </value>
        </values>
      </ddeItem>
      <ddeItem name="1531.TW-PreClose" advise="1">
        <values>
          <value>
            <val>15</val>
          </value>
        </values>
      </ddeItem>
      <ddeItem name="1531.TW-Price" advise="1">
        <values>
          <value t="str">
            <val>--</val>
          </value>
        </values>
      </ddeItem>
      <ddeItem name="1532.TW-PreClose" advise="1">
        <values>
          <value>
            <val>31.75</val>
          </value>
        </values>
      </ddeItem>
      <ddeItem name="1532.TW-Price" advise="1">
        <values>
          <value t="str">
            <val>--</val>
          </value>
        </values>
      </ddeItem>
      <ddeItem name="1533.TW-PreClose" advise="1">
        <values>
          <value>
            <val>58</val>
          </value>
        </values>
      </ddeItem>
      <ddeItem name="1533.TW-Price" advise="1">
        <values>
          <value t="str">
            <val>--</val>
          </value>
        </values>
      </ddeItem>
      <ddeItem name="1535.TW-PreClose" advise="1">
        <values>
          <value>
            <val>39.450000000000003</val>
          </value>
        </values>
      </ddeItem>
      <ddeItem name="1535.TW-Price" advise="1">
        <values>
          <value>
            <val>39.549999999999997</val>
          </value>
        </values>
      </ddeItem>
      <ddeItem name="1536.TW-PreClose" advise="1">
        <values>
          <value>
            <val>93.3</val>
          </value>
        </values>
      </ddeItem>
      <ddeItem name="1536.TW-Price" advise="1">
        <values>
          <value t="str">
            <val>--</val>
          </value>
        </values>
      </ddeItem>
      <ddeItem name="1537.TW-PreClose" advise="1">
        <values>
          <value>
            <val>138.5</val>
          </value>
        </values>
      </ddeItem>
      <ddeItem name="1537.TW-Price" advise="1">
        <values>
          <value t="str">
            <val>--</val>
          </value>
        </values>
      </ddeItem>
      <ddeItem name="1538.TW-PreClose" advise="1">
        <values>
          <value>
            <val>10</val>
          </value>
        </values>
      </ddeItem>
      <ddeItem name="1538.TW-Price" advise="1">
        <values>
          <value t="str">
            <val>--</val>
          </value>
        </values>
      </ddeItem>
      <ddeItem name="1539.TW-PreClose" advise="1">
        <values>
          <value>
            <val>19.149999999999999</val>
          </value>
        </values>
      </ddeItem>
      <ddeItem name="1539.TW-Price" advise="1">
        <values>
          <value t="str">
            <val>--</val>
          </value>
        </values>
      </ddeItem>
      <ddeItem name="1540.TW-PreClose" advise="1">
        <values>
          <value>
            <val>14.85</val>
          </value>
        </values>
      </ddeItem>
      <ddeItem name="1540.TW-Price" advise="1">
        <values>
          <value t="str">
            <val>--</val>
          </value>
        </values>
      </ddeItem>
      <ddeItem name="1541.TW-PreClose" advise="1">
        <values>
          <value>
            <val>43.3</val>
          </value>
        </values>
      </ddeItem>
      <ddeItem name="1541.TW-Price" advise="1">
        <values>
          <value t="str">
            <val>--</val>
          </value>
        </values>
      </ddeItem>
      <ddeItem name="1558.TW-PreClose" advise="1">
        <values>
          <value>
            <val>144.5</val>
          </value>
        </values>
      </ddeItem>
      <ddeItem name="1558.TW-Price" advise="1">
        <values>
          <value t="str">
            <val>--</val>
          </value>
        </values>
      </ddeItem>
      <ddeItem name="1560.TW-PreClose" advise="1">
        <values>
          <value>
            <val>86.9</val>
          </value>
        </values>
      </ddeItem>
      <ddeItem name="1560.TW-Price" advise="1">
        <values>
          <value>
            <val>87.9</val>
          </value>
        </values>
      </ddeItem>
      <ddeItem name="1565.TW-PreClose" advise="1">
        <values>
          <value>
            <val>308.5</val>
          </value>
        </values>
      </ddeItem>
      <ddeItem name="1565.TW-Price" advise="1">
        <values>
          <value t="str">
            <val>--</val>
          </value>
        </values>
      </ddeItem>
      <ddeItem name="1568.TW-PreClose" advise="1">
        <values>
          <value>
            <val>21.8</val>
          </value>
        </values>
      </ddeItem>
      <ddeItem name="1568.TW-Price" advise="1">
        <values>
          <value t="str">
            <val>--</val>
          </value>
        </values>
      </ddeItem>
      <ddeItem name="1569.TW-PreClose" advise="1">
        <values>
          <value>
            <val>24.95</val>
          </value>
        </values>
      </ddeItem>
      <ddeItem name="1569.TW-Price" advise="1">
        <values>
          <value t="str">
            <val>--</val>
          </value>
        </values>
      </ddeItem>
      <ddeItem name="1570.TW-PreClose" advise="1">
        <values>
          <value>
            <val>21.05</val>
          </value>
        </values>
      </ddeItem>
      <ddeItem name="1570.TW-Price" advise="1">
        <values>
          <value t="str">
            <val>--</val>
          </value>
        </values>
      </ddeItem>
      <ddeItem name="1580.TW-PreClose" advise="1">
        <values>
          <value>
            <val>104.5</val>
          </value>
        </values>
      </ddeItem>
      <ddeItem name="1580.TW-Price" advise="1">
        <values>
          <value t="str">
            <val>--</val>
          </value>
        </values>
      </ddeItem>
      <ddeItem name="1582.TW-PreClose" advise="1">
        <values>
          <value>
            <val>69</val>
          </value>
        </values>
      </ddeItem>
      <ddeItem name="1582.TW-Price" advise="1">
        <values>
          <value t="str">
            <val>--</val>
          </value>
        </values>
      </ddeItem>
      <ddeItem name="1583.TW-PreClose" advise="1">
        <values>
          <value>
            <val>62.5</val>
          </value>
        </values>
      </ddeItem>
      <ddeItem name="1583.TW-Price" advise="1">
        <values>
          <value t="str">
            <val>--</val>
          </value>
        </values>
      </ddeItem>
      <ddeItem name="1584.TW-PreClose" advise="1">
        <values>
          <value>
            <val>17.8</val>
          </value>
        </values>
      </ddeItem>
      <ddeItem name="1584.TW-Price" advise="1">
        <values>
          <value t="str">
            <val>--</val>
          </value>
        </values>
      </ddeItem>
      <ddeItem name="1586.TW-PreClose" advise="1">
        <values>
          <value>
            <val>41.3</val>
          </value>
        </values>
      </ddeItem>
      <ddeItem name="1586.TW-Price" advise="1">
        <values>
          <value t="str">
            <val>--</val>
          </value>
        </values>
      </ddeItem>
      <ddeItem name="1587.TW-PreClose" advise="1">
        <values>
          <value>
            <val>25.6</val>
          </value>
        </values>
      </ddeItem>
      <ddeItem name="1587.TW-Price" advise="1">
        <values>
          <value t="str">
            <val>--</val>
          </value>
        </values>
      </ddeItem>
      <ddeItem name="1589.TW-PreClose" advise="1">
        <values>
          <value>
            <val>62.8</val>
          </value>
        </values>
      </ddeItem>
      <ddeItem name="1589.TW-Price" advise="1">
        <values>
          <value t="str">
            <val>--</val>
          </value>
        </values>
      </ddeItem>
      <ddeItem name="1590.TW-PreClose" advise="1">
        <values>
          <value>
            <val>846</val>
          </value>
        </values>
      </ddeItem>
      <ddeItem name="1590.TW-Price" advise="1">
        <values>
          <value t="str">
            <val>--</val>
          </value>
        </values>
      </ddeItem>
      <ddeItem name="1591.TW-PreClose" advise="1">
        <values>
          <value>
            <val>14.95</val>
          </value>
        </values>
      </ddeItem>
      <ddeItem name="1591.TW-Price" advise="1">
        <values>
          <value t="str">
            <val>--</val>
          </value>
        </values>
      </ddeItem>
      <ddeItem name="1593.TW-PreClose" advise="1">
        <values>
          <value>
            <val>85.5</val>
          </value>
        </values>
      </ddeItem>
      <ddeItem name="1593.TW-Price" advise="1">
        <values>
          <value t="str">
            <val>--</val>
          </value>
        </values>
      </ddeItem>
      <ddeItem name="1595.TW-PreClose" advise="1">
        <values>
          <value>
            <val>48.2</val>
          </value>
        </values>
      </ddeItem>
      <ddeItem name="1595.TW-Price" advise="1">
        <values>
          <value t="str">
            <val>--</val>
          </value>
        </values>
      </ddeItem>
      <ddeItem name="1597.TW-PreClose" advise="1">
        <values>
          <value>
            <val>88.8</val>
          </value>
        </values>
      </ddeItem>
      <ddeItem name="1597.TW-Price" advise="1">
        <values>
          <value t="str">
            <val>--</val>
          </value>
        </values>
      </ddeItem>
      <ddeItem name="1598.TW-PreClose" advise="1">
        <values>
          <value>
            <val>62.8</val>
          </value>
        </values>
      </ddeItem>
      <ddeItem name="1598.TW-Price" advise="1">
        <values>
          <value t="str">
            <val>--</val>
          </value>
        </values>
      </ddeItem>
      <ddeItem name="1599.TW-PreClose" advise="1">
        <values>
          <value>
            <val>43.85</val>
          </value>
        </values>
      </ddeItem>
      <ddeItem name="1599.TW-Price" advise="1">
        <values>
          <value t="str">
            <val>--</val>
          </value>
        </values>
      </ddeItem>
      <ddeItem name="1603.TW-PreClose" advise="1">
        <values>
          <value>
            <val>26.8</val>
          </value>
        </values>
      </ddeItem>
      <ddeItem name="1603.TW-Price" advise="1">
        <values>
          <value t="str">
            <val>--</val>
          </value>
        </values>
      </ddeItem>
      <ddeItem name="1604.TW-PreClose" advise="1">
        <values>
          <value>
            <val>29.6</val>
          </value>
        </values>
      </ddeItem>
      <ddeItem name="1604.TW-Price" advise="1">
        <values>
          <value t="str">
            <val>--</val>
          </value>
        </values>
      </ddeItem>
      <ddeItem name="1605.TW-PreClose" advise="1">
        <values>
          <value>
            <val>27.6</val>
          </value>
        </values>
      </ddeItem>
      <ddeItem name="1605.TW-Price" advise="1">
        <values>
          <value>
            <val>27.95</val>
          </value>
        </values>
      </ddeItem>
      <ddeItem name="1608.TW-PreClose" advise="1">
        <values>
          <value>
            <val>22.5</val>
          </value>
        </values>
      </ddeItem>
      <ddeItem name="1608.TW-Price" advise="1">
        <values>
          <value t="str">
            <val>--</val>
          </value>
        </values>
      </ddeItem>
      <ddeItem name="1609.TW-Capital" advise="1">
        <values>
          <value t="str">
            <val>--</val>
          </value>
        </values>
      </ddeItem>
      <ddeItem name="1609.TW-CashAndStockDividend" advise="1">
        <values>
          <value t="str">
            <val>--</val>
          </value>
        </values>
      </ddeItem>
      <ddeItem name="1609.TW-CashDividendYieldRate" advise="1">
        <values>
          <value t="str">
            <val>--</val>
          </value>
        </values>
      </ddeItem>
      <ddeItem name="1609.TW-MonthlyNetSalesYoY" advise="1">
        <values>
          <value t="str">
            <val>--</val>
          </value>
        </values>
      </ddeItem>
      <ddeItem name="1609.TW-NetIncomeGrowthRate" advise="1">
        <values>
          <value t="str">
            <val>--</val>
          </value>
        </values>
      </ddeItem>
      <ddeItem name="1609.TW-NetProfitMargin" advise="1">
        <values>
          <value t="str">
            <val>--</val>
          </value>
        </values>
      </ddeItem>
      <ddeItem name="1609.TW-OperatingProfitRatio" advise="1">
        <values>
          <value t="str">
            <val>--</val>
          </value>
        </values>
      </ddeItem>
      <ddeItem name="1609.TW-OperIncomeGrowthRate" advise="1">
        <values>
          <value t="str">
            <val>--</val>
          </value>
        </values>
      </ddeItem>
      <ddeItem name="1609.TW-PreClose" advise="1">
        <values>
          <value>
            <val>24.8</val>
          </value>
        </values>
      </ddeItem>
      <ddeItem name="1609.TW-Price" advise="1">
        <values>
          <value t="str">
            <val>--</val>
          </value>
        </values>
      </ddeItem>
      <ddeItem name="1609.TW-ProfitFourSeason" advise="1">
        <values>
          <value t="str">
            <val>--</val>
          </value>
        </values>
      </ddeItem>
      <ddeItem name="1609.TW-ProfitMargin" advise="1">
        <values>
          <value t="str">
            <val>--</val>
          </value>
        </values>
      </ddeItem>
      <ddeItem name="1609.TW-TFXRatio" advise="1">
        <values>
          <value t="str">
            <val>--</val>
          </value>
        </values>
      </ddeItem>
      <ddeItem name="1611.TW-PreClose" advise="1">
        <values>
          <value>
            <val>14</val>
          </value>
        </values>
      </ddeItem>
      <ddeItem name="1611.TW-Price" advise="1">
        <values>
          <value t="str">
            <val>--</val>
          </value>
        </values>
      </ddeItem>
      <ddeItem name="1612.TW-PreClose" advise="1">
        <values>
          <value>
            <val>25.15</val>
          </value>
        </values>
      </ddeItem>
      <ddeItem name="1612.TW-Price" advise="1">
        <values>
          <value t="str">
            <val>--</val>
          </value>
        </values>
      </ddeItem>
      <ddeItem name="1614.TW-PreClose" advise="1">
        <values>
          <value>
            <val>36.049999999999997</val>
          </value>
        </values>
      </ddeItem>
      <ddeItem name="1614.TW-Price" advise="1">
        <values>
          <value t="str">
            <val>--</val>
          </value>
        </values>
      </ddeItem>
      <ddeItem name="1615.TW-PreClose" advise="1">
        <values>
          <value>
            <val>31.95</val>
          </value>
        </values>
      </ddeItem>
      <ddeItem name="1615.TW-Price" advise="1">
        <values>
          <value t="str">
            <val>--</val>
          </value>
        </values>
      </ddeItem>
      <ddeItem name="1616.TW-PreClose" advise="1">
        <values>
          <value>
            <val>9.02</val>
          </value>
        </values>
      </ddeItem>
      <ddeItem name="1616.TW-Price" advise="1">
        <values>
          <value t="str">
            <val>--</val>
          </value>
        </values>
      </ddeItem>
      <ddeItem name="1617.TW-PreClose" advise="1">
        <values>
          <value>
            <val>16.75</val>
          </value>
        </values>
      </ddeItem>
      <ddeItem name="1617.TW-Price" advise="1">
        <values>
          <value t="str">
            <val>--</val>
          </value>
        </values>
      </ddeItem>
      <ddeItem name="1618.TW-PreClose" advise="1">
        <values>
          <value>
            <val>14.4</val>
          </value>
        </values>
      </ddeItem>
      <ddeItem name="1618.TW-Price" advise="1">
        <values>
          <value t="str">
            <val>--</val>
          </value>
        </values>
      </ddeItem>
      <ddeItem name="1626.TW-PreClose" advise="1">
        <values>
          <value>
            <val>19.3</val>
          </value>
        </values>
      </ddeItem>
      <ddeItem name="1626.TW-Price" advise="1">
        <values>
          <value t="str">
            <val>--</val>
          </value>
        </values>
      </ddeItem>
      <ddeItem name="1701.TW-PreClose" advise="1">
        <values>
          <value>
            <val>22.35</val>
          </value>
        </values>
      </ddeItem>
      <ddeItem name="1701.TW-Price" advise="1">
        <values>
          <value t="str">
            <val>--</val>
          </value>
        </values>
      </ddeItem>
      <ddeItem name="1702.TW-PreClose" advise="1">
        <values>
          <value>
            <val>49.75</val>
          </value>
        </values>
      </ddeItem>
      <ddeItem name="1702.TW-Price" advise="1">
        <values>
          <value t="str">
            <val>--</val>
          </value>
        </values>
      </ddeItem>
      <ddeItem name="1707.TW-PreClose" advise="1">
        <values>
          <value>
            <val>163</val>
          </value>
        </values>
      </ddeItem>
      <ddeItem name="1707.TW-Price" advise="1">
        <values>
          <value t="str">
            <val>--</val>
          </value>
        </values>
      </ddeItem>
      <ddeItem name="1708.TW-PreClose" advise="1">
        <values>
          <value>
            <val>33.5</val>
          </value>
        </values>
      </ddeItem>
      <ddeItem name="1708.TW-Price" advise="1">
        <values>
          <value t="str">
            <val>--</val>
          </value>
        </values>
      </ddeItem>
      <ddeItem name="1709.TW-PreClose" advise="1">
        <values>
          <value>
            <val>23.4</val>
          </value>
        </values>
      </ddeItem>
      <ddeItem name="1709.TW-Price" advise="1">
        <values>
          <value t="str">
            <val>--</val>
          </value>
        </values>
      </ddeItem>
      <ddeItem name="1710.TW-Capital" advise="1">
        <values>
          <value t="str">
            <val>--</val>
          </value>
        </values>
      </ddeItem>
      <ddeItem name="1710.TW-CashAndStockDividend" advise="1">
        <values>
          <value t="str">
            <val>--</val>
          </value>
        </values>
      </ddeItem>
      <ddeItem name="1710.TW-CashDividendYieldRate" advise="1">
        <values>
          <value t="str">
            <val>--</val>
          </value>
        </values>
      </ddeItem>
      <ddeItem name="1710.TW-MonthlyNetSalesYoY" advise="1">
        <values>
          <value t="str">
            <val>--</val>
          </value>
        </values>
      </ddeItem>
      <ddeItem name="1710.TW-NetIncomeGrowthRate" advise="1">
        <values>
          <value t="str">
            <val>--</val>
          </value>
        </values>
      </ddeItem>
      <ddeItem name="1710.TW-NetProfitMargin" advise="1">
        <values>
          <value t="str">
            <val>--</val>
          </value>
        </values>
      </ddeItem>
      <ddeItem name="1710.TW-OperatingProfitRatio" advise="1">
        <values>
          <value t="str">
            <val>--</val>
          </value>
        </values>
      </ddeItem>
      <ddeItem name="1710.TW-OperIncomeGrowthRate" advise="1">
        <values>
          <value t="str">
            <val>--</val>
          </value>
        </values>
      </ddeItem>
      <ddeItem name="1710.TW-PreClose" advise="1">
        <values>
          <value>
            <val>22.55</val>
          </value>
        </values>
      </ddeItem>
      <ddeItem name="1710.TW-Price" advise="1">
        <values>
          <value t="str">
            <val>--</val>
          </value>
        </values>
      </ddeItem>
      <ddeItem name="1710.TW-ProfitFourSeason" advise="1">
        <values>
          <value t="str">
            <val>--</val>
          </value>
        </values>
      </ddeItem>
      <ddeItem name="1710.TW-ProfitMargin" advise="1">
        <values>
          <value t="str">
            <val>--</val>
          </value>
        </values>
      </ddeItem>
      <ddeItem name="1710.TW-TFXRatio" advise="1">
        <values>
          <value t="str">
            <val>--</val>
          </value>
        </values>
      </ddeItem>
      <ddeItem name="1711.TW-Capital" advise="1">
        <values>
          <value t="str">
            <val>54.78</val>
          </value>
        </values>
      </ddeItem>
      <ddeItem name="1711.TW-CashAndStockDividend" advise="1">
        <values>
          <value t="str">
            <val>0.30</val>
          </value>
        </values>
      </ddeItem>
      <ddeItem name="1711.TW-CashDividendYieldRate" advise="1">
        <values>
          <value>
            <val>1.06</val>
          </value>
        </values>
      </ddeItem>
      <ddeItem name="1711.TW-MonthlyNetSalesYoY" advise="1">
        <values>
          <value t="str">
            <val>13.66</val>
          </value>
        </values>
      </ddeItem>
      <ddeItem name="1711.TW-NetIncomeGrowthRate" advise="1">
        <values>
          <value t="str">
            <val>224.15</val>
          </value>
        </values>
      </ddeItem>
      <ddeItem name="1711.TW-NetProfitMargin" advise="1">
        <values>
          <value t="str">
            <val>5.90</val>
          </value>
        </values>
      </ddeItem>
      <ddeItem name="1711.TW-OperatingProfitRatio" advise="1">
        <values>
          <value t="str">
            <val>7.08</val>
          </value>
        </values>
      </ddeItem>
      <ddeItem name="1711.TW-OperIncomeGrowthRate" advise="1">
        <values>
          <value t="str">
            <val>523.88</val>
          </value>
        </values>
      </ddeItem>
      <ddeItem name="1711.TW-PreClose" advise="1">
        <values>
          <value>
            <val>27.5</val>
          </value>
        </values>
      </ddeItem>
      <ddeItem name="1711.TW-Price" advise="1">
        <values>
          <value>
            <val>28.35</val>
          </value>
        </values>
      </ddeItem>
      <ddeItem name="1711.TW-ProfitFourSeason" advise="1">
        <values>
          <value t="str">
            <val>0.87</val>
          </value>
        </values>
      </ddeItem>
      <ddeItem name="1711.TW-ProfitMargin" advise="1">
        <values>
          <value t="str">
            <val>24.49</val>
          </value>
        </values>
      </ddeItem>
      <ddeItem name="1711.TW-TFXRatio" advise="1">
        <values>
          <value t="str">
            <val>3.88</val>
          </value>
        </values>
      </ddeItem>
      <ddeItem name="1712.TW-PreClose" advise="1">
        <values>
          <value>
            <val>27.55</val>
          </value>
        </values>
      </ddeItem>
      <ddeItem name="1712.TW-Price" advise="1">
        <values>
          <value t="str">
            <val>--</val>
          </value>
        </values>
      </ddeItem>
      <ddeItem name="1713.TW-PreClose" advise="1">
        <values>
          <value>
            <val>24.35</val>
          </value>
        </values>
      </ddeItem>
      <ddeItem name="1713.TW-Price" advise="1">
        <values>
          <value t="str">
            <val>--</val>
          </value>
        </values>
      </ddeItem>
      <ddeItem name="1714.TW-PreClose" advise="1">
        <values>
          <value>
            <val>11.55</val>
          </value>
        </values>
      </ddeItem>
      <ddeItem name="1714.TW-Price" advise="1">
        <values>
          <value>
            <val>11.7</val>
          </value>
        </values>
      </ddeItem>
      <ddeItem name="1717.TW-PreClose" advise="1">
        <values>
          <value>
            <val>36.5</val>
          </value>
        </values>
      </ddeItem>
      <ddeItem name="1717.TW-Price" advise="1">
        <values>
          <value t="str">
            <val>--</val>
          </value>
        </values>
      </ddeItem>
      <ddeItem name="1718.TW-PreClose" advise="1">
        <values>
          <value>
            <val>10.199999999999999</val>
          </value>
        </values>
      </ddeItem>
      <ddeItem name="1718.TW-Price" advise="1">
        <values>
          <value t="str">
            <val>--</val>
          </value>
        </values>
      </ddeItem>
      <ddeItem name="1720.TW-PreClose" advise="1">
        <values>
          <value>
            <val>40.1</val>
          </value>
        </values>
      </ddeItem>
      <ddeItem name="1720.TW-Price" advise="1">
        <values>
          <value t="str">
            <val>--</val>
          </value>
        </values>
      </ddeItem>
      <ddeItem name="1721.TW-Capital" advise="1">
        <values>
          <value t="str">
            <val>18.90</val>
          </value>
        </values>
      </ddeItem>
      <ddeItem name="1721.TW-CashAndStockDividend" advise="1">
        <values>
          <value t="str">
            <val>0.50</val>
          </value>
        </values>
      </ddeItem>
      <ddeItem name="1721.TW-CashDividendYieldRate" advise="1">
        <values>
          <value>
            <val>2.0699999999999998</val>
          </value>
        </values>
      </ddeItem>
      <ddeItem name="1721.TW-MonthlyNetSalesYoY" advise="1">
        <values>
          <value t="str">
            <val>39.29</val>
          </value>
        </values>
      </ddeItem>
      <ddeItem name="1721.TW-NetIncomeGrowthRate" advise="1">
        <values>
          <value t="str">
            <val>-118.90</val>
          </value>
        </values>
      </ddeItem>
      <ddeItem name="1721.TW-NetProfitMargin" advise="1">
        <values>
          <value t="str">
            <val>-5.41</val>
          </value>
        </values>
      </ddeItem>
      <ddeItem name="1721.TW-OperatingProfitRatio" advise="1">
        <values>
          <value t="str">
            <val>-7.01</val>
          </value>
        </values>
      </ddeItem>
      <ddeItem name="1721.TW-OperIncomeGrowthRate" advise="1">
        <values>
          <value t="str">
            <val>17.19</val>
          </value>
        </values>
      </ddeItem>
      <ddeItem name="1721.TW-PreClose" advise="1">
        <values>
          <value>
            <val>24.2</val>
          </value>
        </values>
      </ddeItem>
      <ddeItem name="1721.TW-Price" advise="1">
        <values>
          <value t="str">
            <val>--</val>
          </value>
        </values>
      </ddeItem>
      <ddeItem name="1721.TW-ProfitFourSeason" advise="1">
        <values>
          <value t="str">
            <val>-0.84</val>
          </value>
        </values>
      </ddeItem>
      <ddeItem name="1721.TW-ProfitMargin" advise="1">
        <values>
          <value t="str">
            <val>1.25</val>
          </value>
        </values>
      </ddeItem>
      <ddeItem name="1721.TW-TFXRatio" advise="1">
        <values>
          <value t="str">
            <val>19.63</val>
          </value>
        </values>
      </ddeItem>
      <ddeItem name="1722.TW-PreClose" advise="1">
        <values>
          <value>
            <val>69.400000000000006</val>
          </value>
        </values>
      </ddeItem>
      <ddeItem name="1722.TW-Price" advise="1">
        <values>
          <value t="str">
            <val>--</val>
          </value>
        </values>
      </ddeItem>
      <ddeItem name="1723.TW-PreClose" advise="1">
        <values>
          <value>
            <val>115.5</val>
          </value>
        </values>
      </ddeItem>
      <ddeItem name="1723.TW-Price" advise="1">
        <values>
          <value t="str">
            <val>--</val>
          </value>
        </values>
      </ddeItem>
      <ddeItem name="1725.TW-PreClose" advise="1">
        <values>
          <value>
            <val>41.45</val>
          </value>
        </values>
      </ddeItem>
      <ddeItem name="1725.TW-Price" advise="1">
        <values>
          <value>
            <val>42.6</val>
          </value>
        </values>
      </ddeItem>
      <ddeItem name="1726.TW-PreClose" advise="1">
        <values>
          <value>
            <val>73.099999999999994</val>
          </value>
        </values>
      </ddeItem>
      <ddeItem name="1726.TW-Price" advise="1">
        <values>
          <value t="str">
            <val>--</val>
          </value>
        </values>
      </ddeItem>
      <ddeItem name="1727.TW-Capital" advise="1">
        <values>
          <value t="str">
            <val>--</val>
          </value>
        </values>
      </ddeItem>
      <ddeItem name="1727.TW-CashAndStockDividend" advise="1">
        <values>
          <value t="str">
            <val>--</val>
          </value>
        </values>
      </ddeItem>
      <ddeItem name="1727.TW-CashDividendYieldRate" advise="1">
        <values>
          <value t="str">
            <val>--</val>
          </value>
        </values>
      </ddeItem>
      <ddeItem name="1727.TW-MonthlyNetSalesYoY" advise="1">
        <values>
          <value t="str">
            <val>--</val>
          </value>
        </values>
      </ddeItem>
      <ddeItem name="1727.TW-NetIncomeGrowthRate" advise="1">
        <values>
          <value t="str">
            <val>--</val>
          </value>
        </values>
      </ddeItem>
      <ddeItem name="1727.TW-NetProfitMargin" advise="1">
        <values>
          <value t="str">
            <val>--</val>
          </value>
        </values>
      </ddeItem>
      <ddeItem name="1727.TW-OperatingProfitRatio" advise="1">
        <values>
          <value t="str">
            <val>--</val>
          </value>
        </values>
      </ddeItem>
      <ddeItem name="1727.TW-OperIncomeGrowthRate" advise="1">
        <values>
          <value t="str">
            <val>--</val>
          </value>
        </values>
      </ddeItem>
      <ddeItem name="1727.TW-PreClose" advise="1">
        <values>
          <value>
            <val>56.7</val>
          </value>
        </values>
      </ddeItem>
      <ddeItem name="1727.TW-Price" advise="1">
        <values>
          <value>
            <val>59.1</val>
          </value>
        </values>
      </ddeItem>
      <ddeItem name="1727.TW-ProfitFourSeason" advise="1">
        <values>
          <value t="str">
            <val>--</val>
          </value>
        </values>
      </ddeItem>
      <ddeItem name="1727.TW-ProfitMargin" advise="1">
        <values>
          <value t="str">
            <val>--</val>
          </value>
        </values>
      </ddeItem>
      <ddeItem name="1727.TW-TFXRatio" advise="1">
        <values>
          <value t="str">
            <val>--</val>
          </value>
        </values>
      </ddeItem>
      <ddeItem name="1730.TW-PreClose" advise="1">
        <values>
          <value>
            <val>63.6</val>
          </value>
        </values>
      </ddeItem>
      <ddeItem name="1730.TW-Price" advise="1">
        <values>
          <value t="str">
            <val>--</val>
          </value>
        </values>
      </ddeItem>
      <ddeItem name="1731.TW-PreClose" advise="1">
        <values>
          <value>
            <val>19.100000000000001</val>
          </value>
        </values>
      </ddeItem>
      <ddeItem name="1731.TW-Price" advise="1">
        <values>
          <value t="str">
            <val>--</val>
          </value>
        </values>
      </ddeItem>
      <ddeItem name="1732.TW-PreClose" advise="1">
        <values>
          <value>
            <val>26.1</val>
          </value>
        </values>
      </ddeItem>
      <ddeItem name="1732.TW-Price" advise="1">
        <values>
          <value t="str">
            <val>--</val>
          </value>
        </values>
      </ddeItem>
      <ddeItem name="1733.TW-PreClose" advise="1">
        <values>
          <value>
            <val>23.75</val>
          </value>
        </values>
      </ddeItem>
      <ddeItem name="1733.TW-Price" advise="1">
        <values>
          <value t="str">
            <val>--</val>
          </value>
        </values>
      </ddeItem>
      <ddeItem name="1734.TW-PreClose" advise="1">
        <values>
          <value>
            <val>28.65</val>
          </value>
        </values>
      </ddeItem>
      <ddeItem name="1734.TW-Price" advise="1">
        <values>
          <value>
            <val>28.75</val>
          </value>
        </values>
      </ddeItem>
      <ddeItem name="1735.TW-PreClose" advise="1">
        <values>
          <value>
            <val>18.05</val>
          </value>
        </values>
      </ddeItem>
      <ddeItem name="1735.TW-Price" advise="1">
        <values>
          <value t="str">
            <val>--</val>
          </value>
        </values>
      </ddeItem>
      <ddeItem name="1736.TW-PreClose" advise="1">
        <values>
          <value>
            <val>59.2</val>
          </value>
        </values>
      </ddeItem>
      <ddeItem name="1736.TW-Price" advise="1">
        <values>
          <value t="str">
            <val>--</val>
          </value>
        </values>
      </ddeItem>
      <ddeItem name="1737.TW-PreClose" advise="1">
        <values>
          <value>
            <val>33.25</val>
          </value>
        </values>
      </ddeItem>
      <ddeItem name="1737.TW-Price" advise="1">
        <values>
          <value t="str">
            <val>--</val>
          </value>
        </values>
      </ddeItem>
      <ddeItem name="1742.TW-PreClose" advise="1">
        <values>
          <value>
            <val>19.7</val>
          </value>
        </values>
      </ddeItem>
      <ddeItem name="1742.TW-Price" advise="1">
        <values>
          <value t="str">
            <val>--</val>
          </value>
        </values>
      </ddeItem>
      <ddeItem name="1752.TW-PreClose" advise="1">
        <values>
          <value>
            <val>36.450000000000003</val>
          </value>
        </values>
      </ddeItem>
      <ddeItem name="1752.TW-Price" advise="1">
        <values>
          <value t="str">
            <val>--</val>
          </value>
        </values>
      </ddeItem>
      <ddeItem name="1760.TW-PreClose" advise="1">
        <values>
          <value>
            <val>70</val>
          </value>
        </values>
      </ddeItem>
      <ddeItem name="1760.TW-Price" advise="1">
        <values>
          <value t="str">
            <val>--</val>
          </value>
        </values>
      </ddeItem>
      <ddeItem name="1762.TW-PreClose" advise="1">
        <values>
          <value>
            <val>62.4</val>
          </value>
        </values>
      </ddeItem>
      <ddeItem name="1762.TW-Price" advise="1">
        <values>
          <value t="str">
            <val>--</val>
          </value>
        </values>
      </ddeItem>
      <ddeItem name="1773.TW-PreClose" advise="1">
        <values>
          <value>
            <val>136.5</val>
          </value>
        </values>
      </ddeItem>
      <ddeItem name="1773.TW-Price" advise="1">
        <values>
          <value t="str">
            <val>--</val>
          </value>
        </values>
      </ddeItem>
      <ddeItem name="1776.TW-PreClose" advise="1">
        <values>
          <value>
            <val>22.65</val>
          </value>
        </values>
      </ddeItem>
      <ddeItem name="1776.TW-Price" advise="1">
        <values>
          <value t="str">
            <val>--</val>
          </value>
        </values>
      </ddeItem>
      <ddeItem name="1777.TW-PreClose" advise="1">
        <values>
          <value>
            <val>68.5</val>
          </value>
        </values>
      </ddeItem>
      <ddeItem name="1777.TW-Price" advise="1">
        <values>
          <value t="str">
            <val>--</val>
          </value>
        </values>
      </ddeItem>
      <ddeItem name="1781.TW-PreClose" advise="1">
        <values>
          <value>
            <val>14</val>
          </value>
        </values>
      </ddeItem>
      <ddeItem name="1781.TW-Price" advise="1">
        <values>
          <value t="str">
            <val>--</val>
          </value>
        </values>
      </ddeItem>
      <ddeItem name="1783.TW-PreClose" advise="1">
        <values>
          <value>
            <val>55.3</val>
          </value>
        </values>
      </ddeItem>
      <ddeItem name="1783.TW-Price" advise="1">
        <values>
          <value t="str">
            <val>--</val>
          </value>
        </values>
      </ddeItem>
      <ddeItem name="1784.TW-PreClose" advise="1">
        <values>
          <value>
            <val>42.05</val>
          </value>
        </values>
      </ddeItem>
      <ddeItem name="1784.TW-Price" advise="1">
        <values>
          <value t="str">
            <val>--</val>
          </value>
        </values>
      </ddeItem>
      <ddeItem name="1785.TW-PreClose" advise="1">
        <values>
          <value>
            <val>51.4</val>
          </value>
        </values>
      </ddeItem>
      <ddeItem name="1785.TW-Price" advise="1">
        <values>
          <value t="str">
            <val>--</val>
          </value>
        </values>
      </ddeItem>
      <ddeItem name="1786.TW-PreClose" advise="1">
        <values>
          <value>
            <val>52.3</val>
          </value>
        </values>
      </ddeItem>
      <ddeItem name="1786.TW-Price" advise="1">
        <values>
          <value t="str">
            <val>--</val>
          </value>
        </values>
      </ddeItem>
      <ddeItem name="1788.TW-PreClose" advise="1">
        <values>
          <value>
            <val>139</val>
          </value>
        </values>
      </ddeItem>
      <ddeItem name="1788.TW-Price" advise="1">
        <values>
          <value t="str">
            <val>--</val>
          </value>
        </values>
      </ddeItem>
      <ddeItem name="1789.TW-PreClose" advise="1">
        <values>
          <value>
            <val>24.1</val>
          </value>
        </values>
      </ddeItem>
      <ddeItem name="1789.TW-Price" advise="1">
        <values>
          <value t="str">
            <val>--</val>
          </value>
        </values>
      </ddeItem>
      <ddeItem name="1795.TW-PreClose" advise="1">
        <values>
          <value>
            <val>108</val>
          </value>
        </values>
      </ddeItem>
      <ddeItem name="1795.TW-Price" advise="1">
        <values>
          <value>
            <val>108.5</val>
          </value>
        </values>
      </ddeItem>
      <ddeItem name="1796.TW-PreClose" advise="1">
        <values>
          <value>
            <val>37.5</val>
          </value>
        </values>
      </ddeItem>
      <ddeItem name="1796.TW-Price" advise="1">
        <values>
          <value t="str">
            <val>--</val>
          </value>
        </values>
      </ddeItem>
      <ddeItem name="1799.TW-PreClose" advise="1">
        <values>
          <value>
            <val>15.35</val>
          </value>
        </values>
      </ddeItem>
      <ddeItem name="1799.TW-Price" advise="1">
        <values>
          <value t="str">
            <val>--</val>
          </value>
        </values>
      </ddeItem>
      <ddeItem name="1802.TW-PreClose" advise="1">
        <values>
          <value>
            <val>26.95</val>
          </value>
        </values>
      </ddeItem>
      <ddeItem name="1802.TW-Price" advise="1">
        <values>
          <value t="str">
            <val>--</val>
          </value>
        </values>
      </ddeItem>
      <ddeItem name="1805.TW-PreClose" advise="1">
        <values>
          <value>
            <val>13.7</val>
          </value>
        </values>
      </ddeItem>
      <ddeItem name="1805.TW-Price" advise="1">
        <values>
          <value t="str">
            <val>--</val>
          </value>
        </values>
      </ddeItem>
      <ddeItem name="1806.TW-PreClose" advise="1">
        <values>
          <value>
            <val>11.65</val>
          </value>
        </values>
      </ddeItem>
      <ddeItem name="1806.TW-Price" advise="1">
        <values>
          <value t="str">
            <val>--</val>
          </value>
        </values>
      </ddeItem>
      <ddeItem name="1808.TW-PreClose" advise="1">
        <values>
          <value>
            <val>59.2</val>
          </value>
        </values>
      </ddeItem>
      <ddeItem name="1808.TW-Price" advise="1">
        <values>
          <value t="str">
            <val>--</val>
          </value>
        </values>
      </ddeItem>
      <ddeItem name="1809.TW-PreClose" advise="1">
        <values>
          <value>
            <val>14.1</val>
          </value>
        </values>
      </ddeItem>
      <ddeItem name="1809.TW-Price" advise="1">
        <values>
          <value t="str">
            <val>--</val>
          </value>
        </values>
      </ddeItem>
      <ddeItem name="1810.TW-PreClose" advise="1">
        <values>
          <value>
            <val>16.25</val>
          </value>
        </values>
      </ddeItem>
      <ddeItem name="1810.TW-Price" advise="1">
        <values>
          <value t="str">
            <val>--</val>
          </value>
        </values>
      </ddeItem>
      <ddeItem name="1813.TW-PreClose" advise="1">
        <values>
          <value>
            <val>18</val>
          </value>
        </values>
      </ddeItem>
      <ddeItem name="1813.TW-Price" advise="1">
        <values>
          <value t="str">
            <val>--</val>
          </value>
        </values>
      </ddeItem>
      <ddeItem name="1815.TW-PreClose" advise="1">
        <values>
          <value>
            <val>17.05</val>
          </value>
        </values>
      </ddeItem>
      <ddeItem name="1815.TW-Price" advise="1">
        <values>
          <value t="str">
            <val>--</val>
          </value>
        </values>
      </ddeItem>
      <ddeItem name="1817.TW-PreClose" advise="1">
        <values>
          <value>
            <val>36.299999999999997</val>
          </value>
        </values>
      </ddeItem>
      <ddeItem name="1817.TW-Price" advise="1">
        <values>
          <value t="str">
            <val>--</val>
          </value>
        </values>
      </ddeItem>
      <ddeItem name="1903.TW-PreClose" advise="1">
        <values>
          <value>
            <val>70.3</val>
          </value>
        </values>
      </ddeItem>
      <ddeItem name="1903.TW-Price" advise="1">
        <values>
          <value t="str">
            <val>--</val>
          </value>
        </values>
      </ddeItem>
      <ddeItem name="1904.TW-PreClose" advise="1">
        <values>
          <value>
            <val>34.85</val>
          </value>
        </values>
      </ddeItem>
      <ddeItem name="1904.TW-Price" advise="1">
        <values>
          <value t="str">
            <val>--</val>
          </value>
        </values>
      </ddeItem>
      <ddeItem name="1905.TW-PreClose" advise="1">
        <values>
          <value>
            <val>22.35</val>
          </value>
        </values>
      </ddeItem>
      <ddeItem name="1905.TW-Price" advise="1">
        <values>
          <value t="str">
            <val>--</val>
          </value>
        </values>
      </ddeItem>
      <ddeItem name="1906.TW-PreClose" advise="1">
        <values>
          <value>
            <val>19.95</val>
          </value>
        </values>
      </ddeItem>
      <ddeItem name="1906.TW-Price" advise="1">
        <values>
          <value t="str">
            <val>--</val>
          </value>
        </values>
      </ddeItem>
      <ddeItem name="1907.TW-PreClose" advise="1">
        <values>
          <value>
            <val>33.299999999999997</val>
          </value>
        </values>
      </ddeItem>
      <ddeItem name="1907.TW-Price" advise="1">
        <values>
          <value t="str">
            <val>--</val>
          </value>
        </values>
      </ddeItem>
      <ddeItem name="1909.TW-PreClose" advise="1">
        <values>
          <value>
            <val>24.3</val>
          </value>
        </values>
      </ddeItem>
      <ddeItem name="1909.TW-Price" advise="1">
        <values>
          <value t="str">
            <val>--</val>
          </value>
        </values>
      </ddeItem>
      <ddeItem name="2002.TW-PreClose" advise="1">
        <values>
          <value>
            <val>33.1</val>
          </value>
        </values>
      </ddeItem>
      <ddeItem name="2002.TW-Price" advise="1">
        <values>
          <value t="str">
            <val>--</val>
          </value>
        </values>
      </ddeItem>
      <ddeItem name="2006.TW-PreClose" advise="1">
        <values>
          <value>
            <val>42.55</val>
          </value>
        </values>
      </ddeItem>
      <ddeItem name="2006.TW-Price" advise="1">
        <values>
          <value t="str">
            <val>--</val>
          </value>
        </values>
      </ddeItem>
      <ddeItem name="2007.TW-PreClose" advise="1">
        <values>
          <value>
            <val>21.25</val>
          </value>
        </values>
      </ddeItem>
      <ddeItem name="2007.TW-Price" advise="1">
        <values>
          <value>
            <val>21.7</val>
          </value>
        </values>
      </ddeItem>
      <ddeItem name="2008.TW-PreClose" advise="1">
        <values>
          <value>
            <val>19.350000000000001</val>
          </value>
        </values>
      </ddeItem>
      <ddeItem name="2008.TW-Price" advise="1">
        <values>
          <value t="str">
            <val>--</val>
          </value>
        </values>
      </ddeItem>
      <ddeItem name="2009.TW-PreClose" advise="1">
        <values>
          <value>
            <val>44.45</val>
          </value>
        </values>
      </ddeItem>
      <ddeItem name="2009.TW-Price" advise="1">
        <values>
          <value t="str">
            <val>--</val>
          </value>
        </values>
      </ddeItem>
      <ddeItem name="2010.TW-PreClose" advise="1">
        <values>
          <value>
            <val>22.2</val>
          </value>
        </values>
      </ddeItem>
      <ddeItem name="2010.TW-Price" advise="1">
        <values>
          <value t="str">
            <val>--</val>
          </value>
        </values>
      </ddeItem>
      <ddeItem name="2012.TW-PreClose" advise="1">
        <values>
          <value>
            <val>29.75</val>
          </value>
        </values>
      </ddeItem>
      <ddeItem name="2012.TW-Price" advise="1">
        <values>
          <value t="str">
            <val>--</val>
          </value>
        </values>
      </ddeItem>
      <ddeItem name="2013.TW-PreClose" advise="1">
        <values>
          <value>
            <val>51.5</val>
          </value>
        </values>
      </ddeItem>
      <ddeItem name="2013.TW-Price" advise="1">
        <values>
          <value>
            <val>53.2</val>
          </value>
        </values>
      </ddeItem>
      <ddeItem name="2014.TW-PreClose" advise="1">
        <values>
          <value>
            <val>35.200000000000003</val>
          </value>
        </values>
      </ddeItem>
      <ddeItem name="2014.TW-Price" advise="1">
        <values>
          <value>
            <val>36.200000000000003</val>
          </value>
        </values>
      </ddeItem>
      <ddeItem name="2015.TW-PreClose" advise="1">
        <values>
          <value>
            <val>78</val>
          </value>
        </values>
      </ddeItem>
      <ddeItem name="2015.TW-Price" advise="1">
        <values>
          <value t="str">
            <val>--</val>
          </value>
        </values>
      </ddeItem>
      <ddeItem name="2017.TW-PreClose" advise="1">
        <values>
          <value>
            <val>19.649999999999999</val>
          </value>
        </values>
      </ddeItem>
      <ddeItem name="2017.TW-Price" advise="1">
        <values>
          <value>
            <val>20.100000000000001</val>
          </value>
        </values>
      </ddeItem>
      <ddeItem name="2020.TW-PreClose" advise="1">
        <values>
          <value>
            <val>31.15</val>
          </value>
        </values>
      </ddeItem>
      <ddeItem name="2020.TW-Price" advise="1">
        <values>
          <value t="str">
            <val>--</val>
          </value>
        </values>
      </ddeItem>
      <ddeItem name="2022.TW-PreClose" advise="1">
        <values>
          <value>
            <val>13.95</val>
          </value>
        </values>
      </ddeItem>
      <ddeItem name="2022.TW-Price" advise="1">
        <values>
          <value t="str">
            <val>--</val>
          </value>
        </values>
      </ddeItem>
      <ddeItem name="2023.TW-Capital" advise="1">
        <values>
          <value t="str">
            <val>--</val>
          </value>
        </values>
      </ddeItem>
      <ddeItem name="2023.TW-CashAndStockDividend" advise="1">
        <values>
          <value t="str">
            <val>--</val>
          </value>
        </values>
      </ddeItem>
      <ddeItem name="2023.TW-CashDividendYieldRate" advise="1">
        <values>
          <value t="str">
            <val>--</val>
          </value>
        </values>
      </ddeItem>
      <ddeItem name="2023.TW-MonthlyNetSalesYoY" advise="1">
        <values>
          <value t="str">
            <val>--</val>
          </value>
        </values>
      </ddeItem>
      <ddeItem name="2023.TW-NetIncomeGrowthRate" advise="1">
        <values>
          <value t="str">
            <val>--</val>
          </value>
        </values>
      </ddeItem>
      <ddeItem name="2023.TW-NetProfitMargin" advise="1">
        <values>
          <value t="str">
            <val>--</val>
          </value>
        </values>
      </ddeItem>
      <ddeItem name="2023.TW-OperatingProfitRatio" advise="1">
        <values>
          <value t="str">
            <val>--</val>
          </value>
        </values>
      </ddeItem>
      <ddeItem name="2023.TW-OperIncomeGrowthRate" advise="1">
        <values>
          <value t="str">
            <val>--</val>
          </value>
        </values>
      </ddeItem>
      <ddeItem name="2023.TW-PreClose" advise="1">
        <values>
          <value>
            <val>24.2</val>
          </value>
        </values>
      </ddeItem>
      <ddeItem name="2023.TW-Price" advise="1">
        <values>
          <value>
            <val>24.3</val>
          </value>
        </values>
      </ddeItem>
      <ddeItem name="2023.TW-ProfitFourSeason" advise="1">
        <values>
          <value t="str">
            <val>--</val>
          </value>
        </values>
      </ddeItem>
      <ddeItem name="2023.TW-ProfitMargin" advise="1">
        <values>
          <value t="str">
            <val>--</val>
          </value>
        </values>
      </ddeItem>
      <ddeItem name="2023.TW-TFXRatio" advise="1">
        <values>
          <value t="str">
            <val>--</val>
          </value>
        </values>
      </ddeItem>
      <ddeItem name="2024.TW-PreClose" advise="1">
        <values>
          <value>
            <val>19.649999999999999</val>
          </value>
        </values>
      </ddeItem>
      <ddeItem name="2024.TW-Price" advise="1">
        <values>
          <value t="str">
            <val>--</val>
          </value>
        </values>
      </ddeItem>
      <ddeItem name="2025.TW-PreClose" advise="1">
        <values>
          <value>
            <val>5.2</val>
          </value>
        </values>
      </ddeItem>
      <ddeItem name="2025.TW-Price" advise="1">
        <values>
          <value t="str">
            <val>--</val>
          </value>
        </values>
      </ddeItem>
      <ddeItem name="2027.TW-PreClose" advise="1">
        <values>
          <value>
            <val>45.65</val>
          </value>
        </values>
      </ddeItem>
      <ddeItem name="2027.TW-Price" advise="1">
        <values>
          <value>
            <val>45.95</val>
          </value>
        </values>
      </ddeItem>
      <ddeItem name="2028.TW-PreClose" advise="1">
        <values>
          <value>
            <val>39.299999999999997</val>
          </value>
        </values>
      </ddeItem>
      <ddeItem name="2028.TW-Price" advise="1">
        <values>
          <value>
            <val>40.25</val>
          </value>
        </values>
      </ddeItem>
      <ddeItem name="2029.TW-PreClose" advise="1">
        <values>
          <value>
            <val>32.549999999999997</val>
          </value>
        </values>
      </ddeItem>
      <ddeItem name="2029.TW-Price" advise="1">
        <values>
          <value t="str">
            <val>--</val>
          </value>
        </values>
      </ddeItem>
      <ddeItem name="2030.TW-PreClose" advise="1">
        <values>
          <value>
            <val>29.65</val>
          </value>
        </values>
      </ddeItem>
      <ddeItem name="2030.TW-Price" advise="1">
        <values>
          <value t="str">
            <val>--</val>
          </value>
        </values>
      </ddeItem>
      <ddeItem name="2031.TW-PreClose" advise="1">
        <values>
          <value>
            <val>57.1</val>
          </value>
        </values>
      </ddeItem>
      <ddeItem name="2031.TW-Price" advise="1">
        <values>
          <value t="str">
            <val>--</val>
          </value>
        </values>
      </ddeItem>
      <ddeItem name="2032.TW-PreClose" advise="1">
        <values>
          <value>
            <val>23.3</val>
          </value>
        </values>
      </ddeItem>
      <ddeItem name="2032.TW-Price" advise="1">
        <values>
          <value t="str">
            <val>--</val>
          </value>
        </values>
      </ddeItem>
      <ddeItem name="2033.TW-PreClose" advise="1">
        <values>
          <value>
            <val>17.350000000000001</val>
          </value>
        </values>
      </ddeItem>
      <ddeItem name="2033.TW-Price" advise="1">
        <values>
          <value t="str">
            <val>--</val>
          </value>
        </values>
      </ddeItem>
      <ddeItem name="2034.TW-PreClose" advise="1">
        <values>
          <value>
            <val>31.65</val>
          </value>
        </values>
      </ddeItem>
      <ddeItem name="2034.TW-Price" advise="1">
        <values>
          <value t="str">
            <val>--</val>
          </value>
        </values>
      </ddeItem>
      <ddeItem name="2035.TW-PreClose" advise="1">
        <values>
          <value>
            <val>37</val>
          </value>
        </values>
      </ddeItem>
      <ddeItem name="2035.TW-Price" advise="1">
        <values>
          <value t="str">
            <val>--</val>
          </value>
        </values>
      </ddeItem>
      <ddeItem name="2038.TW-PreClose" advise="1">
        <values>
          <value>
            <val>33.6</val>
          </value>
        </values>
      </ddeItem>
      <ddeItem name="2038.TW-Price" advise="1">
        <values>
          <value>
            <val>34.25</val>
          </value>
        </values>
      </ddeItem>
      <ddeItem name="2049.TW-PreClose" advise="1">
        <values>
          <value>
            <val>292</val>
          </value>
        </values>
      </ddeItem>
      <ddeItem name="2049.TW-Price" advise="1">
        <values>
          <value t="str">
            <val>--</val>
          </value>
        </values>
      </ddeItem>
      <ddeItem name="2059.TW-PreClose" advise="1">
        <values>
          <value>
            <val>482</val>
          </value>
        </values>
      </ddeItem>
      <ddeItem name="2059.TW-Price" advise="1">
        <values>
          <value t="str">
            <val>--</val>
          </value>
        </values>
      </ddeItem>
      <ddeItem name="2061.TW-PreClose" advise="1">
        <values>
          <value>
            <val>20.5</val>
          </value>
        </values>
      </ddeItem>
      <ddeItem name="2061.TW-Price" advise="1">
        <values>
          <value t="str">
            <val>--</val>
          </value>
        </values>
      </ddeItem>
      <ddeItem name="2062.TW-PreClose" advise="1">
        <values>
          <value>
            <val>27.9</val>
          </value>
        </values>
      </ddeItem>
      <ddeItem name="2062.TW-Price" advise="1">
        <values>
          <value t="str">
            <val>--</val>
          </value>
        </values>
      </ddeItem>
      <ddeItem name="2063.TW-PreClose" advise="1">
        <values>
          <value>
            <val>36.799999999999997</val>
          </value>
        </values>
      </ddeItem>
      <ddeItem name="2063.TW-Price" advise="1">
        <values>
          <value t="str">
            <val>--</val>
          </value>
        </values>
      </ddeItem>
      <ddeItem name="2064.TW-PreClose" advise="1">
        <values>
          <value>
            <val>18.3</val>
          </value>
        </values>
      </ddeItem>
      <ddeItem name="2064.TW-Price" advise="1">
        <values>
          <value t="str">
            <val>--</val>
          </value>
        </values>
      </ddeItem>
      <ddeItem name="2065.TW-PreClose" advise="1">
        <values>
          <value>
            <val>47.6</val>
          </value>
        </values>
      </ddeItem>
      <ddeItem name="2065.TW-Price" advise="1">
        <values>
          <value t="str">
            <val>--</val>
          </value>
        </values>
      </ddeItem>
      <ddeItem name="2066.TW-PreClose" advise="1">
        <values>
          <value>
            <val>62</val>
          </value>
        </values>
      </ddeItem>
      <ddeItem name="2066.TW-Price" advise="1">
        <values>
          <value t="str">
            <val>--</val>
          </value>
        </values>
      </ddeItem>
      <ddeItem name="2067.TW-PreClose" advise="1">
        <values>
          <value>
            <val>12.9</val>
          </value>
        </values>
      </ddeItem>
      <ddeItem name="2067.TW-Price" advise="1">
        <values>
          <value t="str">
            <val>--</val>
          </value>
        </values>
      </ddeItem>
      <ddeItem name="2069.TW-PreClose" advise="1">
        <values>
          <value>
            <val>37.799999999999997</val>
          </value>
        </values>
      </ddeItem>
      <ddeItem name="2069.TW-Price" advise="1">
        <values>
          <value>
            <val>38.6</val>
          </value>
        </values>
      </ddeItem>
      <ddeItem name="2070.TW-PreClose" advise="1">
        <values>
          <value>
            <val>32.299999999999997</val>
          </value>
        </values>
      </ddeItem>
      <ddeItem name="2070.TW-Price" advise="1">
        <values>
          <value t="str">
            <val>--</val>
          </value>
        </values>
      </ddeItem>
      <ddeItem name="2101.TW-PreClose" advise="1">
        <values>
          <value>
            <val>39.65</val>
          </value>
        </values>
      </ddeItem>
      <ddeItem name="2101.TW-Price" advise="1">
        <values>
          <value>
            <val>39.35</val>
          </value>
        </values>
      </ddeItem>
      <ddeItem name="2102.TW-PreClose" advise="1">
        <values>
          <value>
            <val>25.8</val>
          </value>
        </values>
      </ddeItem>
      <ddeItem name="2102.TW-Price" advise="1">
        <values>
          <value t="str">
            <val>--</val>
          </value>
        </values>
      </ddeItem>
      <ddeItem name="2103.TW-PreClose" advise="1">
        <values>
          <value>
            <val>32.25</val>
          </value>
        </values>
      </ddeItem>
      <ddeItem name="2103.TW-Price" advise="1">
        <values>
          <value t="str">
            <val>--</val>
          </value>
        </values>
      </ddeItem>
      <ddeItem name="2104.TW-PreClose" advise="1">
        <values>
          <value>
            <val>26.8</val>
          </value>
        </values>
      </ddeItem>
      <ddeItem name="2104.TW-Price" advise="1">
        <values>
          <value t="str">
            <val>--</val>
          </value>
        </values>
      </ddeItem>
      <ddeItem name="2105.TW-PreClose" advise="1">
        <values>
          <value>
            <val>34.5</val>
          </value>
        </values>
      </ddeItem>
      <ddeItem name="2105.TW-Price" advise="1">
        <values>
          <value>
            <val>34.65</val>
          </value>
        </values>
      </ddeItem>
      <ddeItem name="2106.TW-PreClose" advise="1">
        <values>
          <value>
            <val>30.05</val>
          </value>
        </values>
      </ddeItem>
      <ddeItem name="2106.TW-Price" advise="1">
        <values>
          <value t="str">
            <val>--</val>
          </value>
        </values>
      </ddeItem>
      <ddeItem name="2107.TW-PreClose" advise="1">
        <values>
          <value>
            <val>22.85</val>
          </value>
        </values>
      </ddeItem>
      <ddeItem name="2107.TW-Price" advise="1">
        <values>
          <value t="str">
            <val>--</val>
          </value>
        </values>
      </ddeItem>
      <ddeItem name="2108.TW-PreClose" advise="1">
        <values>
          <value>
            <val>85.6</val>
          </value>
        </values>
      </ddeItem>
      <ddeItem name="2108.TW-Price" advise="1">
        <values>
          <value>
            <val>85</val>
          </value>
        </values>
      </ddeItem>
      <ddeItem name="2109.TW-PreClose" advise="1">
        <values>
          <value>
            <val>16.45</val>
          </value>
        </values>
      </ddeItem>
      <ddeItem name="2109.TW-Price" advise="1">
        <values>
          <value t="str">
            <val>--</val>
          </value>
        </values>
      </ddeItem>
      <ddeItem name="2114.TW-PreClose" advise="1">
        <values>
          <value>
            <val>119</val>
          </value>
        </values>
      </ddeItem>
      <ddeItem name="2114.TW-Price" advise="1">
        <values>
          <value t="str">
            <val>--</val>
          </value>
        </values>
      </ddeItem>
      <ddeItem name="2115.TW-PreClose" advise="1">
        <values>
          <value>
            <val>40</val>
          </value>
        </values>
      </ddeItem>
      <ddeItem name="2115.TW-Price" advise="1">
        <values>
          <value t="str">
            <val>--</val>
          </value>
        </values>
      </ddeItem>
      <ddeItem name="2201.TW-PreClose" advise="1">
        <values>
          <value>
            <val>43.15</val>
          </value>
        </values>
      </ddeItem>
      <ddeItem name="2201.TW-Price" advise="1">
        <values>
          <value t="str">
            <val>--</val>
          </value>
        </values>
      </ddeItem>
      <ddeItem name="2204.TW-PreClose" advise="1">
        <values>
          <value>
            <val>65.400000000000006</val>
          </value>
        </values>
      </ddeItem>
      <ddeItem name="2204.TW-Price" advise="1">
        <values>
          <value t="str">
            <val>--</val>
          </value>
        </values>
      </ddeItem>
      <ddeItem name="2206.TW-PreClose" advise="1">
        <values>
          <value>
            <val>26.7</val>
          </value>
        </values>
      </ddeItem>
      <ddeItem name="2206.TW-Price" advise="1">
        <values>
          <value t="str">
            <val>--</val>
          </value>
        </values>
      </ddeItem>
      <ddeItem name="2207.TW-PreClose" advise="1">
        <values>
          <value>
            <val>645</val>
          </value>
        </values>
      </ddeItem>
      <ddeItem name="2207.TW-Price" advise="1">
        <values>
          <value t="str">
            <val>--</val>
          </value>
        </values>
      </ddeItem>
      <ddeItem name="2208.TW-PreClose" advise="1">
        <values>
          <value>
            <val>22</val>
          </value>
        </values>
      </ddeItem>
      <ddeItem name="2208.TW-Price" advise="1">
        <values>
          <value>
            <val>22.1</val>
          </value>
        </values>
      </ddeItem>
      <ddeItem name="2211.TW-PreClose" advise="1">
        <values>
          <value>
            <val>52.2</val>
          </value>
        </values>
      </ddeItem>
      <ddeItem name="2211.TW-Price" advise="1">
        <values>
          <value t="str">
            <val>--</val>
          </value>
        </values>
      </ddeItem>
      <ddeItem name="2221.TW-PreClose" advise="1">
        <values>
          <value>
            <val>41</val>
          </value>
        </values>
      </ddeItem>
      <ddeItem name="2221.TW-Price" advise="1">
        <values>
          <value t="str">
            <val>--</val>
          </value>
        </values>
      </ddeItem>
      <ddeItem name="2227.TW-PreClose" advise="1">
        <values>
          <value>
            <val>250.5</val>
          </value>
        </values>
      </ddeItem>
      <ddeItem name="2227.TW-Price" advise="1">
        <values>
          <value t="str">
            <val>--</val>
          </value>
        </values>
      </ddeItem>
      <ddeItem name="2228.TW-PreClose" advise="1">
        <values>
          <value>
            <val>68.599999999999994</val>
          </value>
        </values>
      </ddeItem>
      <ddeItem name="2228.TW-Price" advise="1">
        <values>
          <value t="str">
            <val>--</val>
          </value>
        </values>
      </ddeItem>
      <ddeItem name="2230.TW-PreClose" advise="1">
        <values>
          <value>
            <val>13.45</val>
          </value>
        </values>
      </ddeItem>
      <ddeItem name="2230.TW-Price" advise="1">
        <values>
          <value t="str">
            <val>--</val>
          </value>
        </values>
      </ddeItem>
      <ddeItem name="2231.TW-PreClose" advise="1">
        <values>
          <value>
            <val>170</val>
          </value>
        </values>
      </ddeItem>
      <ddeItem name="2231.TW-Price" advise="1">
        <values>
          <value>
            <val>170</val>
          </value>
        </values>
      </ddeItem>
      <ddeItem name="2233.TW-PreClose" advise="1">
        <values>
          <value>
            <val>98.6</val>
          </value>
        </values>
      </ddeItem>
      <ddeItem name="2233.TW-Price" advise="1">
        <values>
          <value t="str">
            <val>--</val>
          </value>
        </values>
      </ddeItem>
      <ddeItem name="2235.TW-PreClose" advise="1">
        <values>
          <value>
            <val>39.1</val>
          </value>
        </values>
      </ddeItem>
      <ddeItem name="2235.TW-Price" advise="1">
        <values>
          <value t="str">
            <val>--</val>
          </value>
        </values>
      </ddeItem>
      <ddeItem name="2236.TW-PreClose" advise="1">
        <values>
          <value>
            <val>26.5</val>
          </value>
        </values>
      </ddeItem>
      <ddeItem name="2236.TW-Price" advise="1">
        <values>
          <value t="str">
            <val>--</val>
          </value>
        </values>
      </ddeItem>
      <ddeItem name="2239.TW-PreClose" advise="1">
        <values>
          <value>
            <val>78.8</val>
          </value>
        </values>
      </ddeItem>
      <ddeItem name="2239.TW-Price" advise="1">
        <values>
          <value t="str">
            <val>--</val>
          </value>
        </values>
      </ddeItem>
      <ddeItem name="2241.TW-PreClose" advise="1">
        <values>
          <value>
            <val>53.4</val>
          </value>
        </values>
      </ddeItem>
      <ddeItem name="2241.TW-Price" advise="1">
        <values>
          <value t="str">
            <val>--</val>
          </value>
        </values>
      </ddeItem>
      <ddeItem name="2243.TW-PreClose" advise="1">
        <values>
          <value>
            <val>17.100000000000001</val>
          </value>
        </values>
      </ddeItem>
      <ddeItem name="2243.TW-Price" advise="1">
        <values>
          <value t="str">
            <val>--</val>
          </value>
        </values>
      </ddeItem>
      <ddeItem name="2247.TW-PreClose" advise="1">
        <values>
          <value>
            <val>216</val>
          </value>
        </values>
      </ddeItem>
      <ddeItem name="2247.TW-Price" advise="1">
        <values>
          <value t="str">
            <val>--</val>
          </value>
        </values>
      </ddeItem>
      <ddeItem name="2250.TW-PreClose" advise="1">
        <values>
          <value>
            <val>105</val>
          </value>
        </values>
      </ddeItem>
      <ddeItem name="2250.TW-Price" advise="1">
        <values>
          <value t="str">
            <val>--</val>
          </value>
        </values>
      </ddeItem>
      <ddeItem name="2301.TW-PreClose" advise="1">
        <values>
          <value>
            <val>60.4</val>
          </value>
        </values>
      </ddeItem>
      <ddeItem name="2301.TW-Price" advise="1">
        <values>
          <value>
            <val>61</val>
          </value>
        </values>
      </ddeItem>
      <ddeItem name="2302.TW-PreClose" advise="1">
        <values>
          <value>
            <val>17.399999999999999</val>
          </value>
        </values>
      </ddeItem>
      <ddeItem name="2302.TW-Price" advise="1">
        <values>
          <value t="str">
            <val>--</val>
          </value>
        </values>
      </ddeItem>
      <ddeItem name="2303.TW-PreClose" advise="1">
        <values>
          <value>
            <val>63.2</val>
          </value>
        </values>
      </ddeItem>
      <ddeItem name="2303.TW-Price" advise="1">
        <values>
          <value>
            <val>63.1</val>
          </value>
        </values>
      </ddeItem>
      <ddeItem name="2305.TW-PreClose" advise="1">
        <values>
          <value>
            <val>8.31</val>
          </value>
        </values>
      </ddeItem>
      <ddeItem name="2305.TW-Price" advise="1">
        <values>
          <value t="str">
            <val>--</val>
          </value>
        </values>
      </ddeItem>
      <ddeItem name="2308.TW-PreClose" advise="1">
        <values>
          <value>
            <val>255</val>
          </value>
        </values>
      </ddeItem>
      <ddeItem name="2308.TW-Price" advise="1">
        <values>
          <value>
            <val>258</val>
          </value>
        </values>
      </ddeItem>
      <ddeItem name="2312.TW-Capital" advise="1">
        <values>
          <value t="str">
            <val>--</val>
          </value>
        </values>
      </ddeItem>
      <ddeItem name="2312.TW-CashAndStockDividend" advise="1">
        <values>
          <value t="str">
            <val>--</val>
          </value>
        </values>
      </ddeItem>
      <ddeItem name="2312.TW-CashDividendYieldRate" advise="1">
        <values>
          <value t="str">
            <val>--</val>
          </value>
        </values>
      </ddeItem>
      <ddeItem name="2312.TW-MonthlyNetSalesYoY" advise="1">
        <values>
          <value t="str">
            <val>--</val>
          </value>
        </values>
      </ddeItem>
      <ddeItem name="2312.TW-NetIncomeGrowthRate" advise="1">
        <values>
          <value t="str">
            <val>--</val>
          </value>
        </values>
      </ddeItem>
      <ddeItem name="2312.TW-NetProfitMargin" advise="1">
        <values>
          <value t="str">
            <val>--</val>
          </value>
        </values>
      </ddeItem>
      <ddeItem name="2312.TW-OperatingProfitRatio" advise="1">
        <values>
          <value t="str">
            <val>--</val>
          </value>
        </values>
      </ddeItem>
      <ddeItem name="2312.TW-OperIncomeGrowthRate" advise="1">
        <values>
          <value t="str">
            <val>--</val>
          </value>
        </values>
      </ddeItem>
      <ddeItem name="2312.TW-PreClose" advise="1">
        <values>
          <value>
            <val>13.75</val>
          </value>
        </values>
      </ddeItem>
      <ddeItem name="2312.TW-Price" advise="1">
        <values>
          <value t="str">
            <val>--</val>
          </value>
        </values>
      </ddeItem>
      <ddeItem name="2312.TW-ProfitFourSeason" advise="1">
        <values>
          <value t="str">
            <val>--</val>
          </value>
        </values>
      </ddeItem>
      <ddeItem name="2312.TW-ProfitMargin" advise="1">
        <values>
          <value t="str">
            <val>--</val>
          </value>
        </values>
      </ddeItem>
      <ddeItem name="2312.TW-TFXRatio" advise="1">
        <values>
          <value t="str">
            <val>--</val>
          </value>
        </values>
      </ddeItem>
      <ddeItem name="2313.TW-PreClose" advise="1">
        <values>
          <value>
            <val>42</val>
          </value>
        </values>
      </ddeItem>
      <ddeItem name="2313.TW-Price" advise="1">
        <values>
          <value>
            <val>42.2</val>
          </value>
        </values>
      </ddeItem>
      <ddeItem name="2314.TW-PreClose" advise="1">
        <values>
          <value>
            <val>83.3</val>
          </value>
        </values>
      </ddeItem>
      <ddeItem name="2314.TW-Price" advise="1">
        <values>
          <value>
            <val>83.9</val>
          </value>
        </values>
      </ddeItem>
      <ddeItem name="2316.TW-PreClose" advise="1">
        <values>
          <value>
            <val>29.35</val>
          </value>
        </values>
      </ddeItem>
      <ddeItem name="2316.TW-Price" advise="1">
        <values>
          <value t="str">
            <val>--</val>
          </value>
        </values>
      </ddeItem>
      <ddeItem name="2317.TW-PreClose" advise="1">
        <values>
          <value>
            <val>106</val>
          </value>
        </values>
      </ddeItem>
      <ddeItem name="2317.TW-Price" advise="1">
        <values>
          <value>
            <val>105.5</val>
          </value>
        </values>
      </ddeItem>
      <ddeItem name="2321.TW-PreClose" advise="1">
        <values>
          <value>
            <val>6.36</val>
          </value>
        </values>
      </ddeItem>
      <ddeItem name="2321.TW-Price" advise="1">
        <values>
          <value t="str">
            <val>--</val>
          </value>
        </values>
      </ddeItem>
      <ddeItem name="2323.TW-PreClose" advise="1">
        <values>
          <value>
            <val>9.02</val>
          </value>
        </values>
      </ddeItem>
      <ddeItem name="2323.TW-Price" advise="1">
        <values>
          <value t="str">
            <val>--</val>
          </value>
        </values>
      </ddeItem>
      <ddeItem name="2324.TW-PreClose" advise="1">
        <values>
          <value>
            <val>23.55</val>
          </value>
        </values>
      </ddeItem>
      <ddeItem name="2324.TW-Price" advise="1">
        <values>
          <value>
            <val>23.7</val>
          </value>
        </values>
      </ddeItem>
      <ddeItem name="2327.TW-PreClose" advise="1">
        <values>
          <value>
            <val>463</val>
          </value>
        </values>
      </ddeItem>
      <ddeItem name="2327.TW-Price" advise="1">
        <values>
          <value t="str">
            <val>--</val>
          </value>
        </values>
      </ddeItem>
      <ddeItem name="2328.TW-PreClose" advise="1">
        <values>
          <value>
            <val>39.15</val>
          </value>
        </values>
      </ddeItem>
      <ddeItem name="2328.TW-Price" advise="1">
        <values>
          <value t="str">
            <val>--</val>
          </value>
        </values>
      </ddeItem>
      <ddeItem name="2329.TW-PreClose" advise="1">
        <values>
          <value>
            <val>24.85</val>
          </value>
        </values>
      </ddeItem>
      <ddeItem name="2329.TW-Price" advise="1">
        <values>
          <value>
            <val>24.8</val>
          </value>
        </values>
      </ddeItem>
      <ddeItem name="2330.TW-PreClose" advise="1">
        <values>
          <value>
            <val>612</val>
          </value>
        </values>
      </ddeItem>
      <ddeItem name="2330.TW-Price" advise="1">
        <values>
          <value>
            <val>610</val>
          </value>
        </values>
      </ddeItem>
      <ddeItem name="2331.TW-PreClose" advise="1">
        <values>
          <value>
            <val>23.15</val>
          </value>
        </values>
      </ddeItem>
      <ddeItem name="2331.TW-Price" advise="1">
        <values>
          <value t="str">
            <val>--</val>
          </value>
        </values>
      </ddeItem>
      <ddeItem name="2332.TW-PreClose" advise="1">
        <values>
          <value>
            <val>20.2</val>
          </value>
        </values>
      </ddeItem>
      <ddeItem name="2332.TW-Price" advise="1">
        <values>
          <value>
            <val>20.25</val>
          </value>
        </values>
      </ddeItem>
      <ddeItem name="2337.TW-Capital" advise="1">
        <values>
          <value t="str">
            <val>--</val>
          </value>
        </values>
      </ddeItem>
      <ddeItem name="2337.TW-CashAndStockDividend" advise="1">
        <values>
          <value t="str">
            <val>--</val>
          </value>
        </values>
      </ddeItem>
      <ddeItem name="2337.TW-CashDividendYieldRate" advise="1">
        <values>
          <value t="str">
            <val>--</val>
          </value>
        </values>
      </ddeItem>
      <ddeItem name="2337.TW-MonthlyNetSalesYoY" advise="1">
        <values>
          <value t="str">
            <val>--</val>
          </value>
        </values>
      </ddeItem>
      <ddeItem name="2337.TW-NetIncomeGrowthRate" advise="1">
        <values>
          <value t="str">
            <val>--</val>
          </value>
        </values>
      </ddeItem>
      <ddeItem name="2337.TW-OperatingProfitRatio" advise="1">
        <values>
          <value t="str">
            <val>--</val>
          </value>
        </values>
      </ddeItem>
      <ddeItem name="2337.TW-OperIncomeGrowthRate" advise="1">
        <values>
          <value t="str">
            <val>--</val>
          </value>
        </values>
      </ddeItem>
      <ddeItem name="2337.TW-PreClose" advise="1">
        <values>
          <value>
            <val>43.8</val>
          </value>
        </values>
      </ddeItem>
      <ddeItem name="2337.TW-Price" advise="1">
        <values>
          <value>
            <val>44.1</val>
          </value>
        </values>
      </ddeItem>
      <ddeItem name="2337.TW-ProfitFourSeason" advise="1">
        <values>
          <value t="str">
            <val>--</val>
          </value>
        </values>
      </ddeItem>
      <ddeItem name="2337.TW-TFXRatio" advise="1">
        <values>
          <value t="str">
            <val>--</val>
          </value>
        </values>
      </ddeItem>
      <ddeItem name="2338.TW-PreClose" advise="1">
        <values>
          <value>
            <val>103</val>
          </value>
        </values>
      </ddeItem>
      <ddeItem name="2338.TW-Price" advise="1">
        <values>
          <value>
            <val>104.5</val>
          </value>
        </values>
      </ddeItem>
      <ddeItem name="2340.TW-Capital" advise="1">
        <values>
          <value t="str">
            <val>--</val>
          </value>
        </values>
      </ddeItem>
      <ddeItem name="2340.TW-CashAndStockDividend" advise="1">
        <values>
          <value t="str">
            <val>--</val>
          </value>
        </values>
      </ddeItem>
      <ddeItem name="2340.TW-CashDividendYieldRate" advise="1">
        <values>
          <value t="str">
            <val>--</val>
          </value>
        </values>
      </ddeItem>
      <ddeItem name="2340.TW-MonthlyNetSalesYoY" advise="1">
        <values>
          <value t="str">
            <val>--</val>
          </value>
        </values>
      </ddeItem>
      <ddeItem name="2340.TW-NetIncomeGrowthRate" advise="1">
        <values>
          <value t="str">
            <val>--</val>
          </value>
        </values>
      </ddeItem>
      <ddeItem name="2340.TW-NetProfitMargin" advise="1">
        <values>
          <value t="str">
            <val>--</val>
          </value>
        </values>
      </ddeItem>
      <ddeItem name="2340.TW-OperatingProfitRatio" advise="1">
        <values>
          <value t="str">
            <val>--</val>
          </value>
        </values>
      </ddeItem>
      <ddeItem name="2340.TW-OperIncomeGrowthRate" advise="1">
        <values>
          <value t="str">
            <val>--</val>
          </value>
        </values>
      </ddeItem>
      <ddeItem name="2340.TW-PreClose" advise="1">
        <values>
          <value>
            <val>58</val>
          </value>
        </values>
      </ddeItem>
      <ddeItem name="2340.TW-Price" advise="1">
        <values>
          <value>
            <val>60.4</val>
          </value>
        </values>
      </ddeItem>
      <ddeItem name="2340.TW-ProfitFourSeason" advise="1">
        <values>
          <value t="str">
            <val>--</val>
          </value>
        </values>
      </ddeItem>
      <ddeItem name="2340.TW-ProfitMargin" advise="1">
        <values>
          <value t="str">
            <val>--</val>
          </value>
        </values>
      </ddeItem>
      <ddeItem name="2340.TW-TFXRatio" advise="1">
        <values>
          <value t="str">
            <val>--</val>
          </value>
        </values>
      </ddeItem>
      <ddeItem name="2342.TW-PreClose" advise="1">
        <values>
          <value>
            <val>47.35</val>
          </value>
        </values>
      </ddeItem>
      <ddeItem name="2342.TW-Price" advise="1">
        <values>
          <value>
            <val>48.1</val>
          </value>
        </values>
      </ddeItem>
      <ddeItem name="2344.TW-PreClose" advise="1">
        <values>
          <value>
            <val>31.3</val>
          </value>
        </values>
      </ddeItem>
      <ddeItem name="2344.TW-Price" advise="1">
        <values>
          <value>
            <val>31.45</val>
          </value>
        </values>
      </ddeItem>
      <ddeItem name="2345.TW-PreClose" advise="1">
        <values>
          <value>
            <val>295</val>
          </value>
        </values>
      </ddeItem>
      <ddeItem name="2345.TW-Price" advise="1">
        <values>
          <value t="str">
            <val>--</val>
          </value>
        </values>
      </ddeItem>
      <ddeItem name="2347.TW-PreClose" advise="1">
        <values>
          <value>
            <val>57.9</val>
          </value>
        </values>
      </ddeItem>
      <ddeItem name="2347.TW-Price" advise="1">
        <values>
          <value>
            <val>58.5</val>
          </value>
        </values>
      </ddeItem>
      <ddeItem name="2348.TW-PreClose" advise="1">
        <values>
          <value>
            <val>103</val>
          </value>
        </values>
      </ddeItem>
      <ddeItem name="2348.TW-Price" advise="1">
        <values>
          <value t="str">
            <val>--</val>
          </value>
        </values>
      </ddeItem>
      <ddeItem name="2349.TW-PreClose" advise="1">
        <values>
          <value>
            <val>9.59</val>
          </value>
        </values>
      </ddeItem>
      <ddeItem name="2349.TW-Price" advise="1">
        <values>
          <value t="str">
            <val>--</val>
          </value>
        </values>
      </ddeItem>
      <ddeItem name="2351.TW-PreClose" advise="1">
        <values>
          <value>
            <val>165.5</val>
          </value>
        </values>
      </ddeItem>
      <ddeItem name="2351.TW-Price" advise="1">
        <values>
          <value t="str">
            <val>--</val>
          </value>
        </values>
      </ddeItem>
      <ddeItem name="2352.TW-PreClose" advise="1">
        <values>
          <value>
            <val>29.9</val>
          </value>
        </values>
      </ddeItem>
      <ddeItem name="2352.TW-Price" advise="1">
        <values>
          <value t="str">
            <val>--</val>
          </value>
        </values>
      </ddeItem>
      <ddeItem name="2353.TW-PreClose" advise="1">
        <values>
          <value t="str">
            <val>--</val>
          </value>
        </values>
      </ddeItem>
      <ddeItem name="2353.TW-Price" advise="1">
        <values>
          <value t="str">
            <val>--</val>
          </value>
        </values>
      </ddeItem>
      <ddeItem name="2354.TW-PreClose" advise="1">
        <values>
          <value t="str">
            <val>--</val>
          </value>
        </values>
      </ddeItem>
      <ddeItem name="2354.TW-Price" advise="1">
        <values>
          <value t="str">
            <val>--</val>
          </value>
        </values>
      </ddeItem>
      <ddeItem name="2355.TW-PreClose" advise="1">
        <values>
          <value>
            <val>31.35</val>
          </value>
        </values>
      </ddeItem>
      <ddeItem name="2355.TW-Price" advise="1">
        <values>
          <value t="str">
            <val>--</val>
          </value>
        </values>
      </ddeItem>
      <ddeItem name="2356.TW-PreClose" advise="1">
        <values>
          <value>
            <val>25.8</val>
          </value>
        </values>
      </ddeItem>
      <ddeItem name="2356.TW-Price" advise="1">
        <values>
          <value t="str">
            <val>--</val>
          </value>
        </values>
      </ddeItem>
      <ddeItem name="2357.TW-PreClose" advise="1">
        <values>
          <value>
            <val>352.5</val>
          </value>
        </values>
      </ddeItem>
      <ddeItem name="2357.TW-Price" advise="1">
        <values>
          <value t="str">
            <val>--</val>
          </value>
        </values>
      </ddeItem>
      <ddeItem name="2358.TW-PreClose" advise="1">
        <values>
          <value>
            <val>22.5</val>
          </value>
        </values>
      </ddeItem>
      <ddeItem name="2358.TW-Price" advise="1">
        <values>
          <value t="str">
            <val>--</val>
          </value>
        </values>
      </ddeItem>
      <ddeItem name="2359.TW-PreClose" advise="1">
        <values>
          <value>
            <val>17.600000000000001</val>
          </value>
        </values>
      </ddeItem>
      <ddeItem name="2359.TW-Price" advise="1">
        <values>
          <value t="str">
            <val>--</val>
          </value>
        </values>
      </ddeItem>
      <ddeItem name="2360.TW-PreClose" advise="1">
        <values>
          <value>
            <val>184</val>
          </value>
        </values>
      </ddeItem>
      <ddeItem name="2360.TW-Price" advise="1">
        <values>
          <value t="str">
            <val>--</val>
          </value>
        </values>
      </ddeItem>
      <ddeItem name="2362.TW-PreClose" advise="1">
        <values>
          <value>
            <val>32.1</val>
          </value>
        </values>
      </ddeItem>
      <ddeItem name="2362.TW-Price" advise="1">
        <values>
          <value t="str">
            <val>--</val>
          </value>
        </values>
      </ddeItem>
      <ddeItem name="2363.TW-PreClose" advise="1">
        <values>
          <value>
            <val>25.55</val>
          </value>
        </values>
      </ddeItem>
      <ddeItem name="2363.TW-Price" advise="1">
        <values>
          <value>
            <val>25.65</val>
          </value>
        </values>
      </ddeItem>
      <ddeItem name="2364.TW-PreClose" advise="1">
        <values>
          <value t="str">
            <val>--</val>
          </value>
        </values>
      </ddeItem>
      <ddeItem name="2364.TW-Price" advise="1">
        <values>
          <value t="str">
            <val>--</val>
          </value>
        </values>
      </ddeItem>
      <ddeItem name="2365.TW-PreClose" advise="1">
        <values>
          <value>
            <val>10.8</val>
          </value>
        </values>
      </ddeItem>
      <ddeItem name="2365.TW-Price" advise="1">
        <values>
          <value t="str">
            <val>--</val>
          </value>
        </values>
      </ddeItem>
      <ddeItem name="2367.TW-PreClose" advise="1">
        <values>
          <value>
            <val>20.100000000000001</val>
          </value>
        </values>
      </ddeItem>
      <ddeItem name="2367.TW-Price" advise="1">
        <values>
          <value t="str">
            <val>--</val>
          </value>
        </values>
      </ddeItem>
      <ddeItem name="2368.TW-PreClose" advise="1">
        <values>
          <value>
            <val>69.5</val>
          </value>
        </values>
      </ddeItem>
      <ddeItem name="2368.TW-Price" advise="1">
        <values>
          <value>
            <val>70.099999999999994</val>
          </value>
        </values>
      </ddeItem>
      <ddeItem name="2369.TW-PreClose" advise="1">
        <values>
          <value>
            <val>26.15</val>
          </value>
        </values>
      </ddeItem>
      <ddeItem name="2369.TW-Price" advise="1">
        <values>
          <value t="str">
            <val>--</val>
          </value>
        </values>
      </ddeItem>
      <ddeItem name="2371.TW-PreClose" advise="1">
        <values>
          <value t="str">
            <val>--</val>
          </value>
        </values>
      </ddeItem>
      <ddeItem name="2371.TW-Price" advise="1">
        <values>
          <value t="str">
            <val>--</val>
          </value>
        </values>
      </ddeItem>
      <ddeItem name="2373.TW-PreClose" advise="1">
        <values>
          <value>
            <val>89.7</val>
          </value>
        </values>
      </ddeItem>
      <ddeItem name="2373.TW-Price" advise="1">
        <values>
          <value t="str">
            <val>--</val>
          </value>
        </values>
      </ddeItem>
      <ddeItem name="2374.TW-PreClose" advise="1">
        <values>
          <value>
            <val>21.95</val>
          </value>
        </values>
      </ddeItem>
      <ddeItem name="2374.TW-Price" advise="1">
        <values>
          <value>
            <val>21.5</val>
          </value>
        </values>
      </ddeItem>
      <ddeItem name="2375.TW-PreClose" advise="1">
        <values>
          <value t="str">
            <val>--</val>
          </value>
        </values>
      </ddeItem>
      <ddeItem name="2375.TW-Price" advise="1">
        <values>
          <value t="str">
            <val>--</val>
          </value>
        </values>
      </ddeItem>
      <ddeItem name="2376.TW-Capital" advise="1">
        <values>
          <value t="str">
            <val>--</val>
          </value>
        </values>
      </ddeItem>
      <ddeItem name="2376.TW-CashAndStockDividend" advise="1">
        <values>
          <value t="str">
            <val>--</val>
          </value>
        </values>
      </ddeItem>
      <ddeItem name="2376.TW-CashDividendYieldRate" advise="1">
        <values>
          <value t="str">
            <val>--</val>
          </value>
        </values>
      </ddeItem>
      <ddeItem name="2376.TW-MonthlyNetSalesYoY" advise="1">
        <values>
          <value t="str">
            <val>--</val>
          </value>
        </values>
      </ddeItem>
      <ddeItem name="2376.TW-NetIncomeGrowthRate" advise="1">
        <values>
          <value t="str">
            <val>--</val>
          </value>
        </values>
      </ddeItem>
      <ddeItem name="2376.TW-NetProfitMargin" advise="1">
        <values>
          <value t="str">
            <val>--</val>
          </value>
        </values>
      </ddeItem>
      <ddeItem name="2376.TW-OperatingProfitRatio" advise="1">
        <values>
          <value t="str">
            <val>--</val>
          </value>
        </values>
      </ddeItem>
      <ddeItem name="2376.TW-OperIncomeGrowthRate" advise="1">
        <values>
          <value t="str">
            <val>--</val>
          </value>
        </values>
      </ddeItem>
      <ddeItem name="2376.TW-PreClose" advise="1">
        <values>
          <value>
            <val>134.5</val>
          </value>
        </values>
      </ddeItem>
      <ddeItem name="2376.TW-Price" advise="1">
        <values>
          <value>
            <val>135</val>
          </value>
        </values>
      </ddeItem>
      <ddeItem name="2376.TW-ProfitFourSeason" advise="1">
        <values>
          <value t="str">
            <val>--</val>
          </value>
        </values>
      </ddeItem>
      <ddeItem name="2376.TW-ProfitMargin" advise="1">
        <values>
          <value t="str">
            <val>--</val>
          </value>
        </values>
      </ddeItem>
      <ddeItem name="2376.TW-TFXRatio" advise="1">
        <values>
          <value t="str">
            <val>--</val>
          </value>
        </values>
      </ddeItem>
      <ddeItem name="2377.TW-PreClose" advise="1">
        <values>
          <value>
            <val>161</val>
          </value>
        </values>
      </ddeItem>
      <ddeItem name="2377.TW-Price" advise="1">
        <values>
          <value t="str">
            <val>--</val>
          </value>
        </values>
      </ddeItem>
      <ddeItem name="2379.TW-PreClose" advise="1">
        <values>
          <value>
            <val>544</val>
          </value>
        </values>
      </ddeItem>
      <ddeItem name="2379.TW-Price" advise="1">
        <values>
          <value t="str">
            <val>--</val>
          </value>
        </values>
      </ddeItem>
      <ddeItem name="2380.TW-PreClose" advise="1">
        <values>
          <value>
            <val>10.7</val>
          </value>
        </values>
      </ddeItem>
      <ddeItem name="2380.TW-Price" advise="1">
        <values>
          <value t="str">
            <val>--</val>
          </value>
        </values>
      </ddeItem>
      <ddeItem name="2382.TW-PreClose" advise="1">
        <values>
          <value>
            <val>87.6</val>
          </value>
        </values>
      </ddeItem>
      <ddeItem name="2382.TW-Price" advise="1">
        <values>
          <value t="str">
            <val>--</val>
          </value>
        </values>
      </ddeItem>
      <ddeItem name="2383.TW-PreClose" advise="1">
        <values>
          <value>
            <val>228.5</val>
          </value>
        </values>
      </ddeItem>
      <ddeItem name="2383.TW-Price" advise="1">
        <values>
          <value>
            <val>237</val>
          </value>
        </values>
      </ddeItem>
      <ddeItem name="2385.TW-PreClose" advise="1">
        <values>
          <value>
            <val>81.099999999999994</val>
          </value>
        </values>
      </ddeItem>
      <ddeItem name="2385.TW-Price" advise="1">
        <values>
          <value t="str">
            <val>--</val>
          </value>
        </values>
      </ddeItem>
      <ddeItem name="2387.TW-PreClose" advise="1">
        <values>
          <value t="str">
            <val>--</val>
          </value>
        </values>
      </ddeItem>
      <ddeItem name="2387.TW-Price" advise="1">
        <values>
          <value t="str">
            <val>--</val>
          </value>
        </values>
      </ddeItem>
      <ddeItem name="2388.TW-Capital" advise="1">
        <values>
          <value t="str">
            <val>--</val>
          </value>
        </values>
      </ddeItem>
      <ddeItem name="2388.TW-CashAndStockDividend" advise="1">
        <values>
          <value t="str">
            <val>--</val>
          </value>
        </values>
      </ddeItem>
      <ddeItem name="2388.TW-CashDividendYieldRate" advise="1">
        <values>
          <value t="str">
            <val>--</val>
          </value>
        </values>
      </ddeItem>
      <ddeItem name="2388.TW-MonthlyNetSalesYoY" advise="1">
        <values>
          <value t="str">
            <val>--</val>
          </value>
        </values>
      </ddeItem>
      <ddeItem name="2388.TW-NetIncomeGrowthRate" advise="1">
        <values>
          <value t="str">
            <val>--</val>
          </value>
        </values>
      </ddeItem>
      <ddeItem name="2388.TW-NetProfitMargin" advise="1">
        <values>
          <value t="str">
            <val>--</val>
          </value>
        </values>
      </ddeItem>
      <ddeItem name="2388.TW-OperatingProfitRatio" advise="1">
        <values>
          <value t="str">
            <val>--</val>
          </value>
        </values>
      </ddeItem>
      <ddeItem name="2388.TW-OperIncomeGrowthRate" advise="1">
        <values>
          <value t="str">
            <val>--</val>
          </value>
        </values>
      </ddeItem>
      <ddeItem name="2388.TW-PreClose" advise="1">
        <values>
          <value>
            <val>85.8</val>
          </value>
        </values>
      </ddeItem>
      <ddeItem name="2388.TW-Price" advise="1">
        <values>
          <value>
            <val>86.9</val>
          </value>
        </values>
      </ddeItem>
      <ddeItem name="2388.TW-ProfitFourSeason" advise="1">
        <values>
          <value t="str">
            <val>--</val>
          </value>
        </values>
      </ddeItem>
      <ddeItem name="2388.TW-ProfitMargin" advise="1">
        <values>
          <value t="str">
            <val>--</val>
          </value>
        </values>
      </ddeItem>
      <ddeItem name="2388.TW-TFXRatio" advise="1">
        <values>
          <value t="str">
            <val>--</val>
          </value>
        </values>
      </ddeItem>
      <ddeItem name="2390.TW-PreClose" advise="1">
        <values>
          <value>
            <val>21.3</val>
          </value>
        </values>
      </ddeItem>
      <ddeItem name="2390.TW-Price" advise="1">
        <values>
          <value>
            <val>21.4</val>
          </value>
        </values>
      </ddeItem>
      <ddeItem name="2392.TW-PreClose" advise="1">
        <values>
          <value>
            <val>39.049999999999997</val>
          </value>
        </values>
      </ddeItem>
      <ddeItem name="2392.TW-Price" advise="1">
        <values>
          <value t="str">
            <val>--</val>
          </value>
        </values>
      </ddeItem>
      <ddeItem name="2393.TW-PreClose" advise="1">
        <values>
          <value t="str">
            <val>--</val>
          </value>
        </values>
      </ddeItem>
      <ddeItem name="2393.TW-Price" advise="1">
        <values>
          <value t="str">
            <val>--</val>
          </value>
        </values>
      </ddeItem>
      <ddeItem name="2395.TW-PreClose" advise="1">
        <values>
          <value>
            <val>387</val>
          </value>
        </values>
      </ddeItem>
      <ddeItem name="2395.TW-Price" advise="1">
        <values>
          <value t="str">
            <val>--</val>
          </value>
        </values>
      </ddeItem>
      <ddeItem name="2397.TW-PreClose" advise="1">
        <values>
          <value>
            <val>57.1</val>
          </value>
        </values>
      </ddeItem>
      <ddeItem name="2397.TW-Price" advise="1">
        <values>
          <value t="str">
            <val>--</val>
          </value>
        </values>
      </ddeItem>
      <ddeItem name="2399.TW-PreClose" advise="1">
        <values>
          <value>
            <val>22.55</val>
          </value>
        </values>
      </ddeItem>
      <ddeItem name="2399.TW-Price" advise="1">
        <values>
          <value>
            <val>22.85</val>
          </value>
        </values>
      </ddeItem>
      <ddeItem name="2401.TW-PreClose" advise="1">
        <values>
          <value>
            <val>39.9</val>
          </value>
        </values>
      </ddeItem>
      <ddeItem name="2401.TW-Price" advise="1">
        <values>
          <value>
            <val>40.1</val>
          </value>
        </values>
      </ddeItem>
      <ddeItem name="2402.TW-PreClose" advise="1">
        <values>
          <value>
            <val>16.850000000000001</val>
          </value>
        </values>
      </ddeItem>
      <ddeItem name="2402.TW-Price" advise="1">
        <values>
          <value t="str">
            <val>--</val>
          </value>
        </values>
      </ddeItem>
      <ddeItem name="2404.TW-PreClose" advise="1">
        <values>
          <value>
            <val>186</val>
          </value>
        </values>
      </ddeItem>
      <ddeItem name="2404.TW-Price" advise="1">
        <values>
          <value>
            <val>183</val>
          </value>
        </values>
      </ddeItem>
      <ddeItem name="2405.TW-PreClose" advise="1">
        <values>
          <value>
            <val>12.2</val>
          </value>
        </values>
      </ddeItem>
      <ddeItem name="2405.TW-Price" advise="1">
        <values>
          <value t="str">
            <val>--</val>
          </value>
        </values>
      </ddeItem>
      <ddeItem name="2406.TW-PreClose" advise="1">
        <values>
          <value>
            <val>23.3</val>
          </value>
        </values>
      </ddeItem>
      <ddeItem name="2406.TW-Price" advise="1">
        <values>
          <value>
            <val>23.9</val>
          </value>
        </values>
      </ddeItem>
      <ddeItem name="2408.TW-PreClose" advise="1">
        <values>
          <value>
            <val>75.7</val>
          </value>
        </values>
      </ddeItem>
      <ddeItem name="2408.TW-Price" advise="1">
        <values>
          <value t="str">
            <val>--</val>
          </value>
        </values>
      </ddeItem>
      <ddeItem name="2409.TW-PreClose" advise="1">
        <values>
          <value>
            <val>21.05</val>
          </value>
        </values>
      </ddeItem>
      <ddeItem name="2409.TW-Price" advise="1">
        <values>
          <value>
            <val>21.2</val>
          </value>
        </values>
      </ddeItem>
      <ddeItem name="2412.TW-PreClose" advise="1">
        <values>
          <value>
            <val>113.5</val>
          </value>
        </values>
      </ddeItem>
      <ddeItem name="2412.TW-Price" advise="1">
        <values>
          <value t="str">
            <val>--</val>
          </value>
        </values>
      </ddeItem>
      <ddeItem name="2413.TW-PreClose" advise="1">
        <values>
          <value>
            <val>19.600000000000001</val>
          </value>
        </values>
      </ddeItem>
      <ddeItem name="2413.TW-Price" advise="1">
        <values>
          <value t="str">
            <val>--</val>
          </value>
        </values>
      </ddeItem>
      <ddeItem name="2414.TW-PreClose" advise="1">
        <values>
          <value t="str">
            <val>--</val>
          </value>
        </values>
      </ddeItem>
      <ddeItem name="2414.TW-Price" advise="1">
        <values>
          <value t="str">
            <val>--</val>
          </value>
        </values>
      </ddeItem>
      <ddeItem name="2415.TW-PreClose" advise="1">
        <values>
          <value>
            <val>45.1</val>
          </value>
        </values>
      </ddeItem>
      <ddeItem name="2415.TW-Price" advise="1">
        <values>
          <value t="str">
            <val>--</val>
          </value>
        </values>
      </ddeItem>
      <ddeItem name="2417.TW-PreClose" advise="1">
        <values>
          <value>
            <val>25</val>
          </value>
        </values>
      </ddeItem>
      <ddeItem name="2417.TW-Price" advise="1">
        <values>
          <value t="str">
            <val>--</val>
          </value>
        </values>
      </ddeItem>
      <ddeItem name="2419.TW-Capital" advise="1">
        <values>
          <value t="str">
            <val>--</val>
          </value>
        </values>
      </ddeItem>
      <ddeItem name="2419.TW-CashAndStockDividend" advise="1">
        <values>
          <value t="str">
            <val>--</val>
          </value>
        </values>
      </ddeItem>
      <ddeItem name="2419.TW-CashDividendYieldRate" advise="1">
        <values>
          <value t="str">
            <val>--</val>
          </value>
        </values>
      </ddeItem>
      <ddeItem name="2419.TW-MonthlyNetSalesYoY" advise="1">
        <values>
          <value t="str">
            <val>--</val>
          </value>
        </values>
      </ddeItem>
      <ddeItem name="2419.TW-NetIncomeGrowthRate" advise="1">
        <values>
          <value t="str">
            <val>--</val>
          </value>
        </values>
      </ddeItem>
      <ddeItem name="2419.TW-NetProfitMargin" advise="1">
        <values>
          <value t="str">
            <val>--</val>
          </value>
        </values>
      </ddeItem>
      <ddeItem name="2419.TW-OperatingProfitRatio" advise="1">
        <values>
          <value t="str">
            <val>--</val>
          </value>
        </values>
      </ddeItem>
      <ddeItem name="2419.TW-OperIncomeGrowthRate" advise="1">
        <values>
          <value t="str">
            <val>--</val>
          </value>
        </values>
      </ddeItem>
      <ddeItem name="2419.TW-PreClose" advise="1">
        <values>
          <value>
            <val>23.55</val>
          </value>
        </values>
      </ddeItem>
      <ddeItem name="2419.TW-Price" advise="1">
        <values>
          <value>
            <val>23.6</val>
          </value>
        </values>
      </ddeItem>
      <ddeItem name="2419.TW-ProfitFourSeason" advise="1">
        <values>
          <value t="str">
            <val>--</val>
          </value>
        </values>
      </ddeItem>
      <ddeItem name="2419.TW-ProfitMargin" advise="1">
        <values>
          <value t="str">
            <val>--</val>
          </value>
        </values>
      </ddeItem>
      <ddeItem name="2419.TW-TFXRatio" advise="1">
        <values>
          <value t="str">
            <val>--</val>
          </value>
        </values>
      </ddeItem>
      <ddeItem name="2420.TW-PreClose" advise="1">
        <values>
          <value t="str">
            <val>--</val>
          </value>
        </values>
      </ddeItem>
      <ddeItem name="2420.TW-Price" advise="1">
        <values>
          <value t="str">
            <val>--</val>
          </value>
        </values>
      </ddeItem>
      <ddeItem name="2421.TW-PreClose" advise="1">
        <values>
          <value>
            <val>44</val>
          </value>
        </values>
      </ddeItem>
      <ddeItem name="2421.TW-Price" advise="1">
        <values>
          <value>
            <val>45.55</val>
          </value>
        </values>
      </ddeItem>
      <ddeItem name="2423.TW-PreClose" advise="1">
        <values>
          <value t="str">
            <val>--</val>
          </value>
        </values>
      </ddeItem>
      <ddeItem name="2423.TW-Price" advise="1">
        <values>
          <value t="str">
            <val>--</val>
          </value>
        </values>
      </ddeItem>
      <ddeItem name="2424.TW-PreClose" advise="1">
        <values>
          <value t="str">
            <val>--</val>
          </value>
        </values>
      </ddeItem>
      <ddeItem name="2424.TW-Price" advise="1">
        <values>
          <value t="str">
            <val>--</val>
          </value>
        </values>
      </ddeItem>
      <ddeItem name="2425.TW-PreClose" advise="1">
        <values>
          <value t="str">
            <val>--</val>
          </value>
        </values>
      </ddeItem>
      <ddeItem name="2425.TW-Price" advise="1">
        <values>
          <value t="str">
            <val>--</val>
          </value>
        </values>
      </ddeItem>
      <ddeItem name="2426.TW-Capital" advise="1">
        <values>
          <value t="str">
            <val>--</val>
          </value>
        </values>
      </ddeItem>
      <ddeItem name="2426.TW-CashAndStockDividend" advise="1">
        <values>
          <value t="str">
            <val>--</val>
          </value>
        </values>
      </ddeItem>
      <ddeItem name="2426.TW-CashDividendYieldRate" advise="1">
        <values>
          <value t="str">
            <val>--</val>
          </value>
        </values>
      </ddeItem>
      <ddeItem name="2426.TW-MonthlyNetSalesYoY" advise="1">
        <values>
          <value t="str">
            <val>--</val>
          </value>
        </values>
      </ddeItem>
      <ddeItem name="2426.TW-NetIncomeGrowthRate" advise="1">
        <values>
          <value t="str">
            <val>--</val>
          </value>
        </values>
      </ddeItem>
      <ddeItem name="2426.TW-NetProfitMargin" advise="1">
        <values>
          <value t="str">
            <val>--</val>
          </value>
        </values>
      </ddeItem>
      <ddeItem name="2426.TW-OperatingProfitRatio" advise="1">
        <values>
          <value t="str">
            <val>--</val>
          </value>
        </values>
      </ddeItem>
      <ddeItem name="2426.TW-OperIncomeGrowthRate" advise="1">
        <values>
          <value t="str">
            <val>--</val>
          </value>
        </values>
      </ddeItem>
      <ddeItem name="2426.TW-PreClose" advise="1">
        <values>
          <value>
            <val>28.2</val>
          </value>
        </values>
      </ddeItem>
      <ddeItem name="2426.TW-Price" advise="1">
        <values>
          <value>
            <val>28.8</val>
          </value>
        </values>
      </ddeItem>
      <ddeItem name="2426.TW-ProfitFourSeason" advise="1">
        <values>
          <value t="str">
            <val>--</val>
          </value>
        </values>
      </ddeItem>
      <ddeItem name="2426.TW-ProfitMargin" advise="1">
        <values>
          <value t="str">
            <val>--</val>
          </value>
        </values>
      </ddeItem>
      <ddeItem name="2426.TW-TFXRatio" advise="1">
        <values>
          <value t="str">
            <val>--</val>
          </value>
        </values>
      </ddeItem>
      <ddeItem name="2427.TW-PreClose" advise="1">
        <values>
          <value>
            <val>11</val>
          </value>
        </values>
      </ddeItem>
      <ddeItem name="2427.TW-Price" advise="1">
        <values>
          <value t="str">
            <val>--</val>
          </value>
        </values>
      </ddeItem>
      <ddeItem name="2428.TW-PreClose" advise="1">
        <values>
          <value>
            <val>160</val>
          </value>
        </values>
      </ddeItem>
      <ddeItem name="2428.TW-Price" advise="1">
        <values>
          <value t="str">
            <val>--</val>
          </value>
        </values>
      </ddeItem>
      <ddeItem name="2429.TW-PreClose" advise="1">
        <values>
          <value>
            <val>18.600000000000001</val>
          </value>
        </values>
      </ddeItem>
      <ddeItem name="2429.TW-Price" advise="1">
        <values>
          <value t="str">
            <val>--</val>
          </value>
        </values>
      </ddeItem>
      <ddeItem name="2430.TW-PreClose" advise="1">
        <values>
          <value>
            <val>40.6</val>
          </value>
        </values>
      </ddeItem>
      <ddeItem name="2430.TW-Price" advise="1">
        <values>
          <value t="str">
            <val>--</val>
          </value>
        </values>
      </ddeItem>
      <ddeItem name="2431.TW-PreClose" advise="1">
        <values>
          <value t="str">
            <val>--</val>
          </value>
        </values>
      </ddeItem>
      <ddeItem name="2431.TW-Price" advise="1">
        <values>
          <value t="str">
            <val>--</val>
          </value>
        </values>
      </ddeItem>
      <ddeItem name="2433.TW-PreClose" advise="1">
        <values>
          <value>
            <val>51.4</val>
          </value>
        </values>
      </ddeItem>
      <ddeItem name="2433.TW-Price" advise="1">
        <values>
          <value t="str">
            <val>--</val>
          </value>
        </values>
      </ddeItem>
      <ddeItem name="2434.TW-PreClose" advise="1">
        <values>
          <value>
            <val>40.5</val>
          </value>
        </values>
      </ddeItem>
      <ddeItem name="2434.TW-Price" advise="1">
        <values>
          <value t="str">
            <val>--</val>
          </value>
        </values>
      </ddeItem>
      <ddeItem name="2436.TW-PreClose" advise="1">
        <values>
          <value>
            <val>98.9</val>
          </value>
        </values>
      </ddeItem>
      <ddeItem name="2436.TW-Price" advise="1">
        <values>
          <value>
            <val>100</val>
          </value>
        </values>
      </ddeItem>
      <ddeItem name="2438.TW-PreClose" advise="1">
        <values>
          <value t="str">
            <val>--</val>
          </value>
        </values>
      </ddeItem>
      <ddeItem name="2438.TW-Price" advise="1">
        <values>
          <value t="str">
            <val>--</val>
          </value>
        </values>
      </ddeItem>
      <ddeItem name="2439.TW-PreClose" advise="1">
        <values>
          <value>
            <val>92.9</val>
          </value>
        </values>
      </ddeItem>
      <ddeItem name="2439.TW-Price" advise="1">
        <values>
          <value t="str">
            <val>--</val>
          </value>
        </values>
      </ddeItem>
      <ddeItem name="2440.TW-PreClose" advise="1">
        <values>
          <value>
            <val>17.899999999999999</val>
          </value>
        </values>
      </ddeItem>
      <ddeItem name="2440.TW-Price" advise="1">
        <values>
          <value t="str">
            <val>--</val>
          </value>
        </values>
      </ddeItem>
      <ddeItem name="2441.TW-PreClose" advise="1">
        <values>
          <value>
            <val>78.3</val>
          </value>
        </values>
      </ddeItem>
      <ddeItem name="2441.TW-Price" advise="1">
        <values>
          <value t="str">
            <val>--</val>
          </value>
        </values>
      </ddeItem>
      <ddeItem name="2442.TW-PreClose" advise="1">
        <values>
          <value>
            <val>11.55</val>
          </value>
        </values>
      </ddeItem>
      <ddeItem name="2442.TW-Price" advise="1">
        <values>
          <value t="str">
            <val>--</val>
          </value>
        </values>
      </ddeItem>
      <ddeItem name="2443.TW-PreClose" advise="1">
        <values>
          <value>
            <val>2.99</val>
          </value>
        </values>
      </ddeItem>
      <ddeItem name="2443.TW-Price" advise="1">
        <values>
          <value t="str">
            <val>--</val>
          </value>
        </values>
      </ddeItem>
      <ddeItem name="2444.TW-PreClose" advise="1">
        <values>
          <value t="str">
            <val>--</val>
          </value>
        </values>
      </ddeItem>
      <ddeItem name="2444.TW-Price" advise="1">
        <values>
          <value t="str">
            <val>--</val>
          </value>
        </values>
      </ddeItem>
      <ddeItem name="2449.TW-PreClose" advise="1">
        <values>
          <value>
            <val>43.5</val>
          </value>
        </values>
      </ddeItem>
      <ddeItem name="2449.TW-Price" advise="1">
        <values>
          <value t="str">
            <val>--</val>
          </value>
        </values>
      </ddeItem>
      <ddeItem name="2450.TW-PreClose" advise="1">
        <values>
          <value>
            <val>33.15</val>
          </value>
        </values>
      </ddeItem>
      <ddeItem name="2450.TW-Price" advise="1">
        <values>
          <value t="str">
            <val>--</val>
          </value>
        </values>
      </ddeItem>
      <ddeItem name="2451.TW-PreClose" advise="1">
        <values>
          <value>
            <val>70.5</val>
          </value>
        </values>
      </ddeItem>
      <ddeItem name="2451.TW-Price" advise="1">
        <values>
          <value>
            <val>71.099999999999994</val>
          </value>
        </values>
      </ddeItem>
      <ddeItem name="2453.TW-PreClose" advise="1">
        <values>
          <value>
            <val>25.75</val>
          </value>
        </values>
      </ddeItem>
      <ddeItem name="2453.TW-Price" advise="1">
        <values>
          <value t="str">
            <val>--</val>
          </value>
        </values>
      </ddeItem>
      <ddeItem name="2454.TW-PreClose" advise="1">
        <values>
          <value>
            <val>1055</val>
          </value>
        </values>
      </ddeItem>
      <ddeItem name="2454.TW-Price" advise="1">
        <values>
          <value t="str">
            <val>--</val>
          </value>
        </values>
      </ddeItem>
      <ddeItem name="2455.TW-Capital" advise="1">
        <values>
          <value t="str">
            <val>--</val>
          </value>
        </values>
      </ddeItem>
      <ddeItem name="2455.TW-CashAndStockDividend" advise="1">
        <values>
          <value t="str">
            <val>--</val>
          </value>
        </values>
      </ddeItem>
      <ddeItem name="2455.TW-CashDividendYieldRate" advise="1">
        <values>
          <value t="str">
            <val>--</val>
          </value>
        </values>
      </ddeItem>
      <ddeItem name="2455.TW-MonthlyNetSalesYoY" advise="1">
        <values>
          <value t="str">
            <val>--</val>
          </value>
        </values>
      </ddeItem>
      <ddeItem name="2455.TW-NetIncomeGrowthRate" advise="1">
        <values>
          <value t="str">
            <val>--</val>
          </value>
        </values>
      </ddeItem>
      <ddeItem name="2455.TW-NetProfitMargin" advise="1">
        <values>
          <value t="str">
            <val>--</val>
          </value>
        </values>
      </ddeItem>
      <ddeItem name="2455.TW-OperatingProfitRatio" advise="1">
        <values>
          <value t="str">
            <val>--</val>
          </value>
        </values>
      </ddeItem>
      <ddeItem name="2455.TW-OperIncomeGrowthRate" advise="1">
        <values>
          <value t="str">
            <val>--</val>
          </value>
        </values>
      </ddeItem>
      <ddeItem name="2455.TW-PreClose" advise="1">
        <values>
          <value>
            <val>144</val>
          </value>
        </values>
      </ddeItem>
      <ddeItem name="2455.TW-Price" advise="1">
        <values>
          <value>
            <val>146</val>
          </value>
        </values>
      </ddeItem>
      <ddeItem name="2455.TW-ProfitFourSeason" advise="1">
        <values>
          <value t="str">
            <val>--</val>
          </value>
        </values>
      </ddeItem>
      <ddeItem name="2455.TW-ProfitMargin" advise="1">
        <values>
          <value t="str">
            <val>--</val>
          </value>
        </values>
      </ddeItem>
      <ddeItem name="2455.TW-TFXRatio" advise="1">
        <values>
          <value t="str">
            <val>--</val>
          </value>
        </values>
      </ddeItem>
      <ddeItem name="2456.TW-PreClose" advise="1">
        <values>
          <value>
            <val>90.7</val>
          </value>
        </values>
      </ddeItem>
      <ddeItem name="2456.TW-Price" advise="1">
        <values>
          <value t="str">
            <val>--</val>
          </value>
        </values>
      </ddeItem>
      <ddeItem name="2457.TW-PreClose" advise="1">
        <values>
          <value t="str">
            <val>--</val>
          </value>
        </values>
      </ddeItem>
      <ddeItem name="2457.TW-Price" advise="1">
        <values>
          <value t="str">
            <val>--</val>
          </value>
        </values>
      </ddeItem>
      <ddeItem name="2458.TW-PreClose" advise="1">
        <values>
          <value t="str">
            <val>--</val>
          </value>
        </values>
      </ddeItem>
      <ddeItem name="2458.TW-Price" advise="1">
        <values>
          <value t="str">
            <val>--</val>
          </value>
        </values>
      </ddeItem>
      <ddeItem name="2459.TW-PreClose" advise="1">
        <values>
          <value>
            <val>59.5</val>
          </value>
        </values>
      </ddeItem>
      <ddeItem name="2459.TW-Price" advise="1">
        <values>
          <value t="str">
            <val>--</val>
          </value>
        </values>
      </ddeItem>
      <ddeItem name="2460.TW-PreClose" advise="1">
        <values>
          <value>
            <val>29.5</val>
          </value>
        </values>
      </ddeItem>
      <ddeItem name="2460.TW-Price" advise="1">
        <values>
          <value t="str">
            <val>--</val>
          </value>
        </values>
      </ddeItem>
      <ddeItem name="2461.TW-PreClose" advise="1">
        <values>
          <value t="str">
            <val>--</val>
          </value>
        </values>
      </ddeItem>
      <ddeItem name="2461.TW-Price" advise="1">
        <values>
          <value t="str">
            <val>--</val>
          </value>
        </values>
      </ddeItem>
      <ddeItem name="2462.TW-PreClose" advise="1">
        <values>
          <value>
            <val>29.8</val>
          </value>
        </values>
      </ddeItem>
      <ddeItem name="2462.TW-Price" advise="1">
        <values>
          <value t="str">
            <val>--</val>
          </value>
        </values>
      </ddeItem>
      <ddeItem name="2464.TW-PreClose" advise="1">
        <values>
          <value t="str">
            <val>--</val>
          </value>
        </values>
      </ddeItem>
      <ddeItem name="2464.TW-Price" advise="1">
        <values>
          <value t="str">
            <val>--</val>
          </value>
        </values>
      </ddeItem>
      <ddeItem name="2465.TW-PreClose" advise="1">
        <values>
          <value>
            <val>69.400000000000006</val>
          </value>
        </values>
      </ddeItem>
      <ddeItem name="2465.TW-Price" advise="1">
        <values>
          <value>
            <val>70.2</val>
          </value>
        </values>
      </ddeItem>
      <ddeItem name="2466.TW-PreClose" advise="1">
        <values>
          <value>
            <val>36.9</val>
          </value>
        </values>
      </ddeItem>
      <ddeItem name="2466.TW-Price" advise="1">
        <values>
          <value t="str">
            <val>--</val>
          </value>
        </values>
      </ddeItem>
      <ddeItem name="2467.TW-PreClose" advise="1">
        <values>
          <value>
            <val>50</val>
          </value>
        </values>
      </ddeItem>
      <ddeItem name="2467.TW-Price" advise="1">
        <values>
          <value>
            <val>50.1</val>
          </value>
        </values>
      </ddeItem>
      <ddeItem name="2468.TW-PreClose" advise="1">
        <values>
          <value>
            <val>13.55</val>
          </value>
        </values>
      </ddeItem>
      <ddeItem name="2468.TW-Price" advise="1">
        <values>
          <value t="str">
            <val>--</val>
          </value>
        </values>
      </ddeItem>
      <ddeItem name="2471.TW-PreClose" advise="1">
        <values>
          <value>
            <val>25</val>
          </value>
        </values>
      </ddeItem>
      <ddeItem name="2471.TW-Price" advise="1">
        <values>
          <value t="str">
            <val>--</val>
          </value>
        </values>
      </ddeItem>
      <ddeItem name="2472.TW-PreClose" advise="1">
        <values>
          <value>
            <val>65.400000000000006</val>
          </value>
        </values>
      </ddeItem>
      <ddeItem name="2472.TW-Price" advise="1">
        <values>
          <value t="str">
            <val>--</val>
          </value>
        </values>
      </ddeItem>
      <ddeItem name="2474.TW-PreClose" advise="1">
        <values>
          <value>
            <val>156</val>
          </value>
        </values>
      </ddeItem>
      <ddeItem name="2474.TW-Price" advise="1">
        <values>
          <value t="str">
            <val>--</val>
          </value>
        </values>
      </ddeItem>
      <ddeItem name="2476.TW-PreClose" advise="1">
        <values>
          <value>
            <val>60.2</val>
          </value>
        </values>
      </ddeItem>
      <ddeItem name="2476.TW-Price" advise="1">
        <values>
          <value t="str">
            <val>--</val>
          </value>
        </values>
      </ddeItem>
      <ddeItem name="2477.TW-PreClose" advise="1">
        <values>
          <value>
            <val>31.3</val>
          </value>
        </values>
      </ddeItem>
      <ddeItem name="2477.TW-Price" advise="1">
        <values>
          <value t="str">
            <val>--</val>
          </value>
        </values>
      </ddeItem>
      <ddeItem name="2478.TW-PreClose" advise="1">
        <values>
          <value t="str">
            <val>--</val>
          </value>
        </values>
      </ddeItem>
      <ddeItem name="2478.TW-Price" advise="1">
        <values>
          <value t="str">
            <val>--</val>
          </value>
        </values>
      </ddeItem>
      <ddeItem name="2480.TW-PreClose" advise="1">
        <values>
          <value>
            <val>72</val>
          </value>
        </values>
      </ddeItem>
      <ddeItem name="2480.TW-Price" advise="1">
        <values>
          <value t="str">
            <val>--</val>
          </value>
        </values>
      </ddeItem>
      <ddeItem name="2481.TW-PreClose" advise="1">
        <values>
          <value>
            <val>106</val>
          </value>
        </values>
      </ddeItem>
      <ddeItem name="2481.TW-Price" advise="1">
        <values>
          <value>
            <val>110.5</val>
          </value>
        </values>
      </ddeItem>
      <ddeItem name="2482.TW-PreClose" advise="1">
        <values>
          <value>
            <val>15.2</val>
          </value>
        </values>
      </ddeItem>
      <ddeItem name="2482.TW-Price" advise="1">
        <values>
          <value t="str">
            <val>--</val>
          </value>
        </values>
      </ddeItem>
      <ddeItem name="2483.TW-PreClose" advise="1">
        <values>
          <value>
            <val>24.55</val>
          </value>
        </values>
      </ddeItem>
      <ddeItem name="2483.TW-Price" advise="1">
        <values>
          <value t="str">
            <val>--</val>
          </value>
        </values>
      </ddeItem>
      <ddeItem name="2484.TW-PreClose" advise="1">
        <values>
          <value>
            <val>41.1</val>
          </value>
        </values>
      </ddeItem>
      <ddeItem name="2484.TW-Price" advise="1">
        <values>
          <value>
            <val>41.1</val>
          </value>
        </values>
      </ddeItem>
      <ddeItem name="2485.TW-PreClose" advise="1">
        <values>
          <value>
            <val>21.4</val>
          </value>
        </values>
      </ddeItem>
      <ddeItem name="2485.TW-Price" advise="1">
        <values>
          <value>
            <val>21.7</val>
          </value>
        </values>
      </ddeItem>
      <ddeItem name="2486.TW-PreClose" advise="1">
        <values>
          <value>
            <val>56.4</val>
          </value>
        </values>
      </ddeItem>
      <ddeItem name="2486.TW-Price" advise="1">
        <values>
          <value>
            <val>56.2</val>
          </value>
        </values>
      </ddeItem>
      <ddeItem name="2488.TW-PreClose" advise="1">
        <values>
          <value t="str">
            <val>--</val>
          </value>
        </values>
      </ddeItem>
      <ddeItem name="2488.TW-Price" advise="1">
        <values>
          <value t="str">
            <val>--</val>
          </value>
        </values>
      </ddeItem>
      <ddeItem name="2491.TW-PreClose" advise="1">
        <values>
          <value t="str">
            <val>--</val>
          </value>
        </values>
      </ddeItem>
      <ddeItem name="2491.TW-Price" advise="1">
        <values>
          <value t="str">
            <val>--</val>
          </value>
        </values>
      </ddeItem>
      <ddeItem name="2492.TW-PreClose" advise="1">
        <values>
          <value t="str">
            <val>--</val>
          </value>
        </values>
      </ddeItem>
      <ddeItem name="2492.TW-Price" advise="1">
        <values>
          <value t="str">
            <val>--</val>
          </value>
        </values>
      </ddeItem>
      <ddeItem name="2493.TW-PreClose" advise="1">
        <values>
          <value>
            <val>37.85</val>
          </value>
        </values>
      </ddeItem>
      <ddeItem name="2493.TW-Price" advise="1">
        <values>
          <value t="str">
            <val>--</val>
          </value>
        </values>
      </ddeItem>
      <ddeItem name="2495.TW-PreClose" advise="1">
        <values>
          <value>
            <val>15.65</val>
          </value>
        </values>
      </ddeItem>
      <ddeItem name="2495.TW-Price" advise="1">
        <values>
          <value t="str">
            <val>--</val>
          </value>
        </values>
      </ddeItem>
      <ddeItem name="2496.TW-PreClose" advise="1">
        <values>
          <value>
            <val>49.75</val>
          </value>
        </values>
      </ddeItem>
      <ddeItem name="2496.TW-Price" advise="1">
        <values>
          <value t="str">
            <val>--</val>
          </value>
        </values>
      </ddeItem>
      <ddeItem name="2497.TW-PreClose" advise="1">
        <values>
          <value t="str">
            <val>--</val>
          </value>
        </values>
      </ddeItem>
      <ddeItem name="2497.TW-Price" advise="1">
        <values>
          <value t="str">
            <val>--</val>
          </value>
        </values>
      </ddeItem>
      <ddeItem name="2498.TW-Capital" advise="1">
        <values>
          <value t="str">
            <val>--</val>
          </value>
        </values>
      </ddeItem>
      <ddeItem name="2498.TW-CashAndStockDividend" advise="1">
        <values>
          <value t="str">
            <val>--</val>
          </value>
        </values>
      </ddeItem>
      <ddeItem name="2498.TW-CashDividendYieldRate" advise="1">
        <values>
          <value t="str">
            <val>--</val>
          </value>
        </values>
      </ddeItem>
      <ddeItem name="2498.TW-MonthlyNetSalesYoY" advise="1">
        <values>
          <value t="str">
            <val>--</val>
          </value>
        </values>
      </ddeItem>
      <ddeItem name="2498.TW-NetIncomeGrowthRate" advise="1">
        <values>
          <value t="str">
            <val>--</val>
          </value>
        </values>
      </ddeItem>
      <ddeItem name="2498.TW-OperatingProfitRatio" advise="1">
        <values>
          <value t="str">
            <val>--</val>
          </value>
        </values>
      </ddeItem>
      <ddeItem name="2498.TW-OperIncomeGrowthRate" advise="1">
        <values>
          <value t="str">
            <val>--</val>
          </value>
        </values>
      </ddeItem>
      <ddeItem name="2498.TW-PreClose" advise="1">
        <values>
          <value>
            <val>78.400000000000006</val>
          </value>
        </values>
      </ddeItem>
      <ddeItem name="2498.TW-Price" advise="1">
        <values>
          <value>
            <val>79.7</val>
          </value>
        </values>
      </ddeItem>
      <ddeItem name="2498.TW-ProfitFourSeason" advise="1">
        <values>
          <value t="str">
            <val>--</val>
          </value>
        </values>
      </ddeItem>
      <ddeItem name="2498.TW-TFXRatio" advise="1">
        <values>
          <value t="str">
            <val>--</val>
          </value>
        </values>
      </ddeItem>
      <ddeItem name="2501.TW-PreClose" advise="1">
        <values>
          <value>
            <val>19.600000000000001</val>
          </value>
        </values>
      </ddeItem>
      <ddeItem name="2501.TW-Price" advise="1">
        <values>
          <value t="str">
            <val>--</val>
          </value>
        </values>
      </ddeItem>
      <ddeItem name="2504.TW-Capital" advise="1">
        <values>
          <value t="str">
            <val>118.00</val>
          </value>
        </values>
      </ddeItem>
      <ddeItem name="2504.TW-CashAndStockDividend" advise="1">
        <values>
          <value t="str">
            <val>1.50</val>
          </value>
        </values>
      </ddeItem>
      <ddeItem name="2504.TW-CashDividendYieldRate" advise="1">
        <values>
          <value>
            <val>5.51</val>
          </value>
        </values>
      </ddeItem>
      <ddeItem name="2504.TW-MonthlyNetSalesYoY" advise="1">
        <values>
          <value t="str">
            <val>9.69</val>
          </value>
        </values>
      </ddeItem>
      <ddeItem name="2504.TW-NetIncomeGrowthRate" advise="1">
        <values>
          <value t="str">
            <val>17.59</val>
          </value>
        </values>
      </ddeItem>
      <ddeItem name="2504.TW-NetProfitMargin" advise="1">
        <values>
          <value t="str">
            <val>13.40</val>
          </value>
        </values>
      </ddeItem>
      <ddeItem name="2504.TW-OperatingProfitRatio" advise="1">
        <values>
          <value t="str">
            <val>14.49</val>
          </value>
        </values>
      </ddeItem>
      <ddeItem name="2504.TW-OperIncomeGrowthRate" advise="1">
        <values>
          <value t="str">
            <val>46.57</val>
          </value>
        </values>
      </ddeItem>
      <ddeItem name="2504.TW-PreClose" advise="1">
        <values>
          <value>
            <val>27.2</val>
          </value>
        </values>
      </ddeItem>
      <ddeItem name="2504.TW-Price" advise="1">
        <values>
          <value t="str">
            <val>--</val>
          </value>
        </values>
      </ddeItem>
      <ddeItem name="2504.TW-ProfitFourSeason" advise="1">
        <values>
          <value t="str">
            <val>2.30</val>
          </value>
        </values>
      </ddeItem>
      <ddeItem name="2504.TW-ProfitMargin" advise="1">
        <values>
          <value t="str">
            <val>18.48</val>
          </value>
        </values>
      </ddeItem>
      <ddeItem name="2504.TW-TFXRatio" advise="1">
        <values>
          <value t="str">
            <val>3.44</val>
          </value>
        </values>
      </ddeItem>
      <ddeItem name="2505.TW-PreClose" advise="1">
        <values>
          <value>
            <val>24.25</val>
          </value>
        </values>
      </ddeItem>
      <ddeItem name="2505.TW-Price" advise="1">
        <values>
          <value t="str">
            <val>--</val>
          </value>
        </values>
      </ddeItem>
      <ddeItem name="2506.TW-PreClose" advise="1">
        <values>
          <value>
            <val>9.76</val>
          </value>
        </values>
      </ddeItem>
      <ddeItem name="2506.TW-Price" advise="1">
        <values>
          <value t="str">
            <val>--</val>
          </value>
        </values>
      </ddeItem>
      <ddeItem name="2509.TW-PreClose" advise="1">
        <values>
          <value>
            <val>18.5</val>
          </value>
        </values>
      </ddeItem>
      <ddeItem name="2509.TW-Price" advise="1">
        <values>
          <value t="str">
            <val>--</val>
          </value>
        </values>
      </ddeItem>
      <ddeItem name="2511.TW-PreClose" advise="1">
        <values>
          <value>
            <val>13.35</val>
          </value>
        </values>
      </ddeItem>
      <ddeItem name="2511.TW-Price" advise="1">
        <values>
          <value t="str">
            <val>--</val>
          </value>
        </values>
      </ddeItem>
      <ddeItem name="2514.TW-PreClose" advise="1">
        <values>
          <value>
            <val>17.850000000000001</val>
          </value>
        </values>
      </ddeItem>
      <ddeItem name="2514.TW-Price" advise="1">
        <values>
          <value t="str">
            <val>--</val>
          </value>
        </values>
      </ddeItem>
      <ddeItem name="2515.TW-PreClose" advise="1">
        <values>
          <value>
            <val>8.98</val>
          </value>
        </values>
      </ddeItem>
      <ddeItem name="2515.TW-Price" advise="1">
        <values>
          <value>
            <val>9</val>
          </value>
        </values>
      </ddeItem>
      <ddeItem name="2516.TW-PreClose" advise="1">
        <values>
          <value>
            <val>6.1</val>
          </value>
        </values>
      </ddeItem>
      <ddeItem name="2516.TW-Price" advise="1">
        <values>
          <value t="str">
            <val>--</val>
          </value>
        </values>
      </ddeItem>
      <ddeItem name="2520.TW-PreClose" advise="1">
        <values>
          <value t="str">
            <val>--</val>
          </value>
        </values>
      </ddeItem>
      <ddeItem name="2520.TW-Price" advise="1">
        <values>
          <value t="str">
            <val>--</val>
          </value>
        </values>
      </ddeItem>
      <ddeItem name="2524.TW-PreClose" advise="1">
        <values>
          <value>
            <val>42.3</val>
          </value>
        </values>
      </ddeItem>
      <ddeItem name="2524.TW-Price" advise="1">
        <values>
          <value t="str">
            <val>--</val>
          </value>
        </values>
      </ddeItem>
      <ddeItem name="2527.TW-PreClose" advise="1">
        <values>
          <value>
            <val>33.25</val>
          </value>
        </values>
      </ddeItem>
      <ddeItem name="2527.TW-Price" advise="1">
        <values>
          <value t="str">
            <val>--</val>
          </value>
        </values>
      </ddeItem>
      <ddeItem name="2528.TW-PreClose" advise="1">
        <values>
          <value>
            <val>21.75</val>
          </value>
        </values>
      </ddeItem>
      <ddeItem name="2528.TW-Price" advise="1">
        <values>
          <value t="str">
            <val>--</val>
          </value>
        </values>
      </ddeItem>
      <ddeItem name="2530.TW-PreClose" advise="1">
        <values>
          <value>
            <val>14.5</val>
          </value>
        </values>
      </ddeItem>
      <ddeItem name="2530.TW-Price" advise="1">
        <values>
          <value t="str">
            <val>--</val>
          </value>
        </values>
      </ddeItem>
      <ddeItem name="2534.TW-PreClose" advise="1">
        <values>
          <value>
            <val>23.4</val>
          </value>
        </values>
      </ddeItem>
      <ddeItem name="2534.TW-Price" advise="1">
        <values>
          <value t="str">
            <val>--</val>
          </value>
        </values>
      </ddeItem>
      <ddeItem name="2535.TW-PreClose" advise="1">
        <values>
          <value>
            <val>32.200000000000003</val>
          </value>
        </values>
      </ddeItem>
      <ddeItem name="2535.TW-Price" advise="1">
        <values>
          <value t="str">
            <val>--</val>
          </value>
        </values>
      </ddeItem>
      <ddeItem name="2536.TW-PreClose" advise="1">
        <values>
          <value t="str">
            <val>--</val>
          </value>
        </values>
      </ddeItem>
      <ddeItem name="2536.TW-Price" advise="1">
        <values>
          <value t="str">
            <val>--</val>
          </value>
        </values>
      </ddeItem>
      <ddeItem name="2537.TW-PreClose" advise="1">
        <values>
          <value t="str">
            <val>--</val>
          </value>
        </values>
      </ddeItem>
      <ddeItem name="2537.TW-Price" advise="1">
        <values>
          <value t="str">
            <val>--</val>
          </value>
        </values>
      </ddeItem>
      <ddeItem name="2538.TW-PreClose" advise="1">
        <values>
          <value>
            <val>13.25</val>
          </value>
        </values>
      </ddeItem>
      <ddeItem name="2538.TW-Price" advise="1">
        <values>
          <value t="str">
            <val>--</val>
          </value>
        </values>
      </ddeItem>
      <ddeItem name="2539.TW-PreClose" advise="1">
        <values>
          <value>
            <val>31.1</val>
          </value>
        </values>
      </ddeItem>
      <ddeItem name="2539.TW-Price" advise="1">
        <values>
          <value t="str">
            <val>--</val>
          </value>
        </values>
      </ddeItem>
      <ddeItem name="2540.TW-PreClose" advise="1">
        <values>
          <value>
            <val>73.5</val>
          </value>
        </values>
      </ddeItem>
      <ddeItem name="2540.TW-Price" advise="1">
        <values>
          <value t="str">
            <val>--</val>
          </value>
        </values>
      </ddeItem>
      <ddeItem name="2542.TW-PreClose" advise="1">
        <values>
          <value>
            <val>46.2</val>
          </value>
        </values>
      </ddeItem>
      <ddeItem name="2542.TW-Price" advise="1">
        <values>
          <value>
            <val>46.25</val>
          </value>
        </values>
      </ddeItem>
      <ddeItem name="2543.TW-PreClose" advise="1">
        <values>
          <value>
            <val>7.75</val>
          </value>
        </values>
      </ddeItem>
      <ddeItem name="2543.TW-Price" advise="1">
        <values>
          <value t="str">
            <val>--</val>
          </value>
        </values>
      </ddeItem>
      <ddeItem name="2545.TW-PreClose" advise="1">
        <values>
          <value>
            <val>37</val>
          </value>
        </values>
      </ddeItem>
      <ddeItem name="2545.TW-Price" advise="1">
        <values>
          <value t="str">
            <val>--</val>
          </value>
        </values>
      </ddeItem>
      <ddeItem name="2546.TW-PreClose" advise="1">
        <values>
          <value t="str">
            <val>--</val>
          </value>
        </values>
      </ddeItem>
      <ddeItem name="2546.TW-Price" advise="1">
        <values>
          <value t="str">
            <val>--</val>
          </value>
        </values>
      </ddeItem>
      <ddeItem name="2547.TW-PreClose" advise="1">
        <values>
          <value t="str">
            <val>--</val>
          </value>
        </values>
      </ddeItem>
      <ddeItem name="2547.TW-Price" advise="1">
        <values>
          <value t="str">
            <val>--</val>
          </value>
        </values>
      </ddeItem>
      <ddeItem name="2548.TW-PreClose" advise="1">
        <values>
          <value t="str">
            <val>--</val>
          </value>
        </values>
      </ddeItem>
      <ddeItem name="2548.TW-Price" advise="1">
        <values>
          <value t="str">
            <val>--</val>
          </value>
        </values>
      </ddeItem>
      <ddeItem name="2596.TW-PreClose" advise="1">
        <values>
          <value>
            <val>23.5</val>
          </value>
        </values>
      </ddeItem>
      <ddeItem name="2596.TW-Price" advise="1">
        <values>
          <value t="str">
            <val>--</val>
          </value>
        </values>
      </ddeItem>
      <ddeItem name="2597.TW-PreClose" advise="1">
        <values>
          <value>
            <val>123.5</val>
          </value>
        </values>
      </ddeItem>
      <ddeItem name="2597.TW-Price" advise="1">
        <values>
          <value t="str">
            <val>--</val>
          </value>
        </values>
      </ddeItem>
      <ddeItem name="2601.TW-PreClose" advise="1">
        <values>
          <value>
            <val>12.9</val>
          </value>
        </values>
      </ddeItem>
      <ddeItem name="2601.TW-Price" advise="1">
        <values>
          <value>
            <val>13</val>
          </value>
        </values>
      </ddeItem>
      <ddeItem name="2603.TW-Capital" advise="1">
        <values>
          <value t="str">
            <val>0.00</val>
          </value>
        </values>
      </ddeItem>
      <ddeItem name="2603.TW-CashAndStockDividend" advise="1">
        <values>
          <value t="str">
            <val>0.00</val>
          </value>
        </values>
      </ddeItem>
      <ddeItem name="2603.TW-CashDividendYieldRate" advise="1">
        <values>
          <value t="str">
            <val>--</val>
          </value>
        </values>
      </ddeItem>
      <ddeItem name="2603.TW-MonthlyNetSalesYoY" advise="1">
        <values>
          <value t="str">
            <val>0.00</val>
          </value>
        </values>
      </ddeItem>
      <ddeItem name="2603.TW-NetIncomeGrowthRate" advise="1">
        <values>
          <value t="str">
            <val>0.00</val>
          </value>
        </values>
      </ddeItem>
      <ddeItem name="2603.TW-NetProfitMargin" advise="1">
        <values>
          <value t="str">
            <val>0.00</val>
          </value>
        </values>
      </ddeItem>
      <ddeItem name="2603.TW-OperatingProfitRatio" advise="1">
        <values>
          <value t="str">
            <val>0.00</val>
          </value>
        </values>
      </ddeItem>
      <ddeItem name="2603.TW-OperIncomeGrowthRate" advise="1">
        <values>
          <value t="str">
            <val>0.00</val>
          </value>
        </values>
      </ddeItem>
      <ddeItem name="2603.TW-PreClose" advise="1">
        <values>
          <value t="str">
            <val>--</val>
          </value>
        </values>
      </ddeItem>
      <ddeItem name="2603.TW-Price" advise="1">
        <values>
          <value t="str">
            <val>--</val>
          </value>
        </values>
      </ddeItem>
      <ddeItem name="2603.TW-ProfitFourSeason" advise="1">
        <values>
          <value t="str">
            <val>0.00</val>
          </value>
        </values>
      </ddeItem>
      <ddeItem name="2603.TW-ProfitMargin" advise="1">
        <values>
          <value t="str">
            <val>0.00</val>
          </value>
        </values>
      </ddeItem>
      <ddeItem name="2603.TW-TFXRatio" advise="1">
        <values>
          <value t="str">
            <val>0.00</val>
          </value>
        </values>
      </ddeItem>
      <ddeItem name="2605.TW-PreClose" advise="1">
        <values>
          <value t="str">
            <val>--</val>
          </value>
        </values>
      </ddeItem>
      <ddeItem name="2605.TW-Price" advise="1">
        <values>
          <value t="str">
            <val>--</val>
          </value>
        </values>
      </ddeItem>
      <ddeItem name="2606.TW-PreClose" advise="1">
        <values>
          <value>
            <val>52.9</val>
          </value>
        </values>
      </ddeItem>
      <ddeItem name="2606.TW-Price" advise="1">
        <values>
          <value t="str">
            <val>--</val>
          </value>
        </values>
      </ddeItem>
      <ddeItem name="2607.TW-PreClose" advise="1">
        <values>
          <value>
            <val>28.75</val>
          </value>
        </values>
      </ddeItem>
      <ddeItem name="2607.TW-Price" advise="1">
        <values>
          <value t="str">
            <val>--</val>
          </value>
        </values>
      </ddeItem>
      <ddeItem name="2608.TW-PreClose" advise="1">
        <values>
          <value>
            <val>43.55</val>
          </value>
        </values>
      </ddeItem>
      <ddeItem name="2608.TW-Price" advise="1">
        <values>
          <value t="str">
            <val>--</val>
          </value>
        </values>
      </ddeItem>
      <ddeItem name="2609.TW-Capital" advise="1">
        <values>
          <value t="str">
            <val>--</val>
          </value>
        </values>
      </ddeItem>
      <ddeItem name="2609.TW-CashAndStockDividend" advise="1">
        <values>
          <value t="str">
            <val>--</val>
          </value>
        </values>
      </ddeItem>
      <ddeItem name="2609.TW-CashDividendYieldRate" advise="1">
        <values>
          <value t="str">
            <val>--</val>
          </value>
        </values>
      </ddeItem>
      <ddeItem name="2609.TW-MonthlyNetSalesYoY" advise="1">
        <values>
          <value t="str">
            <val>--</val>
          </value>
        </values>
      </ddeItem>
      <ddeItem name="2609.TW-NetIncomeGrowthRate" advise="1">
        <values>
          <value t="str">
            <val>--</val>
          </value>
        </values>
      </ddeItem>
      <ddeItem name="2609.TW-NetProfitMargin" advise="1">
        <values>
          <value t="str">
            <val>--</val>
          </value>
        </values>
      </ddeItem>
      <ddeItem name="2609.TW-OperatingProfitRatio" advise="1">
        <values>
          <value t="str">
            <val>--</val>
          </value>
        </values>
      </ddeItem>
      <ddeItem name="2609.TW-OperIncomeGrowthRate" advise="1">
        <values>
          <value t="str">
            <val>--</val>
          </value>
        </values>
      </ddeItem>
      <ddeItem name="2609.TW-PreClose" advise="1">
        <values>
          <value>
            <val>111</val>
          </value>
        </values>
      </ddeItem>
      <ddeItem name="2609.TW-Price" advise="1">
        <values>
          <value>
            <val>111.5</val>
          </value>
        </values>
      </ddeItem>
      <ddeItem name="2609.TW-ProfitFourSeason" advise="1">
        <values>
          <value t="str">
            <val>--</val>
          </value>
        </values>
      </ddeItem>
      <ddeItem name="2609.TW-ProfitMargin" advise="1">
        <values>
          <value t="str">
            <val>--</val>
          </value>
        </values>
      </ddeItem>
      <ddeItem name="2609.TW-TFXRatio" advise="1">
        <values>
          <value t="str">
            <val>--</val>
          </value>
        </values>
      </ddeItem>
      <ddeItem name="2610.TW-Capital" advise="1">
        <values>
          <value t="str">
            <val>575.15</val>
          </value>
        </values>
      </ddeItem>
      <ddeItem name="2610.TW-CashAndStockDividend" advise="1">
        <values>
          <value t="str">
            <val>0.00</val>
          </value>
        </values>
      </ddeItem>
      <ddeItem name="2610.TW-CashDividendYieldRate" advise="1">
        <values>
          <value>
            <val>0</val>
          </value>
        </values>
      </ddeItem>
      <ddeItem name="2610.TW-MonthlyNetSalesYoY" advise="1">
        <values>
          <value t="str">
            <val>54.82</val>
          </value>
        </values>
      </ddeItem>
      <ddeItem name="2610.TW-NetIncomeGrowthRate" advise="1">
        <values>
          <value t="str">
            <val>146.24</val>
          </value>
        </values>
      </ddeItem>
      <ddeItem name="2610.TW-NetProfitMargin" advise="1">
        <values>
          <value t="str">
            <val>1.20</val>
          </value>
        </values>
      </ddeItem>
      <ddeItem name="2610.TW-OperatingProfitRatio" advise="1">
        <values>
          <value t="str">
            <val>5.15</val>
          </value>
        </values>
      </ddeItem>
      <ddeItem name="2610.TW-OperIncomeGrowthRate" advise="1">
        <values>
          <value t="str">
            <val>913.24</val>
          </value>
        </values>
      </ddeItem>
      <ddeItem name="2610.TW-PreClose" advise="1">
        <values>
          <value>
            <val>27.75</val>
          </value>
        </values>
      </ddeItem>
      <ddeItem name="2610.TW-Price" advise="1">
        <values>
          <value>
            <val>28.4</val>
          </value>
        </values>
      </ddeItem>
      <ddeItem name="2610.TW-ProfitFourSeason" advise="1">
        <values>
          <value t="str">
            <val>0.68</val>
          </value>
        </values>
      </ddeItem>
      <ddeItem name="2610.TW-ProfitMargin" advise="1">
        <values>
          <value t="str">
            <val>10.98</val>
          </value>
        </values>
      </ddeItem>
      <ddeItem name="2610.TW-TFXRatio" advise="1">
        <values>
          <value t="str">
            <val>14.56</val>
          </value>
        </values>
      </ddeItem>
      <ddeItem name="2611.TW-PreClose" advise="1">
        <values>
          <value t="str">
            <val>--</val>
          </value>
        </values>
      </ddeItem>
      <ddeItem name="2611.TW-Price" advise="1">
        <values>
          <value t="str">
            <val>--</val>
          </value>
        </values>
      </ddeItem>
      <ddeItem name="2612.TW-PreClose" advise="1">
        <values>
          <value>
            <val>56.4</val>
          </value>
        </values>
      </ddeItem>
      <ddeItem name="2612.TW-Price" advise="1">
        <values>
          <value t="str">
            <val>--</val>
          </value>
        </values>
      </ddeItem>
      <ddeItem name="2613.TW-PreClose" advise="1">
        <values>
          <value>
            <val>26.3</val>
          </value>
        </values>
      </ddeItem>
      <ddeItem name="2613.TW-Price" advise="1">
        <values>
          <value t="str">
            <val>--</val>
          </value>
        </values>
      </ddeItem>
      <ddeItem name="2614.TW-Capital" advise="1">
        <values>
          <value t="str">
            <val>--</val>
          </value>
        </values>
      </ddeItem>
      <ddeItem name="2614.TW-CashAndStockDividend" advise="1">
        <values>
          <value t="str">
            <val>--</val>
          </value>
        </values>
      </ddeItem>
      <ddeItem name="2614.TW-CashDividendYieldRate" advise="1">
        <values>
          <value t="str">
            <val>--</val>
          </value>
        </values>
      </ddeItem>
      <ddeItem name="2614.TW-MonthlyNetSalesYoY" advise="1">
        <values>
          <value t="str">
            <val>--</val>
          </value>
        </values>
      </ddeItem>
      <ddeItem name="2614.TW-NetIncomeGrowthRate" advise="1">
        <values>
          <value t="str">
            <val>--</val>
          </value>
        </values>
      </ddeItem>
      <ddeItem name="2614.TW-NetProfitMargin" advise="1">
        <values>
          <value t="str">
            <val>--</val>
          </value>
        </values>
      </ddeItem>
      <ddeItem name="2614.TW-OperatingProfitRatio" advise="1">
        <values>
          <value t="str">
            <val>--</val>
          </value>
        </values>
      </ddeItem>
      <ddeItem name="2614.TW-OperIncomeGrowthRate" advise="1">
        <values>
          <value t="str">
            <val>--</val>
          </value>
        </values>
      </ddeItem>
      <ddeItem name="2614.TW-PreClose" advise="1">
        <values>
          <value>
            <val>32.700000000000003</val>
          </value>
        </values>
      </ddeItem>
      <ddeItem name="2614.TW-Price" advise="1">
        <values>
          <value t="str">
            <val>--</val>
          </value>
        </values>
      </ddeItem>
      <ddeItem name="2614.TW-ProfitFourSeason" advise="1">
        <values>
          <value t="str">
            <val>--</val>
          </value>
        </values>
      </ddeItem>
      <ddeItem name="2614.TW-ProfitMargin" advise="1">
        <values>
          <value t="str">
            <val>--</val>
          </value>
        </values>
      </ddeItem>
      <ddeItem name="2614.TW-TFXRatio" advise="1">
        <values>
          <value t="str">
            <val>--</val>
          </value>
        </values>
      </ddeItem>
      <ddeItem name="2615.TW-Capital" advise="1">
        <values>
          <value t="str">
            <val>0.00</val>
          </value>
        </values>
      </ddeItem>
      <ddeItem name="2615.TW-CashAndStockDividend" advise="1">
        <values>
          <value t="str">
            <val>0.00</val>
          </value>
        </values>
      </ddeItem>
      <ddeItem name="2615.TW-CashDividendYieldRate" advise="1">
        <values>
          <value t="str">
            <val>--</val>
          </value>
        </values>
      </ddeItem>
      <ddeItem name="2615.TW-MonthlyNetSalesYoY" advise="1">
        <values>
          <value t="str">
            <val>0.00</val>
          </value>
        </values>
      </ddeItem>
      <ddeItem name="2615.TW-NetIncomeGrowthRate" advise="1">
        <values>
          <value t="str">
            <val>0.00</val>
          </value>
        </values>
      </ddeItem>
      <ddeItem name="2615.TW-NetProfitMargin" advise="1">
        <values>
          <value t="str">
            <val>0.00</val>
          </value>
        </values>
      </ddeItem>
      <ddeItem name="2615.TW-OperatingProfitRatio" advise="1">
        <values>
          <value t="str">
            <val>0.00</val>
          </value>
        </values>
      </ddeItem>
      <ddeItem name="2615.TW-OperIncomeGrowthRate" advise="1">
        <values>
          <value t="str">
            <val>0.00</val>
          </value>
        </values>
      </ddeItem>
      <ddeItem name="2615.TW-PreClose" advise="1">
        <values>
          <value t="str">
            <val>--</val>
          </value>
        </values>
      </ddeItem>
      <ddeItem name="2615.TW-Price" advise="1">
        <values>
          <value t="str">
            <val>--</val>
          </value>
        </values>
      </ddeItem>
      <ddeItem name="2615.TW-ProfitFourSeason" advise="1">
        <values>
          <value t="str">
            <val>0.00</val>
          </value>
        </values>
      </ddeItem>
      <ddeItem name="2615.TW-ProfitMargin" advise="1">
        <values>
          <value t="str">
            <val>0.00</val>
          </value>
        </values>
      </ddeItem>
      <ddeItem name="2615.TW-TFXRatio" advise="1">
        <values>
          <value t="str">
            <val>0.00</val>
          </value>
        </values>
      </ddeItem>
      <ddeItem name="2616.TW-PreClose" advise="1">
        <values>
          <value>
            <val>36.200000000000003</val>
          </value>
        </values>
      </ddeItem>
      <ddeItem name="2616.TW-Price" advise="1">
        <values>
          <value t="str">
            <val>--</val>
          </value>
        </values>
      </ddeItem>
      <ddeItem name="2617.TW-PreClose" advise="1">
        <values>
          <value>
            <val>36.450000000000003</val>
          </value>
        </values>
      </ddeItem>
      <ddeItem name="2617.TW-Price" advise="1">
        <values>
          <value t="str">
            <val>--</val>
          </value>
        </values>
      </ddeItem>
      <ddeItem name="2618.TW-Capital" advise="1">
        <values>
          <value t="str">
            <val>513.92</val>
          </value>
        </values>
      </ddeItem>
      <ddeItem name="2618.TW-CashAndStockDividend" advise="1">
        <values>
          <value t="str">
            <val>0.00</val>
          </value>
        </values>
      </ddeItem>
      <ddeItem name="2618.TW-CashDividendYieldRate" advise="1">
        <values>
          <value>
            <val>0</val>
          </value>
        </values>
      </ddeItem>
      <ddeItem name="2618.TW-MonthlyNetSalesYoY" advise="1">
        <values>
          <value t="str">
            <val>57.18</val>
          </value>
        </values>
      </ddeItem>
      <ddeItem name="2618.TW-NetIncomeGrowthRate" advise="1">
        <values>
          <value t="str">
            <val>83.59</val>
          </value>
        </values>
      </ddeItem>
      <ddeItem name="2618.TW-NetProfitMargin" advise="1">
        <values>
          <value t="str">
            <val>-0.84</val>
          </value>
        </values>
      </ddeItem>
      <ddeItem name="2618.TW-OperatingProfitRatio" advise="1">
        <values>
          <value t="str">
            <val>1.94</val>
          </value>
        </values>
      </ddeItem>
      <ddeItem name="2618.TW-OperIncomeGrowthRate" advise="1">
        <values>
          <value t="str">
            <val>185.78</val>
          </value>
        </values>
      </ddeItem>
      <ddeItem name="2618.TW-PreClose" advise="1">
        <values>
          <value>
            <val>25.8</val>
          </value>
        </values>
      </ddeItem>
      <ddeItem name="2618.TW-Price" advise="1">
        <values>
          <value>
            <val>26.15</val>
          </value>
        </values>
      </ddeItem>
      <ddeItem name="2618.TW-ProfitFourSeason" advise="1">
        <values>
          <value t="str">
            <val>-0.06</val>
          </value>
        </values>
      </ddeItem>
      <ddeItem name="2618.TW-ProfitMargin" advise="1">
        <values>
          <value t="str">
            <val>11.18</val>
          </value>
        </values>
      </ddeItem>
      <ddeItem name="2618.TW-TFXRatio" advise="1">
        <values>
          <value t="str">
            <val>21.76</val>
          </value>
        </values>
      </ddeItem>
      <ddeItem name="2630.TW-PreClose" advise="1">
        <values>
          <value>
            <val>19.7</val>
          </value>
        </values>
      </ddeItem>
      <ddeItem name="2630.TW-Price" advise="1">
        <values>
          <value t="str">
            <val>--</val>
          </value>
        </values>
      </ddeItem>
      <ddeItem name="2633.TW-PreClose" advise="1">
        <values>
          <value>
            <val>29.6</val>
          </value>
        </values>
      </ddeItem>
      <ddeItem name="2633.TW-Price" advise="1">
        <values>
          <value t="str">
            <val>--</val>
          </value>
        </values>
      </ddeItem>
      <ddeItem name="2634.TW-PreClose" advise="1">
        <values>
          <value>
            <val>30.2</val>
          </value>
        </values>
      </ddeItem>
      <ddeItem name="2634.TW-Price" advise="1">
        <values>
          <value t="str">
            <val>--</val>
          </value>
        </values>
      </ddeItem>
      <ddeItem name="2636.TW-PreClose" advise="1">
        <values>
          <value t="str">
            <val>--</val>
          </value>
        </values>
      </ddeItem>
      <ddeItem name="2636.TW-Price" advise="1">
        <values>
          <value t="str">
            <val>--</val>
          </value>
        </values>
      </ddeItem>
      <ddeItem name="2637.TW-PreClose" advise="1">
        <values>
          <value>
            <val>71.5</val>
          </value>
        </values>
      </ddeItem>
      <ddeItem name="2637.TW-Price" advise="1">
        <values>
          <value t="str">
            <val>--</val>
          </value>
        </values>
      </ddeItem>
      <ddeItem name="2640.TW-PreClose" advise="1">
        <values>
          <value>
            <val>74</val>
          </value>
        </values>
      </ddeItem>
      <ddeItem name="2640.TW-Price" advise="1">
        <values>
          <value t="str">
            <val>--</val>
          </value>
        </values>
      </ddeItem>
      <ddeItem name="2641.TW-PreClose" advise="1">
        <values>
          <value>
            <val>24.6</val>
          </value>
        </values>
      </ddeItem>
      <ddeItem name="2641.TW-Price" advise="1">
        <values>
          <value t="str">
            <val>--</val>
          </value>
        </values>
      </ddeItem>
      <ddeItem name="2642.TW-PreClose" advise="1">
        <values>
          <value>
            <val>68.8</val>
          </value>
        </values>
      </ddeItem>
      <ddeItem name="2642.TW-Price" advise="1">
        <values>
          <value t="str">
            <val>--</val>
          </value>
        </values>
      </ddeItem>
      <ddeItem name="2643.TW-PreClose" advise="1">
        <values>
          <value>
            <val>77.3</val>
          </value>
        </values>
      </ddeItem>
      <ddeItem name="2643.TW-Price" advise="1">
        <values>
          <value t="str">
            <val>--</val>
          </value>
        </values>
      </ddeItem>
      <ddeItem name="2701.TW-PreClose" advise="1">
        <values>
          <value>
            <val>12.4</val>
          </value>
        </values>
      </ddeItem>
      <ddeItem name="2701.TW-Price" advise="1">
        <values>
          <value t="str">
            <val>--</val>
          </value>
        </values>
      </ddeItem>
      <ddeItem name="2702.TW-PreClose" advise="1">
        <values>
          <value t="str">
            <val>--</val>
          </value>
        </values>
      </ddeItem>
      <ddeItem name="2702.TW-Price" advise="1">
        <values>
          <value t="str">
            <val>--</val>
          </value>
        </values>
      </ddeItem>
      <ddeItem name="2704.TW-PreClose" advise="1">
        <values>
          <value>
            <val>30.95</val>
          </value>
        </values>
      </ddeItem>
      <ddeItem name="2704.TW-Price" advise="1">
        <values>
          <value t="str">
            <val>--</val>
          </value>
        </values>
      </ddeItem>
      <ddeItem name="2705.TW-PreClose" advise="1">
        <values>
          <value>
            <val>18.149999999999999</val>
          </value>
        </values>
      </ddeItem>
      <ddeItem name="2705.TW-Price" advise="1">
        <values>
          <value t="str">
            <val>--</val>
          </value>
        </values>
      </ddeItem>
      <ddeItem name="2706.TW-PreClose" advise="1">
        <values>
          <value t="str">
            <val>--</val>
          </value>
        </values>
      </ddeItem>
      <ddeItem name="2706.TW-Price" advise="1">
        <values>
          <value t="str">
            <val>--</val>
          </value>
        </values>
      </ddeItem>
      <ddeItem name="2707.TW-PreClose" advise="1">
        <values>
          <value>
            <val>150.5</val>
          </value>
        </values>
      </ddeItem>
      <ddeItem name="2707.TW-Price" advise="1">
        <values>
          <value t="str">
            <val>--</val>
          </value>
        </values>
      </ddeItem>
      <ddeItem name="2712.TW-PreClose" advise="1">
        <values>
          <value>
            <val>37.950000000000003</val>
          </value>
        </values>
      </ddeItem>
      <ddeItem name="2712.TW-Price" advise="1">
        <values>
          <value t="str">
            <val>--</val>
          </value>
        </values>
      </ddeItem>
      <ddeItem name="2718.TW-PreClose" advise="1">
        <values>
          <value>
            <val>31.1</val>
          </value>
        </values>
      </ddeItem>
      <ddeItem name="2718.TW-Price" advise="1">
        <values>
          <value t="str">
            <val>--</val>
          </value>
        </values>
      </ddeItem>
      <ddeItem name="2719.TW-PreClose" advise="1">
        <values>
          <value>
            <val>12.1</val>
          </value>
        </values>
      </ddeItem>
      <ddeItem name="2719.TW-Price" advise="1">
        <values>
          <value t="str">
            <val>--</val>
          </value>
        </values>
      </ddeItem>
      <ddeItem name="2722.TW-PreClose" advise="1">
        <values>
          <value>
            <val>31.65</val>
          </value>
        </values>
      </ddeItem>
      <ddeItem name="2722.TW-Price" advise="1">
        <values>
          <value t="str">
            <val>--</val>
          </value>
        </values>
      </ddeItem>
      <ddeItem name="2723.TW-PreClose" advise="1">
        <values>
          <value>
            <val>120.5</val>
          </value>
        </values>
      </ddeItem>
      <ddeItem name="2723.TW-Price" advise="1">
        <values>
          <value t="str">
            <val>--</val>
          </value>
        </values>
      </ddeItem>
      <ddeItem name="2724.TW-PreClose" advise="1">
        <values>
          <value>
            <val>7.5</val>
          </value>
        </values>
      </ddeItem>
      <ddeItem name="2724.TW-Price" advise="1">
        <values>
          <value t="str">
            <val>--</val>
          </value>
        </values>
      </ddeItem>
      <ddeItem name="2726.TW-PreClose" advise="1">
        <values>
          <value>
            <val>33.700000000000003</val>
          </value>
        </values>
      </ddeItem>
      <ddeItem name="2726.TW-Price" advise="1">
        <values>
          <value t="str">
            <val>--</val>
          </value>
        </values>
      </ddeItem>
      <ddeItem name="2727.TW-PreClose" advise="1">
        <values>
          <value>
            <val>140.5</val>
          </value>
        </values>
      </ddeItem>
      <ddeItem name="2727.TW-Price" advise="1">
        <values>
          <value>
            <val>141.5</val>
          </value>
        </values>
      </ddeItem>
      <ddeItem name="2729.TW-PreClose" advise="1">
        <values>
          <value>
            <val>230</val>
          </value>
        </values>
      </ddeItem>
      <ddeItem name="2729.TW-Price" advise="1">
        <values>
          <value t="str">
            <val>--</val>
          </value>
        </values>
      </ddeItem>
      <ddeItem name="2731.TW-PreClose" advise="1">
        <values>
          <value>
            <val>88.4</val>
          </value>
        </values>
      </ddeItem>
      <ddeItem name="2731.TW-Price" advise="1">
        <values>
          <value t="str">
            <val>--</val>
          </value>
        </values>
      </ddeItem>
      <ddeItem name="2732.TW-PreClose" advise="1">
        <values>
          <value t="str">
            <val>--</val>
          </value>
        </values>
      </ddeItem>
      <ddeItem name="2732.TW-Price" advise="1">
        <values>
          <value t="str">
            <val>--</val>
          </value>
        </values>
      </ddeItem>
      <ddeItem name="2734.TW-PreClose" advise="1">
        <values>
          <value>
            <val>22.8</val>
          </value>
        </values>
      </ddeItem>
      <ddeItem name="2734.TW-Price" advise="1">
        <values>
          <value t="str">
            <val>--</val>
          </value>
        </values>
      </ddeItem>
      <ddeItem name="2736.TW-PreClose" advise="1">
        <values>
          <value>
            <val>15.4</val>
          </value>
        </values>
      </ddeItem>
      <ddeItem name="2736.TW-Price" advise="1">
        <values>
          <value t="str">
            <val>--</val>
          </value>
        </values>
      </ddeItem>
      <ddeItem name="2739.TW-PreClose" advise="1">
        <values>
          <value>
            <val>22.65</val>
          </value>
        </values>
      </ddeItem>
      <ddeItem name="2739.TW-Price" advise="1">
        <values>
          <value t="str">
            <val>--</val>
          </value>
        </values>
      </ddeItem>
      <ddeItem name="2740.TW-PreClose" advise="1">
        <values>
          <value>
            <val>21.15</val>
          </value>
        </values>
      </ddeItem>
      <ddeItem name="2740.TW-Price" advise="1">
        <values>
          <value t="str">
            <val>--</val>
          </value>
        </values>
      </ddeItem>
      <ddeItem name="2743.TW-PreClose" advise="1">
        <values>
          <value>
            <val>23.65</val>
          </value>
        </values>
      </ddeItem>
      <ddeItem name="2743.TW-Price" advise="1">
        <values>
          <value t="str">
            <val>--</val>
          </value>
        </values>
      </ddeItem>
      <ddeItem name="2745.TW-PreClose" advise="1">
        <values>
          <value>
            <val>24</val>
          </value>
        </values>
      </ddeItem>
      <ddeItem name="2745.TW-Price" advise="1">
        <values>
          <value t="str">
            <val>--</val>
          </value>
        </values>
      </ddeItem>
      <ddeItem name="2748.TW-PreClose" advise="1">
        <values>
          <value t="str">
            <val>--</val>
          </value>
        </values>
      </ddeItem>
      <ddeItem name="2748.TW-Price" advise="1">
        <values>
          <value t="str">
            <val>--</val>
          </value>
        </values>
      </ddeItem>
      <ddeItem name="2752.TW-PreClose" advise="1">
        <values>
          <value>
            <val>156.5</val>
          </value>
        </values>
      </ddeItem>
      <ddeItem name="2752.TW-Price" advise="1">
        <values>
          <value t="str">
            <val>--</val>
          </value>
        </values>
      </ddeItem>
      <ddeItem name="2753.TW-PreClose" advise="1">
        <values>
          <value>
            <val>126</val>
          </value>
        </values>
      </ddeItem>
      <ddeItem name="2753.TW-Price" advise="1">
        <values>
          <value t="str">
            <val>--</val>
          </value>
        </values>
      </ddeItem>
      <ddeItem name="2754.TW-PreClose" advise="1">
        <values>
          <value t="str">
            <val>--</val>
          </value>
        </values>
      </ddeItem>
      <ddeItem name="2754.TW-Price" advise="1">
        <values>
          <value t="str">
            <val>--</val>
          </value>
        </values>
      </ddeItem>
      <ddeItem name="2755.TW-PreClose" advise="1">
        <values>
          <value>
            <val>55.8</val>
          </value>
        </values>
      </ddeItem>
      <ddeItem name="2755.TW-Price" advise="1">
        <values>
          <value t="str">
            <val>--</val>
          </value>
        </values>
      </ddeItem>
      <ddeItem name="2801.TW-Capital" advise="1">
        <values>
          <value t="str">
            <val>--</val>
          </value>
        </values>
      </ddeItem>
      <ddeItem name="2801.TW-CashAndStockDividend" advise="1">
        <values>
          <value t="str">
            <val>--</val>
          </value>
        </values>
      </ddeItem>
      <ddeItem name="2801.TW-CashDividendYieldRate" advise="1">
        <values>
          <value t="str">
            <val>--</val>
          </value>
        </values>
      </ddeItem>
      <ddeItem name="2801.TW-MonthlyNetSalesYoY" advise="1">
        <values>
          <value t="str">
            <val>--</val>
          </value>
        </values>
      </ddeItem>
      <ddeItem name="2801.TW-NetIncomeGrowthRate" advise="1">
        <values>
          <value t="str">
            <val>--</val>
          </value>
        </values>
      </ddeItem>
      <ddeItem name="2801.TW-OperatingProfitRatio" advise="1">
        <values>
          <value t="str">
            <val>--</val>
          </value>
        </values>
      </ddeItem>
      <ddeItem name="2801.TW-OperIncomeGrowthRate" advise="1">
        <values>
          <value t="str">
            <val>--</val>
          </value>
        </values>
      </ddeItem>
      <ddeItem name="2801.TW-PreClose" advise="1">
        <values>
          <value>
            <val>17.05</val>
          </value>
        </values>
      </ddeItem>
      <ddeItem name="2801.TW-Price" advise="1">
        <values>
          <value t="str">
            <val>--</val>
          </value>
        </values>
      </ddeItem>
      <ddeItem name="2801.TW-ProfitFourSeason" advise="1">
        <values>
          <value t="str">
            <val>--</val>
          </value>
        </values>
      </ddeItem>
      <ddeItem name="2801.TW-TFXRatio" advise="1">
        <values>
          <value t="str">
            <val>--</val>
          </value>
        </values>
      </ddeItem>
      <ddeItem name="2809.TW-PreClose" advise="1">
        <values>
          <value>
            <val>40.950000000000003</val>
          </value>
        </values>
      </ddeItem>
      <ddeItem name="2809.TW-Price" advise="1">
        <values>
          <value t="str">
            <val>--</val>
          </value>
        </values>
      </ddeItem>
      <ddeItem name="2812.TW-PreClose" advise="1">
        <values>
          <value>
            <val>12</val>
          </value>
        </values>
      </ddeItem>
      <ddeItem name="2812.TW-Price" advise="1">
        <values>
          <value t="str">
            <val>--</val>
          </value>
        </values>
      </ddeItem>
      <ddeItem name="2816.TW-PreClose" advise="1">
        <values>
          <value t="str">
            <val>--</val>
          </value>
        </values>
      </ddeItem>
      <ddeItem name="2816.TW-Price" advise="1">
        <values>
          <value t="str">
            <val>--</val>
          </value>
        </values>
      </ddeItem>
      <ddeItem name="2820.TW-PreClose" advise="1">
        <values>
          <value>
            <val>17.399999999999999</val>
          </value>
        </values>
      </ddeItem>
      <ddeItem name="2820.TW-Price" advise="1">
        <values>
          <value t="str">
            <val>--</val>
          </value>
        </values>
      </ddeItem>
      <ddeItem name="2823.TW-PreClose" advise="1">
        <values>
          <value>
            <val>30.55</val>
          </value>
        </values>
      </ddeItem>
      <ddeItem name="2823.TW-Price" advise="1">
        <values>
          <value>
            <val>30.9</val>
          </value>
        </values>
      </ddeItem>
      <ddeItem name="2832.TW-PreClose" advise="1">
        <values>
          <value>
            <val>20.2</val>
          </value>
        </values>
      </ddeItem>
      <ddeItem name="2832.TW-Price" advise="1">
        <values>
          <value t="str">
            <val>--</val>
          </value>
        </values>
      </ddeItem>
      <ddeItem name="2834.TW-PreClose" advise="1">
        <values>
          <value>
            <val>9.82</val>
          </value>
        </values>
      </ddeItem>
      <ddeItem name="2834.TW-Price" advise="1">
        <values>
          <value>
            <val>9.89</val>
          </value>
        </values>
      </ddeItem>
      <ddeItem name="2836.TW-PreClose" advise="1">
        <values>
          <value t="str">
            <val>--</val>
          </value>
        </values>
      </ddeItem>
      <ddeItem name="2836.TW-Price" advise="1">
        <values>
          <value t="str">
            <val>--</val>
          </value>
        </values>
      </ddeItem>
      <ddeItem name="2838.TW-PreClose" advise="1">
        <values>
          <value>
            <val>12.25</val>
          </value>
        </values>
      </ddeItem>
      <ddeItem name="2838.TW-Price" advise="1">
        <values>
          <value>
            <val>12.3</val>
          </value>
        </values>
      </ddeItem>
      <ddeItem name="2841.TW-PreClose" advise="1">
        <values>
          <value>
            <val>4.08</val>
          </value>
        </values>
      </ddeItem>
      <ddeItem name="2841.TW-Price" advise="1">
        <values>
          <value t="str">
            <val>--</val>
          </value>
        </values>
      </ddeItem>
      <ddeItem name="2845.TW-PreClose" advise="1">
        <values>
          <value>
            <val>10.7</val>
          </value>
        </values>
      </ddeItem>
      <ddeItem name="2845.TW-Price" advise="1">
        <values>
          <value t="str">
            <val>--</val>
          </value>
        </values>
      </ddeItem>
      <ddeItem name="2849.TW-PreClose" advise="1">
        <values>
          <value>
            <val>16.75</val>
          </value>
        </values>
      </ddeItem>
      <ddeItem name="2849.TW-Price" advise="1">
        <values>
          <value>
            <val>16.75</val>
          </value>
        </values>
      </ddeItem>
      <ddeItem name="2850.TW-PreClose" advise="1">
        <values>
          <value>
            <val>48.35</val>
          </value>
        </values>
      </ddeItem>
      <ddeItem name="2850.TW-Price" advise="1">
        <values>
          <value t="str">
            <val>--</val>
          </value>
        </values>
      </ddeItem>
      <ddeItem name="2851.TW-PreClose" advise="1">
        <values>
          <value>
            <val>28.75</val>
          </value>
        </values>
      </ddeItem>
      <ddeItem name="2851.TW-Price" advise="1">
        <values>
          <value t="str">
            <val>--</val>
          </value>
        </values>
      </ddeItem>
      <ddeItem name="2852.TW-PreClose" advise="1">
        <values>
          <value t="str">
            <val>--</val>
          </value>
        </values>
      </ddeItem>
      <ddeItem name="2852.TW-Price" advise="1">
        <values>
          <value t="str">
            <val>--</val>
          </value>
        </values>
      </ddeItem>
      <ddeItem name="2855.TW-PreClose" advise="1">
        <values>
          <value>
            <val>23.2</val>
          </value>
        </values>
      </ddeItem>
      <ddeItem name="2855.TW-Price" advise="1">
        <values>
          <value t="str">
            <val>--</val>
          </value>
        </values>
      </ddeItem>
      <ddeItem name="2867.TW-PreClose" advise="1">
        <values>
          <value t="str">
            <val>--</val>
          </value>
        </values>
      </ddeItem>
      <ddeItem name="2867.TW-Price" advise="1">
        <values>
          <value t="str">
            <val>--</val>
          </value>
        </values>
      </ddeItem>
      <ddeItem name="2880.TW-PreClose" advise="1">
        <values>
          <value>
            <val>20.75</val>
          </value>
        </values>
      </ddeItem>
      <ddeItem name="2880.TW-Price" advise="1">
        <values>
          <value t="str">
            <val>--</val>
          </value>
        </values>
      </ddeItem>
      <ddeItem name="2881.TW-PreClose" advise="1">
        <values>
          <value>
            <val>74.3</val>
          </value>
        </values>
      </ddeItem>
      <ddeItem name="2881.TW-Price" advise="1">
        <values>
          <value>
            <val>74.900000000000006</val>
          </value>
        </values>
      </ddeItem>
      <ddeItem name="2882.TW-PreClose" advise="1">
        <values>
          <value>
            <val>60.8</val>
          </value>
        </values>
      </ddeItem>
      <ddeItem name="2882.TW-Price" advise="1">
        <values>
          <value>
            <val>61.5</val>
          </value>
        </values>
      </ddeItem>
      <ddeItem name="2883.TW-Capital" advise="1">
        <values>
          <value t="str">
            <val>--</val>
          </value>
        </values>
      </ddeItem>
      <ddeItem name="2883.TW-CashAndStockDividend" advise="1">
        <values>
          <value t="str">
            <val>--</val>
          </value>
        </values>
      </ddeItem>
      <ddeItem name="2883.TW-CashDividendYieldRate" advise="1">
        <values>
          <value t="str">
            <val>--</val>
          </value>
        </values>
      </ddeItem>
      <ddeItem name="2883.TW-MonthlyNetSalesYoY" advise="1">
        <values>
          <value t="str">
            <val>--</val>
          </value>
        </values>
      </ddeItem>
      <ddeItem name="2883.TW-NetIncomeGrowthRate" advise="1">
        <values>
          <value t="str">
            <val>--</val>
          </value>
        </values>
      </ddeItem>
      <ddeItem name="2883.TW-OperatingProfitRatio" advise="1">
        <values>
          <value t="str">
            <val>--</val>
          </value>
        </values>
      </ddeItem>
      <ddeItem name="2883.TW-OperIncomeGrowthRate" advise="1">
        <values>
          <value t="str">
            <val>--</val>
          </value>
        </values>
      </ddeItem>
      <ddeItem name="2883.TW-PreClose" advise="1">
        <values>
          <value>
            <val>16.8</val>
          </value>
        </values>
      </ddeItem>
      <ddeItem name="2883.TW-Price" advise="1">
        <values>
          <value>
            <val>17.05</val>
          </value>
        </values>
      </ddeItem>
      <ddeItem name="2883.TW-ProfitFourSeason" advise="1">
        <values>
          <value t="str">
            <val>--</val>
          </value>
        </values>
      </ddeItem>
      <ddeItem name="2883.TW-TFXRatio" advise="1">
        <values>
          <value t="str">
            <val>--</val>
          </value>
        </values>
      </ddeItem>
      <ddeItem name="2884.TW-PreClose" advise="1">
        <values>
          <value>
            <val>27.4</val>
          </value>
        </values>
      </ddeItem>
      <ddeItem name="2884.TW-Price" advise="1">
        <values>
          <value>
            <val>27.9</val>
          </value>
        </values>
      </ddeItem>
      <ddeItem name="2885.TW-PreClose" advise="1">
        <values>
          <value>
            <val>24.75</val>
          </value>
        </values>
      </ddeItem>
      <ddeItem name="2885.TW-Price" advise="1">
        <values>
          <value>
            <val>25.1</val>
          </value>
        </values>
      </ddeItem>
      <ddeItem name="2886.TW-PreClose" advise="1">
        <values>
          <value>
            <val>34.1</val>
          </value>
        </values>
      </ddeItem>
      <ddeItem name="2886.TW-Price" advise="1">
        <values>
          <value>
            <val>34.4</val>
          </value>
        </values>
      </ddeItem>
      <ddeItem name="2887.TW-PreClose" advise="1">
        <values>
          <value>
            <val>18.600000000000001</val>
          </value>
        </values>
      </ddeItem>
      <ddeItem name="2887.TW-Price" advise="1">
        <values>
          <value>
            <val>18.7</val>
          </value>
        </values>
      </ddeItem>
      <ddeItem name="2888.TW-PreClose" advise="1">
        <values>
          <value>
            <val>11.25</val>
          </value>
        </values>
      </ddeItem>
      <ddeItem name="2888.TW-Price" advise="1">
        <values>
          <value>
            <val>11.45</val>
          </value>
        </values>
      </ddeItem>
      <ddeItem name="2889.TW-PreClose" advise="1">
        <values>
          <value>
            <val>16</val>
          </value>
        </values>
      </ddeItem>
      <ddeItem name="2889.TW-Price" advise="1">
        <values>
          <value>
            <val>16.100000000000001</val>
          </value>
        </values>
      </ddeItem>
      <ddeItem name="2890.TW-PreClose" advise="1">
        <values>
          <value>
            <val>15.3</val>
          </value>
        </values>
      </ddeItem>
      <ddeItem name="2890.TW-Price" advise="1">
        <values>
          <value t="str">
            <val>--</val>
          </value>
        </values>
      </ddeItem>
      <ddeItem name="2891.TW-PreClose" advise="1">
        <values>
          <value>
            <val>24.5</val>
          </value>
        </values>
      </ddeItem>
      <ddeItem name="2891.TW-Price" advise="1">
        <values>
          <value>
            <val>24.7</val>
          </value>
        </values>
      </ddeItem>
      <ddeItem name="2892.TW-PreClose" advise="1">
        <values>
          <value>
            <val>23.6</val>
          </value>
        </values>
      </ddeItem>
      <ddeItem name="2892.TW-Price" advise="1">
        <values>
          <value>
            <val>23.8</val>
          </value>
        </values>
      </ddeItem>
      <ddeItem name="2897.TW-PreClose" advise="1">
        <values>
          <value t="str">
            <val>--</val>
          </value>
        </values>
      </ddeItem>
      <ddeItem name="2897.TW-Price" advise="1">
        <values>
          <value t="str">
            <val>--</val>
          </value>
        </values>
      </ddeItem>
      <ddeItem name="2901.TW-PreClose" advise="1">
        <values>
          <value>
            <val>25.1</val>
          </value>
        </values>
      </ddeItem>
      <ddeItem name="2901.TW-Price" advise="1">
        <values>
          <value t="str">
            <val>--</val>
          </value>
        </values>
      </ddeItem>
      <ddeItem name="2903.TW-PreClose" advise="1">
        <values>
          <value t="str">
            <val>--</val>
          </value>
        </values>
      </ddeItem>
      <ddeItem name="2903.TW-Price" advise="1">
        <values>
          <value t="str">
            <val>--</val>
          </value>
        </values>
      </ddeItem>
      <ddeItem name="2904.TW-PreClose" advise="1">
        <values>
          <value>
            <val>25.7</val>
          </value>
        </values>
      </ddeItem>
      <ddeItem name="2904.TW-Price" advise="1">
        <values>
          <value t="str">
            <val>--</val>
          </value>
        </values>
      </ddeItem>
      <ddeItem name="2905.TW-PreClose" advise="1">
        <values>
          <value t="str">
            <val>--</val>
          </value>
        </values>
      </ddeItem>
      <ddeItem name="2905.TW-Price" advise="1">
        <values>
          <value t="str">
            <val>--</val>
          </value>
        </values>
      </ddeItem>
      <ddeItem name="2906.TW-PreClose" advise="1">
        <values>
          <value>
            <val>15.5</val>
          </value>
        </values>
      </ddeItem>
      <ddeItem name="2906.TW-Price" advise="1">
        <values>
          <value t="str">
            <val>--</val>
          </value>
        </values>
      </ddeItem>
      <ddeItem name="2908.TW-PreClose" advise="1">
        <values>
          <value>
            <val>22.4</val>
          </value>
        </values>
      </ddeItem>
      <ddeItem name="2908.TW-Price" advise="1">
        <values>
          <value>
            <val>22</val>
          </value>
        </values>
      </ddeItem>
      <ddeItem name="2910.TW-PreClose" advise="1">
        <values>
          <value>
            <val>35.1</val>
          </value>
        </values>
      </ddeItem>
      <ddeItem name="2910.TW-Price" advise="1">
        <values>
          <value t="str">
            <val>--</val>
          </value>
        </values>
      </ddeItem>
      <ddeItem name="2911.TW-PreClose" advise="1">
        <values>
          <value>
            <val>8.1</val>
          </value>
        </values>
      </ddeItem>
      <ddeItem name="2911.TW-Price" advise="1">
        <values>
          <value t="str">
            <val>--</val>
          </value>
        </values>
      </ddeItem>
      <ddeItem name="2912.TW-PreClose" advise="1">
        <values>
          <value>
            <val>283.5</val>
          </value>
        </values>
      </ddeItem>
      <ddeItem name="2912.TW-Price" advise="1">
        <values>
          <value t="str">
            <val>--</val>
          </value>
        </values>
      </ddeItem>
      <ddeItem name="2913.TW-PreClose" advise="1">
        <values>
          <value>
            <val>19.95</val>
          </value>
        </values>
      </ddeItem>
      <ddeItem name="2913.TW-Price" advise="1">
        <values>
          <value t="str">
            <val>--</val>
          </value>
        </values>
      </ddeItem>
      <ddeItem name="2915.TW-PreClose" advise="1">
        <values>
          <value t="str">
            <val>--</val>
          </value>
        </values>
      </ddeItem>
      <ddeItem name="2915.TW-Price" advise="1">
        <values>
          <value t="str">
            <val>--</val>
          </value>
        </values>
      </ddeItem>
      <ddeItem name="2916.TW-PreClose" advise="1">
        <values>
          <value>
            <val>20.7</val>
          </value>
        </values>
      </ddeItem>
      <ddeItem name="2916.TW-Price" advise="1">
        <values>
          <value t="str">
            <val>--</val>
          </value>
        </values>
      </ddeItem>
      <ddeItem name="2923.TW-PreClose" advise="1">
        <values>
          <value>
            <val>28.15</val>
          </value>
        </values>
      </ddeItem>
      <ddeItem name="2923.TW-Price" advise="1">
        <values>
          <value t="str">
            <val>--</val>
          </value>
        </values>
      </ddeItem>
      <ddeItem name="2924.TW-PreClose" advise="1">
        <values>
          <value t="str">
            <val>--</val>
          </value>
        </values>
      </ddeItem>
      <ddeItem name="2924.TW-Price" advise="1">
        <values>
          <value t="str">
            <val>--</val>
          </value>
        </values>
      </ddeItem>
      <ddeItem name="2926.TW-PreClose" advise="1">
        <values>
          <value>
            <val>59.2</val>
          </value>
        </values>
      </ddeItem>
      <ddeItem name="2926.TW-Price" advise="1">
        <values>
          <value t="str">
            <val>--</val>
          </value>
        </values>
      </ddeItem>
      <ddeItem name="2929.TW-PreClose" advise="1">
        <values>
          <value>
            <val>11.65</val>
          </value>
        </values>
      </ddeItem>
      <ddeItem name="2929.TW-Price" advise="1">
        <values>
          <value t="str">
            <val>--</val>
          </value>
        </values>
      </ddeItem>
      <ddeItem name="2936.TW-PreClose" advise="1">
        <values>
          <value>
            <val>26.5</val>
          </value>
        </values>
      </ddeItem>
      <ddeItem name="2936.TW-Price" advise="1">
        <values>
          <value t="str">
            <val>--</val>
          </value>
        </values>
      </ddeItem>
      <ddeItem name="2937.TW-PreClose" advise="1">
        <values>
          <value>
            <val>37.35</val>
          </value>
        </values>
      </ddeItem>
      <ddeItem name="2937.TW-Price" advise="1">
        <values>
          <value t="str">
            <val>--</val>
          </value>
        </values>
      </ddeItem>
      <ddeItem name="2939.TW-PreClose" advise="1">
        <values>
          <value>
            <val>26.7</val>
          </value>
        </values>
      </ddeItem>
      <ddeItem name="2939.TW-Price" advise="1">
        <values>
          <value t="str">
            <val>--</val>
          </value>
        </values>
      </ddeItem>
      <ddeItem name="2947.TW-PreClose" advise="1">
        <values>
          <value>
            <val>115.5</val>
          </value>
        </values>
      </ddeItem>
      <ddeItem name="2947.TW-Price" advise="1">
        <values>
          <value t="str">
            <val>--</val>
          </value>
        </values>
      </ddeItem>
      <ddeItem name="3002.TW-PreClose" advise="1">
        <values>
          <value>
            <val>11.95</val>
          </value>
        </values>
      </ddeItem>
      <ddeItem name="3002.TW-Price" advise="1">
        <values>
          <value t="str">
            <val>--</val>
          </value>
        </values>
      </ddeItem>
      <ddeItem name="3003.TW-PreClose" advise="1">
        <values>
          <value>
            <val>94.5</val>
          </value>
        </values>
      </ddeItem>
      <ddeItem name="3003.TW-Price" advise="1">
        <values>
          <value>
            <val>94.6</val>
          </value>
        </values>
      </ddeItem>
      <ddeItem name="3004.TW-PreClose" advise="1">
        <values>
          <value>
            <val>61.8</val>
          </value>
        </values>
      </ddeItem>
      <ddeItem name="3004.TW-Price" advise="1">
        <values>
          <value t="str">
            <val>--</val>
          </value>
        </values>
      </ddeItem>
      <ddeItem name="3005.TW-PreClose" advise="1">
        <values>
          <value>
            <val>54</val>
          </value>
        </values>
      </ddeItem>
      <ddeItem name="3005.TW-Price" advise="1">
        <values>
          <value t="str">
            <val>--</val>
          </value>
        </values>
      </ddeItem>
      <ddeItem name="3006.TW-Capital" advise="1">
        <values>
          <value t="str">
            <val>--</val>
          </value>
        </values>
      </ddeItem>
      <ddeItem name="3006.TW-CashAndStockDividend" advise="1">
        <values>
          <value t="str">
            <val>--</val>
          </value>
        </values>
      </ddeItem>
      <ddeItem name="3006.TW-CashDividendYieldRate" advise="1">
        <values>
          <value t="str">
            <val>--</val>
          </value>
        </values>
      </ddeItem>
      <ddeItem name="3006.TW-MonthlyNetSalesYoY" advise="1">
        <values>
          <value t="str">
            <val>--</val>
          </value>
        </values>
      </ddeItem>
      <ddeItem name="3006.TW-NetIncomeGrowthRate" advise="1">
        <values>
          <value t="str">
            <val>--</val>
          </value>
        </values>
      </ddeItem>
      <ddeItem name="3006.TW-NetProfitMargin" advise="1">
        <values>
          <value t="str">
            <val>--</val>
          </value>
        </values>
      </ddeItem>
      <ddeItem name="3006.TW-OperatingProfitRatio" advise="1">
        <values>
          <value t="str">
            <val>--</val>
          </value>
        </values>
      </ddeItem>
      <ddeItem name="3006.TW-OperIncomeGrowthRate" advise="1">
        <values>
          <value t="str">
            <val>--</val>
          </value>
        </values>
      </ddeItem>
      <ddeItem name="3006.TW-PreClose" advise="1">
        <values>
          <value>
            <val>161</val>
          </value>
        </values>
      </ddeItem>
      <ddeItem name="3006.TW-Price" advise="1">
        <values>
          <value>
            <val>162</val>
          </value>
        </values>
      </ddeItem>
      <ddeItem name="3006.TW-ProfitFourSeason" advise="1">
        <values>
          <value t="str">
            <val>--</val>
          </value>
        </values>
      </ddeItem>
      <ddeItem name="3006.TW-ProfitMargin" advise="1">
        <values>
          <value t="str">
            <val>--</val>
          </value>
        </values>
      </ddeItem>
      <ddeItem name="3006.TW-TFXRatio" advise="1">
        <values>
          <value t="str">
            <val>--</val>
          </value>
        </values>
      </ddeItem>
      <ddeItem name="3008.TW-PreClose" advise="1">
        <values>
          <value>
            <val>2035</val>
          </value>
        </values>
      </ddeItem>
      <ddeItem name="3008.TW-Price" advise="1">
        <values>
          <value t="str">
            <val>--</val>
          </value>
        </values>
      </ddeItem>
      <ddeItem name="3010.TW-PreClose" advise="1">
        <values>
          <value t="str">
            <val>--</val>
          </value>
        </values>
      </ddeItem>
      <ddeItem name="3010.TW-Price" advise="1">
        <values>
          <value t="str">
            <val>--</val>
          </value>
        </values>
      </ddeItem>
      <ddeItem name="3011.TW-PreClose" advise="1">
        <values>
          <value t="str">
            <val>--</val>
          </value>
        </values>
      </ddeItem>
      <ddeItem name="3011.TW-Price" advise="1">
        <values>
          <value t="str">
            <val>--</val>
          </value>
        </values>
      </ddeItem>
      <ddeItem name="3013.TW-PreClose" advise="1">
        <values>
          <value>
            <val>13.35</val>
          </value>
        </values>
      </ddeItem>
      <ddeItem name="3013.TW-Price" advise="1">
        <values>
          <value t="str">
            <val>--</val>
          </value>
        </values>
      </ddeItem>
      <ddeItem name="3014.TW-PreClose" advise="1">
        <values>
          <value>
            <val>106.5</val>
          </value>
        </values>
      </ddeItem>
      <ddeItem name="3014.TW-Price" advise="1">
        <values>
          <value t="str">
            <val>--</val>
          </value>
        </values>
      </ddeItem>
      <ddeItem name="3015.TW-PreClose" advise="1">
        <values>
          <value>
            <val>43.2</val>
          </value>
        </values>
      </ddeItem>
      <ddeItem name="3015.TW-Price" advise="1">
        <values>
          <value t="str">
            <val>--</val>
          </value>
        </values>
      </ddeItem>
      <ddeItem name="3016.TW-Capital" advise="1">
        <values>
          <value t="str">
            <val>--</val>
          </value>
        </values>
      </ddeItem>
      <ddeItem name="3016.TW-CashAndStockDividend" advise="1">
        <values>
          <value t="str">
            <val>--</val>
          </value>
        </values>
      </ddeItem>
      <ddeItem name="3016.TW-CashDividendYieldRate" advise="1">
        <values>
          <value t="str">
            <val>--</val>
          </value>
        </values>
      </ddeItem>
      <ddeItem name="3016.TW-MonthlyNetSalesYoY" advise="1">
        <values>
          <value t="str">
            <val>--</val>
          </value>
        </values>
      </ddeItem>
      <ddeItem name="3016.TW-NetIncomeGrowthRate" advise="1">
        <values>
          <value t="str">
            <val>--</val>
          </value>
        </values>
      </ddeItem>
      <ddeItem name="3016.TW-NetProfitMargin" advise="1">
        <values>
          <value t="str">
            <val>--</val>
          </value>
        </values>
      </ddeItem>
      <ddeItem name="3016.TW-OperatingProfitRatio" advise="1">
        <values>
          <value t="str">
            <val>--</val>
          </value>
        </values>
      </ddeItem>
      <ddeItem name="3016.TW-OperIncomeGrowthRate" advise="1">
        <values>
          <value t="str">
            <val>--</val>
          </value>
        </values>
      </ddeItem>
      <ddeItem name="3016.TW-PreClose" advise="1">
        <values>
          <value>
            <val>135.5</val>
          </value>
        </values>
      </ddeItem>
      <ddeItem name="3016.TW-Price" advise="1">
        <values>
          <value t="str">
            <val>--</val>
          </value>
        </values>
      </ddeItem>
      <ddeItem name="3016.TW-ProfitFourSeason" advise="1">
        <values>
          <value t="str">
            <val>--</val>
          </value>
        </values>
      </ddeItem>
      <ddeItem name="3016.TW-ProfitMargin" advise="1">
        <values>
          <value t="str">
            <val>--</val>
          </value>
        </values>
      </ddeItem>
      <ddeItem name="3016.TW-TFXRatio" advise="1">
        <values>
          <value t="str">
            <val>--</val>
          </value>
        </values>
      </ddeItem>
      <ddeItem name="3017.TW-Capital" advise="1">
        <values>
          <value t="str">
            <val>--</val>
          </value>
        </values>
      </ddeItem>
      <ddeItem name="3017.TW-CashAndStockDividend" advise="1">
        <values>
          <value t="str">
            <val>--</val>
          </value>
        </values>
      </ddeItem>
      <ddeItem name="3017.TW-CashDividendYieldRate" advise="1">
        <values>
          <value t="str">
            <val>--</val>
          </value>
        </values>
      </ddeItem>
      <ddeItem name="3017.TW-MonthlyNetSalesYoY" advise="1">
        <values>
          <value t="str">
            <val>--</val>
          </value>
        </values>
      </ddeItem>
      <ddeItem name="3017.TW-NetIncomeGrowthRate" advise="1">
        <values>
          <value t="str">
            <val>--</val>
          </value>
        </values>
      </ddeItem>
      <ddeItem name="3017.TW-NetProfitMargin" advise="1">
        <values>
          <value t="str">
            <val>--</val>
          </value>
        </values>
      </ddeItem>
      <ddeItem name="3017.TW-OperatingProfitRatio" advise="1">
        <values>
          <value t="str">
            <val>--</val>
          </value>
        </values>
      </ddeItem>
      <ddeItem name="3017.TW-OperIncomeGrowthRate" advise="1">
        <values>
          <value t="str">
            <val>--</val>
          </value>
        </values>
      </ddeItem>
      <ddeItem name="3017.TW-PreClose" advise="1">
        <values>
          <value>
            <val>89.5</val>
          </value>
        </values>
      </ddeItem>
      <ddeItem name="3017.TW-Price" advise="1">
        <values>
          <value>
            <val>89.4</val>
          </value>
        </values>
      </ddeItem>
      <ddeItem name="3017.TW-ProfitFourSeason" advise="1">
        <values>
          <value t="str">
            <val>--</val>
          </value>
        </values>
      </ddeItem>
      <ddeItem name="3017.TW-ProfitMargin" advise="1">
        <values>
          <value t="str">
            <val>--</val>
          </value>
        </values>
      </ddeItem>
      <ddeItem name="3017.TW-TFXRatio" advise="1">
        <values>
          <value t="str">
            <val>--</val>
          </value>
        </values>
      </ddeItem>
      <ddeItem name="3018.TW-PreClose" advise="1">
        <values>
          <value t="str">
            <val>--</val>
          </value>
        </values>
      </ddeItem>
      <ddeItem name="3018.TW-Price" advise="1">
        <values>
          <value t="str">
            <val>--</val>
          </value>
        </values>
      </ddeItem>
      <ddeItem name="3019.TW-Capital" advise="1">
        <values>
          <value t="str">
            <val>--</val>
          </value>
        </values>
      </ddeItem>
      <ddeItem name="3019.TW-CashAndStockDividend" advise="1">
        <values>
          <value t="str">
            <val>--</val>
          </value>
        </values>
      </ddeItem>
      <ddeItem name="3019.TW-CashDividendYieldRate" advise="1">
        <values>
          <value t="str">
            <val>--</val>
          </value>
        </values>
      </ddeItem>
      <ddeItem name="3019.TW-MonthlyNetSalesYoY" advise="1">
        <values>
          <value t="str">
            <val>--</val>
          </value>
        </values>
      </ddeItem>
      <ddeItem name="3019.TW-NetIncomeGrowthRate" advise="1">
        <values>
          <value t="str">
            <val>--</val>
          </value>
        </values>
      </ddeItem>
      <ddeItem name="3019.TW-NetProfitMargin" advise="1">
        <values>
          <value t="str">
            <val>--</val>
          </value>
        </values>
      </ddeItem>
      <ddeItem name="3019.TW-OperatingProfitRatio" advise="1">
        <values>
          <value t="str">
            <val>--</val>
          </value>
        </values>
      </ddeItem>
      <ddeItem name="3019.TW-OperIncomeGrowthRate" advise="1">
        <values>
          <value t="str">
            <val>--</val>
          </value>
        </values>
      </ddeItem>
      <ddeItem name="3019.TW-PreClose" advise="1">
        <values>
          <value>
            <val>92.7</val>
          </value>
        </values>
      </ddeItem>
      <ddeItem name="3019.TW-Price" advise="1">
        <values>
          <value t="str">
            <val>--</val>
          </value>
        </values>
      </ddeItem>
      <ddeItem name="3019.TW-ProfitFourSeason" advise="1">
        <values>
          <value t="str">
            <val>--</val>
          </value>
        </values>
      </ddeItem>
      <ddeItem name="3019.TW-ProfitMargin" advise="1">
        <values>
          <value t="str">
            <val>--</val>
          </value>
        </values>
      </ddeItem>
      <ddeItem name="3019.TW-TFXRatio" advise="1">
        <values>
          <value t="str">
            <val>--</val>
          </value>
        </values>
      </ddeItem>
      <ddeItem name="3021.TW-PreClose" advise="1">
        <values>
          <value>
            <val>23.25</val>
          </value>
        </values>
      </ddeItem>
      <ddeItem name="3021.TW-Price" advise="1">
        <values>
          <value t="str">
            <val>--</val>
          </value>
        </values>
      </ddeItem>
      <ddeItem name="3022.TW-PreClose" advise="1">
        <values>
          <value t="str">
            <val>--</val>
          </value>
        </values>
      </ddeItem>
      <ddeItem name="3022.TW-Price" advise="1">
        <values>
          <value t="str">
            <val>--</val>
          </value>
        </values>
      </ddeItem>
      <ddeItem name="3023.TW-PreClose" advise="1">
        <values>
          <value>
            <val>262.5</val>
          </value>
        </values>
      </ddeItem>
      <ddeItem name="3023.TW-Price" advise="1">
        <values>
          <value t="str">
            <val>--</val>
          </value>
        </values>
      </ddeItem>
      <ddeItem name="3024.TW-PreClose" advise="1">
        <values>
          <value>
            <val>13.7</val>
          </value>
        </values>
      </ddeItem>
      <ddeItem name="3024.TW-Price" advise="1">
        <values>
          <value t="str">
            <val>--</val>
          </value>
        </values>
      </ddeItem>
      <ddeItem name="3025.TW-PreClose" advise="1">
        <values>
          <value t="str">
            <val>--</val>
          </value>
        </values>
      </ddeItem>
      <ddeItem name="3025.TW-Price" advise="1">
        <values>
          <value t="str">
            <val>--</val>
          </value>
        </values>
      </ddeItem>
      <ddeItem name="3026.TW-PreClose" advise="1">
        <values>
          <value t="str">
            <val>--</val>
          </value>
        </values>
      </ddeItem>
      <ddeItem name="3026.TW-Price" advise="1">
        <values>
          <value t="str">
            <val>--</val>
          </value>
        </values>
      </ddeItem>
      <ddeItem name="3027.TW-PreClose" advise="1">
        <values>
          <value>
            <val>25.3</val>
          </value>
        </values>
      </ddeItem>
      <ddeItem name="3027.TW-Price" advise="1">
        <values>
          <value t="str">
            <val>--</val>
          </value>
        </values>
      </ddeItem>
      <ddeItem name="3028.TW-PreClose" advise="1">
        <values>
          <value t="str">
            <val>--</val>
          </value>
        </values>
      </ddeItem>
      <ddeItem name="3028.TW-Price" advise="1">
        <values>
          <value t="str">
            <val>--</val>
          </value>
        </values>
      </ddeItem>
      <ddeItem name="3029.TW-PreClose" advise="1">
        <values>
          <value>
            <val>45.15</val>
          </value>
        </values>
      </ddeItem>
      <ddeItem name="3029.TW-Price" advise="1">
        <values>
          <value t="str">
            <val>--</val>
          </value>
        </values>
      </ddeItem>
      <ddeItem name="3030.TW-PreClose" advise="1">
        <values>
          <value>
            <val>57.8</val>
          </value>
        </values>
      </ddeItem>
      <ddeItem name="3030.TW-Price" advise="1">
        <values>
          <value t="str">
            <val>--</val>
          </value>
        </values>
      </ddeItem>
      <ddeItem name="3031.TW-PreClose" advise="1">
        <values>
          <value>
            <val>25.1</val>
          </value>
        </values>
      </ddeItem>
      <ddeItem name="3031.TW-Price" advise="1">
        <values>
          <value>
            <val>25.55</val>
          </value>
        </values>
      </ddeItem>
      <ddeItem name="3032.TW-PreClose" advise="1">
        <values>
          <value>
            <val>31.75</val>
          </value>
        </values>
      </ddeItem>
      <ddeItem name="3032.TW-Price" advise="1">
        <values>
          <value t="str">
            <val>--</val>
          </value>
        </values>
      </ddeItem>
      <ddeItem name="3033.TW-PreClose" advise="1">
        <values>
          <value t="str">
            <val>--</val>
          </value>
        </values>
      </ddeItem>
      <ddeItem name="3033.TW-Price" advise="1">
        <values>
          <value t="str">
            <val>--</val>
          </value>
        </values>
      </ddeItem>
      <ddeItem name="3034.TW-PreClose" advise="1">
        <values>
          <value>
            <val>485.5</val>
          </value>
        </values>
      </ddeItem>
      <ddeItem name="3034.TW-Price" advise="1">
        <values>
          <value>
            <val>487.5</val>
          </value>
        </values>
      </ddeItem>
      <ddeItem name="3035.TW-PreClose" advise="1">
        <values>
          <value t="str">
            <val>--</val>
          </value>
        </values>
      </ddeItem>
      <ddeItem name="3035.TW-Price" advise="1">
        <values>
          <value t="str">
            <val>--</val>
          </value>
        </values>
      </ddeItem>
      <ddeItem name="3036.TW-PreClose" advise="1">
        <values>
          <value t="str">
            <val>--</val>
          </value>
        </values>
      </ddeItem>
      <ddeItem name="3036.TW-Price" advise="1">
        <values>
          <value t="str">
            <val>--</val>
          </value>
        </values>
      </ddeItem>
      <ddeItem name="3037.TW-PreClose" advise="1">
        <values>
          <value>
            <val>197</val>
          </value>
        </values>
      </ddeItem>
      <ddeItem name="3037.TW-Price" advise="1">
        <values>
          <value>
            <val>195.5</val>
          </value>
        </values>
      </ddeItem>
      <ddeItem name="3038.TW-PreClose" advise="1">
        <values>
          <value>
            <val>18.95</val>
          </value>
        </values>
      </ddeItem>
      <ddeItem name="3038.TW-Price" advise="1">
        <values>
          <value t="str">
            <val>--</val>
          </value>
        </values>
      </ddeItem>
      <ddeItem name="3040.TW-PreClose" advise="1">
        <values>
          <value>
            <val>38.9</val>
          </value>
        </values>
      </ddeItem>
      <ddeItem name="3040.TW-Price" advise="1">
        <values>
          <value t="str">
            <val>--</val>
          </value>
        </values>
      </ddeItem>
      <ddeItem name="3041.TW-PreClose" advise="1">
        <values>
          <value>
            <val>34.950000000000003</val>
          </value>
        </values>
      </ddeItem>
      <ddeItem name="3041.TW-Price" advise="1">
        <values>
          <value t="str">
            <val>--</val>
          </value>
        </values>
      </ddeItem>
      <ddeItem name="3042.TW-PreClose" advise="1">
        <values>
          <value>
            <val>107.5</val>
          </value>
        </values>
      </ddeItem>
      <ddeItem name="3042.TW-Price" advise="1">
        <values>
          <value>
            <val>107.5</val>
          </value>
        </values>
      </ddeItem>
      <ddeItem name="3043.TW-PreClose" advise="1">
        <values>
          <value t="str">
            <val>--</val>
          </value>
        </values>
      </ddeItem>
      <ddeItem name="3043.TW-Price" advise="1">
        <values>
          <value t="str">
            <val>--</val>
          </value>
        </values>
      </ddeItem>
      <ddeItem name="3044.TW-PreClose" advise="1">
        <values>
          <value>
            <val>122</val>
          </value>
        </values>
      </ddeItem>
      <ddeItem name="3044.TW-Price" advise="1">
        <values>
          <value>
            <val>123</val>
          </value>
        </values>
      </ddeItem>
      <ddeItem name="3045.TW-PreClose" advise="1">
        <values>
          <value>
            <val>99.2</val>
          </value>
        </values>
      </ddeItem>
      <ddeItem name="3045.TW-Price" advise="1">
        <values>
          <value t="str">
            <val>--</val>
          </value>
        </values>
      </ddeItem>
      <ddeItem name="3046.TW-PreClose" advise="1">
        <values>
          <value>
            <val>36.700000000000003</val>
          </value>
        </values>
      </ddeItem>
      <ddeItem name="3046.TW-Price" advise="1">
        <values>
          <value t="str">
            <val>--</val>
          </value>
        </values>
      </ddeItem>
      <ddeItem name="3047.TW-PreClose" advise="1">
        <values>
          <value>
            <val>11.05</val>
          </value>
        </values>
      </ddeItem>
      <ddeItem name="3047.TW-Price" advise="1">
        <values>
          <value t="str">
            <val>--</val>
          </value>
        </values>
      </ddeItem>
      <ddeItem name="3048.TW-PreClose" advise="1">
        <values>
          <value>
            <val>31.45</val>
          </value>
        </values>
      </ddeItem>
      <ddeItem name="3048.TW-Price" advise="1">
        <values>
          <value t="str">
            <val>--</val>
          </value>
        </values>
      </ddeItem>
      <ddeItem name="3049.TW-PreClose" advise="1">
        <values>
          <value>
            <val>14.7</val>
          </value>
        </values>
      </ddeItem>
      <ddeItem name="3049.TW-Price" advise="1">
        <values>
          <value>
            <val>14.8</val>
          </value>
        </values>
      </ddeItem>
      <ddeItem name="3050.TW-PreClose" advise="1">
        <values>
          <value>
            <val>17.5</val>
          </value>
        </values>
      </ddeItem>
      <ddeItem name="3050.TW-Price" advise="1">
        <values>
          <value t="str">
            <val>--</val>
          </value>
        </values>
      </ddeItem>
      <ddeItem name="3051.TW-PreClose" advise="1">
        <values>
          <value>
            <val>11.1</val>
          </value>
        </values>
      </ddeItem>
      <ddeItem name="3051.TW-Price" advise="1">
        <values>
          <value t="str">
            <val>--</val>
          </value>
        </values>
      </ddeItem>
      <ddeItem name="3052.TW-PreClose" advise="1">
        <values>
          <value>
            <val>10.75</val>
          </value>
        </values>
      </ddeItem>
      <ddeItem name="3052.TW-Price" advise="1">
        <values>
          <value t="str">
            <val>--</val>
          </value>
        </values>
      </ddeItem>
      <ddeItem name="3054.TW-PreClose" advise="1">
        <values>
          <value>
            <val>25.7</val>
          </value>
        </values>
      </ddeItem>
      <ddeItem name="3054.TW-Price" advise="1">
        <values>
          <value t="str">
            <val>--</val>
          </value>
        </values>
      </ddeItem>
      <ddeItem name="3055.TW-PreClose" advise="1">
        <values>
          <value>
            <val>28.85</val>
          </value>
        </values>
      </ddeItem>
      <ddeItem name="3055.TW-Price" advise="1">
        <values>
          <value t="str">
            <val>--</val>
          </value>
        </values>
      </ddeItem>
      <ddeItem name="3056.TW-PreClose" advise="1">
        <values>
          <value>
            <val>39.9</val>
          </value>
        </values>
      </ddeItem>
      <ddeItem name="3056.TW-Price" advise="1">
        <values>
          <value t="str">
            <val>--</val>
          </value>
        </values>
      </ddeItem>
      <ddeItem name="3057.TW-PreClose" advise="1">
        <values>
          <value t="str">
            <val>--</val>
          </value>
        </values>
      </ddeItem>
      <ddeItem name="3057.TW-Price" advise="1">
        <values>
          <value t="str">
            <val>--</val>
          </value>
        </values>
      </ddeItem>
      <ddeItem name="3058.TW-Capital" advise="1">
        <values>
          <value t="str">
            <val>--</val>
          </value>
        </values>
      </ddeItem>
      <ddeItem name="3058.TW-CashAndStockDividend" advise="1">
        <values>
          <value t="str">
            <val>--</val>
          </value>
        </values>
      </ddeItem>
      <ddeItem name="3058.TW-CashDividendYieldRate" advise="1">
        <values>
          <value t="str">
            <val>--</val>
          </value>
        </values>
      </ddeItem>
      <ddeItem name="3058.TW-MonthlyNetSalesYoY" advise="1">
        <values>
          <value t="str">
            <val>--</val>
          </value>
        </values>
      </ddeItem>
      <ddeItem name="3058.TW-NetIncomeGrowthRate" advise="1">
        <values>
          <value t="str">
            <val>--</val>
          </value>
        </values>
      </ddeItem>
      <ddeItem name="3058.TW-OperatingProfitRatio" advise="1">
        <values>
          <value t="str">
            <val>--</val>
          </value>
        </values>
      </ddeItem>
      <ddeItem name="3058.TW-OperIncomeGrowthRate" advise="1">
        <values>
          <value t="str">
            <val>--</val>
          </value>
        </values>
      </ddeItem>
      <ddeItem name="3058.TW-PreClose" advise="1">
        <values>
          <value>
            <val>16.399999999999999</val>
          </value>
        </values>
      </ddeItem>
      <ddeItem name="3058.TW-Price" advise="1">
        <values>
          <value t="str">
            <val>--</val>
          </value>
        </values>
      </ddeItem>
      <ddeItem name="3058.TW-ProfitFourSeason" advise="1">
        <values>
          <value t="str">
            <val>--</val>
          </value>
        </values>
      </ddeItem>
      <ddeItem name="3058.TW-TFXRatio" advise="1">
        <values>
          <value t="str">
            <val>--</val>
          </value>
        </values>
      </ddeItem>
      <ddeItem name="3059.TW-PreClose" advise="1">
        <values>
          <value>
            <val>38.75</val>
          </value>
        </values>
      </ddeItem>
      <ddeItem name="3059.TW-Price" advise="1">
        <values>
          <value t="str">
            <val>--</val>
          </value>
        </values>
      </ddeItem>
      <ddeItem name="3060.TW-PreClose" advise="1">
        <values>
          <value>
            <val>24.75</val>
          </value>
        </values>
      </ddeItem>
      <ddeItem name="3060.TW-Price" advise="1">
        <values>
          <value t="str">
            <val>--</val>
          </value>
        </values>
      </ddeItem>
      <ddeItem name="3062.TW-PreClose" advise="1">
        <values>
          <value t="str">
            <val>--</val>
          </value>
        </values>
      </ddeItem>
      <ddeItem name="3062.TW-Price" advise="1">
        <values>
          <value t="str">
            <val>--</val>
          </value>
        </values>
      </ddeItem>
      <ddeItem name="3064.TW-PreClose" advise="1">
        <values>
          <value>
            <val>13.45</val>
          </value>
        </values>
      </ddeItem>
      <ddeItem name="3064.TW-Price" advise="1">
        <values>
          <value t="str">
            <val>--</val>
          </value>
        </values>
      </ddeItem>
      <ddeItem name="3066.TW-PreClose" advise="1">
        <values>
          <value>
            <val>16.149999999999999</val>
          </value>
        </values>
      </ddeItem>
      <ddeItem name="3066.TW-Price" advise="1">
        <values>
          <value>
            <val>17.75</val>
          </value>
        </values>
      </ddeItem>
      <ddeItem name="3067.TW-PreClose" advise="1">
        <values>
          <value>
            <val>27</val>
          </value>
        </values>
      </ddeItem>
      <ddeItem name="3067.TW-Price" advise="1">
        <values>
          <value t="str">
            <val>--</val>
          </value>
        </values>
      </ddeItem>
      <ddeItem name="3071.TW-PreClose" advise="1">
        <values>
          <value>
            <val>23.2</val>
          </value>
        </values>
      </ddeItem>
      <ddeItem name="3071.TW-Price" advise="1">
        <values>
          <value t="str">
            <val>--</val>
          </value>
        </values>
      </ddeItem>
      <ddeItem name="3073.TW-PreClose" advise="1">
        <values>
          <value>
            <val>25.3</val>
          </value>
        </values>
      </ddeItem>
      <ddeItem name="3073.TW-Price" advise="1">
        <values>
          <value t="str">
            <val>--</val>
          </value>
        </values>
      </ddeItem>
      <ddeItem name="3078.TW-PreClose" advise="1">
        <values>
          <value>
            <val>40.700000000000003</val>
          </value>
        </values>
      </ddeItem>
      <ddeItem name="3078.TW-Price" advise="1">
        <values>
          <value>
            <val>42</val>
          </value>
        </values>
      </ddeItem>
      <ddeItem name="3081.TW-PreClose" advise="1">
        <values>
          <value>
            <val>191</val>
          </value>
        </values>
      </ddeItem>
      <ddeItem name="3081.TW-Price" advise="1">
        <values>
          <value t="str">
            <val>--</val>
          </value>
        </values>
      </ddeItem>
      <ddeItem name="3083.TW-PreClose" advise="1">
        <values>
          <value>
            <val>45.75</val>
          </value>
        </values>
      </ddeItem>
      <ddeItem name="3083.TW-Price" advise="1">
        <values>
          <value t="str">
            <val>--</val>
          </value>
        </values>
      </ddeItem>
      <ddeItem name="3085.TW-PreClose" advise="1">
        <values>
          <value>
            <val>9.32</val>
          </value>
        </values>
      </ddeItem>
      <ddeItem name="3085.TW-Price" advise="1">
        <values>
          <value t="str">
            <val>--</val>
          </value>
        </values>
      </ddeItem>
      <ddeItem name="3086.TW-PreClose" advise="1">
        <values>
          <value t="str">
            <val>--</val>
          </value>
        </values>
      </ddeItem>
      <ddeItem name="3086.TW-Price" advise="1">
        <values>
          <value t="str">
            <val>--</val>
          </value>
        </values>
      </ddeItem>
      <ddeItem name="3088.TW-PreClose" advise="1">
        <values>
          <value>
            <val>53.7</val>
          </value>
        </values>
      </ddeItem>
      <ddeItem name="3088.TW-Price" advise="1">
        <values>
          <value t="str">
            <val>--</val>
          </value>
        </values>
      </ddeItem>
      <ddeItem name="3089.TW-PreClose" advise="1">
        <values>
          <value>
            <val>33.700000000000003</val>
          </value>
        </values>
      </ddeItem>
      <ddeItem name="3089.TW-Price" advise="1">
        <values>
          <value t="str">
            <val>--</val>
          </value>
        </values>
      </ddeItem>
      <ddeItem name="3090.TW-PreClose" advise="1">
        <values>
          <value>
            <val>51.7</val>
          </value>
        </values>
      </ddeItem>
      <ddeItem name="3090.TW-Price" advise="1">
        <values>
          <value t="str">
            <val>--</val>
          </value>
        </values>
      </ddeItem>
      <ddeItem name="3092.TW-PreClose" advise="1">
        <values>
          <value t="str">
            <val>--</val>
          </value>
        </values>
      </ddeItem>
      <ddeItem name="3092.TW-Price" advise="1">
        <values>
          <value t="str">
            <val>--</val>
          </value>
        </values>
      </ddeItem>
      <ddeItem name="3093.TW-PreClose" advise="1">
        <values>
          <value t="str">
            <val>--</val>
          </value>
        </values>
      </ddeItem>
      <ddeItem name="3093.TW-Price" advise="1">
        <values>
          <value t="str">
            <val>--</val>
          </value>
        </values>
      </ddeItem>
      <ddeItem name="3094.TW-PreClose" advise="1">
        <values>
          <value>
            <val>34.950000000000003</val>
          </value>
        </values>
      </ddeItem>
      <ddeItem name="3094.TW-Price" advise="1">
        <values>
          <value t="str">
            <val>--</val>
          </value>
        </values>
      </ddeItem>
      <ddeItem name="3095.TW-PreClose" advise="1">
        <values>
          <value>
            <val>3</val>
          </value>
        </values>
      </ddeItem>
      <ddeItem name="3095.TW-Price" advise="1">
        <values>
          <value t="str">
            <val>--</val>
          </value>
        </values>
      </ddeItem>
      <ddeItem name="3105.TW-PreClose" advise="1">
        <values>
          <value>
            <val>353.5</val>
          </value>
        </values>
      </ddeItem>
      <ddeItem name="3105.TW-Price" advise="1">
        <values>
          <value t="str">
            <val>--</val>
          </value>
        </values>
      </ddeItem>
      <ddeItem name="3114.TW-PreClose" advise="1">
        <values>
          <value>
            <val>26.85</val>
          </value>
        </values>
      </ddeItem>
      <ddeItem name="3114.TW-Price" advise="1">
        <values>
          <value t="str">
            <val>--</val>
          </value>
        </values>
      </ddeItem>
      <ddeItem name="3115.TW-PreClose" advise="1">
        <values>
          <value>
            <val>13.05</val>
          </value>
        </values>
      </ddeItem>
      <ddeItem name="3115.TW-Price" advise="1">
        <values>
          <value t="str">
            <val>--</val>
          </value>
        </values>
      </ddeItem>
      <ddeItem name="3118.TW-PreClose" advise="1">
        <values>
          <value>
            <val>29.9</val>
          </value>
        </values>
      </ddeItem>
      <ddeItem name="3118.TW-Price" advise="1">
        <values>
          <value t="str">
            <val>--</val>
          </value>
        </values>
      </ddeItem>
      <ddeItem name="3122.TW-PreClose" advise="1">
        <values>
          <value>
            <val>61.8</val>
          </value>
        </values>
      </ddeItem>
      <ddeItem name="3122.TW-Price" advise="1">
        <values>
          <value t="str">
            <val>--</val>
          </value>
        </values>
      </ddeItem>
      <ddeItem name="3128.TW-PreClose" advise="1">
        <values>
          <value>
            <val>22.95</val>
          </value>
        </values>
      </ddeItem>
      <ddeItem name="3128.TW-Price" advise="1">
        <values>
          <value t="str">
            <val>--</val>
          </value>
        </values>
      </ddeItem>
      <ddeItem name="3130.TW-PreClose" advise="1">
        <values>
          <value t="str">
            <val>--</val>
          </value>
        </values>
      </ddeItem>
      <ddeItem name="3130.TW-Price" advise="1">
        <values>
          <value t="str">
            <val>--</val>
          </value>
        </values>
      </ddeItem>
      <ddeItem name="3131.TW-PreClose" advise="1">
        <values>
          <value>
            <val>373</val>
          </value>
        </values>
      </ddeItem>
      <ddeItem name="3131.TW-Price" advise="1">
        <values>
          <value t="str">
            <val>--</val>
          </value>
        </values>
      </ddeItem>
      <ddeItem name="3138.TW-Capital" advise="1">
        <values>
          <value t="str">
            <val>4.67</val>
          </value>
        </values>
      </ddeItem>
      <ddeItem name="3138.TW-CashAndStockDividend" advise="1">
        <values>
          <value t="str">
            <val>1.60</val>
          </value>
        </values>
      </ddeItem>
      <ddeItem name="3138.TW-CashDividendYieldRate" advise="1">
        <values>
          <value>
            <val>0.7</val>
          </value>
        </values>
      </ddeItem>
      <ddeItem name="3138.TW-MonthlyNetSalesYoY" advise="1">
        <values>
          <value t="str">
            <val>26.68</val>
          </value>
        </values>
      </ddeItem>
      <ddeItem name="3138.TW-NetIncomeGrowthRate" advise="1">
        <values>
          <value t="str">
            <val>89.66</val>
          </value>
        </values>
      </ddeItem>
      <ddeItem name="3138.TW-NetProfitMargin" advise="1">
        <values>
          <value t="str">
            <val>18.81</val>
          </value>
        </values>
      </ddeItem>
      <ddeItem name="3138.TW-OperatingProfitRatio" advise="1">
        <values>
          <value t="str">
            <val>10.13</val>
          </value>
        </values>
      </ddeItem>
      <ddeItem name="3138.TW-OperIncomeGrowthRate" advise="1">
        <values>
          <value t="str">
            <val>-1.41</val>
          </value>
        </values>
      </ddeItem>
      <ddeItem name="3138.TW-PreClose" advise="1">
        <values>
          <value>
            <val>229</val>
          </value>
        </values>
      </ddeItem>
      <ddeItem name="3138.TW-Price" advise="1">
        <values>
          <value t="str">
            <val>--</val>
          </value>
        </values>
      </ddeItem>
      <ddeItem name="3138.TW-ProfitFourSeason" advise="1">
        <values>
          <value t="str">
            <val>4.43</val>
          </value>
        </values>
      </ddeItem>
      <ddeItem name="3138.TW-ProfitMargin" advise="1">
        <values>
          <value t="str">
            <val>39.99</val>
          </value>
        </values>
      </ddeItem>
      <ddeItem name="3138.TW-TFXRatio" advise="1">
        <values>
          <value t="str">
            <val>-3.46</val>
          </value>
        </values>
      </ddeItem>
      <ddeItem name="3141.TW-Capital" advise="1">
        <values>
          <value t="str">
            <val>--</val>
          </value>
        </values>
      </ddeItem>
      <ddeItem name="3141.TW-CashAndStockDividend" advise="1">
        <values>
          <value t="str">
            <val>--</val>
          </value>
        </values>
      </ddeItem>
      <ddeItem name="3141.TW-CashDividendYieldRate" advise="1">
        <values>
          <value t="str">
            <val>--</val>
          </value>
        </values>
      </ddeItem>
      <ddeItem name="3141.TW-MonthlyNetSalesYoY" advise="1">
        <values>
          <value t="str">
            <val>--</val>
          </value>
        </values>
      </ddeItem>
      <ddeItem name="3141.TW-NetIncomeGrowthRate" advise="1">
        <values>
          <value t="str">
            <val>--</val>
          </value>
        </values>
      </ddeItem>
      <ddeItem name="3141.TW-NetProfitMargin" advise="1">
        <values>
          <value t="str">
            <val>--</val>
          </value>
        </values>
      </ddeItem>
      <ddeItem name="3141.TW-OperatingProfitRatio" advise="1">
        <values>
          <value t="str">
            <val>--</val>
          </value>
        </values>
      </ddeItem>
      <ddeItem name="3141.TW-OperIncomeGrowthRate" advise="1">
        <values>
          <value t="str">
            <val>--</val>
          </value>
        </values>
      </ddeItem>
      <ddeItem name="3141.TW-PreClose" advise="1">
        <values>
          <value>
            <val>255</val>
          </value>
        </values>
      </ddeItem>
      <ddeItem name="3141.TW-Price" advise="1">
        <values>
          <value>
            <val>259.5</val>
          </value>
        </values>
      </ddeItem>
      <ddeItem name="3141.TW-ProfitFourSeason" advise="1">
        <values>
          <value t="str">
            <val>--</val>
          </value>
        </values>
      </ddeItem>
      <ddeItem name="3141.TW-ProfitMargin" advise="1">
        <values>
          <value t="str">
            <val>--</val>
          </value>
        </values>
      </ddeItem>
      <ddeItem name="3141.TW-TFXRatio" advise="1">
        <values>
          <value t="str">
            <val>--</val>
          </value>
        </values>
      </ddeItem>
      <ddeItem name="3144.TW-PreClose" advise="1">
        <values>
          <value>
            <val>38.15</val>
          </value>
        </values>
      </ddeItem>
      <ddeItem name="3144.TW-Price" advise="1">
        <values>
          <value t="str">
            <val>--</val>
          </value>
        </values>
      </ddeItem>
      <ddeItem name="3147.TW-PreClose" advise="1">
        <values>
          <value>
            <val>51.4</val>
          </value>
        </values>
      </ddeItem>
      <ddeItem name="3147.TW-Price" advise="1">
        <values>
          <value t="str">
            <val>--</val>
          </value>
        </values>
      </ddeItem>
      <ddeItem name="3149.TW-PreClose" advise="1">
        <values>
          <value>
            <val>32.75</val>
          </value>
        </values>
      </ddeItem>
      <ddeItem name="3149.TW-Price" advise="1">
        <values>
          <value t="str">
            <val>--</val>
          </value>
        </values>
      </ddeItem>
      <ddeItem name="3152.TW-PreClose" advise="1">
        <values>
          <value>
            <val>384.5</val>
          </value>
        </values>
      </ddeItem>
      <ddeItem name="3152.TW-Price" advise="1">
        <values>
          <value t="str">
            <val>--</val>
          </value>
        </values>
      </ddeItem>
      <ddeItem name="3162.TW-PreClose" advise="1">
        <values>
          <value>
            <val>48.4</val>
          </value>
        </values>
      </ddeItem>
      <ddeItem name="3162.TW-Price" advise="1">
        <values>
          <value>
            <val>48.35</val>
          </value>
        </values>
      </ddeItem>
      <ddeItem name="3163.TW-PreClose" advise="1">
        <values>
          <value>
            <val>41.4</val>
          </value>
        </values>
      </ddeItem>
      <ddeItem name="3163.TW-Price" advise="1">
        <values>
          <value t="str">
            <val>--</val>
          </value>
        </values>
      </ddeItem>
      <ddeItem name="3164.TW-PreClose" advise="1">
        <values>
          <value>
            <val>24.3</val>
          </value>
        </values>
      </ddeItem>
      <ddeItem name="3164.TW-Price" advise="1">
        <values>
          <value t="str">
            <val>--</val>
          </value>
        </values>
      </ddeItem>
      <ddeItem name="3167.TW-PreClose" advise="1">
        <values>
          <value>
            <val>97.7</val>
          </value>
        </values>
      </ddeItem>
      <ddeItem name="3167.TW-Price" advise="1">
        <values>
          <value t="str">
            <val>--</val>
          </value>
        </values>
      </ddeItem>
      <ddeItem name="3169.TW-Capital" advise="1">
        <values>
          <value t="str">
            <val>0.00</val>
          </value>
        </values>
      </ddeItem>
      <ddeItem name="3169.TW-CashAndStockDividend" advise="1">
        <values>
          <value t="str">
            <val>0.00</val>
          </value>
        </values>
      </ddeItem>
      <ddeItem name="3169.TW-CashDividendYieldRate" advise="1">
        <values>
          <value t="str">
            <val>--</val>
          </value>
        </values>
      </ddeItem>
      <ddeItem name="3169.TW-MonthlyNetSalesYoY" advise="1">
        <values>
          <value t="str">
            <val>0.00</val>
          </value>
        </values>
      </ddeItem>
      <ddeItem name="3169.TW-NetIncomeGrowthRate" advise="1">
        <values>
          <value t="str">
            <val>0.00</val>
          </value>
        </values>
      </ddeItem>
      <ddeItem name="3169.TW-NetProfitMargin" advise="1">
        <values>
          <value t="str">
            <val>0.00</val>
          </value>
        </values>
      </ddeItem>
      <ddeItem name="3169.TW-OperatingProfitRatio" advise="1">
        <values>
          <value t="str">
            <val>0.00</val>
          </value>
        </values>
      </ddeItem>
      <ddeItem name="3169.TW-OperIncomeGrowthRate" advise="1">
        <values>
          <value t="str">
            <val>0.00</val>
          </value>
        </values>
      </ddeItem>
      <ddeItem name="3169.TW-PreClose" advise="1">
        <values>
          <value t="str">
            <val>--</val>
          </value>
        </values>
      </ddeItem>
      <ddeItem name="3169.TW-Price" advise="1">
        <values>
          <value t="str">
            <val>--</val>
          </value>
        </values>
      </ddeItem>
      <ddeItem name="3169.TW-ProfitFourSeason" advise="1">
        <values>
          <value t="str">
            <val>0.00</val>
          </value>
        </values>
      </ddeItem>
      <ddeItem name="3169.TW-ProfitMargin" advise="1">
        <values>
          <value t="str">
            <val>0.00</val>
          </value>
        </values>
      </ddeItem>
      <ddeItem name="3169.TW-TFXRatio" advise="1">
        <values>
          <value t="str">
            <val>0.00</val>
          </value>
        </values>
      </ddeItem>
      <ddeItem name="3171.TW-PreClose" advise="1">
        <values>
          <value>
            <val>20.65</val>
          </value>
        </values>
      </ddeItem>
      <ddeItem name="3171.TW-Price" advise="1">
        <values>
          <value t="str">
            <val>--</val>
          </value>
        </values>
      </ddeItem>
      <ddeItem name="3176.TW-PreClose" advise="1">
        <values>
          <value>
            <val>52</val>
          </value>
        </values>
      </ddeItem>
      <ddeItem name="3176.TW-Price" advise="1">
        <values>
          <value>
            <val>52.4</val>
          </value>
        </values>
      </ddeItem>
      <ddeItem name="3178.TW-PreClose" advise="1">
        <values>
          <value>
            <val>75.400000000000006</val>
          </value>
        </values>
      </ddeItem>
      <ddeItem name="3178.TW-Price" advise="1">
        <values>
          <value>
            <val>76</val>
          </value>
        </values>
      </ddeItem>
      <ddeItem name="3188.TW-PreClose" advise="1">
        <values>
          <value>
            <val>17.25</val>
          </value>
        </values>
      </ddeItem>
      <ddeItem name="3188.TW-Price" advise="1">
        <values>
          <value t="str">
            <val>--</val>
          </value>
        </values>
      </ddeItem>
      <ddeItem name="3189.TW-PreClose" advise="1">
        <values>
          <value>
            <val>232</val>
          </value>
        </values>
      </ddeItem>
      <ddeItem name="3189.TW-Price" advise="1">
        <values>
          <value t="str">
            <val>--</val>
          </value>
        </values>
      </ddeItem>
      <ddeItem name="3191.TW-PreClose" advise="1">
        <values>
          <value>
            <val>7.15</val>
          </value>
        </values>
      </ddeItem>
      <ddeItem name="3191.TW-Price" advise="1">
        <values>
          <value t="str">
            <val>--</val>
          </value>
        </values>
      </ddeItem>
      <ddeItem name="3202.TW-PreClose" advise="1">
        <values>
          <value t="str">
            <val>--</val>
          </value>
        </values>
      </ddeItem>
      <ddeItem name="3202.TW-Price" advise="1">
        <values>
          <value t="str">
            <val>--</val>
          </value>
        </values>
      </ddeItem>
      <ddeItem name="3205.TW-PreClose" advise="1">
        <values>
          <value>
            <val>26.6</val>
          </value>
        </values>
      </ddeItem>
      <ddeItem name="3205.TW-Price" advise="1">
        <values>
          <value t="str">
            <val>--</val>
          </value>
        </values>
      </ddeItem>
      <ddeItem name="3206.TW-PreClose" advise="1">
        <values>
          <value>
            <val>28.7</val>
          </value>
        </values>
      </ddeItem>
      <ddeItem name="3206.TW-Price" advise="1">
        <values>
          <value t="str">
            <val>--</val>
          </value>
        </values>
      </ddeItem>
      <ddeItem name="3207.TW-PreClose" advise="1">
        <values>
          <value>
            <val>21.9</val>
          </value>
        </values>
      </ddeItem>
      <ddeItem name="3207.TW-Price" advise="1">
        <values>
          <value t="str">
            <val>--</val>
          </value>
        </values>
      </ddeItem>
      <ddeItem name="3209.TW-PreClose" advise="1">
        <values>
          <value>
            <val>29.2</val>
          </value>
        </values>
      </ddeItem>
      <ddeItem name="3209.TW-Price" advise="1">
        <values>
          <value t="str">
            <val>--</val>
          </value>
        </values>
      </ddeItem>
      <ddeItem name="3211.TW-PreClose" advise="1">
        <values>
          <value>
            <val>98.3</val>
          </value>
        </values>
      </ddeItem>
      <ddeItem name="3211.TW-Price" advise="1">
        <values>
          <value>
            <val>98.1</val>
          </value>
        </values>
      </ddeItem>
      <ddeItem name="3213.TW-PreClose" advise="1">
        <values>
          <value>
            <val>61.4</val>
          </value>
        </values>
      </ddeItem>
      <ddeItem name="3213.TW-Price" advise="1">
        <values>
          <value t="str">
            <val>--</val>
          </value>
        </values>
      </ddeItem>
      <ddeItem name="3217.TW-PreClose" advise="1">
        <values>
          <value>
            <val>94.2</val>
          </value>
        </values>
      </ddeItem>
      <ddeItem name="3217.TW-Price" advise="1">
        <values>
          <value t="str">
            <val>--</val>
          </value>
        </values>
      </ddeItem>
      <ddeItem name="3218.TW-PreClose" advise="1">
        <values>
          <value>
            <val>278</val>
          </value>
        </values>
      </ddeItem>
      <ddeItem name="3218.TW-Price" advise="1">
        <values>
          <value t="str">
            <val>--</val>
          </value>
        </values>
      </ddeItem>
      <ddeItem name="3219.TW-PreClose" advise="1">
        <values>
          <value>
            <val>92.8</val>
          </value>
        </values>
      </ddeItem>
      <ddeItem name="3219.TW-Price" advise="1">
        <values>
          <value t="str">
            <val>--</val>
          </value>
        </values>
      </ddeItem>
      <ddeItem name="3221.TW-PreClose" advise="1">
        <values>
          <value>
            <val>39.200000000000003</val>
          </value>
        </values>
      </ddeItem>
      <ddeItem name="3221.TW-Price" advise="1">
        <values>
          <value t="str">
            <val>--</val>
          </value>
        </values>
      </ddeItem>
      <ddeItem name="3224.TW-PreClose" advise="1">
        <values>
          <value>
            <val>56.6</val>
          </value>
        </values>
      </ddeItem>
      <ddeItem name="3224.TW-Price" advise="1">
        <values>
          <value t="str">
            <val>--</val>
          </value>
        </values>
      </ddeItem>
      <ddeItem name="3226.TW-PreClose" advise="1">
        <values>
          <value>
            <val>65.5</val>
          </value>
        </values>
      </ddeItem>
      <ddeItem name="3226.TW-Price" advise="1">
        <values>
          <value t="str">
            <val>--</val>
          </value>
        </values>
      </ddeItem>
      <ddeItem name="3227.TW-PreClose" advise="1">
        <values>
          <value>
            <val>155.5</val>
          </value>
        </values>
      </ddeItem>
      <ddeItem name="3227.TW-Price" advise="1">
        <values>
          <value t="str">
            <val>--</val>
          </value>
        </values>
      </ddeItem>
      <ddeItem name="3228.TW-PreClose" advise="1">
        <values>
          <value>
            <val>503</val>
          </value>
        </values>
      </ddeItem>
      <ddeItem name="3228.TW-Price" advise="1">
        <values>
          <value t="str">
            <val>--</val>
          </value>
        </values>
      </ddeItem>
      <ddeItem name="3229.TW-PreClose" advise="1">
        <values>
          <value>
            <val>6.71</val>
          </value>
        </values>
      </ddeItem>
      <ddeItem name="3229.TW-Price" advise="1">
        <values>
          <value t="str">
            <val>--</val>
          </value>
        </values>
      </ddeItem>
      <ddeItem name="3230.TW-PreClose" advise="1">
        <values>
          <value>
            <val>20.2</val>
          </value>
        </values>
      </ddeItem>
      <ddeItem name="3230.TW-Price" advise="1">
        <values>
          <value t="str">
            <val>--</val>
          </value>
        </values>
      </ddeItem>
      <ddeItem name="3231.TW-PreClose" advise="1">
        <values>
          <value>
            <val>29.1</val>
          </value>
        </values>
      </ddeItem>
      <ddeItem name="3231.TW-Price" advise="1">
        <values>
          <value>
            <val>29.2</val>
          </value>
        </values>
      </ddeItem>
      <ddeItem name="3232.TW-PreClose" advise="1">
        <values>
          <value>
            <val>27.5</val>
          </value>
        </values>
      </ddeItem>
      <ddeItem name="3232.TW-Price" advise="1">
        <values>
          <value t="str">
            <val>--</val>
          </value>
        </values>
      </ddeItem>
      <ddeItem name="3234.TW-PreClose" advise="1">
        <values>
          <value>
            <val>28.65</val>
          </value>
        </values>
      </ddeItem>
      <ddeItem name="3234.TW-Price" advise="1">
        <values>
          <value t="str">
            <val>--</val>
          </value>
        </values>
      </ddeItem>
      <ddeItem name="3236.TW-PreClose" advise="1">
        <values>
          <value>
            <val>25.9</val>
          </value>
        </values>
      </ddeItem>
      <ddeItem name="3236.TW-Price" advise="1">
        <values>
          <value t="str">
            <val>--</val>
          </value>
        </values>
      </ddeItem>
      <ddeItem name="3252.TW-PreClose" advise="1">
        <values>
          <value>
            <val>16.850000000000001</val>
          </value>
        </values>
      </ddeItem>
      <ddeItem name="3252.TW-Price" advise="1">
        <values>
          <value t="str">
            <val>--</val>
          </value>
        </values>
      </ddeItem>
      <ddeItem name="3257.TW-PreClose" advise="1">
        <values>
          <value t="str">
            <val>--</val>
          </value>
        </values>
      </ddeItem>
      <ddeItem name="3257.TW-Price" advise="1">
        <values>
          <value t="str">
            <val>--</val>
          </value>
        </values>
      </ddeItem>
      <ddeItem name="3259.TW-PreClose" advise="1">
        <values>
          <value>
            <val>29.75</val>
          </value>
        </values>
      </ddeItem>
      <ddeItem name="3259.TW-Price" advise="1">
        <values>
          <value t="str">
            <val>--</val>
          </value>
        </values>
      </ddeItem>
      <ddeItem name="3260.TW-Capital" advise="1">
        <values>
          <value t="str">
            <val>--</val>
          </value>
        </values>
      </ddeItem>
      <ddeItem name="3260.TW-CashAndStockDividend" advise="1">
        <values>
          <value t="str">
            <val>--</val>
          </value>
        </values>
      </ddeItem>
      <ddeItem name="3260.TW-CashDividendYieldRate" advise="1">
        <values>
          <value t="str">
            <val>--</val>
          </value>
        </values>
      </ddeItem>
      <ddeItem name="3260.TW-MonthlyNetSalesYoY" advise="1">
        <values>
          <value t="str">
            <val>--</val>
          </value>
        </values>
      </ddeItem>
      <ddeItem name="3260.TW-NetIncomeGrowthRate" advise="1">
        <values>
          <value t="str">
            <val>--</val>
          </value>
        </values>
      </ddeItem>
      <ddeItem name="3260.TW-NetProfitMargin" advise="1">
        <values>
          <value t="str">
            <val>--</val>
          </value>
        </values>
      </ddeItem>
      <ddeItem name="3260.TW-OperatingProfitRatio" advise="1">
        <values>
          <value t="str">
            <val>--</val>
          </value>
        </values>
      </ddeItem>
      <ddeItem name="3260.TW-OperIncomeGrowthRate" advise="1">
        <values>
          <value t="str">
            <val>--</val>
          </value>
        </values>
      </ddeItem>
      <ddeItem name="3260.TW-PreClose" advise="1">
        <values>
          <value>
            <val>91.8</val>
          </value>
        </values>
      </ddeItem>
      <ddeItem name="3260.TW-Price" advise="1">
        <values>
          <value>
            <val>92.7</val>
          </value>
        </values>
      </ddeItem>
      <ddeItem name="3260.TW-ProfitFourSeason" advise="1">
        <values>
          <value t="str">
            <val>--</val>
          </value>
        </values>
      </ddeItem>
      <ddeItem name="3260.TW-ProfitMargin" advise="1">
        <values>
          <value t="str">
            <val>--</val>
          </value>
        </values>
      </ddeItem>
      <ddeItem name="3260.TW-TFXRatio" advise="1">
        <values>
          <value t="str">
            <val>--</val>
          </value>
        </values>
      </ddeItem>
      <ddeItem name="3264.TW-PreClose" advise="1">
        <values>
          <value t="str">
            <val>--</val>
          </value>
        </values>
      </ddeItem>
      <ddeItem name="3264.TW-Price" advise="1">
        <values>
          <value t="str">
            <val>--</val>
          </value>
        </values>
      </ddeItem>
      <ddeItem name="3265.TW-PreClose" advise="1">
        <values>
          <value>
            <val>32.5</val>
          </value>
        </values>
      </ddeItem>
      <ddeItem name="3265.TW-Price" advise="1">
        <values>
          <value t="str">
            <val>--</val>
          </value>
        </values>
      </ddeItem>
      <ddeItem name="3266.TW-PreClose" advise="1">
        <values>
          <value t="str">
            <val>--</val>
          </value>
        </values>
      </ddeItem>
      <ddeItem name="3266.TW-Price" advise="1">
        <values>
          <value t="str">
            <val>--</val>
          </value>
        </values>
      </ddeItem>
      <ddeItem name="3268.TW-PreClose" advise="1">
        <values>
          <value>
            <val>30</val>
          </value>
        </values>
      </ddeItem>
      <ddeItem name="3268.TW-Price" advise="1">
        <values>
          <value t="str">
            <val>--</val>
          </value>
        </values>
      </ddeItem>
      <ddeItem name="3272.TW-PreClose" advise="1">
        <values>
          <value>
            <val>39.6</val>
          </value>
        </values>
      </ddeItem>
      <ddeItem name="3272.TW-Price" advise="1">
        <values>
          <value t="str">
            <val>--</val>
          </value>
        </values>
      </ddeItem>
      <ddeItem name="3276.TW-PreClose" advise="1">
        <values>
          <value t="str">
            <val>--</val>
          </value>
        </values>
      </ddeItem>
      <ddeItem name="3276.TW-Price" advise="1">
        <values>
          <value t="str">
            <val>--</val>
          </value>
        </values>
      </ddeItem>
      <ddeItem name="3284.TW-PreClose" advise="1">
        <values>
          <value>
            <val>12.25</val>
          </value>
        </values>
      </ddeItem>
      <ddeItem name="3284.TW-Price" advise="1">
        <values>
          <value t="str">
            <val>--</val>
          </value>
        </values>
      </ddeItem>
      <ddeItem name="3285.TW-PreClose" advise="1">
        <values>
          <value>
            <val>20.45</val>
          </value>
        </values>
      </ddeItem>
      <ddeItem name="3285.TW-Price" advise="1">
        <values>
          <value t="str">
            <val>--</val>
          </value>
        </values>
      </ddeItem>
      <ddeItem name="3287.TW-PreClose" advise="1">
        <values>
          <value>
            <val>17.649999999999999</val>
          </value>
        </values>
      </ddeItem>
      <ddeItem name="3287.TW-Price" advise="1">
        <values>
          <value t="str">
            <val>--</val>
          </value>
        </values>
      </ddeItem>
      <ddeItem name="3288.TW-PreClose" advise="1">
        <values>
          <value>
            <val>16</val>
          </value>
        </values>
      </ddeItem>
      <ddeItem name="3288.TW-Price" advise="1">
        <values>
          <value t="str">
            <val>--</val>
          </value>
        </values>
      </ddeItem>
      <ddeItem name="3289.TW-PreClose" advise="1">
        <values>
          <value>
            <val>56.7</val>
          </value>
        </values>
      </ddeItem>
      <ddeItem name="3289.TW-Price" advise="1">
        <values>
          <value t="str">
            <val>--</val>
          </value>
        </values>
      </ddeItem>
      <ddeItem name="3290.TW-PreClose" advise="1">
        <values>
          <value>
            <val>17.2</val>
          </value>
        </values>
      </ddeItem>
      <ddeItem name="3290.TW-Price" advise="1">
        <values>
          <value>
            <val>18</val>
          </value>
        </values>
      </ddeItem>
      <ddeItem name="3293.TW-PreClose" advise="1">
        <values>
          <value>
            <val>788</val>
          </value>
        </values>
      </ddeItem>
      <ddeItem name="3293.TW-Price" advise="1">
        <values>
          <value t="str">
            <val>--</val>
          </value>
        </values>
      </ddeItem>
      <ddeItem name="3294.TW-PreClose" advise="1">
        <values>
          <value t="str">
            <val>--</val>
          </value>
        </values>
      </ddeItem>
      <ddeItem name="3294.TW-Price" advise="1">
        <values>
          <value t="str">
            <val>--</val>
          </value>
        </values>
      </ddeItem>
      <ddeItem name="3296.TW-PreClose" advise="1">
        <values>
          <value>
            <val>18.45</val>
          </value>
        </values>
      </ddeItem>
      <ddeItem name="3296.TW-Price" advise="1">
        <values>
          <value t="str">
            <val>--</val>
          </value>
        </values>
      </ddeItem>
      <ddeItem name="3297.TW-PreClose" advise="1">
        <values>
          <value>
            <val>19.100000000000001</val>
          </value>
        </values>
      </ddeItem>
      <ddeItem name="3297.TW-Price" advise="1">
        <values>
          <value t="str">
            <val>--</val>
          </value>
        </values>
      </ddeItem>
      <ddeItem name="3303.TW-PreClose" advise="1">
        <values>
          <value>
            <val>26.35</val>
          </value>
        </values>
      </ddeItem>
      <ddeItem name="3303.TW-Price" advise="1">
        <values>
          <value t="str">
            <val>--</val>
          </value>
        </values>
      </ddeItem>
      <ddeItem name="3305.TW-Capital" advise="1">
        <values>
          <value t="str">
            <val>13.38</val>
          </value>
        </values>
      </ddeItem>
      <ddeItem name="3305.TW-CashAndStockDividend" advise="1">
        <values>
          <value t="str">
            <val>1.36</val>
          </value>
        </values>
      </ddeItem>
      <ddeItem name="3305.TW-CashDividendYieldRate" advise="1">
        <values>
          <value>
            <val>1.64</val>
          </value>
        </values>
      </ddeItem>
      <ddeItem name="3305.TW-MonthlyNetSalesYoY" advise="1">
        <values>
          <value t="str">
            <val>48.77</val>
          </value>
        </values>
      </ddeItem>
      <ddeItem name="3305.TW-NetIncomeGrowthRate" advise="1">
        <values>
          <value t="str">
            <val>284.56</val>
          </value>
        </values>
      </ddeItem>
      <ddeItem name="3305.TW-NetProfitMargin" advise="1">
        <values>
          <value t="str">
            <val>7.90</val>
          </value>
        </values>
      </ddeItem>
      <ddeItem name="3305.TW-OperatingProfitRatio" advise="1">
        <values>
          <value t="str">
            <val>11.28</val>
          </value>
        </values>
      </ddeItem>
      <ddeItem name="3305.TW-OperIncomeGrowthRate" advise="1">
        <values>
          <value t="str">
            <val>230.94</val>
          </value>
        </values>
      </ddeItem>
      <ddeItem name="3305.TW-PreClose" advise="1">
        <values>
          <value>
            <val>83.1</val>
          </value>
        </values>
      </ddeItem>
      <ddeItem name="3305.TW-Price" advise="1">
        <values>
          <value t="str">
            <val>--</val>
          </value>
        </values>
      </ddeItem>
      <ddeItem name="3305.TW-ProfitFourSeason" advise="1">
        <values>
          <value t="str">
            <val>4.29</val>
          </value>
        </values>
      </ddeItem>
      <ddeItem name="3305.TW-ProfitMargin" advise="1">
        <values>
          <value t="str">
            <val>16.58</val>
          </value>
        </values>
      </ddeItem>
      <ddeItem name="3305.TW-TFXRatio" advise="1">
        <values>
          <value t="str">
            <val>-6.10</val>
          </value>
        </values>
      </ddeItem>
      <ddeItem name="3306.TW-PreClose" advise="1">
        <values>
          <value>
            <val>27.9</val>
          </value>
        </values>
      </ddeItem>
      <ddeItem name="3306.TW-Price" advise="1">
        <values>
          <value t="str">
            <val>--</val>
          </value>
        </values>
      </ddeItem>
      <ddeItem name="3308.TW-PreClose" advise="1">
        <values>
          <value>
            <val>7.95</val>
          </value>
        </values>
      </ddeItem>
      <ddeItem name="3308.TW-Price" advise="1">
        <values>
          <value t="str">
            <val>--</val>
          </value>
        </values>
      </ddeItem>
      <ddeItem name="3310.TW-PreClose" advise="1">
        <values>
          <value>
            <val>30.9</val>
          </value>
        </values>
      </ddeItem>
      <ddeItem name="3310.TW-Price" advise="1">
        <values>
          <value t="str">
            <val>--</val>
          </value>
        </values>
      </ddeItem>
      <ddeItem name="3311.TW-PreClose" advise="1">
        <values>
          <value>
            <val>33.75</val>
          </value>
        </values>
      </ddeItem>
      <ddeItem name="3311.TW-Price" advise="1">
        <values>
          <value t="str">
            <val>--</val>
          </value>
        </values>
      </ddeItem>
      <ddeItem name="3312.TW-PreClose" advise="1">
        <values>
          <value>
            <val>24.25</val>
          </value>
        </values>
      </ddeItem>
      <ddeItem name="3312.TW-Price" advise="1">
        <values>
          <value t="str">
            <val>--</val>
          </value>
        </values>
      </ddeItem>
      <ddeItem name="3313.TW-PreClose" advise="1">
        <values>
          <value>
            <val>12.6</val>
          </value>
        </values>
      </ddeItem>
      <ddeItem name="3313.TW-Price" advise="1">
        <values>
          <value t="str">
            <val>--</val>
          </value>
        </values>
      </ddeItem>
      <ddeItem name="3317.TW-PreClose" advise="1">
        <values>
          <value>
            <val>82</val>
          </value>
        </values>
      </ddeItem>
      <ddeItem name="3317.TW-Price" advise="1">
        <values>
          <value t="str">
            <val>--</val>
          </value>
        </values>
      </ddeItem>
      <ddeItem name="3321.TW-PreClose" advise="1">
        <values>
          <value>
            <val>13.25</val>
          </value>
        </values>
      </ddeItem>
      <ddeItem name="3321.TW-Price" advise="1">
        <values>
          <value t="str">
            <val>--</val>
          </value>
        </values>
      </ddeItem>
      <ddeItem name="3322.TW-PreClose" advise="1">
        <values>
          <value>
            <val>16.95</val>
          </value>
        </values>
      </ddeItem>
      <ddeItem name="3322.TW-Price" advise="1">
        <values>
          <value t="str">
            <val>--</val>
          </value>
        </values>
      </ddeItem>
      <ddeItem name="3323.TW-Capital" advise="1">
        <values>
          <value t="str">
            <val>--</val>
          </value>
        </values>
      </ddeItem>
      <ddeItem name="3323.TW-CashAndStockDividend" advise="1">
        <values>
          <value t="str">
            <val>--</val>
          </value>
        </values>
      </ddeItem>
      <ddeItem name="3323.TW-CashDividendYieldRate" advise="1">
        <values>
          <value t="str">
            <val>--</val>
          </value>
        </values>
      </ddeItem>
      <ddeItem name="3323.TW-MonthlyNetSalesYoY" advise="1">
        <values>
          <value t="str">
            <val>--</val>
          </value>
        </values>
      </ddeItem>
      <ddeItem name="3323.TW-NetIncomeGrowthRate" advise="1">
        <values>
          <value t="str">
            <val>--</val>
          </value>
        </values>
      </ddeItem>
      <ddeItem name="3323.TW-NetProfitMargin" advise="1">
        <values>
          <value t="str">
            <val>--</val>
          </value>
        </values>
      </ddeItem>
      <ddeItem name="3323.TW-OperatingProfitRatio" advise="1">
        <values>
          <value t="str">
            <val>--</val>
          </value>
        </values>
      </ddeItem>
      <ddeItem name="3323.TW-OperIncomeGrowthRate" advise="1">
        <values>
          <value t="str">
            <val>--</val>
          </value>
        </values>
      </ddeItem>
      <ddeItem name="3323.TW-PreClose" advise="1">
        <values>
          <value>
            <val>42.1</val>
          </value>
        </values>
      </ddeItem>
      <ddeItem name="3323.TW-Price" advise="1">
        <values>
          <value t="str">
            <val>--</val>
          </value>
        </values>
      </ddeItem>
      <ddeItem name="3323.TW-ProfitFourSeason" advise="1">
        <values>
          <value t="str">
            <val>--</val>
          </value>
        </values>
      </ddeItem>
      <ddeItem name="3323.TW-ProfitMargin" advise="1">
        <values>
          <value t="str">
            <val>--</val>
          </value>
        </values>
      </ddeItem>
      <ddeItem name="3323.TW-TFXRatio" advise="1">
        <values>
          <value t="str">
            <val>--</val>
          </value>
        </values>
      </ddeItem>
      <ddeItem name="3324.TW-PreClose" advise="1">
        <values>
          <value>
            <val>185</val>
          </value>
        </values>
      </ddeItem>
      <ddeItem name="3324.TW-Price" advise="1">
        <values>
          <value t="str">
            <val>--</val>
          </value>
        </values>
      </ddeItem>
      <ddeItem name="3325.TW-PreClose" advise="1">
        <values>
          <value>
            <val>15.9</val>
          </value>
        </values>
      </ddeItem>
      <ddeItem name="3325.TW-Price" advise="1">
        <values>
          <value t="str">
            <val>--</val>
          </value>
        </values>
      </ddeItem>
      <ddeItem name="3332.TW-PreClose" advise="1">
        <values>
          <value t="str">
            <val>--</val>
          </value>
        </values>
      </ddeItem>
      <ddeItem name="3332.TW-Price" advise="1">
        <values>
          <value t="str">
            <val>--</val>
          </value>
        </values>
      </ddeItem>
      <ddeItem name="3338.TW-PreClose" advise="1">
        <values>
          <value>
            <val>56.1</val>
          </value>
        </values>
      </ddeItem>
      <ddeItem name="3338.TW-Price" advise="1">
        <values>
          <value>
            <val>55</val>
          </value>
        </values>
      </ddeItem>
      <ddeItem name="3339.TW-PreClose" advise="1">
        <values>
          <value>
            <val>20.100000000000001</val>
          </value>
        </values>
      </ddeItem>
      <ddeItem name="3339.TW-Price" advise="1">
        <values>
          <value t="str">
            <val>--</val>
          </value>
        </values>
      </ddeItem>
      <ddeItem name="3346.TW-PreClose" advise="1">
        <values>
          <value>
            <val>43.85</val>
          </value>
        </values>
      </ddeItem>
      <ddeItem name="3346.TW-Price" advise="1">
        <values>
          <value t="str">
            <val>--</val>
          </value>
        </values>
      </ddeItem>
      <ddeItem name="3354.TW-PreClose" advise="1">
        <values>
          <value>
            <val>18.600000000000001</val>
          </value>
        </values>
      </ddeItem>
      <ddeItem name="3354.TW-Price" advise="1">
        <values>
          <value t="str">
            <val>--</val>
          </value>
        </values>
      </ddeItem>
      <ddeItem name="3356.TW-PreClose" advise="1">
        <values>
          <value t="str">
            <val>--</val>
          </value>
        </values>
      </ddeItem>
      <ddeItem name="3356.TW-Price" advise="1">
        <values>
          <value t="str">
            <val>--</val>
          </value>
        </values>
      </ddeItem>
      <ddeItem name="3357.TW-PreClose" advise="1">
        <values>
          <value>
            <val>135.5</val>
          </value>
        </values>
      </ddeItem>
      <ddeItem name="3357.TW-Price" advise="1">
        <values>
          <value t="str">
            <val>--</val>
          </value>
        </values>
      </ddeItem>
      <ddeItem name="3360.TW-PreClose" advise="1">
        <values>
          <value>
            <val>14.85</val>
          </value>
        </values>
      </ddeItem>
      <ddeItem name="3360.TW-Price" advise="1">
        <values>
          <value t="str">
            <val>--</val>
          </value>
        </values>
      </ddeItem>
      <ddeItem name="3362.TW-PreClose" advise="1">
        <values>
          <value t="str">
            <val>--</val>
          </value>
        </values>
      </ddeItem>
      <ddeItem name="3362.TW-Price" advise="1">
        <values>
          <value t="str">
            <val>--</val>
          </value>
        </values>
      </ddeItem>
      <ddeItem name="3363.TW-PreClose" advise="1">
        <values>
          <value>
            <val>34.450000000000003</val>
          </value>
        </values>
      </ddeItem>
      <ddeItem name="3363.TW-Price" advise="1">
        <values>
          <value t="str">
            <val>--</val>
          </value>
        </values>
      </ddeItem>
      <ddeItem name="3372.TW-PreClose" advise="1">
        <values>
          <value>
            <val>25.1</val>
          </value>
        </values>
      </ddeItem>
      <ddeItem name="3372.TW-Price" advise="1">
        <values>
          <value t="str">
            <val>--</val>
          </value>
        </values>
      </ddeItem>
      <ddeItem name="3373.TW-PreClose" advise="1">
        <values>
          <value>
            <val>34.6</val>
          </value>
        </values>
      </ddeItem>
      <ddeItem name="3373.TW-Price" advise="1">
        <values>
          <value t="str">
            <val>--</val>
          </value>
        </values>
      </ddeItem>
      <ddeItem name="3374.TW-Capital" advise="1">
        <values>
          <value t="str">
            <val>27.14</val>
          </value>
        </values>
      </ddeItem>
      <ddeItem name="3374.TW-CashAndStockDividend" advise="1">
        <values>
          <value t="str">
            <val>2.50</val>
          </value>
        </values>
      </ddeItem>
      <ddeItem name="3374.TW-CashDividendYieldRate" advise="1">
        <values>
          <value>
            <val>1.81</val>
          </value>
        </values>
      </ddeItem>
      <ddeItem name="3374.TW-MonthlyNetSalesYoY" advise="1">
        <values>
          <value t="str">
            <val>-18.89</val>
          </value>
        </values>
      </ddeItem>
      <ddeItem name="3374.TW-NetIncomeGrowthRate" advise="1">
        <values>
          <value t="str">
            <val>58.90</val>
          </value>
        </values>
      </ddeItem>
      <ddeItem name="3374.TW-NetProfitMargin" advise="1">
        <values>
          <value t="str">
            <val>24.45</val>
          </value>
        </values>
      </ddeItem>
      <ddeItem name="3374.TW-OperatingProfitRatio" advise="1">
        <values>
          <value t="str">
            <val>28.32</val>
          </value>
        </values>
      </ddeItem>
      <ddeItem name="3374.TW-OperIncomeGrowthRate" advise="1">
        <values>
          <value t="str">
            <val>78.72</val>
          </value>
        </values>
      </ddeItem>
      <ddeItem name="3374.TW-PreClose" advise="1">
        <values>
          <value>
            <val>138</val>
          </value>
        </values>
      </ddeItem>
      <ddeItem name="3374.TW-Price" advise="1">
        <values>
          <value>
            <val>138.5</val>
          </value>
        </values>
      </ddeItem>
      <ddeItem name="3374.TW-ProfitFourSeason" advise="1">
        <values>
          <value t="str">
            <val>8.31</val>
          </value>
        </values>
      </ddeItem>
      <ddeItem name="3374.TW-ProfitMargin" advise="1">
        <values>
          <value t="str">
            <val>33.21</val>
          </value>
        </values>
      </ddeItem>
      <ddeItem name="3374.TW-TFXRatio" advise="1">
        <values>
          <value t="str">
            <val>-15.68</val>
          </value>
        </values>
      </ddeItem>
      <ddeItem name="3376.TW-PreClose" advise="1">
        <values>
          <value>
            <val>96.4</val>
          </value>
        </values>
      </ddeItem>
      <ddeItem name="3376.TW-Price" advise="1">
        <values>
          <value t="str">
            <val>--</val>
          </value>
        </values>
      </ddeItem>
      <ddeItem name="3379.TW-PreClose" advise="1">
        <values>
          <value>
            <val>12.2</val>
          </value>
        </values>
      </ddeItem>
      <ddeItem name="3379.TW-Price" advise="1">
        <values>
          <value t="str">
            <val>--</val>
          </value>
        </values>
      </ddeItem>
      <ddeItem name="3380.TW-PreClose" advise="1">
        <values>
          <value t="str">
            <val>--</val>
          </value>
        </values>
      </ddeItem>
      <ddeItem name="3380.TW-Price" advise="1">
        <values>
          <value t="str">
            <val>--</val>
          </value>
        </values>
      </ddeItem>
      <ddeItem name="3383.TW-PreClose" advise="1">
        <values>
          <value>
            <val>4.0599999999999996</val>
          </value>
        </values>
      </ddeItem>
      <ddeItem name="3383.TW-Price" advise="1">
        <values>
          <value t="str">
            <val>--</val>
          </value>
        </values>
      </ddeItem>
      <ddeItem name="3388.TW-PreClose" advise="1">
        <values>
          <value>
            <val>81.5</val>
          </value>
        </values>
      </ddeItem>
      <ddeItem name="3388.TW-Price" advise="1">
        <values>
          <value t="str">
            <val>--</val>
          </value>
        </values>
      </ddeItem>
      <ddeItem name="3390.TW-PreClose" advise="1">
        <values>
          <value>
            <val>21.9</val>
          </value>
        </values>
      </ddeItem>
      <ddeItem name="3390.TW-Price" advise="1">
        <values>
          <value t="str">
            <val>--</val>
          </value>
        </values>
      </ddeItem>
      <ddeItem name="3402.TW-PreClose" advise="1">
        <values>
          <value t="str">
            <val>--</val>
          </value>
        </values>
      </ddeItem>
      <ddeItem name="3402.TW-Price" advise="1">
        <values>
          <value t="str">
            <val>--</val>
          </value>
        </values>
      </ddeItem>
      <ddeItem name="3406.TW-PreClose" advise="1">
        <values>
          <value>
            <val>514</val>
          </value>
        </values>
      </ddeItem>
      <ddeItem name="3406.TW-Price" advise="1">
        <values>
          <value>
            <val>521</val>
          </value>
        </values>
      </ddeItem>
      <ddeItem name="3413.TW-PreClose" advise="1">
        <values>
          <value>
            <val>214.5</val>
          </value>
        </values>
      </ddeItem>
      <ddeItem name="3413.TW-Price" advise="1">
        <values>
          <value t="str">
            <val>--</val>
          </value>
        </values>
      </ddeItem>
      <ddeItem name="3416.TW-PreClose" advise="1">
        <values>
          <value>
            <val>79.3</val>
          </value>
        </values>
      </ddeItem>
      <ddeItem name="3416.TW-Price" advise="1">
        <values>
          <value t="str">
            <val>--</val>
          </value>
        </values>
      </ddeItem>
      <ddeItem name="3419.TW-Capital" advise="1">
        <values>
          <value t="str">
            <val>0.00</val>
          </value>
        </values>
      </ddeItem>
      <ddeItem name="3419.TW-CashAndStockDividend" advise="1">
        <values>
          <value t="str">
            <val>0.00</val>
          </value>
        </values>
      </ddeItem>
      <ddeItem name="3419.TW-CashDividendYieldRate" advise="1">
        <values>
          <value t="str">
            <val>--</val>
          </value>
        </values>
      </ddeItem>
      <ddeItem name="3419.TW-MonthlyNetSalesYoY" advise="1">
        <values>
          <value t="str">
            <val>0.00</val>
          </value>
        </values>
      </ddeItem>
      <ddeItem name="3419.TW-NetIncomeGrowthRate" advise="1">
        <values>
          <value t="str">
            <val>0.00</val>
          </value>
        </values>
      </ddeItem>
      <ddeItem name="3419.TW-NetProfitMargin" advise="1">
        <values>
          <value t="str">
            <val>0.00</val>
          </value>
        </values>
      </ddeItem>
      <ddeItem name="3419.TW-OperatingProfitRatio" advise="1">
        <values>
          <value t="str">
            <val>0.00</val>
          </value>
        </values>
      </ddeItem>
      <ddeItem name="3419.TW-OperIncomeGrowthRate" advise="1">
        <values>
          <value t="str">
            <val>0.00</val>
          </value>
        </values>
      </ddeItem>
      <ddeItem name="3419.TW-PreClose" advise="1">
        <values>
          <value t="str">
            <val>--</val>
          </value>
        </values>
      </ddeItem>
      <ddeItem name="3419.TW-Price" advise="1">
        <values>
          <value t="str">
            <val>--</val>
          </value>
        </values>
      </ddeItem>
      <ddeItem name="3419.TW-ProfitFourSeason" advise="1">
        <values>
          <value t="str">
            <val>0.00</val>
          </value>
        </values>
      </ddeItem>
      <ddeItem name="3419.TW-ProfitMargin" advise="1">
        <values>
          <value t="str">
            <val>0.00</val>
          </value>
        </values>
      </ddeItem>
      <ddeItem name="3419.TW-TFXRatio" advise="1">
        <values>
          <value t="str">
            <val>0.00</val>
          </value>
        </values>
      </ddeItem>
      <ddeItem name="3426.TW-PreClose" advise="1">
        <values>
          <value>
            <val>38.1</val>
          </value>
        </values>
      </ddeItem>
      <ddeItem name="3426.TW-Price" advise="1">
        <values>
          <value t="str">
            <val>--</val>
          </value>
        </values>
      </ddeItem>
      <ddeItem name="3432.TW-PreClose" advise="1">
        <values>
          <value>
            <val>14.2</val>
          </value>
        </values>
      </ddeItem>
      <ddeItem name="3432.TW-Price" advise="1">
        <values>
          <value t="str">
            <val>--</val>
          </value>
        </values>
      </ddeItem>
      <ddeItem name="3434.TW-PreClose" advise="1">
        <values>
          <value>
            <val>16.05</val>
          </value>
        </values>
      </ddeItem>
      <ddeItem name="3434.TW-Price" advise="1">
        <values>
          <value t="str">
            <val>--</val>
          </value>
        </values>
      </ddeItem>
      <ddeItem name="3437.TW-PreClose" advise="1">
        <values>
          <value>
            <val>26.15</val>
          </value>
        </values>
      </ddeItem>
      <ddeItem name="3437.TW-Price" advise="1">
        <values>
          <value>
            <val>25.9</val>
          </value>
        </values>
      </ddeItem>
      <ddeItem name="3438.TW-PreClose" advise="1">
        <values>
          <value>
            <val>89.5</val>
          </value>
        </values>
      </ddeItem>
      <ddeItem name="3438.TW-Price" advise="1">
        <values>
          <value t="str">
            <val>--</val>
          </value>
        </values>
      </ddeItem>
      <ddeItem name="3441.TW-PreClose" advise="1">
        <values>
          <value>
            <val>39.85</val>
          </value>
        </values>
      </ddeItem>
      <ddeItem name="3441.TW-Price" advise="1">
        <values>
          <value t="str">
            <val>--</val>
          </value>
        </values>
      </ddeItem>
      <ddeItem name="3443.TW-PreClose" advise="1">
        <values>
          <value>
            <val>582</val>
          </value>
        </values>
      </ddeItem>
      <ddeItem name="3443.TW-Price" advise="1">
        <values>
          <value t="str">
            <val>--</val>
          </value>
        </values>
      </ddeItem>
      <ddeItem name="3444.TW-PreClose" advise="1">
        <values>
          <value>
            <val>62</val>
          </value>
        </values>
      </ddeItem>
      <ddeItem name="3444.TW-Price" advise="1">
        <values>
          <value t="str">
            <val>--</val>
          </value>
        </values>
      </ddeItem>
      <ddeItem name="3450.TW-PreClose" advise="1">
        <values>
          <value>
            <val>57.8</val>
          </value>
        </values>
      </ddeItem>
      <ddeItem name="3450.TW-Price" advise="1">
        <values>
          <value t="str">
            <val>--</val>
          </value>
        </values>
      </ddeItem>
      <ddeItem name="3454.TW-PreClose" advise="1">
        <values>
          <value>
            <val>71.2</val>
          </value>
        </values>
      </ddeItem>
      <ddeItem name="3454.TW-Price" advise="1">
        <values>
          <value t="str">
            <val>--</val>
          </value>
        </values>
      </ddeItem>
      <ddeItem name="3455.TW-PreClose" advise="1">
        <values>
          <value t="str">
            <val>--</val>
          </value>
        </values>
      </ddeItem>
      <ddeItem name="3455.TW-Price" advise="1">
        <values>
          <value t="str">
            <val>--</val>
          </value>
        </values>
      </ddeItem>
      <ddeItem name="3465.TW-PreClose" advise="1">
        <values>
          <value>
            <val>237</val>
          </value>
        </values>
      </ddeItem>
      <ddeItem name="3465.TW-Price" advise="1">
        <values>
          <value t="str">
            <val>--</val>
          </value>
        </values>
      </ddeItem>
      <ddeItem name="3466.TW-PreClose" advise="1">
        <values>
          <value>
            <val>16.95</val>
          </value>
        </values>
      </ddeItem>
      <ddeItem name="3466.TW-Price" advise="1">
        <values>
          <value t="str">
            <val>--</val>
          </value>
        </values>
      </ddeItem>
      <ddeItem name="3479.TW-PreClose" advise="1">
        <values>
          <value>
            <val>52</val>
          </value>
        </values>
      </ddeItem>
      <ddeItem name="3479.TW-Price" advise="1">
        <values>
          <value t="str">
            <val>--</val>
          </value>
        </values>
      </ddeItem>
      <ddeItem name="3481.TW-PreClose" advise="1">
        <values>
          <value>
            <val>18.5</val>
          </value>
        </values>
      </ddeItem>
      <ddeItem name="3481.TW-Price" advise="1">
        <values>
          <value>
            <val>18.75</val>
          </value>
        </values>
      </ddeItem>
      <ddeItem name="3483.TW-PreClose" advise="1">
        <values>
          <value>
            <val>93.5</val>
          </value>
        </values>
      </ddeItem>
      <ddeItem name="3483.TW-Price" advise="1">
        <values>
          <value>
            <val>97.6</val>
          </value>
        </values>
      </ddeItem>
      <ddeItem name="3484.TW-PreClose" advise="1">
        <values>
          <value>
            <val>74.599999999999994</val>
          </value>
        </values>
      </ddeItem>
      <ddeItem name="3484.TW-Price" advise="1">
        <values>
          <value t="str">
            <val>--</val>
          </value>
        </values>
      </ddeItem>
      <ddeItem name="3489.TW-PreClose" advise="1">
        <values>
          <value>
            <val>14.25</val>
          </value>
        </values>
      </ddeItem>
      <ddeItem name="3489.TW-Price" advise="1">
        <values>
          <value t="str">
            <val>--</val>
          </value>
        </values>
      </ddeItem>
      <ddeItem name="3490.TW-PreClose" advise="1">
        <values>
          <value>
            <val>31.9</val>
          </value>
        </values>
      </ddeItem>
      <ddeItem name="3490.TW-Price" advise="1">
        <values>
          <value t="str">
            <val>--</val>
          </value>
        </values>
      </ddeItem>
      <ddeItem name="3491.TW-PreClose" advise="1">
        <values>
          <value t="str">
            <val>--</val>
          </value>
        </values>
      </ddeItem>
      <ddeItem name="3491.TW-Price" advise="1">
        <values>
          <value t="str">
            <val>--</val>
          </value>
        </values>
      </ddeItem>
      <ddeItem name="3492.TW-PreClose" advise="1">
        <values>
          <value>
            <val>19.100000000000001</val>
          </value>
        </values>
      </ddeItem>
      <ddeItem name="3492.TW-Price" advise="1">
        <values>
          <value t="str">
            <val>--</val>
          </value>
        </values>
      </ddeItem>
      <ddeItem name="3494.TW-PreClose" advise="1">
        <values>
          <value t="str">
            <val>--</val>
          </value>
        </values>
      </ddeItem>
      <ddeItem name="3494.TW-Price" advise="1">
        <values>
          <value t="str">
            <val>--</val>
          </value>
        </values>
      </ddeItem>
      <ddeItem name="3498.TW-PreClose" advise="1">
        <values>
          <value>
            <val>32.85</val>
          </value>
        </values>
      </ddeItem>
      <ddeItem name="3498.TW-Price" advise="1">
        <values>
          <value t="str">
            <val>--</val>
          </value>
        </values>
      </ddeItem>
      <ddeItem name="3499.TW-PreClose" advise="1">
        <values>
          <value>
            <val>15.5</val>
          </value>
        </values>
      </ddeItem>
      <ddeItem name="3499.TW-Price" advise="1">
        <values>
          <value t="str">
            <val>--</val>
          </value>
        </values>
      </ddeItem>
      <ddeItem name="3501.TW-PreClose" advise="1">
        <values>
          <value t="str">
            <val>--</val>
          </value>
        </values>
      </ddeItem>
      <ddeItem name="3501.TW-Price" advise="1">
        <values>
          <value t="str">
            <val>--</val>
          </value>
        </values>
      </ddeItem>
      <ddeItem name="3504.TW-PreClose" advise="1">
        <values>
          <value>
            <val>131.5</val>
          </value>
        </values>
      </ddeItem>
      <ddeItem name="3504.TW-Price" advise="1">
        <values>
          <value t="str">
            <val>--</val>
          </value>
        </values>
      </ddeItem>
      <ddeItem name="3508.TW-Capital" advise="1">
        <values>
          <value t="str">
            <val>10.21</val>
          </value>
        </values>
      </ddeItem>
      <ddeItem name="3508.TW-CashAndStockDividend" advise="1">
        <values>
          <value t="str">
            <val>0.00</val>
          </value>
        </values>
      </ddeItem>
      <ddeItem name="3508.TW-CashDividendYieldRate" advise="1">
        <values>
          <value>
            <val>0</val>
          </value>
        </values>
      </ddeItem>
      <ddeItem name="3508.TW-MonthlyNetSalesYoY" advise="1">
        <values>
          <value t="str">
            <val>110.02</val>
          </value>
        </values>
      </ddeItem>
      <ddeItem name="3508.TW-NetIncomeGrowthRate" advise="1">
        <values>
          <value t="str">
            <val>-1.41</val>
          </value>
        </values>
      </ddeItem>
      <ddeItem name="3508.TW-NetProfitMargin" advise="1">
        <values>
          <value t="str">
            <val>-13.63</val>
          </value>
        </values>
      </ddeItem>
      <ddeItem name="3508.TW-OperatingProfitRatio" advise="1">
        <values>
          <value t="str">
            <val>-17.08</val>
          </value>
        </values>
      </ddeItem>
      <ddeItem name="3508.TW-OperIncomeGrowthRate" advise="1">
        <values>
          <value t="str">
            <val>41.30</val>
          </value>
        </values>
      </ddeItem>
      <ddeItem name="3508.TW-PreClose" advise="1">
        <values>
          <value>
            <val>49</val>
          </value>
        </values>
      </ddeItem>
      <ddeItem name="3508.TW-Price" advise="1">
        <values>
          <value t="str">
            <val>--</val>
          </value>
        </values>
      </ddeItem>
      <ddeItem name="3508.TW-ProfitFourSeason" advise="1">
        <values>
          <value t="str">
            <val>-1.71</val>
          </value>
        </values>
      </ddeItem>
      <ddeItem name="3508.TW-ProfitMargin" advise="1">
        <values>
          <value t="str">
            <val>9.15</val>
          </value>
        </values>
      </ddeItem>
      <ddeItem name="3508.TW-TFXRatio" advise="1">
        <values>
          <value t="str">
            <val>10.70</val>
          </value>
        </values>
      </ddeItem>
      <ddeItem name="3511.TW-PreClose" advise="1">
        <values>
          <value>
            <val>38.700000000000003</val>
          </value>
        </values>
      </ddeItem>
      <ddeItem name="3511.TW-Price" advise="1">
        <values>
          <value t="str">
            <val>--</val>
          </value>
        </values>
      </ddeItem>
      <ddeItem name="3512.TW-PreClose" advise="1">
        <values>
          <value>
            <val>34.35</val>
          </value>
        </values>
      </ddeItem>
      <ddeItem name="3512.TW-Price" advise="1">
        <values>
          <value t="str">
            <val>--</val>
          </value>
        </values>
      </ddeItem>
      <ddeItem name="3515.TW-Capital" advise="1">
        <values>
          <value t="str">
            <val>12.29</val>
          </value>
        </values>
      </ddeItem>
      <ddeItem name="3515.TW-CashAndStockDividend" advise="1">
        <values>
          <value t="str">
            <val>8.00</val>
          </value>
        </values>
      </ddeItem>
      <ddeItem name="3515.TW-CashDividendYieldRate" advise="1">
        <values>
          <value>
            <val>3.46</val>
          </value>
        </values>
      </ddeItem>
      <ddeItem name="3515.TW-MonthlyNetSalesYoY" advise="1">
        <values>
          <value t="str">
            <val>-1.87</val>
          </value>
        </values>
      </ddeItem>
      <ddeItem name="3515.TW-NetIncomeGrowthRate" advise="1">
        <values>
          <value t="str">
            <val>54.40</val>
          </value>
        </values>
      </ddeItem>
      <ddeItem name="3515.TW-NetProfitMargin" advise="1">
        <values>
          <value t="str">
            <val>12.45</val>
          </value>
        </values>
      </ddeItem>
      <ddeItem name="3515.TW-OperatingProfitRatio" advise="1">
        <values>
          <value t="str">
            <val>15.55</val>
          </value>
        </values>
      </ddeItem>
      <ddeItem name="3515.TW-OperIncomeGrowthRate" advise="1">
        <values>
          <value t="str">
            <val>62.31</val>
          </value>
        </values>
      </ddeItem>
      <ddeItem name="3515.TW-PreClose" advise="1">
        <values>
          <value>
            <val>231</val>
          </value>
        </values>
      </ddeItem>
      <ddeItem name="3515.TW-Price" advise="1">
        <values>
          <value t="str">
            <val>--</val>
          </value>
        </values>
      </ddeItem>
      <ddeItem name="3515.TW-ProfitFourSeason" advise="1">
        <values>
          <value t="str">
            <val>17.05</val>
          </value>
        </values>
      </ddeItem>
      <ddeItem name="3515.TW-ProfitMargin" advise="1">
        <values>
          <value t="str">
            <val>28.02</val>
          </value>
        </values>
      </ddeItem>
      <ddeItem name="3515.TW-TFXRatio" advise="1">
        <values>
          <value t="str">
            <val>9.87</val>
          </value>
        </values>
      </ddeItem>
      <ddeItem name="3516.TW-PreClose" advise="1">
        <values>
          <value>
            <val>16.3</val>
          </value>
        </values>
      </ddeItem>
      <ddeItem name="3516.TW-Price" advise="1">
        <values>
          <value t="str">
            <val>--</val>
          </value>
        </values>
      </ddeItem>
      <ddeItem name="3518.TW-PreClose" advise="1">
        <values>
          <value t="str">
            <val>--</val>
          </value>
        </values>
      </ddeItem>
      <ddeItem name="3518.TW-Price" advise="1">
        <values>
          <value t="str">
            <val>--</val>
          </value>
        </values>
      </ddeItem>
      <ddeItem name="3520.TW-PreClose" advise="1">
        <values>
          <value>
            <val>14.35</val>
          </value>
        </values>
      </ddeItem>
      <ddeItem name="3520.TW-Price" advise="1">
        <values>
          <value t="str">
            <val>--</val>
          </value>
        </values>
      </ddeItem>
      <ddeItem name="3521.TW-PreClose" advise="1">
        <values>
          <value t="str">
            <val>--</val>
          </value>
        </values>
      </ddeItem>
      <ddeItem name="3521.TW-Price" advise="1">
        <values>
          <value t="str">
            <val>--</val>
          </value>
        </values>
      </ddeItem>
      <ddeItem name="3522.TW-PreClose" advise="1">
        <values>
          <value t="str">
            <val>--</val>
          </value>
        </values>
      </ddeItem>
      <ddeItem name="3522.TW-Price" advise="1">
        <values>
          <value t="str">
            <val>--</val>
          </value>
        </values>
      </ddeItem>
      <ddeItem name="3523.TW-PreClose" advise="1">
        <values>
          <value t="str">
            <val>--</val>
          </value>
        </values>
      </ddeItem>
      <ddeItem name="3523.TW-Price" advise="1">
        <values>
          <value t="str">
            <val>--</val>
          </value>
        </values>
      </ddeItem>
      <ddeItem name="3526.TW-PreClose" advise="1">
        <values>
          <value>
            <val>167.5</val>
          </value>
        </values>
      </ddeItem>
      <ddeItem name="3526.TW-Price" advise="1">
        <values>
          <value>
            <val>170.5</val>
          </value>
        </values>
      </ddeItem>
      <ddeItem name="3527.TW-PreClose" advise="1">
        <values>
          <value t="str">
            <val>--</val>
          </value>
        </values>
      </ddeItem>
      <ddeItem name="3527.TW-Price" advise="1">
        <values>
          <value t="str">
            <val>--</val>
          </value>
        </values>
      </ddeItem>
      <ddeItem name="3528.TW-PreClose" advise="1">
        <values>
          <value>
            <val>49.4</val>
          </value>
        </values>
      </ddeItem>
      <ddeItem name="3528.TW-Price" advise="1">
        <values>
          <value t="str">
            <val>--</val>
          </value>
        </values>
      </ddeItem>
      <ddeItem name="3529.TW-PreClose" advise="1">
        <values>
          <value>
            <val>2260</val>
          </value>
        </values>
      </ddeItem>
      <ddeItem name="3529.TW-Price" advise="1">
        <values>
          <value t="str">
            <val>--</val>
          </value>
        </values>
      </ddeItem>
      <ddeItem name="3530.TW-Capital" advise="1">
        <values>
          <value t="str">
            <val>--</val>
          </value>
        </values>
      </ddeItem>
      <ddeItem name="3530.TW-CashAndStockDividend" advise="1">
        <values>
          <value t="str">
            <val>--</val>
          </value>
        </values>
      </ddeItem>
      <ddeItem name="3530.TW-CashDividendYieldRate" advise="1">
        <values>
          <value t="str">
            <val>--</val>
          </value>
        </values>
      </ddeItem>
      <ddeItem name="3530.TW-MonthlyNetSalesYoY" advise="1">
        <values>
          <value t="str">
            <val>--</val>
          </value>
        </values>
      </ddeItem>
      <ddeItem name="3530.TW-NetIncomeGrowthRate" advise="1">
        <values>
          <value t="str">
            <val>--</val>
          </value>
        </values>
      </ddeItem>
      <ddeItem name="3530.TW-OperatingProfitRatio" advise="1">
        <values>
          <value t="str">
            <val>--</val>
          </value>
        </values>
      </ddeItem>
      <ddeItem name="3530.TW-OperIncomeGrowthRate" advise="1">
        <values>
          <value t="str">
            <val>--</val>
          </value>
        </values>
      </ddeItem>
      <ddeItem name="3530.TW-PreClose" advise="1">
        <values>
          <value>
            <val>147.5</val>
          </value>
        </values>
      </ddeItem>
      <ddeItem name="3530.TW-Price" advise="1">
        <values>
          <value t="str">
            <val>--</val>
          </value>
        </values>
      </ddeItem>
      <ddeItem name="3530.TW-ProfitFourSeason" advise="1">
        <values>
          <value t="str">
            <val>--</val>
          </value>
        </values>
      </ddeItem>
      <ddeItem name="3530.TW-TFXRatio" advise="1">
        <values>
          <value t="str">
            <val>--</val>
          </value>
        </values>
      </ddeItem>
      <ddeItem name="3531.TW-PreClose" advise="1">
        <values>
          <value t="str">
            <val>--</val>
          </value>
        </values>
      </ddeItem>
      <ddeItem name="3531.TW-Price" advise="1">
        <values>
          <value t="str">
            <val>--</val>
          </value>
        </values>
      </ddeItem>
      <ddeItem name="3532.TW-PreClose" advise="1">
        <values>
          <value>
            <val>211</val>
          </value>
        </values>
      </ddeItem>
      <ddeItem name="3532.TW-Price" advise="1">
        <values>
          <value t="str">
            <val>--</val>
          </value>
        </values>
      </ddeItem>
      <ddeItem name="3533.TW-PreClose" advise="1">
        <values>
          <value>
            <val>689</val>
          </value>
        </values>
      </ddeItem>
      <ddeItem name="3533.TW-Price" advise="1">
        <values>
          <value t="str">
            <val>--</val>
          </value>
        </values>
      </ddeItem>
      <ddeItem name="3535.TW-PreClose" advise="1">
        <values>
          <value>
            <val>17.75</val>
          </value>
        </values>
      </ddeItem>
      <ddeItem name="3535.TW-Price" advise="1">
        <values>
          <value t="str">
            <val>--</val>
          </value>
        </values>
      </ddeItem>
      <ddeItem name="3536.TW-PreClose" advise="1">
        <values>
          <value>
            <val>6.1</val>
          </value>
        </values>
      </ddeItem>
      <ddeItem name="3536.TW-Price" advise="1">
        <values>
          <value t="str">
            <val>--</val>
          </value>
        </values>
      </ddeItem>
      <ddeItem name="3537.TW-PreClose" advise="1">
        <values>
          <value>
            <val>36.799999999999997</val>
          </value>
        </values>
      </ddeItem>
      <ddeItem name="3537.TW-Price" advise="1">
        <values>
          <value t="str">
            <val>--</val>
          </value>
        </values>
      </ddeItem>
      <ddeItem name="3540.TW-PreClose" advise="1">
        <values>
          <value t="str">
            <val>--</val>
          </value>
        </values>
      </ddeItem>
      <ddeItem name="3540.TW-Price" advise="1">
        <values>
          <value t="str">
            <val>--</val>
          </value>
        </values>
      </ddeItem>
      <ddeItem name="3541.TW-PreClose" advise="1">
        <values>
          <value t="str">
            <val>--</val>
          </value>
        </values>
      </ddeItem>
      <ddeItem name="3541.TW-Price" advise="1">
        <values>
          <value t="str">
            <val>--</val>
          </value>
        </values>
      </ddeItem>
      <ddeItem name="3543.TW-PreClose" advise="1">
        <values>
          <value t="str">
            <val>--</val>
          </value>
        </values>
      </ddeItem>
      <ddeItem name="3543.TW-Price" advise="1">
        <values>
          <value t="str">
            <val>--</val>
          </value>
        </values>
      </ddeItem>
      <ddeItem name="3545.TW-PreClose" advise="1">
        <values>
          <value>
            <val>169</val>
          </value>
        </values>
      </ddeItem>
      <ddeItem name="3545.TW-Price" advise="1">
        <values>
          <value>
            <val>170.5</val>
          </value>
        </values>
      </ddeItem>
      <ddeItem name="3546.TW-PreClose" advise="1">
        <values>
          <value>
            <val>82</val>
          </value>
        </values>
      </ddeItem>
      <ddeItem name="3546.TW-Price" advise="1">
        <values>
          <value t="str">
            <val>--</val>
          </value>
        </values>
      </ddeItem>
      <ddeItem name="3548.TW-PreClose" advise="1">
        <values>
          <value>
            <val>58</val>
          </value>
        </values>
      </ddeItem>
      <ddeItem name="3548.TW-Price" advise="1">
        <values>
          <value t="str">
            <val>--</val>
          </value>
        </values>
      </ddeItem>
      <ddeItem name="3550.TW-PreClose" advise="1">
        <values>
          <value>
            <val>18.25</val>
          </value>
        </values>
      </ddeItem>
      <ddeItem name="3550.TW-Price" advise="1">
        <values>
          <value t="str">
            <val>--</val>
          </value>
        </values>
      </ddeItem>
      <ddeItem name="3551.TW-PreClose" advise="1">
        <values>
          <value>
            <val>70.599999999999994</val>
          </value>
        </values>
      </ddeItem>
      <ddeItem name="3551.TW-Price" advise="1">
        <values>
          <value t="str">
            <val>--</val>
          </value>
        </values>
      </ddeItem>
      <ddeItem name="3552.TW-PreClose" advise="1">
        <values>
          <value>
            <val>190</val>
          </value>
        </values>
      </ddeItem>
      <ddeItem name="3552.TW-Price" advise="1">
        <values>
          <value t="str">
            <val>--</val>
          </value>
        </values>
      </ddeItem>
      <ddeItem name="3555.TW-PreClose" advise="1">
        <values>
          <value>
            <val>40.5</val>
          </value>
        </values>
      </ddeItem>
      <ddeItem name="3555.TW-Price" advise="1">
        <values>
          <value t="str">
            <val>--</val>
          </value>
        </values>
      </ddeItem>
      <ddeItem name="3556.TW-PreClose" advise="1">
        <values>
          <value>
            <val>77.3</val>
          </value>
        </values>
      </ddeItem>
      <ddeItem name="3556.TW-Price" advise="1">
        <values>
          <value t="str">
            <val>--</val>
          </value>
        </values>
      </ddeItem>
      <ddeItem name="3557.TW-PreClose" advise="1">
        <values>
          <value>
            <val>75.3</val>
          </value>
        </values>
      </ddeItem>
      <ddeItem name="3557.TW-Price" advise="1">
        <values>
          <value t="str">
            <val>--</val>
          </value>
        </values>
      </ddeItem>
      <ddeItem name="3558.TW-PreClose" advise="1">
        <values>
          <value>
            <val>97.1</val>
          </value>
        </values>
      </ddeItem>
      <ddeItem name="3558.TW-Price" advise="1">
        <values>
          <value t="str">
            <val>--</val>
          </value>
        </values>
      </ddeItem>
      <ddeItem name="3563.TW-PreClose" advise="1">
        <values>
          <value>
            <val>239</val>
          </value>
        </values>
      </ddeItem>
      <ddeItem name="3563.TW-Price" advise="1">
        <values>
          <value t="str">
            <val>--</val>
          </value>
        </values>
      </ddeItem>
      <ddeItem name="3564.TW-PreClose" advise="1">
        <values>
          <value>
            <val>26.85</val>
          </value>
        </values>
      </ddeItem>
      <ddeItem name="3564.TW-Price" advise="1">
        <values>
          <value t="str">
            <val>--</val>
          </value>
        </values>
      </ddeItem>
      <ddeItem name="3567.TW-PreClose" advise="1">
        <values>
          <value t="str">
            <val>--</val>
          </value>
        </values>
      </ddeItem>
      <ddeItem name="3567.TW-Price" advise="1">
        <values>
          <value t="str">
            <val>--</val>
          </value>
        </values>
      </ddeItem>
      <ddeItem name="3570.TW-PreClose" advise="1">
        <values>
          <value>
            <val>77.900000000000006</val>
          </value>
        </values>
      </ddeItem>
      <ddeItem name="3570.TW-Price" advise="1">
        <values>
          <value t="str">
            <val>--</val>
          </value>
        </values>
      </ddeItem>
      <ddeItem name="3576.TW-PreClose" advise="1">
        <values>
          <value>
            <val>21.7</val>
          </value>
        </values>
      </ddeItem>
      <ddeItem name="3576.TW-Price" advise="1">
        <values>
          <value t="str">
            <val>--</val>
          </value>
        </values>
      </ddeItem>
      <ddeItem name="3577.TW-PreClose" advise="1">
        <values>
          <value>
            <val>51.1</val>
          </value>
        </values>
      </ddeItem>
      <ddeItem name="3577.TW-Price" advise="1">
        <values>
          <value t="str">
            <val>--</val>
          </value>
        </values>
      </ddeItem>
      <ddeItem name="3580.TW-PreClose" advise="1">
        <values>
          <value>
            <val>55</val>
          </value>
        </values>
      </ddeItem>
      <ddeItem name="3580.TW-Price" advise="1">
        <values>
          <value t="str">
            <val>--</val>
          </value>
        </values>
      </ddeItem>
      <ddeItem name="3581.TW-PreClose" advise="1">
        <values>
          <value>
            <val>27.65</val>
          </value>
        </values>
      </ddeItem>
      <ddeItem name="3581.TW-Price" advise="1">
        <values>
          <value>
            <val>27.7</val>
          </value>
        </values>
      </ddeItem>
      <ddeItem name="3583.TW-PreClose" advise="1">
        <values>
          <value>
            <val>78.2</val>
          </value>
        </values>
      </ddeItem>
      <ddeItem name="3583.TW-Price" advise="1">
        <values>
          <value>
            <val>80</val>
          </value>
        </values>
      </ddeItem>
      <ddeItem name="3587.TW-PreClose" advise="1">
        <values>
          <value>
            <val>137</val>
          </value>
        </values>
      </ddeItem>
      <ddeItem name="3587.TW-Price" advise="1">
        <values>
          <value t="str">
            <val>--</val>
          </value>
        </values>
      </ddeItem>
      <ddeItem name="3588.TW-PreClose" advise="1">
        <values>
          <value>
            <val>152</val>
          </value>
        </values>
      </ddeItem>
      <ddeItem name="3588.TW-Price" advise="1">
        <values>
          <value>
            <val>154</val>
          </value>
        </values>
      </ddeItem>
      <ddeItem name="3591.TW-PreClose" advise="1">
        <values>
          <value>
            <val>22.3</val>
          </value>
        </values>
      </ddeItem>
      <ddeItem name="3591.TW-Price" advise="1">
        <values>
          <value t="str">
            <val>--</val>
          </value>
        </values>
      </ddeItem>
      <ddeItem name="3593.TW-PreClose" advise="1">
        <values>
          <value t="str">
            <val>--</val>
          </value>
        </values>
      </ddeItem>
      <ddeItem name="3593.TW-Price" advise="1">
        <values>
          <value t="str">
            <val>--</val>
          </value>
        </values>
      </ddeItem>
      <ddeItem name="3594.TW-PreClose" advise="1">
        <values>
          <value>
            <val>22.2</val>
          </value>
        </values>
      </ddeItem>
      <ddeItem name="3594.TW-Price" advise="1">
        <values>
          <value t="str">
            <val>--</val>
          </value>
        </values>
      </ddeItem>
      <ddeItem name="3596.TW-PreClose" advise="1">
        <values>
          <value>
            <val>110</val>
          </value>
        </values>
      </ddeItem>
      <ddeItem name="3596.TW-Price" advise="1">
        <values>
          <value t="str">
            <val>--</val>
          </value>
        </values>
      </ddeItem>
      <ddeItem name="3597.TW-PreClose" advise="1">
        <values>
          <value>
            <val>27.4</val>
          </value>
        </values>
      </ddeItem>
      <ddeItem name="3597.TW-Price" advise="1">
        <values>
          <value t="str">
            <val>--</val>
          </value>
        </values>
      </ddeItem>
      <ddeItem name="3605.TW-PreClose" advise="1">
        <values>
          <value>
            <val>51.5</val>
          </value>
        </values>
      </ddeItem>
      <ddeItem name="3605.TW-Price" advise="1">
        <values>
          <value t="str">
            <val>--</val>
          </value>
        </values>
      </ddeItem>
      <ddeItem name="3607.TW-PreClose" advise="1">
        <values>
          <value t="str">
            <val>--</val>
          </value>
        </values>
      </ddeItem>
      <ddeItem name="3607.TW-Price" advise="1">
        <values>
          <value t="str">
            <val>--</val>
          </value>
        </values>
      </ddeItem>
      <ddeItem name="3609.TW-PreClose" advise="1">
        <values>
          <value>
            <val>53.5</val>
          </value>
        </values>
      </ddeItem>
      <ddeItem name="3609.TW-Price" advise="1">
        <values>
          <value t="str">
            <val>--</val>
          </value>
        </values>
      </ddeItem>
      <ddeItem name="3611.TW-PreClose" advise="1">
        <values>
          <value t="str">
            <val>--</val>
          </value>
        </values>
      </ddeItem>
      <ddeItem name="3611.TW-Price" advise="1">
        <values>
          <value t="str">
            <val>--</val>
          </value>
        </values>
      </ddeItem>
      <ddeItem name="3615.TW-PreClose" advise="1">
        <values>
          <value>
            <val>22.05</val>
          </value>
        </values>
      </ddeItem>
      <ddeItem name="3615.TW-Price" advise="1">
        <values>
          <value t="str">
            <val>--</val>
          </value>
        </values>
      </ddeItem>
      <ddeItem name="3617.TW-PreClose" advise="1">
        <values>
          <value>
            <val>71</val>
          </value>
        </values>
      </ddeItem>
      <ddeItem name="3617.TW-Price" advise="1">
        <values>
          <value t="str">
            <val>--</val>
          </value>
        </values>
      </ddeItem>
      <ddeItem name="3622.TW-PreClose" advise="1">
        <values>
          <value>
            <val>29.5</val>
          </value>
        </values>
      </ddeItem>
      <ddeItem name="3622.TW-Price" advise="1">
        <values>
          <value t="str">
            <val>--</val>
          </value>
        </values>
      </ddeItem>
      <ddeItem name="3623.TW-PreClose" advise="1">
        <values>
          <value>
            <val>15.7</val>
          </value>
        </values>
      </ddeItem>
      <ddeItem name="3623.TW-Price" advise="1">
        <values>
          <value t="str">
            <val>--</val>
          </value>
        </values>
      </ddeItem>
      <ddeItem name="3624.TW-Capital" advise="1">
        <values>
          <value t="str">
            <val>--</val>
          </value>
        </values>
      </ddeItem>
      <ddeItem name="3624.TW-CashAndStockDividend" advise="1">
        <values>
          <value t="str">
            <val>--</val>
          </value>
        </values>
      </ddeItem>
      <ddeItem name="3624.TW-CashDividendYieldRate" advise="1">
        <values>
          <value t="str">
            <val>--</val>
          </value>
        </values>
      </ddeItem>
      <ddeItem name="3624.TW-MonthlyNetSalesYoY" advise="1">
        <values>
          <value t="str">
            <val>--</val>
          </value>
        </values>
      </ddeItem>
      <ddeItem name="3624.TW-NetIncomeGrowthRate" advise="1">
        <values>
          <value t="str">
            <val>--</val>
          </value>
        </values>
      </ddeItem>
      <ddeItem name="3624.TW-NetProfitMargin" advise="1">
        <values>
          <value t="str">
            <val>--</val>
          </value>
        </values>
      </ddeItem>
      <ddeItem name="3624.TW-OperatingProfitRatio" advise="1">
        <values>
          <value t="str">
            <val>--</val>
          </value>
        </values>
      </ddeItem>
      <ddeItem name="3624.TW-OperIncomeGrowthRate" advise="1">
        <values>
          <value t="str">
            <val>--</val>
          </value>
        </values>
      </ddeItem>
      <ddeItem name="3624.TW-PreClose" advise="1">
        <values>
          <value>
            <val>48.4</val>
          </value>
        </values>
      </ddeItem>
      <ddeItem name="3624.TW-Price" advise="1">
        <values>
          <value>
            <val>49.2</val>
          </value>
        </values>
      </ddeItem>
      <ddeItem name="3624.TW-ProfitFourSeason" advise="1">
        <values>
          <value t="str">
            <val>--</val>
          </value>
        </values>
      </ddeItem>
      <ddeItem name="3624.TW-ProfitMargin" advise="1">
        <values>
          <value t="str">
            <val>--</val>
          </value>
        </values>
      </ddeItem>
      <ddeItem name="3624.TW-TFXRatio" advise="1">
        <values>
          <value t="str">
            <val>--</val>
          </value>
        </values>
      </ddeItem>
      <ddeItem name="3625.TW-PreClose" advise="1">
        <values>
          <value>
            <val>22.8</val>
          </value>
        </values>
      </ddeItem>
      <ddeItem name="3625.TW-Price" advise="1">
        <values>
          <value>
            <val>23.35</val>
          </value>
        </values>
      </ddeItem>
      <ddeItem name="3628.TW-PreClose" advise="1">
        <values>
          <value>
            <val>35.6</val>
          </value>
        </values>
      </ddeItem>
      <ddeItem name="3628.TW-Price" advise="1">
        <values>
          <value t="str">
            <val>--</val>
          </value>
        </values>
      </ddeItem>
      <ddeItem name="3629.TW-PreClose" advise="1">
        <values>
          <value>
            <val>60.2</val>
          </value>
        </values>
      </ddeItem>
      <ddeItem name="3629.TW-Price" advise="1">
        <values>
          <value t="str">
            <val>--</val>
          </value>
        </values>
      </ddeItem>
      <ddeItem name="3630.TW-PreClose" advise="1">
        <values>
          <value>
            <val>40.6</val>
          </value>
        </values>
      </ddeItem>
      <ddeItem name="3630.TW-Price" advise="1">
        <values>
          <value t="str">
            <val>--</val>
          </value>
        </values>
      </ddeItem>
      <ddeItem name="3631.TW-PreClose" advise="1">
        <values>
          <value t="str">
            <val>--</val>
          </value>
        </values>
      </ddeItem>
      <ddeItem name="3631.TW-Price" advise="1">
        <values>
          <value t="str">
            <val>--</val>
          </value>
        </values>
      </ddeItem>
      <ddeItem name="3632.TW-PreClose" advise="1">
        <values>
          <value t="str">
            <val>--</val>
          </value>
        </values>
      </ddeItem>
      <ddeItem name="3632.TW-Price" advise="1">
        <values>
          <value t="str">
            <val>--</val>
          </value>
        </values>
      </ddeItem>
      <ddeItem name="3642.TW-PreClose" advise="1">
        <values>
          <value>
            <val>8.1</val>
          </value>
        </values>
      </ddeItem>
      <ddeItem name="3642.TW-Price" advise="1">
        <values>
          <value t="str">
            <val>--</val>
          </value>
        </values>
      </ddeItem>
      <ddeItem name="3645.TW-PreClose" advise="1">
        <values>
          <value t="str">
            <val>--</val>
          </value>
        </values>
      </ddeItem>
      <ddeItem name="3645.TW-Price" advise="1">
        <values>
          <value t="str">
            <val>--</val>
          </value>
        </values>
      </ddeItem>
      <ddeItem name="3646.TW-PreClose" advise="1">
        <values>
          <value>
            <val>26.25</val>
          </value>
        </values>
      </ddeItem>
      <ddeItem name="3646.TW-Price" advise="1">
        <values>
          <value t="str">
            <val>--</val>
          </value>
        </values>
      </ddeItem>
      <ddeItem name="3652.TW-PreClose" advise="1">
        <values>
          <value>
            <val>24.6</val>
          </value>
        </values>
      </ddeItem>
      <ddeItem name="3652.TW-Price" advise="1">
        <values>
          <value t="str">
            <val>--</val>
          </value>
        </values>
      </ddeItem>
      <ddeItem name="3653.TW-Capital" advise="1">
        <values>
          <value t="str">
            <val>12.22</val>
          </value>
        </values>
      </ddeItem>
      <ddeItem name="3653.TW-CashAndStockDividend" advise="1">
        <values>
          <value t="str">
            <val>6.00</val>
          </value>
        </values>
      </ddeItem>
      <ddeItem name="3653.TW-CashDividendYieldRate" advise="1">
        <values>
          <value>
            <val>1.47</val>
          </value>
        </values>
      </ddeItem>
      <ddeItem name="3653.TW-MonthlyNetSalesYoY" advise="1">
        <values>
          <value t="str">
            <val>50.48</val>
          </value>
        </values>
      </ddeItem>
      <ddeItem name="3653.TW-NetIncomeGrowthRate" advise="1">
        <values>
          <value t="str">
            <val>7.74</val>
          </value>
        </values>
      </ddeItem>
      <ddeItem name="3653.TW-NetProfitMargin" advise="1">
        <values>
          <value t="str">
            <val>14.03</val>
          </value>
        </values>
      </ddeItem>
      <ddeItem name="3653.TW-OperatingProfitRatio" advise="1">
        <values>
          <value t="str">
            <val>19.34</val>
          </value>
        </values>
      </ddeItem>
      <ddeItem name="3653.TW-OperIncomeGrowthRate" advise="1">
        <values>
          <value t="str">
            <val>42.11</val>
          </value>
        </values>
      </ddeItem>
      <ddeItem name="3653.TW-PreClose" advise="1">
        <values>
          <value>
            <val>400</val>
          </value>
        </values>
      </ddeItem>
      <ddeItem name="3653.TW-Price" advise="1">
        <values>
          <value>
            <val>408.5</val>
          </value>
        </values>
      </ddeItem>
      <ddeItem name="3653.TW-ProfitFourSeason" advise="1">
        <values>
          <value t="str">
            <val>7.37</val>
          </value>
        </values>
      </ddeItem>
      <ddeItem name="3653.TW-ProfitMargin" advise="1">
        <values>
          <value t="str">
            <val>31.51</val>
          </value>
        </values>
      </ddeItem>
      <ddeItem name="3653.TW-TFXRatio" advise="1">
        <values>
          <value t="str">
            <val>-2.34</val>
          </value>
        </values>
      </ddeItem>
      <ddeItem name="3661.TW-PreClose" advise="1">
        <values>
          <value t="str">
            <val>--</val>
          </value>
        </values>
      </ddeItem>
      <ddeItem name="3661.TW-Price" advise="1">
        <values>
          <value t="str">
            <val>--</val>
          </value>
        </values>
      </ddeItem>
      <ddeItem name="3663.TW-PreClose" advise="1">
        <values>
          <value>
            <val>38.450000000000003</val>
          </value>
        </values>
      </ddeItem>
      <ddeItem name="3663.TW-Price" advise="1">
        <values>
          <value>
            <val>38.299999999999997</val>
          </value>
        </values>
      </ddeItem>
      <ddeItem name="3664.TW-PreClose" advise="1">
        <values>
          <value>
            <val>9.27</val>
          </value>
        </values>
      </ddeItem>
      <ddeItem name="3664.TW-Price" advise="1">
        <values>
          <value t="str">
            <val>--</val>
          </value>
        </values>
      </ddeItem>
      <ddeItem name="3665.TW-PreClose" advise="1">
        <values>
          <value t="str">
            <val>--</val>
          </value>
        </values>
      </ddeItem>
      <ddeItem name="3665.TW-Price" advise="1">
        <values>
          <value t="str">
            <val>--</val>
          </value>
        </values>
      </ddeItem>
      <ddeItem name="3666.TW-PreClose" advise="1">
        <values>
          <value>
            <val>32.549999999999997</val>
          </value>
        </values>
      </ddeItem>
      <ddeItem name="3666.TW-Price" advise="1">
        <values>
          <value t="str">
            <val>--</val>
          </value>
        </values>
      </ddeItem>
      <ddeItem name="3669.TW-PreClose" advise="1">
        <values>
          <value>
            <val>50.9</val>
          </value>
        </values>
      </ddeItem>
      <ddeItem name="3669.TW-Price" advise="1">
        <values>
          <value t="str">
            <val>--</val>
          </value>
        </values>
      </ddeItem>
      <ddeItem name="3672.TW-PreClose" advise="1">
        <values>
          <value>
            <val>30.4</val>
          </value>
        </values>
      </ddeItem>
      <ddeItem name="3672.TW-Price" advise="1">
        <values>
          <value>
            <val>29.9</val>
          </value>
        </values>
      </ddeItem>
      <ddeItem name="3673.TW-PreClose" advise="1">
        <values>
          <value>
            <val>41.8</val>
          </value>
        </values>
      </ddeItem>
      <ddeItem name="3673.TW-Price" advise="1">
        <values>
          <value t="str">
            <val>--</val>
          </value>
        </values>
      </ddeItem>
      <ddeItem name="3675.TW-PreClose" advise="1">
        <values>
          <value>
            <val>248</val>
          </value>
        </values>
      </ddeItem>
      <ddeItem name="3675.TW-Price" advise="1">
        <values>
          <value t="str">
            <val>--</val>
          </value>
        </values>
      </ddeItem>
      <ddeItem name="3679.TW-PreClose" advise="1">
        <values>
          <value>
            <val>83.3</val>
          </value>
        </values>
      </ddeItem>
      <ddeItem name="3679.TW-Price" advise="1">
        <values>
          <value t="str">
            <val>--</val>
          </value>
        </values>
      </ddeItem>
      <ddeItem name="3680.TW-PreClose" advise="1">
        <values>
          <value>
            <val>250</val>
          </value>
        </values>
      </ddeItem>
      <ddeItem name="3680.TW-Price" advise="1">
        <values>
          <value t="str">
            <val>--</val>
          </value>
        </values>
      </ddeItem>
      <ddeItem name="3682.TW-PreClose" advise="1">
        <values>
          <value>
            <val>8.5</val>
          </value>
        </values>
      </ddeItem>
      <ddeItem name="3682.TW-Price" advise="1">
        <values>
          <value t="str">
            <val>--</val>
          </value>
        </values>
      </ddeItem>
      <ddeItem name="3684.TW-PreClose" advise="1">
        <values>
          <value t="str">
            <val>--</val>
          </value>
        </values>
      </ddeItem>
      <ddeItem name="3684.TW-Price" advise="1">
        <values>
          <value t="str">
            <val>--</val>
          </value>
        </values>
      </ddeItem>
      <ddeItem name="3685.TW-PreClose" advise="1">
        <values>
          <value>
            <val>40.5</val>
          </value>
        </values>
      </ddeItem>
      <ddeItem name="3685.TW-Price" advise="1">
        <values>
          <value t="str">
            <val>--</val>
          </value>
        </values>
      </ddeItem>
      <ddeItem name="3686.TW-PreClose" advise="1">
        <values>
          <value>
            <val>15.6</val>
          </value>
        </values>
      </ddeItem>
      <ddeItem name="3686.TW-Price" advise="1">
        <values>
          <value t="str">
            <val>--</val>
          </value>
        </values>
      </ddeItem>
      <ddeItem name="3687.TW-PreClose" advise="1">
        <values>
          <value>
            <val>105.5</val>
          </value>
        </values>
      </ddeItem>
      <ddeItem name="3687.TW-Price" advise="1">
        <values>
          <value>
            <val>105.5</val>
          </value>
        </values>
      </ddeItem>
      <ddeItem name="3689.TW-PreClose" advise="1">
        <values>
          <value>
            <val>42.25</val>
          </value>
        </values>
      </ddeItem>
      <ddeItem name="3689.TW-Price" advise="1">
        <values>
          <value t="str">
            <val>--</val>
          </value>
        </values>
      </ddeItem>
      <ddeItem name="3691.TW-PreClose" advise="1">
        <values>
          <value>
            <val>184</val>
          </value>
        </values>
      </ddeItem>
      <ddeItem name="3691.TW-Price" advise="1">
        <values>
          <value>
            <val>186</val>
          </value>
        </values>
      </ddeItem>
      <ddeItem name="3693.TW-PreClose" advise="1">
        <values>
          <value>
            <val>46.8</val>
          </value>
        </values>
      </ddeItem>
      <ddeItem name="3693.TW-Price" advise="1">
        <values>
          <value t="str">
            <val>--</val>
          </value>
        </values>
      </ddeItem>
      <ddeItem name="3694.TW-PreClose" advise="1">
        <values>
          <value>
            <val>24.7</val>
          </value>
        </values>
      </ddeItem>
      <ddeItem name="3694.TW-Price" advise="1">
        <values>
          <value t="str">
            <val>--</val>
          </value>
        </values>
      </ddeItem>
      <ddeItem name="3701.TW-Capital" advise="1">
        <values>
          <value t="str">
            <val>--</val>
          </value>
        </values>
      </ddeItem>
      <ddeItem name="3701.TW-CashAndStockDividend" advise="1">
        <values>
          <value t="str">
            <val>--</val>
          </value>
        </values>
      </ddeItem>
      <ddeItem name="3701.TW-CashDividendYieldRate" advise="1">
        <values>
          <value t="str">
            <val>--</val>
          </value>
        </values>
      </ddeItem>
      <ddeItem name="3701.TW-MonthlyNetSalesYoY" advise="1">
        <values>
          <value t="str">
            <val>--</val>
          </value>
        </values>
      </ddeItem>
      <ddeItem name="3701.TW-NetIncomeGrowthRate" advise="1">
        <values>
          <value t="str">
            <val>--</val>
          </value>
        </values>
      </ddeItem>
      <ddeItem name="3701.TW-NetProfitMargin" advise="1">
        <values>
          <value t="str">
            <val>--</val>
          </value>
        </values>
      </ddeItem>
      <ddeItem name="3701.TW-OperatingProfitRatio" advise="1">
        <values>
          <value t="str">
            <val>--</val>
          </value>
        </values>
      </ddeItem>
      <ddeItem name="3701.TW-OperIncomeGrowthRate" advise="1">
        <values>
          <value t="str">
            <val>--</val>
          </value>
        </values>
      </ddeItem>
      <ddeItem name="3701.TW-PreClose" advise="1">
        <values>
          <value>
            <val>61.5</val>
          </value>
        </values>
      </ddeItem>
      <ddeItem name="3701.TW-Price" advise="1">
        <values>
          <value>
            <val>65.3</val>
          </value>
        </values>
      </ddeItem>
      <ddeItem name="3701.TW-ProfitFourSeason" advise="1">
        <values>
          <value t="str">
            <val>--</val>
          </value>
        </values>
      </ddeItem>
      <ddeItem name="3701.TW-ProfitMargin" advise="1">
        <values>
          <value t="str">
            <val>--</val>
          </value>
        </values>
      </ddeItem>
      <ddeItem name="3701.TW-TFXRatio" advise="1">
        <values>
          <value t="str">
            <val>--</val>
          </value>
        </values>
      </ddeItem>
      <ddeItem name="3702.TW-PreClose" advise="1">
        <values>
          <value>
            <val>50.6</val>
          </value>
        </values>
      </ddeItem>
      <ddeItem name="3702.TW-Price" advise="1">
        <values>
          <value t="str">
            <val>--</val>
          </value>
        </values>
      </ddeItem>
      <ddeItem name="3703.TW-PreClose" advise="1">
        <values>
          <value>
            <val>25.25</val>
          </value>
        </values>
      </ddeItem>
      <ddeItem name="3703.TW-Price" advise="1">
        <values>
          <value t="str">
            <val>--</val>
          </value>
        </values>
      </ddeItem>
      <ddeItem name="3704.TW-Capital" advise="1">
        <values>
          <value t="str">
            <val>--</val>
          </value>
        </values>
      </ddeItem>
      <ddeItem name="3704.TW-CashAndStockDividend" advise="1">
        <values>
          <value t="str">
            <val>--</val>
          </value>
        </values>
      </ddeItem>
      <ddeItem name="3704.TW-CashDividendYieldRate" advise="1">
        <values>
          <value t="str">
            <val>--</val>
          </value>
        </values>
      </ddeItem>
      <ddeItem name="3704.TW-MonthlyNetSalesYoY" advise="1">
        <values>
          <value t="str">
            <val>--</val>
          </value>
        </values>
      </ddeItem>
      <ddeItem name="3704.TW-NetIncomeGrowthRate" advise="1">
        <values>
          <value t="str">
            <val>--</val>
          </value>
        </values>
      </ddeItem>
      <ddeItem name="3704.TW-NetProfitMargin" advise="1">
        <values>
          <value t="str">
            <val>--</val>
          </value>
        </values>
      </ddeItem>
      <ddeItem name="3704.TW-OperatingProfitRatio" advise="1">
        <values>
          <value t="str">
            <val>--</val>
          </value>
        </values>
      </ddeItem>
      <ddeItem name="3704.TW-OperIncomeGrowthRate" advise="1">
        <values>
          <value t="str">
            <val>--</val>
          </value>
        </values>
      </ddeItem>
      <ddeItem name="3704.TW-PreClose" advise="1">
        <values>
          <value>
            <val>32.9</val>
          </value>
        </values>
      </ddeItem>
      <ddeItem name="3704.TW-Price" advise="1">
        <values>
          <value t="str">
            <val>--</val>
          </value>
        </values>
      </ddeItem>
      <ddeItem name="3704.TW-ProfitFourSeason" advise="1">
        <values>
          <value t="str">
            <val>--</val>
          </value>
        </values>
      </ddeItem>
      <ddeItem name="3704.TW-ProfitMargin" advise="1">
        <values>
          <value t="str">
            <val>--</val>
          </value>
        </values>
      </ddeItem>
      <ddeItem name="3704.TW-TFXRatio" advise="1">
        <values>
          <value t="str">
            <val>--</val>
          </value>
        </values>
      </ddeItem>
      <ddeItem name="3705.TW-PreClose" advise="1">
        <values>
          <value t="str">
            <val>--</val>
          </value>
        </values>
      </ddeItem>
      <ddeItem name="3705.TW-Price" advise="1">
        <values>
          <value t="str">
            <val>--</val>
          </value>
        </values>
      </ddeItem>
      <ddeItem name="3706.TW-PreClose" advise="1">
        <values>
          <value t="str">
            <val>--</val>
          </value>
        </values>
      </ddeItem>
      <ddeItem name="3706.TW-Price" advise="1">
        <values>
          <value t="str">
            <val>--</val>
          </value>
        </values>
      </ddeItem>
      <ddeItem name="3707.TW-PreClose" advise="1">
        <values>
          <value t="str">
            <val>--</val>
          </value>
        </values>
      </ddeItem>
      <ddeItem name="3707.TW-Price" advise="1">
        <values>
          <value t="str">
            <val>--</val>
          </value>
        </values>
      </ddeItem>
      <ddeItem name="3708.TW-PreClose" advise="1">
        <values>
          <value>
            <val>91.3</val>
          </value>
        </values>
      </ddeItem>
      <ddeItem name="3708.TW-Price" advise="1">
        <values>
          <value t="str">
            <val>--</val>
          </value>
        </values>
      </ddeItem>
      <ddeItem name="3709.TW-PreClose" advise="1">
        <values>
          <value>
            <val>38.75</val>
          </value>
        </values>
      </ddeItem>
      <ddeItem name="3709.TW-Price" advise="1">
        <values>
          <value t="str">
            <val>--</val>
          </value>
        </values>
      </ddeItem>
      <ddeItem name="3710.TW-PreClose" advise="1">
        <values>
          <value>
            <val>8.41</val>
          </value>
        </values>
      </ddeItem>
      <ddeItem name="3710.TW-Price" advise="1">
        <values>
          <value t="str">
            <val>--</val>
          </value>
        </values>
      </ddeItem>
      <ddeItem name="3711.TW-PreClose" advise="1">
        <values>
          <value>
            <val>105</val>
          </value>
        </values>
      </ddeItem>
      <ddeItem name="3711.TW-Price" advise="1">
        <values>
          <value t="str">
            <val>--</val>
          </value>
        </values>
      </ddeItem>
      <ddeItem name="3712.TW-PreClose" advise="1">
        <values>
          <value>
            <val>32.35</val>
          </value>
        </values>
      </ddeItem>
      <ddeItem name="3712.TW-Price" advise="1">
        <values>
          <value t="str">
            <val>--</val>
          </value>
        </values>
      </ddeItem>
      <ddeItem name="3713.TW-PreClose" advise="1">
        <values>
          <value t="str">
            <val>--</val>
          </value>
        </values>
      </ddeItem>
      <ddeItem name="3713.TW-Price" advise="1">
        <values>
          <value t="str">
            <val>--</val>
          </value>
        </values>
      </ddeItem>
      <ddeItem name="3714.TW-PreClose" advise="1">
        <values>
          <value>
            <val>80.2</val>
          </value>
        </values>
      </ddeItem>
      <ddeItem name="3714.TW-Price" advise="1">
        <values>
          <value>
            <val>80.599999999999994</val>
          </value>
        </values>
      </ddeItem>
      <ddeItem name="4102.TW-PreClose" advise="1">
        <values>
          <value>
            <val>20.05</val>
          </value>
        </values>
      </ddeItem>
      <ddeItem name="4102.TW-Price" advise="1">
        <values>
          <value t="str">
            <val>--</val>
          </value>
        </values>
      </ddeItem>
      <ddeItem name="4104.TW-PreClose" advise="1">
        <values>
          <value t="str">
            <val>--</val>
          </value>
        </values>
      </ddeItem>
      <ddeItem name="4104.TW-Price" advise="1">
        <values>
          <value t="str">
            <val>--</val>
          </value>
        </values>
      </ddeItem>
      <ddeItem name="4105.TW-PreClose" advise="1">
        <values>
          <value>
            <val>69</val>
          </value>
        </values>
      </ddeItem>
      <ddeItem name="4105.TW-Price" advise="1">
        <values>
          <value t="str">
            <val>--</val>
          </value>
        </values>
      </ddeItem>
      <ddeItem name="4106.TW-PreClose" advise="1">
        <values>
          <value>
            <val>27.9</val>
          </value>
        </values>
      </ddeItem>
      <ddeItem name="4106.TW-Price" advise="1">
        <values>
          <value t="str">
            <val>--</val>
          </value>
        </values>
      </ddeItem>
      <ddeItem name="4107.TW-PreClose" advise="1">
        <values>
          <value>
            <val>110.5</val>
          </value>
        </values>
      </ddeItem>
      <ddeItem name="4107.TW-Price" advise="1">
        <values>
          <value t="str">
            <val>--</val>
          </value>
        </values>
      </ddeItem>
      <ddeItem name="4108.TW-PreClose" advise="1">
        <values>
          <value>
            <val>22.75</val>
          </value>
        </values>
      </ddeItem>
      <ddeItem name="4108.TW-Price" advise="1">
        <values>
          <value t="str">
            <val>--</val>
          </value>
        </values>
      </ddeItem>
      <ddeItem name="4109.TW-PreClose" advise="1">
        <values>
          <value>
            <val>13.8</val>
          </value>
        </values>
      </ddeItem>
      <ddeItem name="4109.TW-Price" advise="1">
        <values>
          <value t="str">
            <val>--</val>
          </value>
        </values>
      </ddeItem>
      <ddeItem name="4111.TW-PreClose" advise="1">
        <values>
          <value>
            <val>22.5</val>
          </value>
        </values>
      </ddeItem>
      <ddeItem name="4111.TW-Price" advise="1">
        <values>
          <value t="str">
            <val>--</val>
          </value>
        </values>
      </ddeItem>
      <ddeItem name="4113.TW-PreClose" advise="1">
        <values>
          <value>
            <val>14.15</val>
          </value>
        </values>
      </ddeItem>
      <ddeItem name="4113.TW-Price" advise="1">
        <values>
          <value t="str">
            <val>--</val>
          </value>
        </values>
      </ddeItem>
      <ddeItem name="4114.TW-PreClose" advise="1">
        <values>
          <value>
            <val>22.65</val>
          </value>
        </values>
      </ddeItem>
      <ddeItem name="4114.TW-Price" advise="1">
        <values>
          <value t="str">
            <val>--</val>
          </value>
        </values>
      </ddeItem>
      <ddeItem name="4116.TW-PreClose" advise="1">
        <values>
          <value t="str">
            <val>--</val>
          </value>
        </values>
      </ddeItem>
      <ddeItem name="4116.TW-Price" advise="1">
        <values>
          <value t="str">
            <val>--</val>
          </value>
        </values>
      </ddeItem>
      <ddeItem name="4119.TW-PreClose" advise="1">
        <values>
          <value>
            <val>78.2</val>
          </value>
        </values>
      </ddeItem>
      <ddeItem name="4119.TW-Price" advise="1">
        <values>
          <value t="str">
            <val>--</val>
          </value>
        </values>
      </ddeItem>
      <ddeItem name="4120.TW-PreClose" advise="1">
        <values>
          <value t="str">
            <val>--</val>
          </value>
        </values>
      </ddeItem>
      <ddeItem name="4120.TW-Price" advise="1">
        <values>
          <value t="str">
            <val>--</val>
          </value>
        </values>
      </ddeItem>
      <ddeItem name="4121.TW-PreClose" advise="1">
        <values>
          <value>
            <val>19.399999999999999</val>
          </value>
        </values>
      </ddeItem>
      <ddeItem name="4121.TW-Price" advise="1">
        <values>
          <value t="str">
            <val>--</val>
          </value>
        </values>
      </ddeItem>
      <ddeItem name="4123.TW-PreClose" advise="1">
        <values>
          <value>
            <val>61.7</val>
          </value>
        </values>
      </ddeItem>
      <ddeItem name="4123.TW-Price" advise="1">
        <values>
          <value t="str">
            <val>--</val>
          </value>
        </values>
      </ddeItem>
      <ddeItem name="4126.TW-PreClose" advise="1">
        <values>
          <value>
            <val>71.2</val>
          </value>
        </values>
      </ddeItem>
      <ddeItem name="4126.TW-Price" advise="1">
        <values>
          <value t="str">
            <val>--</val>
          </value>
        </values>
      </ddeItem>
      <ddeItem name="4127.TW-PreClose" advise="1">
        <values>
          <value t="str">
            <val>--</val>
          </value>
        </values>
      </ddeItem>
      <ddeItem name="4127.TW-Price" advise="1">
        <values>
          <value t="str">
            <val>--</val>
          </value>
        </values>
      </ddeItem>
      <ddeItem name="4128.TW-PreClose" advise="1">
        <values>
          <value>
            <val>64.900000000000006</val>
          </value>
        </values>
      </ddeItem>
      <ddeItem name="4128.TW-Price" advise="1">
        <values>
          <value>
            <val>66.099999999999994</val>
          </value>
        </values>
      </ddeItem>
      <ddeItem name="4129.TW-PreClose" advise="1">
        <values>
          <value>
            <val>30.05</val>
          </value>
        </values>
      </ddeItem>
      <ddeItem name="4129.TW-Price" advise="1">
        <values>
          <value t="str">
            <val>--</val>
          </value>
        </values>
      </ddeItem>
      <ddeItem name="4130.TW-PreClose" advise="1">
        <values>
          <value>
            <val>21.5</val>
          </value>
        </values>
      </ddeItem>
      <ddeItem name="4130.TW-Price" advise="1">
        <values>
          <value t="str">
            <val>--</val>
          </value>
        </values>
      </ddeItem>
      <ddeItem name="4131.TW-PreClose" advise="1">
        <values>
          <value>
            <val>6.25</val>
          </value>
        </values>
      </ddeItem>
      <ddeItem name="4131.TW-Price" advise="1">
        <values>
          <value t="str">
            <val>--</val>
          </value>
        </values>
      </ddeItem>
      <ddeItem name="4133.TW-PreClose" advise="1">
        <values>
          <value>
            <val>36.950000000000003</val>
          </value>
        </values>
      </ddeItem>
      <ddeItem name="4133.TW-Price" advise="1">
        <values>
          <value t="str">
            <val>--</val>
          </value>
        </values>
      </ddeItem>
      <ddeItem name="4137.TW-PreClose" advise="1">
        <values>
          <value>
            <val>245.5</val>
          </value>
        </values>
      </ddeItem>
      <ddeItem name="4137.TW-Price" advise="1">
        <values>
          <value t="str">
            <val>--</val>
          </value>
        </values>
      </ddeItem>
      <ddeItem name="4138.TW-PreClose" advise="1">
        <values>
          <value>
            <val>52.1</val>
          </value>
        </values>
      </ddeItem>
      <ddeItem name="4138.TW-Price" advise="1">
        <values>
          <value t="str">
            <val>--</val>
          </value>
        </values>
      </ddeItem>
      <ddeItem name="4139.TW-PreClose" advise="1">
        <values>
          <value t="str">
            <val>--</val>
          </value>
        </values>
      </ddeItem>
      <ddeItem name="4139.TW-Price" advise="1">
        <values>
          <value t="str">
            <val>--</val>
          </value>
        </values>
      </ddeItem>
      <ddeItem name="4141.TW-PreClose" advise="1">
        <values>
          <value>
            <val>20.7</val>
          </value>
        </values>
      </ddeItem>
      <ddeItem name="4141.TW-Price" advise="1">
        <values>
          <value t="str">
            <val>--</val>
          </value>
        </values>
      </ddeItem>
      <ddeItem name="4142.TW-PreClose" advise="1">
        <values>
          <value>
            <val>44.8</val>
          </value>
        </values>
      </ddeItem>
      <ddeItem name="4142.TW-Price" advise="1">
        <values>
          <value t="str">
            <val>--</val>
          </value>
        </values>
      </ddeItem>
      <ddeItem name="4147.TW-PreClose" advise="1">
        <values>
          <value>
            <val>68.5</val>
          </value>
        </values>
      </ddeItem>
      <ddeItem name="4147.TW-Price" advise="1">
        <values>
          <value t="str">
            <val>--</val>
          </value>
        </values>
      </ddeItem>
      <ddeItem name="4148.TW-PreClose" advise="1">
        <values>
          <value>
            <val>43.15</val>
          </value>
        </values>
      </ddeItem>
      <ddeItem name="4148.TW-Price" advise="1">
        <values>
          <value t="str">
            <val>--</val>
          </value>
        </values>
      </ddeItem>
      <ddeItem name="4153.TW-PreClose" advise="1">
        <values>
          <value t="str">
            <val>--</val>
          </value>
        </values>
      </ddeItem>
      <ddeItem name="4153.TW-Price" advise="1">
        <values>
          <value t="str">
            <val>--</val>
          </value>
        </values>
      </ddeItem>
      <ddeItem name="4154.TW-PreClose" advise="1">
        <values>
          <value>
            <val>61</val>
          </value>
        </values>
      </ddeItem>
      <ddeItem name="4154.TW-Price" advise="1">
        <values>
          <value t="str">
            <val>--</val>
          </value>
        </values>
      </ddeItem>
      <ddeItem name="4155.TW-PreClose" advise="1">
        <values>
          <value t="str">
            <val>--</val>
          </value>
        </values>
      </ddeItem>
      <ddeItem name="4155.TW-Price" advise="1">
        <values>
          <value t="str">
            <val>--</val>
          </value>
        </values>
      </ddeItem>
      <ddeItem name="4157.TW-PreClose" advise="1">
        <values>
          <value>
            <val>14.6</val>
          </value>
        </values>
      </ddeItem>
      <ddeItem name="4157.TW-Price" advise="1">
        <values>
          <value t="str">
            <val>--</val>
          </value>
        </values>
      </ddeItem>
      <ddeItem name="4160.TW-PreClose" advise="1">
        <values>
          <value>
            <val>24.8</val>
          </value>
        </values>
      </ddeItem>
      <ddeItem name="4160.TW-Price" advise="1">
        <values>
          <value t="str">
            <val>--</val>
          </value>
        </values>
      </ddeItem>
      <ddeItem name="4161.TW-PreClose" advise="1">
        <values>
          <value t="str">
            <val>--</val>
          </value>
        </values>
      </ddeItem>
      <ddeItem name="4161.TW-Price" advise="1">
        <values>
          <value t="str">
            <val>--</val>
          </value>
        </values>
      </ddeItem>
      <ddeItem name="4162.TW-PreClose" advise="1">
        <values>
          <value>
            <val>57.1</val>
          </value>
        </values>
      </ddeItem>
      <ddeItem name="4162.TW-Price" advise="1">
        <values>
          <value t="str">
            <val>--</val>
          </value>
        </values>
      </ddeItem>
      <ddeItem name="4163.TW-PreClose" advise="1">
        <values>
          <value>
            <val>86.5</val>
          </value>
        </values>
      </ddeItem>
      <ddeItem name="4163.TW-Price" advise="1">
        <values>
          <value t="str">
            <val>--</val>
          </value>
        </values>
      </ddeItem>
      <ddeItem name="4164.TW-PreClose" advise="1">
        <values>
          <value>
            <val>37.1</val>
          </value>
        </values>
      </ddeItem>
      <ddeItem name="4164.TW-Price" advise="1">
        <values>
          <value t="str">
            <val>--</val>
          </value>
        </values>
      </ddeItem>
      <ddeItem name="4167.TW-PreClose" advise="1">
        <values>
          <value>
            <val>19.05</val>
          </value>
        </values>
      </ddeItem>
      <ddeItem name="4167.TW-Price" advise="1">
        <values>
          <value t="str">
            <val>--</val>
          </value>
        </values>
      </ddeItem>
      <ddeItem name="4168.TW-PreClose" advise="1">
        <values>
          <value>
            <val>27.35</val>
          </value>
        </values>
      </ddeItem>
      <ddeItem name="4168.TW-Price" advise="1">
        <values>
          <value t="str">
            <val>--</val>
          </value>
        </values>
      </ddeItem>
      <ddeItem name="4171.TW-PreClose" advise="1">
        <values>
          <value t="str">
            <val>--</val>
          </value>
        </values>
      </ddeItem>
      <ddeItem name="4171.TW-Price" advise="1">
        <values>
          <value t="str">
            <val>--</val>
          </value>
        </values>
      </ddeItem>
      <ddeItem name="4173.TW-PreClose" advise="1">
        <values>
          <value>
            <val>18</val>
          </value>
        </values>
      </ddeItem>
      <ddeItem name="4173.TW-Price" advise="1">
        <values>
          <value t="str">
            <val>--</val>
          </value>
        </values>
      </ddeItem>
      <ddeItem name="4174.TW-PreClose" advise="1">
        <values>
          <value>
            <val>104.5</val>
          </value>
        </values>
      </ddeItem>
      <ddeItem name="4174.TW-Price" advise="1">
        <values>
          <value t="str">
            <val>--</val>
          </value>
        </values>
      </ddeItem>
      <ddeItem name="4175.TW-PreClose" advise="1">
        <values>
          <value>
            <val>70.3</val>
          </value>
        </values>
      </ddeItem>
      <ddeItem name="4175.TW-Price" advise="1">
        <values>
          <value t="str">
            <val>--</val>
          </value>
        </values>
      </ddeItem>
      <ddeItem name="4183.TW-PreClose" advise="1">
        <values>
          <value t="str">
            <val>--</val>
          </value>
        </values>
      </ddeItem>
      <ddeItem name="4183.TW-Price" advise="1">
        <values>
          <value t="str">
            <val>--</val>
          </value>
        </values>
      </ddeItem>
      <ddeItem name="4188.TW-PreClose" advise="1">
        <values>
          <value>
            <val>18.3</val>
          </value>
        </values>
      </ddeItem>
      <ddeItem name="4188.TW-Price" advise="1">
        <values>
          <value t="str">
            <val>--</val>
          </value>
        </values>
      </ddeItem>
      <ddeItem name="4190.TW-PreClose" advise="1">
        <values>
          <value>
            <val>74.7</val>
          </value>
        </values>
      </ddeItem>
      <ddeItem name="4190.TW-Price" advise="1">
        <values>
          <value t="str">
            <val>--</val>
          </value>
        </values>
      </ddeItem>
      <ddeItem name="4192.TW-PreClose" advise="1">
        <values>
          <value>
            <val>32.75</val>
          </value>
        </values>
      </ddeItem>
      <ddeItem name="4192.TW-Price" advise="1">
        <values>
          <value t="str">
            <val>--</val>
          </value>
        </values>
      </ddeItem>
      <ddeItem name="4198.TW-PreClose" advise="1">
        <values>
          <value t="str">
            <val>--</val>
          </value>
        </values>
      </ddeItem>
      <ddeItem name="4198.TW-Price" advise="1">
        <values>
          <value t="str">
            <val>--</val>
          </value>
        </values>
      </ddeItem>
      <ddeItem name="4205.TW-PreClose" advise="1">
        <values>
          <value t="str">
            <val>--</val>
          </value>
        </values>
      </ddeItem>
      <ddeItem name="4205.TW-Price" advise="1">
        <values>
          <value t="str">
            <val>--</val>
          </value>
        </values>
      </ddeItem>
      <ddeItem name="4207.TW-PreClose" advise="1">
        <values>
          <value>
            <val>13.7</val>
          </value>
        </values>
      </ddeItem>
      <ddeItem name="4207.TW-Price" advise="1">
        <values>
          <value t="str">
            <val>--</val>
          </value>
        </values>
      </ddeItem>
      <ddeItem name="4303.TW-PreClose" advise="1">
        <values>
          <value>
            <val>28.5</val>
          </value>
        </values>
      </ddeItem>
      <ddeItem name="4303.TW-Price" advise="1">
        <values>
          <value t="str">
            <val>--</val>
          </value>
        </values>
      </ddeItem>
      <ddeItem name="4304.TW-PreClose" advise="1">
        <values>
          <value t="str">
            <val>--</val>
          </value>
        </values>
      </ddeItem>
      <ddeItem name="4304.TW-Price" advise="1">
        <values>
          <value t="str">
            <val>--</val>
          </value>
        </values>
      </ddeItem>
      <ddeItem name="4305.TW-PreClose" advise="1">
        <values>
          <value>
            <val>32</val>
          </value>
        </values>
      </ddeItem>
      <ddeItem name="4305.TW-Price" advise="1">
        <values>
          <value t="str">
            <val>--</val>
          </value>
        </values>
      </ddeItem>
      <ddeItem name="4306.TW-PreClose" advise="1">
        <values>
          <value>
            <val>15.15</val>
          </value>
        </values>
      </ddeItem>
      <ddeItem name="4306.TW-Price" advise="1">
        <values>
          <value t="str">
            <val>--</val>
          </value>
        </values>
      </ddeItem>
      <ddeItem name="4401.TW-PreClose" advise="1">
        <values>
          <value>
            <val>34.35</val>
          </value>
        </values>
      </ddeItem>
      <ddeItem name="4401.TW-Price" advise="1">
        <values>
          <value t="str">
            <val>--</val>
          </value>
        </values>
      </ddeItem>
      <ddeItem name="4402.TW-PreClose" advise="1">
        <values>
          <value t="str">
            <val>--</val>
          </value>
        </values>
      </ddeItem>
      <ddeItem name="4402.TW-Price" advise="1">
        <values>
          <value t="str">
            <val>--</val>
          </value>
        </values>
      </ddeItem>
      <ddeItem name="4406.TW-PreClose" advise="1">
        <values>
          <value>
            <val>11.55</val>
          </value>
        </values>
      </ddeItem>
      <ddeItem name="4406.TW-Price" advise="1">
        <values>
          <value t="str">
            <val>--</val>
          </value>
        </values>
      </ddeItem>
      <ddeItem name="4413.TW-PreClose" advise="1">
        <values>
          <value>
            <val>12.05</val>
          </value>
        </values>
      </ddeItem>
      <ddeItem name="4413.TW-Price" advise="1">
        <values>
          <value t="str">
            <val>--</val>
          </value>
        </values>
      </ddeItem>
      <ddeItem name="4414.TW-PreClose" advise="1">
        <values>
          <value>
            <val>7.6</val>
          </value>
        </values>
      </ddeItem>
      <ddeItem name="4414.TW-Price" advise="1">
        <values>
          <value t="str">
            <val>--</val>
          </value>
        </values>
      </ddeItem>
      <ddeItem name="4416.TW-PreClose" advise="1">
        <values>
          <value>
            <val>114</val>
          </value>
        </values>
      </ddeItem>
      <ddeItem name="4416.TW-Price" advise="1">
        <values>
          <value t="str">
            <val>--</val>
          </value>
        </values>
      </ddeItem>
      <ddeItem name="4417.TW-PreClose" advise="1">
        <values>
          <value>
            <val>35.200000000000003</val>
          </value>
        </values>
      </ddeItem>
      <ddeItem name="4417.TW-Price" advise="1">
        <values>
          <value t="str">
            <val>--</val>
          </value>
        </values>
      </ddeItem>
      <ddeItem name="4419.TW-PreClose" advise="1">
        <values>
          <value>
            <val>10</val>
          </value>
        </values>
      </ddeItem>
      <ddeItem name="4419.TW-Price" advise="1">
        <values>
          <value t="str">
            <val>--</val>
          </value>
        </values>
      </ddeItem>
      <ddeItem name="4420.TW-PreClose" advise="1">
        <values>
          <value t="str">
            <val>--</val>
          </value>
        </values>
      </ddeItem>
      <ddeItem name="4420.TW-Price" advise="1">
        <values>
          <value t="str">
            <val>--</val>
          </value>
        </values>
      </ddeItem>
      <ddeItem name="4426.TW-PreClose" advise="1">
        <values>
          <value>
            <val>23.35</val>
          </value>
        </values>
      </ddeItem>
      <ddeItem name="4426.TW-Price" advise="1">
        <values>
          <value t="str">
            <val>--</val>
          </value>
        </values>
      </ddeItem>
      <ddeItem name="4429.TW-PreClose" advise="1">
        <values>
          <value>
            <val>40</val>
          </value>
        </values>
      </ddeItem>
      <ddeItem name="4429.TW-Price" advise="1">
        <values>
          <value t="str">
            <val>--</val>
          </value>
        </values>
      </ddeItem>
      <ddeItem name="4430.TW-PreClose" advise="1">
        <values>
          <value t="str">
            <val>--</val>
          </value>
        </values>
      </ddeItem>
      <ddeItem name="4430.TW-Price" advise="1">
        <values>
          <value t="str">
            <val>--</val>
          </value>
        </values>
      </ddeItem>
      <ddeItem name="4432.TW-PreClose" advise="1">
        <values>
          <value>
            <val>15.1</val>
          </value>
        </values>
      </ddeItem>
      <ddeItem name="4432.TW-Price" advise="1">
        <values>
          <value t="str">
            <val>--</val>
          </value>
        </values>
      </ddeItem>
      <ddeItem name="4433.TW-PreClose" advise="1">
        <values>
          <value>
            <val>31.85</val>
          </value>
        </values>
      </ddeItem>
      <ddeItem name="4433.TW-Price" advise="1">
        <values>
          <value t="str">
            <val>--</val>
          </value>
        </values>
      </ddeItem>
      <ddeItem name="4438.TW-PreClose" advise="1">
        <values>
          <value>
            <val>132.5</val>
          </value>
        </values>
      </ddeItem>
      <ddeItem name="4438.TW-Price" advise="1">
        <values>
          <value t="str">
            <val>--</val>
          </value>
        </values>
      </ddeItem>
      <ddeItem name="4439.TW-PreClose" advise="1">
        <values>
          <value>
            <val>141</val>
          </value>
        </values>
      </ddeItem>
      <ddeItem name="4439.TW-Price" advise="1">
        <values>
          <value t="str">
            <val>--</val>
          </value>
        </values>
      </ddeItem>
      <ddeItem name="4440.TW-PreClose" advise="1">
        <values>
          <value t="str">
            <val>--</val>
          </value>
        </values>
      </ddeItem>
      <ddeItem name="4440.TW-Price" advise="1">
        <values>
          <value t="str">
            <val>--</val>
          </value>
        </values>
      </ddeItem>
      <ddeItem name="4502.TW-PreClose" advise="1">
        <values>
          <value t="str">
            <val>--</val>
          </value>
        </values>
      </ddeItem>
      <ddeItem name="4502.TW-Price" advise="1">
        <values>
          <value t="str">
            <val>--</val>
          </value>
        </values>
      </ddeItem>
      <ddeItem name="4503.TW-PreClose" advise="1">
        <values>
          <value>
            <val>26.1</val>
          </value>
        </values>
      </ddeItem>
      <ddeItem name="4503.TW-Price" advise="1">
        <values>
          <value t="str">
            <val>--</val>
          </value>
        </values>
      </ddeItem>
      <ddeItem name="4506.TW-PreClose" advise="1">
        <values>
          <value t="str">
            <val>--</val>
          </value>
        </values>
      </ddeItem>
      <ddeItem name="4506.TW-Price" advise="1">
        <values>
          <value t="str">
            <val>--</val>
          </value>
        </values>
      </ddeItem>
      <ddeItem name="4510.TW-PreClose" advise="1">
        <values>
          <value>
            <val>11.1</val>
          </value>
        </values>
      </ddeItem>
      <ddeItem name="4510.TW-Price" advise="1">
        <values>
          <value t="str">
            <val>--</val>
          </value>
        </values>
      </ddeItem>
      <ddeItem name="4513.TW-PreClose" advise="1">
        <values>
          <value>
            <val>15.55</val>
          </value>
        </values>
      </ddeItem>
      <ddeItem name="4513.TW-Price" advise="1">
        <values>
          <value>
            <val>15.55</val>
          </value>
        </values>
      </ddeItem>
      <ddeItem name="4523.TW-PreClose" advise="1">
        <values>
          <value>
            <val>29</val>
          </value>
        </values>
      </ddeItem>
      <ddeItem name="4523.TW-Price" advise="1">
        <values>
          <value t="str">
            <val>--</val>
          </value>
        </values>
      </ddeItem>
      <ddeItem name="4526.TW-PreClose" advise="1">
        <values>
          <value>
            <val>17.100000000000001</val>
          </value>
        </values>
      </ddeItem>
      <ddeItem name="4526.TW-Price" advise="1">
        <values>
          <value t="str">
            <val>--</val>
          </value>
        </values>
      </ddeItem>
      <ddeItem name="4527.TW-PreClose" advise="1">
        <values>
          <value>
            <val>27.45</val>
          </value>
        </values>
      </ddeItem>
      <ddeItem name="4527.TW-Price" advise="1">
        <values>
          <value t="str">
            <val>--</val>
          </value>
        </values>
      </ddeItem>
      <ddeItem name="4528.TW-PreClose" advise="1">
        <values>
          <value>
            <val>41.25</val>
          </value>
        </values>
      </ddeItem>
      <ddeItem name="4528.TW-Price" advise="1">
        <values>
          <value t="str">
            <val>--</val>
          </value>
        </values>
      </ddeItem>
      <ddeItem name="4529.TW-PreClose" advise="1">
        <values>
          <value>
            <val>13.15</val>
          </value>
        </values>
      </ddeItem>
      <ddeItem name="4529.TW-Price" advise="1">
        <values>
          <value t="str">
            <val>--</val>
          </value>
        </values>
      </ddeItem>
      <ddeItem name="4530.TW-PreClose" advise="1">
        <values>
          <value t="str">
            <val>--</val>
          </value>
        </values>
      </ddeItem>
      <ddeItem name="4530.TW-Price" advise="1">
        <values>
          <value t="str">
            <val>--</val>
          </value>
        </values>
      </ddeItem>
      <ddeItem name="4532.TW-PreClose" advise="1">
        <values>
          <value>
            <val>18.850000000000001</val>
          </value>
        </values>
      </ddeItem>
      <ddeItem name="4532.TW-Price" advise="1">
        <values>
          <value t="str">
            <val>--</val>
          </value>
        </values>
      </ddeItem>
      <ddeItem name="4533.TW-PreClose" advise="1">
        <values>
          <value t="str">
            <val>--</val>
          </value>
        </values>
      </ddeItem>
      <ddeItem name="4533.TW-Price" advise="1">
        <values>
          <value t="str">
            <val>--</val>
          </value>
        </values>
      </ddeItem>
      <ddeItem name="4534.TW-PreClose" advise="1">
        <values>
          <value>
            <val>12.95</val>
          </value>
        </values>
      </ddeItem>
      <ddeItem name="4534.TW-Price" advise="1">
        <values>
          <value t="str">
            <val>--</val>
          </value>
        </values>
      </ddeItem>
      <ddeItem name="4535.TW-PreClose" advise="1">
        <values>
          <value>
            <val>34</val>
          </value>
        </values>
      </ddeItem>
      <ddeItem name="4535.TW-Price" advise="1">
        <values>
          <value t="str">
            <val>--</val>
          </value>
        </values>
      </ddeItem>
      <ddeItem name="4536.TW-PreClose" advise="1">
        <values>
          <value>
            <val>133.5</val>
          </value>
        </values>
      </ddeItem>
      <ddeItem name="4536.TW-Price" advise="1">
        <values>
          <value t="str">
            <val>--</val>
          </value>
        </values>
      </ddeItem>
      <ddeItem name="4538.TW-PreClose" advise="1">
        <values>
          <value t="str">
            <val>--</val>
          </value>
        </values>
      </ddeItem>
      <ddeItem name="4538.TW-Price" advise="1">
        <values>
          <value t="str">
            <val>--</val>
          </value>
        </values>
      </ddeItem>
      <ddeItem name="4540.TW-PreClose" advise="1">
        <values>
          <value t="str">
            <val>--</val>
          </value>
        </values>
      </ddeItem>
      <ddeItem name="4540.TW-Price" advise="1">
        <values>
          <value t="str">
            <val>--</val>
          </value>
        </values>
      </ddeItem>
      <ddeItem name="4541.TW-PreClose" advise="1">
        <values>
          <value>
            <val>24.5</val>
          </value>
        </values>
      </ddeItem>
      <ddeItem name="4541.TW-Price" advise="1">
        <values>
          <value t="str">
            <val>--</val>
          </value>
        </values>
      </ddeItem>
      <ddeItem name="4542.TW-PreClose" advise="1">
        <values>
          <value>
            <val>26.45</val>
          </value>
        </values>
      </ddeItem>
      <ddeItem name="4542.TW-Price" advise="1">
        <values>
          <value t="str">
            <val>--</val>
          </value>
        </values>
      </ddeItem>
      <ddeItem name="4543.TW-PreClose" advise="1">
        <values>
          <value t="str">
            <val>--</val>
          </value>
        </values>
      </ddeItem>
      <ddeItem name="4543.TW-Price" advise="1">
        <values>
          <value t="str">
            <val>--</val>
          </value>
        </values>
      </ddeItem>
      <ddeItem name="4545.TW-PreClose" advise="1">
        <values>
          <value t="str">
            <val>--</val>
          </value>
        </values>
      </ddeItem>
      <ddeItem name="4545.TW-Price" advise="1">
        <values>
          <value t="str">
            <val>--</val>
          </value>
        </values>
      </ddeItem>
      <ddeItem name="4549.TW-PreClose" advise="1">
        <values>
          <value t="str">
            <val>--</val>
          </value>
        </values>
      </ddeItem>
      <ddeItem name="4549.TW-Price" advise="1">
        <values>
          <value t="str">
            <val>--</val>
          </value>
        </values>
      </ddeItem>
      <ddeItem name="4550.TW-PreClose" advise="1">
        <values>
          <value>
            <val>23.25</val>
          </value>
        </values>
      </ddeItem>
      <ddeItem name="4550.TW-Price" advise="1">
        <values>
          <value t="str">
            <val>--</val>
          </value>
        </values>
      </ddeItem>
      <ddeItem name="4551.TW-PreClose" advise="1">
        <values>
          <value>
            <val>184</val>
          </value>
        </values>
      </ddeItem>
      <ddeItem name="4551.TW-Price" advise="1">
        <values>
          <value t="str">
            <val>--</val>
          </value>
        </values>
      </ddeItem>
      <ddeItem name="4552.TW-PreClose" advise="1">
        <values>
          <value t="str">
            <val>--</val>
          </value>
        </values>
      </ddeItem>
      <ddeItem name="4552.TW-Price" advise="1">
        <values>
          <value t="str">
            <val>--</val>
          </value>
        </values>
      </ddeItem>
      <ddeItem name="4554.TW-PreClose" advise="1">
        <values>
          <value>
            <val>30.4</val>
          </value>
        </values>
      </ddeItem>
      <ddeItem name="4554.TW-Price" advise="1">
        <values>
          <value t="str">
            <val>--</val>
          </value>
        </values>
      </ddeItem>
      <ddeItem name="4555.TW-PreClose" advise="1">
        <values>
          <value t="str">
            <val>--</val>
          </value>
        </values>
      </ddeItem>
      <ddeItem name="4555.TW-Price" advise="1">
        <values>
          <value t="str">
            <val>--</val>
          </value>
        </values>
      </ddeItem>
      <ddeItem name="4556.TW-PreClose" advise="1">
        <values>
          <value>
            <val>30.7</val>
          </value>
        </values>
      </ddeItem>
      <ddeItem name="4556.TW-Price" advise="1">
        <values>
          <value t="str">
            <val>--</val>
          </value>
        </values>
      </ddeItem>
      <ddeItem name="4557.TW-PreClose" advise="1">
        <values>
          <value>
            <val>66.599999999999994</val>
          </value>
        </values>
      </ddeItem>
      <ddeItem name="4557.TW-Price" advise="1">
        <values>
          <value t="str">
            <val>--</val>
          </value>
        </values>
      </ddeItem>
      <ddeItem name="4560.TW-PreClose" advise="1">
        <values>
          <value>
            <val>42.4</val>
          </value>
        </values>
      </ddeItem>
      <ddeItem name="4560.TW-Price" advise="1">
        <values>
          <value t="str">
            <val>--</val>
          </value>
        </values>
      </ddeItem>
      <ddeItem name="4561.TW-PreClose" advise="1">
        <values>
          <value>
            <val>29.1</val>
          </value>
        </values>
      </ddeItem>
      <ddeItem name="4561.TW-Price" advise="1">
        <values>
          <value t="str">
            <val>--</val>
          </value>
        </values>
      </ddeItem>
      <ddeItem name="4562.TW-PreClose" advise="1">
        <values>
          <value>
            <val>17.95</val>
          </value>
        </values>
      </ddeItem>
      <ddeItem name="4562.TW-Price" advise="1">
        <values>
          <value t="str">
            <val>--</val>
          </value>
        </values>
      </ddeItem>
      <ddeItem name="4563.TW-PreClose" advise="1">
        <values>
          <value>
            <val>30.75</val>
          </value>
        </values>
      </ddeItem>
      <ddeItem name="4563.TW-Price" advise="1">
        <values>
          <value t="str">
            <val>--</val>
          </value>
        </values>
      </ddeItem>
      <ddeItem name="4564.TW-PreClose" advise="1">
        <values>
          <value>
            <val>42.7</val>
          </value>
        </values>
      </ddeItem>
      <ddeItem name="4564.TW-Price" advise="1">
        <values>
          <value>
            <val>42.8</val>
          </value>
        </values>
      </ddeItem>
      <ddeItem name="4566.TW-PreClose" advise="1">
        <values>
          <value>
            <val>42.4</val>
          </value>
        </values>
      </ddeItem>
      <ddeItem name="4566.TW-Price" advise="1">
        <values>
          <value t="str">
            <val>--</val>
          </value>
        </values>
      </ddeItem>
      <ddeItem name="4568.TW-PreClose" advise="1">
        <values>
          <value t="str">
            <val>--</val>
          </value>
        </values>
      </ddeItem>
      <ddeItem name="4568.TW-Price" advise="1">
        <values>
          <value t="str">
            <val>--</val>
          </value>
        </values>
      </ddeItem>
      <ddeItem name="4571.TW-PreClose" advise="1">
        <values>
          <value>
            <val>97.8</val>
          </value>
        </values>
      </ddeItem>
      <ddeItem name="4571.TW-Price" advise="1">
        <values>
          <value t="str">
            <val>--</val>
          </value>
        </values>
      </ddeItem>
      <ddeItem name="4572.TW-PreClose" advise="1">
        <values>
          <value>
            <val>101</val>
          </value>
        </values>
      </ddeItem>
      <ddeItem name="4572.TW-Price" advise="1">
        <values>
          <value t="str">
            <val>--</val>
          </value>
        </values>
      </ddeItem>
      <ddeItem name="4576.TW-PreClose" advise="1">
        <values>
          <value>
            <val>109</val>
          </value>
        </values>
      </ddeItem>
      <ddeItem name="4576.TW-Price" advise="1">
        <values>
          <value t="str">
            <val>--</val>
          </value>
        </values>
      </ddeItem>
      <ddeItem name="4580.TW-PreClose" advise="1">
        <values>
          <value t="str">
            <val>--</val>
          </value>
        </values>
      </ddeItem>
      <ddeItem name="4580.TW-Price" advise="1">
        <values>
          <value t="str">
            <val>--</val>
          </value>
        </values>
      </ddeItem>
      <ddeItem name="4581.TW-PreClose" advise="1">
        <values>
          <value t="str">
            <val>--</val>
          </value>
        </values>
      </ddeItem>
      <ddeItem name="4581.TW-Price" advise="1">
        <values>
          <value t="str">
            <val>--</val>
          </value>
        </values>
      </ddeItem>
      <ddeItem name="4609.TW-PreClose" advise="1">
        <values>
          <value t="str">
            <val>--</val>
          </value>
        </values>
      </ddeItem>
      <ddeItem name="4609.TW-Price" advise="1">
        <values>
          <value t="str">
            <val>--</val>
          </value>
        </values>
      </ddeItem>
      <ddeItem name="4702.TW-PreClose" advise="1">
        <values>
          <value t="str">
            <val>--</val>
          </value>
        </values>
      </ddeItem>
      <ddeItem name="4702.TW-Price" advise="1">
        <values>
          <value t="str">
            <val>--</val>
          </value>
        </values>
      </ddeItem>
      <ddeItem name="4706.TW-PreClose" advise="1">
        <values>
          <value>
            <val>18.850000000000001</val>
          </value>
        </values>
      </ddeItem>
      <ddeItem name="4706.TW-Price" advise="1">
        <values>
          <value t="str">
            <val>--</val>
          </value>
        </values>
      </ddeItem>
      <ddeItem name="4707.TW-PreClose" advise="1">
        <values>
          <value>
            <val>12.8</val>
          </value>
        </values>
      </ddeItem>
      <ddeItem name="4707.TW-Price" advise="1">
        <values>
          <value t="str">
            <val>--</val>
          </value>
        </values>
      </ddeItem>
      <ddeItem name="4711.TW-PreClose" advise="1">
        <values>
          <value>
            <val>20.399999999999999</val>
          </value>
        </values>
      </ddeItem>
      <ddeItem name="4711.TW-Price" advise="1">
        <values>
          <value t="str">
            <val>--</val>
          </value>
        </values>
      </ddeItem>
      <ddeItem name="4714.TW-PreClose" advise="1">
        <values>
          <value>
            <val>14.5</val>
          </value>
        </values>
      </ddeItem>
      <ddeItem name="4714.TW-Price" advise="1">
        <values>
          <value t="str">
            <val>--</val>
          </value>
        </values>
      </ddeItem>
      <ddeItem name="4716.TW-PreClose" advise="1">
        <values>
          <value>
            <val>14.5</val>
          </value>
        </values>
      </ddeItem>
      <ddeItem name="4716.TW-Price" advise="1">
        <values>
          <value t="str">
            <val>--</val>
          </value>
        </values>
      </ddeItem>
      <ddeItem name="4720.TW-PreClose" advise="1">
        <values>
          <value>
            <val>14.65</val>
          </value>
        </values>
      </ddeItem>
      <ddeItem name="4720.TW-Price" advise="1">
        <values>
          <value t="str">
            <val>--</val>
          </value>
        </values>
      </ddeItem>
      <ddeItem name="4721.TW-CashAndStockDividend" advise="1">
        <values>
          <value t="str">
            <val>0.00</val>
          </value>
        </values>
      </ddeItem>
      <ddeItem name="4721.TW-CashDividendYieldRate" advise="1">
        <values>
          <value t="str">
            <val>--</val>
          </value>
        </values>
      </ddeItem>
      <ddeItem name="4721.TW-MonthlyNetSalesYoY" advise="1">
        <values>
          <value t="str">
            <val>0.00</val>
          </value>
        </values>
      </ddeItem>
      <ddeItem name="4721.TW-NetProfitMargin" advise="1">
        <values>
          <value t="str">
            <val>0.00</val>
          </value>
        </values>
      </ddeItem>
      <ddeItem name="4721.TW-OperatingProfitRatio" advise="1">
        <values>
          <value t="str">
            <val>0.00</val>
          </value>
        </values>
      </ddeItem>
      <ddeItem name="4721.TW-OperIncomeGrowthRate" advise="1">
        <values>
          <value t="str">
            <val>0.00</val>
          </value>
        </values>
      </ddeItem>
      <ddeItem name="4721.TW-PreClose" advise="1">
        <values>
          <value t="str">
            <val>--</val>
          </value>
        </values>
      </ddeItem>
      <ddeItem name="4721.TW-Price" advise="1">
        <values>
          <value t="str">
            <val>--</val>
          </value>
        </values>
      </ddeItem>
      <ddeItem name="4721.TW-ProfitFourSeason" advise="1">
        <values>
          <value t="str">
            <val>0.00</val>
          </value>
        </values>
      </ddeItem>
      <ddeItem name="4721.TW-ProfitMargin" advise="1">
        <values>
          <value t="str">
            <val>0.00</val>
          </value>
        </values>
      </ddeItem>
      <ddeItem name="4721.TW-TFXRatio" advise="1">
        <values>
          <value t="str">
            <val>0.00</val>
          </value>
        </values>
      </ddeItem>
      <ddeItem name="4722.TW-PreClose" advise="1">
        <values>
          <value>
            <val>42.15</val>
          </value>
        </values>
      </ddeItem>
      <ddeItem name="4722.TW-Price" advise="1">
        <values>
          <value t="str">
            <val>--</val>
          </value>
        </values>
      </ddeItem>
      <ddeItem name="4726.TW-PreClose" advise="1">
        <values>
          <value t="str">
            <val>--</val>
          </value>
        </values>
      </ddeItem>
      <ddeItem name="4726.TW-Price" advise="1">
        <values>
          <value t="str">
            <val>--</val>
          </value>
        </values>
      </ddeItem>
      <ddeItem name="4728.TW-Capital" advise="1">
        <values>
          <value t="str">
            <val>0.00</val>
          </value>
        </values>
      </ddeItem>
      <ddeItem name="4728.TW-NetIncomeGrowthRate" advise="1">
        <values>
          <value t="str">
            <val>0.00</val>
          </value>
        </values>
      </ddeItem>
      <ddeItem name="4728.TW-PreClose" advise="1">
        <values>
          <value t="str">
            <val>--</val>
          </value>
        </values>
      </ddeItem>
      <ddeItem name="4728.TW-Price" advise="1">
        <values>
          <value t="str">
            <val>--</val>
          </value>
        </values>
      </ddeItem>
      <ddeItem name="4729.TW-PreClose" advise="1">
        <values>
          <value t="str">
            <val>--</val>
          </value>
        </values>
      </ddeItem>
      <ddeItem name="4729.TW-Price" advise="1">
        <values>
          <value t="str">
            <val>--</val>
          </value>
        </values>
      </ddeItem>
      <ddeItem name="4735.TW-PreClose" advise="1">
        <values>
          <value t="str">
            <val>--</val>
          </value>
        </values>
      </ddeItem>
      <ddeItem name="4735.TW-Price" advise="1">
        <values>
          <value t="str">
            <val>--</val>
          </value>
        </values>
      </ddeItem>
      <ddeItem name="4736.TW-PreClose" advise="1">
        <values>
          <value t="str">
            <val>--</val>
          </value>
        </values>
      </ddeItem>
      <ddeItem name="4736.TW-Price" advise="1">
        <values>
          <value t="str">
            <val>--</val>
          </value>
        </values>
      </ddeItem>
      <ddeItem name="4736.TW-ProfitFourSeason" advise="1">
        <values>
          <value t="str">
            <val>0.00</val>
          </value>
        </values>
      </ddeItem>
      <ddeItem name="4737.TW-PreClose" advise="1">
        <values>
          <value>
            <val>67.099999999999994</val>
          </value>
        </values>
      </ddeItem>
      <ddeItem name="4737.TW-Price" advise="1">
        <values>
          <value t="str">
            <val>--</val>
          </value>
        </values>
      </ddeItem>
      <ddeItem name="4739.TW-Capital" advise="1">
        <values>
          <value t="str">
            <val>--</val>
          </value>
        </values>
      </ddeItem>
      <ddeItem name="4739.TW-CashAndStockDividend" advise="1">
        <values>
          <value t="str">
            <val>--</val>
          </value>
        </values>
      </ddeItem>
      <ddeItem name="4739.TW-CashDividendYieldRate" advise="1">
        <values>
          <value t="str">
            <val>--</val>
          </value>
        </values>
      </ddeItem>
      <ddeItem name="4739.TW-MonthlyNetSalesYoY" advise="1">
        <values>
          <value t="str">
            <val>--</val>
          </value>
        </values>
      </ddeItem>
      <ddeItem name="4739.TW-NetIncomeGrowthRate" advise="1">
        <values>
          <value t="str">
            <val>--</val>
          </value>
        </values>
      </ddeItem>
      <ddeItem name="4739.TW-NetProfitMargin" advise="1">
        <values>
          <value t="str">
            <val>--</val>
          </value>
        </values>
      </ddeItem>
      <ddeItem name="4739.TW-OperatingProfitRatio" advise="1">
        <values>
          <value t="str">
            <val>--</val>
          </value>
        </values>
      </ddeItem>
      <ddeItem name="4739.TW-OperIncomeGrowthRate" advise="1">
        <values>
          <value t="str">
            <val>--</val>
          </value>
        </values>
      </ddeItem>
      <ddeItem name="4739.TW-PreClose" advise="1">
        <values>
          <value>
            <val>148.5</val>
          </value>
        </values>
      </ddeItem>
      <ddeItem name="4739.TW-Price" advise="1">
        <values>
          <value>
            <val>149</val>
          </value>
        </values>
      </ddeItem>
      <ddeItem name="4739.TW-ProfitMargin" advise="1">
        <values>
          <value t="str">
            <val>--</val>
          </value>
        </values>
      </ddeItem>
      <ddeItem name="4739.TW-TFXRatio" advise="1">
        <values>
          <value t="str">
            <val>--</val>
          </value>
        </values>
      </ddeItem>
      <ddeItem name="4741.TW-PreClose" advise="1">
        <values>
          <value t="str">
            <val>--</val>
          </value>
        </values>
      </ddeItem>
      <ddeItem name="4741.TW-Price" advise="1">
        <values>
          <value t="str">
            <val>--</val>
          </value>
        </values>
      </ddeItem>
      <ddeItem name="4743.TW-PreClose" advise="1">
        <values>
          <value>
            <val>297</val>
          </value>
        </values>
      </ddeItem>
      <ddeItem name="4743.TW-Price" advise="1">
        <values>
          <value>
            <val>300</val>
          </value>
        </values>
      </ddeItem>
      <ddeItem name="4744.TW-PreClose" advise="1">
        <values>
          <value t="str">
            <val>--</val>
          </value>
        </values>
      </ddeItem>
      <ddeItem name="4744.TW-Price" advise="1">
        <values>
          <value t="str">
            <val>--</val>
          </value>
        </values>
      </ddeItem>
      <ddeItem name="4745.TW-PreClose" advise="1">
        <values>
          <value>
            <val>23.8</val>
          </value>
        </values>
      </ddeItem>
      <ddeItem name="4745.TW-Price" advise="1">
        <values>
          <value t="str">
            <val>--</val>
          </value>
        </values>
      </ddeItem>
      <ddeItem name="4746.TW-PreClose" advise="1">
        <values>
          <value t="str">
            <val>--</val>
          </value>
        </values>
      </ddeItem>
      <ddeItem name="4746.TW-Price" advise="1">
        <values>
          <value t="str">
            <val>--</val>
          </value>
        </values>
      </ddeItem>
      <ddeItem name="4747.TW-PreClose" advise="1">
        <values>
          <value>
            <val>35.700000000000003</val>
          </value>
        </values>
      </ddeItem>
      <ddeItem name="4747.TW-Price" advise="1">
        <values>
          <value t="str">
            <val>--</val>
          </value>
        </values>
      </ddeItem>
      <ddeItem name="4754.TW-PreClose" advise="1">
        <values>
          <value>
            <val>37.700000000000003</val>
          </value>
        </values>
      </ddeItem>
      <ddeItem name="4754.TW-Price" advise="1">
        <values>
          <value t="str">
            <val>--</val>
          </value>
        </values>
      </ddeItem>
      <ddeItem name="4755.TW-PreClose" advise="1">
        <values>
          <value>
            <val>83.5</val>
          </value>
        </values>
      </ddeItem>
      <ddeItem name="4755.TW-Price" advise="1">
        <values>
          <value t="str">
            <val>--</val>
          </value>
        </values>
      </ddeItem>
      <ddeItem name="4760.TW-PreClose" advise="1">
        <values>
          <value>
            <val>97.9</val>
          </value>
        </values>
      </ddeItem>
      <ddeItem name="4760.TW-Price" advise="1">
        <values>
          <value t="str">
            <val>--</val>
          </value>
        </values>
      </ddeItem>
      <ddeItem name="4763.TW-PreClose" advise="1">
        <values>
          <value>
            <val>100.5</val>
          </value>
        </values>
      </ddeItem>
      <ddeItem name="4763.TW-Price" advise="1">
        <values>
          <value t="str">
            <val>--</val>
          </value>
        </values>
      </ddeItem>
      <ddeItem name="4764.TW-PreClose" advise="1">
        <values>
          <value t="str">
            <val>--</val>
          </value>
        </values>
      </ddeItem>
      <ddeItem name="4764.TW-Price" advise="1">
        <values>
          <value t="str">
            <val>--</val>
          </value>
        </values>
      </ddeItem>
      <ddeItem name="4766.TW-PreClose" advise="1">
        <values>
          <value>
            <val>136.5</val>
          </value>
        </values>
      </ddeItem>
      <ddeItem name="4766.TW-Price" advise="1">
        <values>
          <value t="str">
            <val>--</val>
          </value>
        </values>
      </ddeItem>
      <ddeItem name="4767.TW-PreClose" advise="1">
        <values>
          <value>
            <val>29.2</val>
          </value>
        </values>
      </ddeItem>
      <ddeItem name="4767.TW-Price" advise="1">
        <values>
          <value t="str">
            <val>--</val>
          </value>
        </values>
      </ddeItem>
      <ddeItem name="4803.TW-PreClose" advise="1">
        <values>
          <value>
            <val>4.93</val>
          </value>
        </values>
      </ddeItem>
      <ddeItem name="4803.TW-Price" advise="1">
        <values>
          <value t="str">
            <val>--</val>
          </value>
        </values>
      </ddeItem>
      <ddeItem name="4804.TW-PreClose" advise="1">
        <values>
          <value t="str">
            <val>--</val>
          </value>
        </values>
      </ddeItem>
      <ddeItem name="4804.TW-Price" advise="1">
        <values>
          <value t="str">
            <val>--</val>
          </value>
        </values>
      </ddeItem>
      <ddeItem name="4806.TW-PreClose" advise="1">
        <values>
          <value t="str">
            <val>--</val>
          </value>
        </values>
      </ddeItem>
      <ddeItem name="4806.TW-Price" advise="1">
        <values>
          <value t="str">
            <val>--</val>
          </value>
        </values>
      </ddeItem>
      <ddeItem name="4807.TW-PreClose" advise="1">
        <values>
          <value>
            <val>29.45</val>
          </value>
        </values>
      </ddeItem>
      <ddeItem name="4807.TW-Price" advise="1">
        <values>
          <value t="str">
            <val>--</val>
          </value>
        </values>
      </ddeItem>
      <ddeItem name="4903.TW-PreClose" advise="1">
        <values>
          <value>
            <val>11.8</val>
          </value>
        </values>
      </ddeItem>
      <ddeItem name="4903.TW-Price" advise="1">
        <values>
          <value t="str">
            <val>--</val>
          </value>
        </values>
      </ddeItem>
      <ddeItem name="4904.TW-PreClose" advise="1">
        <values>
          <value>
            <val>63.8</val>
          </value>
        </values>
      </ddeItem>
      <ddeItem name="4904.TW-Price" advise="1">
        <values>
          <value t="str">
            <val>--</val>
          </value>
        </values>
      </ddeItem>
      <ddeItem name="4905.TW-PreClose" advise="1">
        <values>
          <value>
            <val>50.8</val>
          </value>
        </values>
      </ddeItem>
      <ddeItem name="4905.TW-Price" advise="1">
        <values>
          <value t="str">
            <val>--</val>
          </value>
        </values>
      </ddeItem>
      <ddeItem name="4906.TW-PreClose" advise="1">
        <values>
          <value>
            <val>27.65</val>
          </value>
        </values>
      </ddeItem>
      <ddeItem name="4906.TW-Price" advise="1">
        <values>
          <value t="str">
            <val>--</val>
          </value>
        </values>
      </ddeItem>
      <ddeItem name="4907.TW-PreClose" advise="1">
        <values>
          <value>
            <val>25.7</val>
          </value>
        </values>
      </ddeItem>
      <ddeItem name="4907.TW-Price" advise="1">
        <values>
          <value t="str">
            <val>--</val>
          </value>
        </values>
      </ddeItem>
      <ddeItem name="4908.TW-PreClose" advise="1">
        <values>
          <value>
            <val>32.35</val>
          </value>
        </values>
      </ddeItem>
      <ddeItem name="4908.TW-Price" advise="1">
        <values>
          <value t="str">
            <val>--</val>
          </value>
        </values>
      </ddeItem>
      <ddeItem name="4909.TW-PreClose" advise="1">
        <values>
          <value>
            <val>22.7</val>
          </value>
        </values>
      </ddeItem>
      <ddeItem name="4909.TW-Price" advise="1">
        <values>
          <value t="str">
            <val>--</val>
          </value>
        </values>
      </ddeItem>
      <ddeItem name="4911.TW-PreClose" advise="1">
        <values>
          <value t="str">
            <val>--</val>
          </value>
        </values>
      </ddeItem>
      <ddeItem name="4911.TW-Price" advise="1">
        <values>
          <value t="str">
            <val>--</val>
          </value>
        </values>
      </ddeItem>
      <ddeItem name="4912.TW-PreClose" advise="1">
        <values>
          <value t="str">
            <val>--</val>
          </value>
        </values>
      </ddeItem>
      <ddeItem name="4912.TW-Price" advise="1">
        <values>
          <value t="str">
            <val>--</val>
          </value>
        </values>
      </ddeItem>
      <ddeItem name="4915.TW-PreClose" advise="1">
        <values>
          <value>
            <val>53.7</val>
          </value>
        </values>
      </ddeItem>
      <ddeItem name="4915.TW-Price" advise="1">
        <values>
          <value t="str">
            <val>--</val>
          </value>
        </values>
      </ddeItem>
      <ddeItem name="4916.TW-Capital" advise="1">
        <values>
          <value t="str">
            <val>--</val>
          </value>
        </values>
      </ddeItem>
      <ddeItem name="4916.TW-CashAndStockDividend" advise="1">
        <values>
          <value t="str">
            <val>--</val>
          </value>
        </values>
      </ddeItem>
      <ddeItem name="4916.TW-CashDividendYieldRate" advise="1">
        <values>
          <value t="str">
            <val>--</val>
          </value>
        </values>
      </ddeItem>
      <ddeItem name="4916.TW-MonthlyNetSalesYoY" advise="1">
        <values>
          <value t="str">
            <val>--</val>
          </value>
        </values>
      </ddeItem>
      <ddeItem name="4916.TW-NetIncomeGrowthRate" advise="1">
        <values>
          <value t="str">
            <val>--</val>
          </value>
        </values>
      </ddeItem>
      <ddeItem name="4916.TW-NetProfitMargin" advise="1">
        <values>
          <value t="str">
            <val>--</val>
          </value>
        </values>
      </ddeItem>
      <ddeItem name="4916.TW-OperatingProfitRatio" advise="1">
        <values>
          <value t="str">
            <val>--</val>
          </value>
        </values>
      </ddeItem>
      <ddeItem name="4916.TW-OperIncomeGrowthRate" advise="1">
        <values>
          <value t="str">
            <val>--</val>
          </value>
        </values>
      </ddeItem>
      <ddeItem name="4916.TW-PreClose" advise="1">
        <values>
          <value>
            <val>34.549999999999997</val>
          </value>
        </values>
      </ddeItem>
      <ddeItem name="4916.TW-Price" advise="1">
        <values>
          <value t="str">
            <val>--</val>
          </value>
        </values>
      </ddeItem>
      <ddeItem name="4916.TW-ProfitFourSeason" advise="1">
        <values>
          <value t="str">
            <val>--</val>
          </value>
        </values>
      </ddeItem>
      <ddeItem name="4916.TW-ProfitMargin" advise="1">
        <values>
          <value t="str">
            <val>--</val>
          </value>
        </values>
      </ddeItem>
      <ddeItem name="4916.TW-TFXRatio" advise="1">
        <values>
          <value t="str">
            <val>--</val>
          </value>
        </values>
      </ddeItem>
      <ddeItem name="4919.TW-Capital" advise="1">
        <values>
          <value t="str">
            <val>0.00</val>
          </value>
        </values>
      </ddeItem>
      <ddeItem name="4919.TW-CashAndStockDividend" advise="1">
        <values>
          <value t="str">
            <val>0.00</val>
          </value>
        </values>
      </ddeItem>
      <ddeItem name="4919.TW-CashDividendYieldRate" advise="1">
        <values>
          <value t="str">
            <val>--</val>
          </value>
        </values>
      </ddeItem>
      <ddeItem name="4919.TW-MonthlyNetSalesYoY" advise="1">
        <values>
          <value t="str">
            <val>0.00</val>
          </value>
        </values>
      </ddeItem>
      <ddeItem name="4919.TW-NetIncomeGrowthRate" advise="1">
        <values>
          <value t="str">
            <val>0.00</val>
          </value>
        </values>
      </ddeItem>
      <ddeItem name="4919.TW-NetProfitMargin" advise="1">
        <values>
          <value t="str">
            <val>0.00</val>
          </value>
        </values>
      </ddeItem>
      <ddeItem name="4919.TW-OperatingProfitRatio" advise="1">
        <values>
          <value t="str">
            <val>0.00</val>
          </value>
        </values>
      </ddeItem>
      <ddeItem name="4919.TW-OperIncomeGrowthRate" advise="1">
        <values>
          <value t="str">
            <val>0.00</val>
          </value>
        </values>
      </ddeItem>
      <ddeItem name="4919.TW-PreClose" advise="1">
        <values>
          <value t="str">
            <val>--</val>
          </value>
        </values>
      </ddeItem>
      <ddeItem name="4919.TW-Price" advise="1">
        <values>
          <value t="str">
            <val>--</val>
          </value>
        </values>
      </ddeItem>
      <ddeItem name="4919.TW-ProfitFourSeason" advise="1">
        <values>
          <value t="str">
            <val>0.00</val>
          </value>
        </values>
      </ddeItem>
      <ddeItem name="4919.TW-ProfitMargin" advise="1">
        <values>
          <value t="str">
            <val>0.00</val>
          </value>
        </values>
      </ddeItem>
      <ddeItem name="4919.TW-TFXRatio" advise="1">
        <values>
          <value t="str">
            <val>0.00</val>
          </value>
        </values>
      </ddeItem>
      <ddeItem name="4924.TW-PreClose" advise="1">
        <values>
          <value>
            <val>13.85</val>
          </value>
        </values>
      </ddeItem>
      <ddeItem name="4924.TW-Price" advise="1">
        <values>
          <value t="str">
            <val>--</val>
          </value>
        </values>
      </ddeItem>
      <ddeItem name="4927.TW-Capital" advise="1">
        <values>
          <value t="str">
            <val>0.00</val>
          </value>
        </values>
      </ddeItem>
      <ddeItem name="4927.TW-CashAndStockDividend" advise="1">
        <values>
          <value t="str">
            <val>0.00</val>
          </value>
        </values>
      </ddeItem>
      <ddeItem name="4927.TW-CashDividendYieldRate" advise="1">
        <values>
          <value t="str">
            <val>--</val>
          </value>
        </values>
      </ddeItem>
      <ddeItem name="4927.TW-MonthlyNetSalesYoY" advise="1">
        <values>
          <value t="str">
            <val>0.00</val>
          </value>
        </values>
      </ddeItem>
      <ddeItem name="4927.TW-NetIncomeGrowthRate" advise="1">
        <values>
          <value t="str">
            <val>0.00</val>
          </value>
        </values>
      </ddeItem>
      <ddeItem name="4927.TW-NetProfitMargin" advise="1">
        <values>
          <value t="str">
            <val>0.00</val>
          </value>
        </values>
      </ddeItem>
      <ddeItem name="4927.TW-OperatingProfitRatio" advise="1">
        <values>
          <value t="str">
            <val>0.00</val>
          </value>
        </values>
      </ddeItem>
      <ddeItem name="4927.TW-OperIncomeGrowthRate" advise="1">
        <values>
          <value t="str">
            <val>0.00</val>
          </value>
        </values>
      </ddeItem>
      <ddeItem name="4927.TW-PreClose" advise="1">
        <values>
          <value t="str">
            <val>--</val>
          </value>
        </values>
      </ddeItem>
      <ddeItem name="4927.TW-Price" advise="1">
        <values>
          <value t="str">
            <val>--</val>
          </value>
        </values>
      </ddeItem>
      <ddeItem name="4927.TW-ProfitFourSeason" advise="1">
        <values>
          <value t="str">
            <val>0.00</val>
          </value>
        </values>
      </ddeItem>
      <ddeItem name="4927.TW-ProfitMargin" advise="1">
        <values>
          <value t="str">
            <val>0.00</val>
          </value>
        </values>
      </ddeItem>
      <ddeItem name="4927.TW-TFXRatio" advise="1">
        <values>
          <value t="str">
            <val>0.00</val>
          </value>
        </values>
      </ddeItem>
      <ddeItem name="4930.TW-PreClose" advise="1">
        <values>
          <value>
            <val>25.8</val>
          </value>
        </values>
      </ddeItem>
      <ddeItem name="4930.TW-Price" advise="1">
        <values>
          <value t="str">
            <val>--</val>
          </value>
        </values>
      </ddeItem>
      <ddeItem name="4931.TW-PreClose" advise="1">
        <values>
          <value>
            <val>19</val>
          </value>
        </values>
      </ddeItem>
      <ddeItem name="4931.TW-Price" advise="1">
        <values>
          <value>
            <val>19.100000000000001</val>
          </value>
        </values>
      </ddeItem>
      <ddeItem name="4933.TW-PreClose" advise="1">
        <values>
          <value>
            <val>34.799999999999997</val>
          </value>
        </values>
      </ddeItem>
      <ddeItem name="4933.TW-Price" advise="1">
        <values>
          <value t="str">
            <val>--</val>
          </value>
        </values>
      </ddeItem>
      <ddeItem name="4934.TW-PreClose" advise="1">
        <values>
          <value>
            <val>35.6</val>
          </value>
        </values>
      </ddeItem>
      <ddeItem name="4934.TW-Price" advise="1">
        <values>
          <value t="str">
            <val>--</val>
          </value>
        </values>
      </ddeItem>
      <ddeItem name="4935.TW-PreClose" advise="1">
        <values>
          <value>
            <val>78.5</val>
          </value>
        </values>
      </ddeItem>
      <ddeItem name="4935.TW-Price" advise="1">
        <values>
          <value t="str">
            <val>--</val>
          </value>
        </values>
      </ddeItem>
      <ddeItem name="4938.TW-PreClose" advise="1">
        <values>
          <value>
            <val>68.3</val>
          </value>
        </values>
      </ddeItem>
      <ddeItem name="4938.TW-Price" advise="1">
        <values>
          <value t="str">
            <val>--</val>
          </value>
        </values>
      </ddeItem>
      <ddeItem name="4939.TW-PreClose" advise="1">
        <values>
          <value>
            <val>20.25</val>
          </value>
        </values>
      </ddeItem>
      <ddeItem name="4939.TW-Price" advise="1">
        <values>
          <value t="str">
            <val>--</val>
          </value>
        </values>
      </ddeItem>
      <ddeItem name="4942.TW-PreClose" advise="1">
        <values>
          <value>
            <val>46.2</val>
          </value>
        </values>
      </ddeItem>
      <ddeItem name="4942.TW-Price" advise="1">
        <values>
          <value t="str">
            <val>--</val>
          </value>
        </values>
      </ddeItem>
      <ddeItem name="4943.TW-PreClose" advise="1">
        <values>
          <value>
            <val>33.299999999999997</val>
          </value>
        </values>
      </ddeItem>
      <ddeItem name="4943.TW-Price" advise="1">
        <values>
          <value t="str">
            <val>--</val>
          </value>
        </values>
      </ddeItem>
      <ddeItem name="4944.TW-PreClose" advise="1">
        <values>
          <value>
            <val>19.600000000000001</val>
          </value>
        </values>
      </ddeItem>
      <ddeItem name="4944.TW-Price" advise="1">
        <values>
          <value t="str">
            <val>--</val>
          </value>
        </values>
      </ddeItem>
      <ddeItem name="4945.TW-PreClose" advise="1">
        <values>
          <value t="str">
            <val>--</val>
          </value>
        </values>
      </ddeItem>
      <ddeItem name="4945.TW-Price" advise="1">
        <values>
          <value t="str">
            <val>--</val>
          </value>
        </values>
      </ddeItem>
      <ddeItem name="4946.TW-PreClose" advise="1">
        <values>
          <value t="str">
            <val>--</val>
          </value>
        </values>
      </ddeItem>
      <ddeItem name="4946.TW-Price" advise="1">
        <values>
          <value t="str">
            <val>--</val>
          </value>
        </values>
      </ddeItem>
      <ddeItem name="4950.TW-PreClose" advise="1">
        <values>
          <value>
            <val>19.3</val>
          </value>
        </values>
      </ddeItem>
      <ddeItem name="4950.TW-Price" advise="1">
        <values>
          <value t="str">
            <val>--</val>
          </value>
        </values>
      </ddeItem>
      <ddeItem name="4952.TW-PreClose" advise="1">
        <values>
          <value>
            <val>73</val>
          </value>
        </values>
      </ddeItem>
      <ddeItem name="4952.TW-Price" advise="1">
        <values>
          <value t="str">
            <val>--</val>
          </value>
        </values>
      </ddeItem>
      <ddeItem name="4953.TW-PreClose" advise="1">
        <values>
          <value t="str">
            <val>--</val>
          </value>
        </values>
      </ddeItem>
      <ddeItem name="4953.TW-Price" advise="1">
        <values>
          <value t="str">
            <val>--</val>
          </value>
        </values>
      </ddeItem>
      <ddeItem name="4956.TW-PreClose" advise="1">
        <values>
          <value t="str">
            <val>--</val>
          </value>
        </values>
      </ddeItem>
      <ddeItem name="4956.TW-Price" advise="1">
        <values>
          <value t="str">
            <val>--</val>
          </value>
        </values>
      </ddeItem>
      <ddeItem name="4958.TW-PreClose" advise="1">
        <values>
          <value>
            <val>101.5</val>
          </value>
        </values>
      </ddeItem>
      <ddeItem name="4958.TW-Price" advise="1">
        <values>
          <value t="str">
            <val>--</val>
          </value>
        </values>
      </ddeItem>
      <ddeItem name="4960.TW-PreClose" advise="1">
        <values>
          <value>
            <val>13.15</val>
          </value>
        </values>
      </ddeItem>
      <ddeItem name="4960.TW-Price" advise="1">
        <values>
          <value>
            <val>13.1</val>
          </value>
        </values>
      </ddeItem>
      <ddeItem name="4961.TW-PreClose" advise="1">
        <values>
          <value>
            <val>256.5</val>
          </value>
        </values>
      </ddeItem>
      <ddeItem name="4961.TW-Price" advise="1">
        <values>
          <value>
            <val>260</val>
          </value>
        </values>
      </ddeItem>
      <ddeItem name="4966.TW-PreClose" advise="1">
        <values>
          <value>
            <val>2125</val>
          </value>
        </values>
      </ddeItem>
      <ddeItem name="4966.TW-Price" advise="1">
        <values>
          <value t="str">
            <val>--</val>
          </value>
        </values>
      </ddeItem>
      <ddeItem name="4967.TW-PreClose" advise="1">
        <values>
          <value>
            <val>48</val>
          </value>
        </values>
      </ddeItem>
      <ddeItem name="4967.TW-Price" advise="1">
        <values>
          <value t="str">
            <val>--</val>
          </value>
        </values>
      </ddeItem>
      <ddeItem name="4968.TW-PreClose" advise="1">
        <values>
          <value>
            <val>309.5</val>
          </value>
        </values>
      </ddeItem>
      <ddeItem name="4968.TW-Price" advise="1">
        <values>
          <value t="str">
            <val>--</val>
          </value>
        </values>
      </ddeItem>
      <ddeItem name="4971.TW-PreClose" advise="1">
        <values>
          <value>
            <val>78.099999999999994</val>
          </value>
        </values>
      </ddeItem>
      <ddeItem name="4971.TW-Price" advise="1">
        <values>
          <value t="str">
            <val>--</val>
          </value>
        </values>
      </ddeItem>
      <ddeItem name="4972.TW-PreClose" advise="1">
        <values>
          <value>
            <val>31.45</val>
          </value>
        </values>
      </ddeItem>
      <ddeItem name="4972.TW-Price" advise="1">
        <values>
          <value t="str">
            <val>--</val>
          </value>
        </values>
      </ddeItem>
      <ddeItem name="4973.TW-PreClose" advise="1">
        <values>
          <value>
            <val>25.15</val>
          </value>
        </values>
      </ddeItem>
      <ddeItem name="4973.TW-Price" advise="1">
        <values>
          <value t="str">
            <val>--</val>
          </value>
        </values>
      </ddeItem>
      <ddeItem name="4974.TW-PreClose" advise="1">
        <values>
          <value>
            <val>53.7</val>
          </value>
        </values>
      </ddeItem>
      <ddeItem name="4974.TW-Price" advise="1">
        <values>
          <value t="str">
            <val>--</val>
          </value>
        </values>
      </ddeItem>
      <ddeItem name="4976.TW-PreClose" advise="1">
        <values>
          <value>
            <val>76.099999999999994</val>
          </value>
        </values>
      </ddeItem>
      <ddeItem name="4976.TW-Price" advise="1">
        <values>
          <value t="str">
            <val>--</val>
          </value>
        </values>
      </ddeItem>
      <ddeItem name="4977.TW-PreClose" advise="1">
        <values>
          <value>
            <val>87.5</val>
          </value>
        </values>
      </ddeItem>
      <ddeItem name="4977.TW-Price" advise="1">
        <values>
          <value t="str">
            <val>--</val>
          </value>
        </values>
      </ddeItem>
      <ddeItem name="4979.TW-PreClose" advise="1">
        <values>
          <value t="str">
            <val>--</val>
          </value>
        </values>
      </ddeItem>
      <ddeItem name="4979.TW-Price" advise="1">
        <values>
          <value t="str">
            <val>--</val>
          </value>
        </values>
      </ddeItem>
      <ddeItem name="4987.TW-PreClose" advise="1">
        <values>
          <value>
            <val>52</val>
          </value>
        </values>
      </ddeItem>
      <ddeItem name="4987.TW-Price" advise="1">
        <values>
          <value t="str">
            <val>--</val>
          </value>
        </values>
      </ddeItem>
      <ddeItem name="4989.TW-PreClose" advise="1">
        <values>
          <value t="str">
            <val>--</val>
          </value>
        </values>
      </ddeItem>
      <ddeItem name="4989.TW-Price" advise="1">
        <values>
          <value t="str">
            <val>--</val>
          </value>
        </values>
      </ddeItem>
      <ddeItem name="4991.TW-PreClose" advise="1">
        <values>
          <value>
            <val>51.7</val>
          </value>
        </values>
      </ddeItem>
      <ddeItem name="4991.TW-Price" advise="1">
        <values>
          <value t="str">
            <val>--</val>
          </value>
        </values>
      </ddeItem>
      <ddeItem name="4994.TW-PreClose" advise="1">
        <values>
          <value>
            <val>53.6</val>
          </value>
        </values>
      </ddeItem>
      <ddeItem name="4994.TW-Price" advise="1">
        <values>
          <value t="str">
            <val>--</val>
          </value>
        </values>
      </ddeItem>
      <ddeItem name="4995.TW-PreClose" advise="1">
        <values>
          <value t="str">
            <val>--</val>
          </value>
        </values>
      </ddeItem>
      <ddeItem name="4995.TW-Price" advise="1">
        <values>
          <value t="str">
            <val>--</val>
          </value>
        </values>
      </ddeItem>
      <ddeItem name="4999.TW-PreClose" advise="1">
        <values>
          <value t="str">
            <val>--</val>
          </value>
        </values>
      </ddeItem>
      <ddeItem name="4999.TW-Price" advise="1">
        <values>
          <value t="str">
            <val>--</val>
          </value>
        </values>
      </ddeItem>
      <ddeItem name="5007.TW-PreClose" advise="1">
        <values>
          <value t="str">
            <val>--</val>
          </value>
        </values>
      </ddeItem>
      <ddeItem name="5007.TW-Price" advise="1">
        <values>
          <value t="str">
            <val>--</val>
          </value>
        </values>
      </ddeItem>
      <ddeItem name="5009.TW-PreClose" advise="1">
        <values>
          <value>
            <val>21.25</val>
          </value>
        </values>
      </ddeItem>
      <ddeItem name="5009.TW-Price" advise="1">
        <values>
          <value t="str">
            <val>--</val>
          </value>
        </values>
      </ddeItem>
      <ddeItem name="5011.TW-PreClose" advise="1">
        <values>
          <value t="str">
            <val>--</val>
          </value>
        </values>
      </ddeItem>
      <ddeItem name="5011.TW-Price" advise="1">
        <values>
          <value t="str">
            <val>--</val>
          </value>
        </values>
      </ddeItem>
      <ddeItem name="5013.TW-PreClose" advise="1">
        <values>
          <value>
            <val>37.1</val>
          </value>
        </values>
      </ddeItem>
      <ddeItem name="5013.TW-Price" advise="1">
        <values>
          <value t="str">
            <val>--</val>
          </value>
        </values>
      </ddeItem>
      <ddeItem name="5014.TW-PreClose" advise="1">
        <values>
          <value>
            <val>21.75</val>
          </value>
        </values>
      </ddeItem>
      <ddeItem name="5014.TW-Price" advise="1">
        <values>
          <value>
            <val>22</val>
          </value>
        </values>
      </ddeItem>
      <ddeItem name="5015.TW-PreClose" advise="1">
        <values>
          <value t="str">
            <val>--</val>
          </value>
        </values>
      </ddeItem>
      <ddeItem name="5015.TW-Price" advise="1">
        <values>
          <value t="str">
            <val>--</val>
          </value>
        </values>
      </ddeItem>
      <ddeItem name="5016.TW-PreClose" advise="1">
        <values>
          <value>
            <val>37.65</val>
          </value>
        </values>
      </ddeItem>
      <ddeItem name="5016.TW-Price" advise="1">
        <values>
          <value t="str">
            <val>--</val>
          </value>
        </values>
      </ddeItem>
      <ddeItem name="5102.TW-PreClose" advise="1">
        <values>
          <value t="str">
            <val>--</val>
          </value>
        </values>
      </ddeItem>
      <ddeItem name="5102.TW-Price" advise="1">
        <values>
          <value t="str">
            <val>--</val>
          </value>
        </values>
      </ddeItem>
      <ddeItem name="5201.TW-PreClose" advise="1">
        <values>
          <value>
            <val>25.95</val>
          </value>
        </values>
      </ddeItem>
      <ddeItem name="5201.TW-Price" advise="1">
        <values>
          <value t="str">
            <val>--</val>
          </value>
        </values>
      </ddeItem>
      <ddeItem name="5202.TW-PreClose" advise="1">
        <values>
          <value t="str">
            <val>--</val>
          </value>
        </values>
      </ddeItem>
      <ddeItem name="5202.TW-Price" advise="1">
        <values>
          <value t="str">
            <val>--</val>
          </value>
        </values>
      </ddeItem>
      <ddeItem name="5203.TW-PreClose" advise="1">
        <values>
          <value t="str">
            <val>--</val>
          </value>
        </values>
      </ddeItem>
      <ddeItem name="5203.TW-Price" advise="1">
        <values>
          <value t="str">
            <val>--</val>
          </value>
        </values>
      </ddeItem>
      <ddeItem name="5205.TW-PreClose" advise="1">
        <values>
          <value>
            <val>12.35</val>
          </value>
        </values>
      </ddeItem>
      <ddeItem name="5205.TW-Price" advise="1">
        <values>
          <value t="str">
            <val>--</val>
          </value>
        </values>
      </ddeItem>
      <ddeItem name="5206.TW-PreClose" advise="1">
        <values>
          <value>
            <val>16</val>
          </value>
        </values>
      </ddeItem>
      <ddeItem name="5206.TW-Price" advise="1">
        <values>
          <value t="str">
            <val>--</val>
          </value>
        </values>
      </ddeItem>
      <ddeItem name="5209.TW-PreClose" advise="1">
        <values>
          <value>
            <val>69.8</val>
          </value>
        </values>
      </ddeItem>
      <ddeItem name="5209.TW-Price" advise="1">
        <values>
          <value t="str">
            <val>--</val>
          </value>
        </values>
      </ddeItem>
      <ddeItem name="5210.TW-PreClose" advise="1">
        <values>
          <value>
            <val>21.7</val>
          </value>
        </values>
      </ddeItem>
      <ddeItem name="5210.TW-Price" advise="1">
        <values>
          <value t="str">
            <val>--</val>
          </value>
        </values>
      </ddeItem>
      <ddeItem name="5211.TW-PreClose" advise="1">
        <values>
          <value>
            <val>21</val>
          </value>
        </values>
      </ddeItem>
      <ddeItem name="5211.TW-Price" advise="1">
        <values>
          <value t="str">
            <val>--</val>
          </value>
        </values>
      </ddeItem>
      <ddeItem name="5212.TW-PreClose" advise="1">
        <values>
          <value t="str">
            <val>--</val>
          </value>
        </values>
      </ddeItem>
      <ddeItem name="5212.TW-Price" advise="1">
        <values>
          <value t="str">
            <val>--</val>
          </value>
        </values>
      </ddeItem>
      <ddeItem name="5213.TW-PreClose" advise="1">
        <values>
          <value>
            <val>21.9</val>
          </value>
        </values>
      </ddeItem>
      <ddeItem name="5213.TW-Price" advise="1">
        <values>
          <value t="str">
            <val>--</val>
          </value>
        </values>
      </ddeItem>
      <ddeItem name="5215.TW-PreClose" advise="1">
        <values>
          <value>
            <val>70.900000000000006</val>
          </value>
        </values>
      </ddeItem>
      <ddeItem name="5215.TW-Price" advise="1">
        <values>
          <value t="str">
            <val>--</val>
          </value>
        </values>
      </ddeItem>
      <ddeItem name="5220.TW-PreClose" advise="1">
        <values>
          <value t="str">
            <val>--</val>
          </value>
        </values>
      </ddeItem>
      <ddeItem name="5220.TW-Price" advise="1">
        <values>
          <value t="str">
            <val>--</val>
          </value>
        </values>
      </ddeItem>
      <ddeItem name="5222.TW-PreClose" advise="1">
        <values>
          <value t="str">
            <val>--</val>
          </value>
        </values>
      </ddeItem>
      <ddeItem name="5222.TW-Price" advise="1">
        <values>
          <value t="str">
            <val>--</val>
          </value>
        </values>
      </ddeItem>
      <ddeItem name="5223.TW-PreClose" advise="1">
        <values>
          <value>
            <val>52.8</val>
          </value>
        </values>
      </ddeItem>
      <ddeItem name="5223.TW-Price" advise="1">
        <values>
          <value t="str">
            <val>--</val>
          </value>
        </values>
      </ddeItem>
      <ddeItem name="5225.TW-PreClose" advise="1">
        <values>
          <value>
            <val>20.7</val>
          </value>
        </values>
      </ddeItem>
      <ddeItem name="5225.TW-Price" advise="1">
        <values>
          <value t="str">
            <val>--</val>
          </value>
        </values>
      </ddeItem>
      <ddeItem name="5227.TW-PreClose" advise="1">
        <values>
          <value t="str">
            <val>--</val>
          </value>
        </values>
      </ddeItem>
      <ddeItem name="5227.TW-Price" advise="1">
        <values>
          <value t="str">
            <val>--</val>
          </value>
        </values>
      </ddeItem>
      <ddeItem name="5230.TW-PreClose" advise="1">
        <values>
          <value>
            <val>35.35</val>
          </value>
        </values>
      </ddeItem>
      <ddeItem name="5230.TW-Price" advise="1">
        <values>
          <value t="str">
            <val>--</val>
          </value>
        </values>
      </ddeItem>
      <ddeItem name="5234.TW-PreClose" advise="1">
        <values>
          <value>
            <val>111</val>
          </value>
        </values>
      </ddeItem>
      <ddeItem name="5234.TW-Price" advise="1">
        <values>
          <value t="str">
            <val>--</val>
          </value>
        </values>
      </ddeItem>
      <ddeItem name="5236.TW-PreClose" advise="1">
        <values>
          <value>
            <val>175</val>
          </value>
        </values>
      </ddeItem>
      <ddeItem name="5236.TW-Price" advise="1">
        <values>
          <value t="str">
            <val>--</val>
          </value>
        </values>
      </ddeItem>
      <ddeItem name="5243.TW-PreClose" advise="1">
        <values>
          <value>
            <val>68.8</val>
          </value>
        </values>
      </ddeItem>
      <ddeItem name="5243.TW-Price" advise="1">
        <values>
          <value t="str">
            <val>--</val>
          </value>
        </values>
      </ddeItem>
      <ddeItem name="5245.TW-PreClose" advise="1">
        <values>
          <value>
            <val>51</val>
          </value>
        </values>
      </ddeItem>
      <ddeItem name="5245.TW-Price" advise="1">
        <values>
          <value t="str">
            <val>--</val>
          </value>
        </values>
      </ddeItem>
      <ddeItem name="5251.TW-PreClose" advise="1">
        <values>
          <value>
            <val>14.05</val>
          </value>
        </values>
      </ddeItem>
      <ddeItem name="5251.TW-Price" advise="1">
        <values>
          <value t="str">
            <val>--</val>
          </value>
        </values>
      </ddeItem>
      <ddeItem name="5258.TW-PreClose" advise="1">
        <values>
          <value>
            <val>33.950000000000003</val>
          </value>
        </values>
      </ddeItem>
      <ddeItem name="5258.TW-Price" advise="1">
        <values>
          <value t="str">
            <val>--</val>
          </value>
        </values>
      </ddeItem>
      <ddeItem name="5263.TW-PreClose" advise="1">
        <values>
          <value t="str">
            <val>--</val>
          </value>
        </values>
      </ddeItem>
      <ddeItem name="5263.TW-Price" advise="1">
        <values>
          <value t="str">
            <val>--</val>
          </value>
        </values>
      </ddeItem>
      <ddeItem name="5269.TW-PreClose" advise="1">
        <values>
          <value>
            <val>1955</val>
          </value>
        </values>
      </ddeItem>
      <ddeItem name="5269.TW-Price" advise="1">
        <values>
          <value t="str">
            <val>--</val>
          </value>
        </values>
      </ddeItem>
      <ddeItem name="5272.TW-PreClose" advise="1">
        <values>
          <value>
            <val>41.2</val>
          </value>
        </values>
      </ddeItem>
      <ddeItem name="5272.TW-Price" advise="1">
        <values>
          <value t="str">
            <val>--</val>
          </value>
        </values>
      </ddeItem>
      <ddeItem name="5274.TW-PreClose" advise="1">
        <values>
          <value>
            <val>3020</val>
          </value>
        </values>
      </ddeItem>
      <ddeItem name="5274.TW-Price" advise="1">
        <values>
          <value t="str">
            <val>--</val>
          </value>
        </values>
      </ddeItem>
      <ddeItem name="5276.TW-PreClose" advise="1">
        <values>
          <value>
            <val>15.9</val>
          </value>
        </values>
      </ddeItem>
      <ddeItem name="5276.TW-Price" advise="1">
        <values>
          <value t="str">
            <val>--</val>
          </value>
        </values>
      </ddeItem>
      <ddeItem name="5278.TW-PreClose" advise="1">
        <values>
          <value>
            <val>210</val>
          </value>
        </values>
      </ddeItem>
      <ddeItem name="5278.TW-Price" advise="1">
        <values>
          <value t="str">
            <val>--</val>
          </value>
        </values>
      </ddeItem>
      <ddeItem name="5281.TW-PreClose" advise="1">
        <values>
          <value>
            <val>20.2</val>
          </value>
        </values>
      </ddeItem>
      <ddeItem name="5281.TW-Price" advise="1">
        <values>
          <value t="str">
            <val>--</val>
          </value>
        </values>
      </ddeItem>
      <ddeItem name="5283.TW-PreClose" advise="1">
        <values>
          <value>
            <val>116.5</val>
          </value>
        </values>
      </ddeItem>
      <ddeItem name="5283.TW-Price" advise="1">
        <values>
          <value t="str">
            <val>--</val>
          </value>
        </values>
      </ddeItem>
      <ddeItem name="5284.TW-PreClose" advise="1">
        <values>
          <value t="str">
            <val>--</val>
          </value>
        </values>
      </ddeItem>
      <ddeItem name="5284.TW-Price" advise="1">
        <values>
          <value t="str">
            <val>--</val>
          </value>
        </values>
      </ddeItem>
      <ddeItem name="5285.TW-PreClose" advise="1">
        <values>
          <value>
            <val>112.5</val>
          </value>
        </values>
      </ddeItem>
      <ddeItem name="5285.TW-Price" advise="1">
        <values>
          <value t="str">
            <val>--</val>
          </value>
        </values>
      </ddeItem>
      <ddeItem name="5287.TW-PreClose" advise="1">
        <values>
          <value t="str">
            <val>--</val>
          </value>
        </values>
      </ddeItem>
      <ddeItem name="5287.TW-Price" advise="1">
        <values>
          <value t="str">
            <val>--</val>
          </value>
        </values>
      </ddeItem>
      <ddeItem name="5288.TW-PreClose" advise="1">
        <values>
          <value t="str">
            <val>--</val>
          </value>
        </values>
      </ddeItem>
      <ddeItem name="5288.TW-Price" advise="1">
        <values>
          <value t="str">
            <val>--</val>
          </value>
        </values>
      </ddeItem>
      <ddeItem name="5289.TW-PreClose" advise="1">
        <values>
          <value t="str">
            <val>--</val>
          </value>
        </values>
      </ddeItem>
      <ddeItem name="5289.TW-Price" advise="1">
        <values>
          <value t="str">
            <val>--</val>
          </value>
        </values>
      </ddeItem>
      <ddeItem name="5291.TW-PreClose" advise="1">
        <values>
          <value>
            <val>37.35</val>
          </value>
        </values>
      </ddeItem>
      <ddeItem name="5291.TW-Price" advise="1">
        <values>
          <value>
            <val>38.450000000000003</val>
          </value>
        </values>
      </ddeItem>
      <ddeItem name="5299.TW-PreClose" advise="1">
        <values>
          <value t="str">
            <val>--</val>
          </value>
        </values>
      </ddeItem>
      <ddeItem name="5299.TW-Price" advise="1">
        <values>
          <value t="str">
            <val>--</val>
          </value>
        </values>
      </ddeItem>
      <ddeItem name="5301.TW-PreClose" advise="1">
        <values>
          <value>
            <val>8.92</val>
          </value>
        </values>
      </ddeItem>
      <ddeItem name="5301.TW-Price" advise="1">
        <values>
          <value t="str">
            <val>--</val>
          </value>
        </values>
      </ddeItem>
      <ddeItem name="5302.TW-PreClose" advise="1">
        <values>
          <value t="str">
            <val>--</val>
          </value>
        </values>
      </ddeItem>
      <ddeItem name="5302.TW-Price" advise="1">
        <values>
          <value t="str">
            <val>--</val>
          </value>
        </values>
      </ddeItem>
      <ddeItem name="5306.TW-PreClose" advise="1">
        <values>
          <value>
            <val>205.5</val>
          </value>
        </values>
      </ddeItem>
      <ddeItem name="5306.TW-Price" advise="1">
        <values>
          <value t="str">
            <val>--</val>
          </value>
        </values>
      </ddeItem>
      <ddeItem name="5309.TW-PreClose" advise="1">
        <values>
          <value>
            <val>42.05</val>
          </value>
        </values>
      </ddeItem>
      <ddeItem name="5309.TW-Price" advise="1">
        <values>
          <value t="str">
            <val>--</val>
          </value>
        </values>
      </ddeItem>
      <ddeItem name="5310.TW-PreClose" advise="1">
        <values>
          <value t="str">
            <val>--</val>
          </value>
        </values>
      </ddeItem>
      <ddeItem name="5310.TW-Price" advise="1">
        <values>
          <value t="str">
            <val>--</val>
          </value>
        </values>
      </ddeItem>
      <ddeItem name="5312.TW-PreClose" advise="1">
        <values>
          <value t="str">
            <val>--</val>
          </value>
        </values>
      </ddeItem>
      <ddeItem name="5312.TW-Price" advise="1">
        <values>
          <value t="str">
            <val>--</val>
          </value>
        </values>
      </ddeItem>
      <ddeItem name="5314.TW-PreClose" advise="1">
        <values>
          <value>
            <val>5.2</val>
          </value>
        </values>
      </ddeItem>
      <ddeItem name="5314.TW-Price" advise="1">
        <values>
          <value t="str">
            <val>--</val>
          </value>
        </values>
      </ddeItem>
      <ddeItem name="5315.TW-PreClose" advise="1">
        <values>
          <value t="str">
            <val>--</val>
          </value>
        </values>
      </ddeItem>
      <ddeItem name="5315.TW-Price" advise="1">
        <values>
          <value t="str">
            <val>--</val>
          </value>
        </values>
      </ddeItem>
      <ddeItem name="5321.TW-PreClose" advise="1">
        <values>
          <value>
            <val>100.5</val>
          </value>
        </values>
      </ddeItem>
      <ddeItem name="5321.TW-Price" advise="1">
        <values>
          <value t="str">
            <val>--</val>
          </value>
        </values>
      </ddeItem>
      <ddeItem name="5324.TW-PreClose" advise="1">
        <values>
          <value>
            <val>9.49</val>
          </value>
        </values>
      </ddeItem>
      <ddeItem name="5324.TW-Price" advise="1">
        <values>
          <value t="str">
            <val>--</val>
          </value>
        </values>
      </ddeItem>
      <ddeItem name="5328.TW-PreClose" advise="1">
        <values>
          <value t="str">
            <val>--</val>
          </value>
        </values>
      </ddeItem>
      <ddeItem name="5328.TW-Price" advise="1">
        <values>
          <value t="str">
            <val>--</val>
          </value>
        </values>
      </ddeItem>
      <ddeItem name="5340.TW-PreClose" advise="1">
        <values>
          <value>
            <val>38.75</val>
          </value>
        </values>
      </ddeItem>
      <ddeItem name="5340.TW-Price" advise="1">
        <values>
          <value t="str">
            <val>--</val>
          </value>
        </values>
      </ddeItem>
      <ddeItem name="5344.TW-PreClose" advise="1">
        <values>
          <value>
            <val>24.15</val>
          </value>
        </values>
      </ddeItem>
      <ddeItem name="5344.TW-Price" advise="1">
        <values>
          <value t="str">
            <val>--</val>
          </value>
        </values>
      </ddeItem>
      <ddeItem name="5345.TW-PreClose" advise="1">
        <values>
          <value>
            <val>5.7</val>
          </value>
        </values>
      </ddeItem>
      <ddeItem name="5345.TW-Price" advise="1">
        <values>
          <value t="str">
            <val>--</val>
          </value>
        </values>
      </ddeItem>
      <ddeItem name="5347.TW-PreClose" advise="1">
        <values>
          <value>
            <val>153.5</val>
          </value>
        </values>
      </ddeItem>
      <ddeItem name="5347.TW-Price" advise="1">
        <values>
          <value t="str">
            <val>--</val>
          </value>
        </values>
      </ddeItem>
      <ddeItem name="5348.TW-PreClose" advise="1">
        <values>
          <value>
            <val>8.4499999999999993</val>
          </value>
        </values>
      </ddeItem>
      <ddeItem name="5348.TW-Price" advise="1">
        <values>
          <value t="str">
            <val>--</val>
          </value>
        </values>
      </ddeItem>
      <ddeItem name="5351.TW-Capital" advise="1">
        <values>
          <value t="str">
            <val>--</val>
          </value>
        </values>
      </ddeItem>
      <ddeItem name="5351.TW-CashAndStockDividend" advise="1">
        <values>
          <value t="str">
            <val>--</val>
          </value>
        </values>
      </ddeItem>
      <ddeItem name="5351.TW-CashDividendYieldRate" advise="1">
        <values>
          <value t="str">
            <val>--</val>
          </value>
        </values>
      </ddeItem>
      <ddeItem name="5351.TW-MonthlyNetSalesYoY" advise="1">
        <values>
          <value t="str">
            <val>--</val>
          </value>
        </values>
      </ddeItem>
      <ddeItem name="5351.TW-NetIncomeGrowthRate" advise="1">
        <values>
          <value t="str">
            <val>--</val>
          </value>
        </values>
      </ddeItem>
      <ddeItem name="5351.TW-NetProfitMargin" advise="1">
        <values>
          <value t="str">
            <val>--</val>
          </value>
        </values>
      </ddeItem>
      <ddeItem name="5351.TW-OperatingProfitRatio" advise="1">
        <values>
          <value t="str">
            <val>--</val>
          </value>
        </values>
      </ddeItem>
      <ddeItem name="5351.TW-OperIncomeGrowthRate" advise="1">
        <values>
          <value t="str">
            <val>--</val>
          </value>
        </values>
      </ddeItem>
      <ddeItem name="5351.TW-PreClose" advise="1">
        <values>
          <value>
            <val>90.9</val>
          </value>
        </values>
      </ddeItem>
      <ddeItem name="5351.TW-Price" advise="1">
        <values>
          <value>
            <val>88.8</val>
          </value>
        </values>
      </ddeItem>
      <ddeItem name="5351.TW-ProfitFourSeason" advise="1">
        <values>
          <value t="str">
            <val>--</val>
          </value>
        </values>
      </ddeItem>
      <ddeItem name="5351.TW-ProfitMargin" advise="1">
        <values>
          <value t="str">
            <val>--</val>
          </value>
        </values>
      </ddeItem>
      <ddeItem name="5351.TW-TFXRatio" advise="1">
        <values>
          <value t="str">
            <val>--</val>
          </value>
        </values>
      </ddeItem>
      <ddeItem name="5353.TW-PreClose" advise="1">
        <values>
          <value>
            <val>20.45</val>
          </value>
        </values>
      </ddeItem>
      <ddeItem name="5353.TW-Price" advise="1">
        <values>
          <value t="str">
            <val>--</val>
          </value>
        </values>
      </ddeItem>
      <ddeItem name="5355.TW-PreClose" advise="1">
        <values>
          <value>
            <val>6.4</val>
          </value>
        </values>
      </ddeItem>
      <ddeItem name="5355.TW-Price" advise="1">
        <values>
          <value t="str">
            <val>--</val>
          </value>
        </values>
      </ddeItem>
      <ddeItem name="5356.TW-PreClose" advise="1">
        <values>
          <value>
            <val>26</val>
          </value>
        </values>
      </ddeItem>
      <ddeItem name="5356.TW-Price" advise="1">
        <values>
          <value t="str">
            <val>--</val>
          </value>
        </values>
      </ddeItem>
      <ddeItem name="5364.TW-PreClose" advise="1">
        <values>
          <value t="str">
            <val>--</val>
          </value>
        </values>
      </ddeItem>
      <ddeItem name="5364.TW-Price" advise="1">
        <values>
          <value t="str">
            <val>--</val>
          </value>
        </values>
      </ddeItem>
      <ddeItem name="5371.TW-PreClose" advise="1">
        <values>
          <value>
            <val>82.4</val>
          </value>
        </values>
      </ddeItem>
      <ddeItem name="5371.TW-Price" advise="1">
        <values>
          <value t="str">
            <val>--</val>
          </value>
        </values>
      </ddeItem>
      <ddeItem name="5381.TW-PreClose" advise="1">
        <values>
          <value>
            <val>6.2</val>
          </value>
        </values>
      </ddeItem>
      <ddeItem name="5381.TW-Price" advise="1">
        <values>
          <value t="str">
            <val>--</val>
          </value>
        </values>
      </ddeItem>
      <ddeItem name="5383.TW-PreClose" advise="1">
        <values>
          <value>
            <val>31.55</val>
          </value>
        </values>
      </ddeItem>
      <ddeItem name="5383.TW-Price" advise="1">
        <values>
          <value t="str">
            <val>--</val>
          </value>
        </values>
      </ddeItem>
      <ddeItem name="5386.TW-PreClose" advise="1">
        <values>
          <value t="str">
            <val>--</val>
          </value>
        </values>
      </ddeItem>
      <ddeItem name="5386.TW-Price" advise="1">
        <values>
          <value t="str">
            <val>--</val>
          </value>
        </values>
      </ddeItem>
      <ddeItem name="5388.TW-PreClose" advise="1">
        <values>
          <value t="str">
            <val>--</val>
          </value>
        </values>
      </ddeItem>
      <ddeItem name="5388.TW-Price" advise="1">
        <values>
          <value t="str">
            <val>--</val>
          </value>
        </values>
      </ddeItem>
      <ddeItem name="5392.TW-PreClose" advise="1">
        <values>
          <value>
            <val>25.1</val>
          </value>
        </values>
      </ddeItem>
      <ddeItem name="5392.TW-Price" advise="1">
        <values>
          <value t="str">
            <val>--</val>
          </value>
        </values>
      </ddeItem>
      <ddeItem name="5398.TW-PreClose" advise="1">
        <values>
          <value>
            <val>19.45</val>
          </value>
        </values>
      </ddeItem>
      <ddeItem name="5398.TW-Price" advise="1">
        <values>
          <value t="str">
            <val>--</val>
          </value>
        </values>
      </ddeItem>
      <ddeItem name="5403.TW-PreClose" advise="1">
        <values>
          <value t="str">
            <val>--</val>
          </value>
        </values>
      </ddeItem>
      <ddeItem name="5403.TW-Price" advise="1">
        <values>
          <value t="str">
            <val>--</val>
          </value>
        </values>
      </ddeItem>
      <ddeItem name="5410.TW-PreClose" advise="1">
        <values>
          <value>
            <val>24</val>
          </value>
        </values>
      </ddeItem>
      <ddeItem name="5410.TW-Price" advise="1">
        <values>
          <value t="str">
            <val>--</val>
          </value>
        </values>
      </ddeItem>
      <ddeItem name="5425.TW-PreClose" advise="1">
        <values>
          <value t="str">
            <val>--</val>
          </value>
        </values>
      </ddeItem>
      <ddeItem name="5425.TW-Price" advise="1">
        <values>
          <value t="str">
            <val>--</val>
          </value>
        </values>
      </ddeItem>
      <ddeItem name="5426.TW-PreClose" advise="1">
        <values>
          <value t="str">
            <val>--</val>
          </value>
        </values>
      </ddeItem>
      <ddeItem name="5426.TW-Price" advise="1">
        <values>
          <value t="str">
            <val>--</val>
          </value>
        </values>
      </ddeItem>
      <ddeItem name="5432.TW-PreClose" advise="1">
        <values>
          <value t="str">
            <val>--</val>
          </value>
        </values>
      </ddeItem>
      <ddeItem name="5432.TW-Price" advise="1">
        <values>
          <value t="str">
            <val>--</val>
          </value>
        </values>
      </ddeItem>
      <ddeItem name="5434.TW-PreClose" advise="1">
        <values>
          <value>
            <val>148</val>
          </value>
        </values>
      </ddeItem>
      <ddeItem name="5434.TW-Price" advise="1">
        <values>
          <value>
            <val>150</val>
          </value>
        </values>
      </ddeItem>
      <ddeItem name="5438.TW-PreClose" advise="1">
        <values>
          <value>
            <val>18</val>
          </value>
        </values>
      </ddeItem>
      <ddeItem name="5438.TW-Price" advise="1">
        <values>
          <value t="str">
            <val>--</val>
          </value>
        </values>
      </ddeItem>
      <ddeItem name="5439.TW-PreClose" advise="1">
        <values>
          <value t="str">
            <val>--</val>
          </value>
        </values>
      </ddeItem>
      <ddeItem name="5439.TW-Price" advise="1">
        <values>
          <value t="str">
            <val>--</val>
          </value>
        </values>
      </ddeItem>
      <ddeItem name="5443.TW-PreClose" advise="1">
        <values>
          <value t="str">
            <val>--</val>
          </value>
        </values>
      </ddeItem>
      <ddeItem name="5443.TW-Price" advise="1">
        <values>
          <value t="str">
            <val>--</val>
          </value>
        </values>
      </ddeItem>
      <ddeItem name="5450.TW-PreClose" advise="1">
        <values>
          <value>
            <val>17.05</val>
          </value>
        </values>
      </ddeItem>
      <ddeItem name="5450.TW-Price" advise="1">
        <values>
          <value t="str">
            <val>--</val>
          </value>
        </values>
      </ddeItem>
      <ddeItem name="5452.TW-PreClose" advise="1">
        <values>
          <value>
            <val>20.6</val>
          </value>
        </values>
      </ddeItem>
      <ddeItem name="5452.TW-Price" advise="1">
        <values>
          <value t="str">
            <val>--</val>
          </value>
        </values>
      </ddeItem>
      <ddeItem name="5455.TW-PreClose" advise="1">
        <values>
          <value t="str">
            <val>--</val>
          </value>
        </values>
      </ddeItem>
      <ddeItem name="5455.TW-Price" advise="1">
        <values>
          <value t="str">
            <val>--</val>
          </value>
        </values>
      </ddeItem>
      <ddeItem name="5457.TW-PreClose" advise="1">
        <values>
          <value>
            <val>79</val>
          </value>
        </values>
      </ddeItem>
      <ddeItem name="5457.TW-Price" advise="1">
        <values>
          <value t="str">
            <val>--</val>
          </value>
        </values>
      </ddeItem>
      <ddeItem name="5460.TW-PreClose" advise="1">
        <values>
          <value>
            <val>13.4</val>
          </value>
        </values>
      </ddeItem>
      <ddeItem name="5460.TW-Price" advise="1">
        <values>
          <value t="str">
            <val>--</val>
          </value>
        </values>
      </ddeItem>
      <ddeItem name="5464.TW-PreClose" advise="1">
        <values>
          <value>
            <val>24.65</val>
          </value>
        </values>
      </ddeItem>
      <ddeItem name="5464.TW-Price" advise="1">
        <values>
          <value t="str">
            <val>--</val>
          </value>
        </values>
      </ddeItem>
      <ddeItem name="5465.TW-PreClose" advise="1">
        <values>
          <value t="str">
            <val>--</val>
          </value>
        </values>
      </ddeItem>
      <ddeItem name="5465.TW-Price" advise="1">
        <values>
          <value t="str">
            <val>--</val>
          </value>
        </values>
      </ddeItem>
      <ddeItem name="5468.TW-PreClose" advise="1">
        <values>
          <value t="str">
            <val>--</val>
          </value>
        </values>
      </ddeItem>
      <ddeItem name="5468.TW-Price" advise="1">
        <values>
          <value t="str">
            <val>--</val>
          </value>
        </values>
      </ddeItem>
      <ddeItem name="5469.TW-PreClose" advise="1">
        <values>
          <value>
            <val>45.9</val>
          </value>
        </values>
      </ddeItem>
      <ddeItem name="5469.TW-Price" advise="1">
        <values>
          <value t="str">
            <val>--</val>
          </value>
        </values>
      </ddeItem>
      <ddeItem name="5471.TW-PreClose" advise="1">
        <values>
          <value>
            <val>91.6</val>
          </value>
        </values>
      </ddeItem>
      <ddeItem name="5471.TW-Price" advise="1">
        <values>
          <value t="str">
            <val>--</val>
          </value>
        </values>
      </ddeItem>
      <ddeItem name="5474.TW-PreClose" advise="1">
        <values>
          <value>
            <val>125.5</val>
          </value>
        </values>
      </ddeItem>
      <ddeItem name="5474.TW-Price" advise="1">
        <values>
          <value t="str">
            <val>--</val>
          </value>
        </values>
      </ddeItem>
      <ddeItem name="5475.TW-PreClose" advise="1">
        <values>
          <value t="str">
            <val>--</val>
          </value>
        </values>
      </ddeItem>
      <ddeItem name="5475.TW-Price" advise="1">
        <values>
          <value t="str">
            <val>--</val>
          </value>
        </values>
      </ddeItem>
      <ddeItem name="5478.TW-PreClose" advise="1">
        <values>
          <value>
            <val>93.2</val>
          </value>
        </values>
      </ddeItem>
      <ddeItem name="5478.TW-Price" advise="1">
        <values>
          <value t="str">
            <val>--</val>
          </value>
        </values>
      </ddeItem>
      <ddeItem name="5481.TW-PreClose" advise="1">
        <values>
          <value t="str">
            <val>--</val>
          </value>
        </values>
      </ddeItem>
      <ddeItem name="5481.TW-Price" advise="1">
        <values>
          <value t="str">
            <val>--</val>
          </value>
        </values>
      </ddeItem>
      <ddeItem name="5483.TW-Capital" advise="1">
        <values>
          <value t="str">
            <val>58.62</val>
          </value>
        </values>
      </ddeItem>
      <ddeItem name="5483.TW-CashAndStockDividend" advise="1">
        <values>
          <value t="str">
            <val>5.50</val>
          </value>
        </values>
      </ddeItem>
      <ddeItem name="5483.TW-CashDividendYieldRate" advise="1">
        <values>
          <value>
            <val>4.3499999999999996</val>
          </value>
        </values>
      </ddeItem>
      <ddeItem name="5483.TW-MonthlyNetSalesYoY" advise="1">
        <values>
          <value t="str">
            <val>16.07</val>
          </value>
        </values>
      </ddeItem>
      <ddeItem name="5483.TW-NetIncomeGrowthRate" advise="1">
        <values>
          <value t="str">
            <val>9.60</val>
          </value>
        </values>
      </ddeItem>
      <ddeItem name="5483.TW-NetProfitMargin" advise="1">
        <values>
          <value t="str">
            <val>20.04</val>
          </value>
        </values>
      </ddeItem>
      <ddeItem name="5483.TW-OperatingProfitRatio" advise="1">
        <values>
          <value t="str">
            <val>25.80</val>
          </value>
        </values>
      </ddeItem>
      <ddeItem name="5483.TW-OperIncomeGrowthRate" advise="1">
        <values>
          <value t="str">
            <val>11.75</val>
          </value>
        </values>
      </ddeItem>
      <ddeItem name="5483.TW-PreClose" advise="1">
        <values>
          <value>
            <val>207</val>
          </value>
        </values>
      </ddeItem>
      <ddeItem name="5483.TW-Price" advise="1">
        <values>
          <value t="str">
            <val>--</val>
          </value>
        </values>
      </ddeItem>
      <ddeItem name="5483.TW-ProfitFourSeason" advise="1">
        <values>
          <value t="str">
            <val>12.22</val>
          </value>
        </values>
      </ddeItem>
      <ddeItem name="5483.TW-ProfitMargin" advise="1">
        <values>
          <value t="str">
            <val>34.79</val>
          </value>
        </values>
      </ddeItem>
      <ddeItem name="5483.TW-TFXRatio" advise="1">
        <values>
          <value t="str">
            <val>-5.71</val>
          </value>
        </values>
      </ddeItem>
      <ddeItem name="5487.TW-PreClose" advise="1">
        <values>
          <value>
            <val>35</val>
          </value>
        </values>
      </ddeItem>
      <ddeItem name="5487.TW-Price" advise="1">
        <values>
          <value t="str">
            <val>--</val>
          </value>
        </values>
      </ddeItem>
      <ddeItem name="5488.TW-PreClose" advise="1">
        <values>
          <value>
            <val>8.82</val>
          </value>
        </values>
      </ddeItem>
      <ddeItem name="5488.TW-Price" advise="1">
        <values>
          <value t="str">
            <val>--</val>
          </value>
        </values>
      </ddeItem>
      <ddeItem name="5489.TW-PreClose" advise="1">
        <values>
          <value>
            <val>35.200000000000003</val>
          </value>
        </values>
      </ddeItem>
      <ddeItem name="5489.TW-Price" advise="1">
        <values>
          <value t="str">
            <val>--</val>
          </value>
        </values>
      </ddeItem>
      <ddeItem name="5490.TW-PreClose" advise="1">
        <values>
          <value>
            <val>27</val>
          </value>
        </values>
      </ddeItem>
      <ddeItem name="5490.TW-Price" advise="1">
        <values>
          <value t="str">
            <val>--</val>
          </value>
        </values>
      </ddeItem>
      <ddeItem name="5493.TW-PreClose" advise="1">
        <values>
          <value>
            <val>42.8</val>
          </value>
        </values>
      </ddeItem>
      <ddeItem name="5493.TW-Price" advise="1">
        <values>
          <value t="str">
            <val>--</val>
          </value>
        </values>
      </ddeItem>
      <ddeItem name="5498.TW-PreClose" advise="1">
        <values>
          <value>
            <val>14.15</val>
          </value>
        </values>
      </ddeItem>
      <ddeItem name="5498.TW-Price" advise="1">
        <values>
          <value t="str">
            <val>--</val>
          </value>
        </values>
      </ddeItem>
      <ddeItem name="5508.TW-PreClose" advise="1">
        <values>
          <value t="str">
            <val>--</val>
          </value>
        </values>
      </ddeItem>
      <ddeItem name="5508.TW-Price" advise="1">
        <values>
          <value t="str">
            <val>--</val>
          </value>
        </values>
      </ddeItem>
      <ddeItem name="5511.TW-PreClose" advise="1">
        <values>
          <value>
            <val>29.85</val>
          </value>
        </values>
      </ddeItem>
      <ddeItem name="5511.TW-Price" advise="1">
        <values>
          <value t="str">
            <val>--</val>
          </value>
        </values>
      </ddeItem>
      <ddeItem name="5512.TW-PreClose" advise="1">
        <values>
          <value>
            <val>9.48</val>
          </value>
        </values>
      </ddeItem>
      <ddeItem name="5512.TW-Price" advise="1">
        <values>
          <value>
            <val>9.4700000000000006</val>
          </value>
        </values>
      </ddeItem>
      <ddeItem name="5514.TW-PreClose" advise="1">
        <values>
          <value>
            <val>21.9</val>
          </value>
        </values>
      </ddeItem>
      <ddeItem name="5514.TW-Price" advise="1">
        <values>
          <value t="str">
            <val>--</val>
          </value>
        </values>
      </ddeItem>
      <ddeItem name="5515.TW-PreClose" advise="1">
        <values>
          <value>
            <val>14.15</val>
          </value>
        </values>
      </ddeItem>
      <ddeItem name="5515.TW-Price" advise="1">
        <values>
          <value t="str">
            <val>--</val>
          </value>
        </values>
      </ddeItem>
      <ddeItem name="5516.TW-PreClose" advise="1">
        <values>
          <value>
            <val>13.6</val>
          </value>
        </values>
      </ddeItem>
      <ddeItem name="5516.TW-Price" advise="1">
        <values>
          <value t="str">
            <val>--</val>
          </value>
        </values>
      </ddeItem>
      <ddeItem name="5519.TW-PreClose" advise="1">
        <values>
          <value>
            <val>21.1</val>
          </value>
        </values>
      </ddeItem>
      <ddeItem name="5519.TW-Price" advise="1">
        <values>
          <value t="str">
            <val>--</val>
          </value>
        </values>
      </ddeItem>
      <ddeItem name="5520.TW-PreClose" advise="1">
        <values>
          <value>
            <val>51.6</val>
          </value>
        </values>
      </ddeItem>
      <ddeItem name="5520.TW-Price" advise="1">
        <values>
          <value t="str">
            <val>--</val>
          </value>
        </values>
      </ddeItem>
      <ddeItem name="5521.TW-PreClose" advise="1">
        <values>
          <value t="str">
            <val>--</val>
          </value>
        </values>
      </ddeItem>
      <ddeItem name="5521.TW-Price" advise="1">
        <values>
          <value t="str">
            <val>--</val>
          </value>
        </values>
      </ddeItem>
      <ddeItem name="5522.TW-PreClose" advise="1">
        <values>
          <value t="str">
            <val>--</val>
          </value>
        </values>
      </ddeItem>
      <ddeItem name="5522.TW-Price" advise="1">
        <values>
          <value t="str">
            <val>--</val>
          </value>
        </values>
      </ddeItem>
      <ddeItem name="5523.TW-PreClose" advise="1">
        <values>
          <value>
            <val>29.45</val>
          </value>
        </values>
      </ddeItem>
      <ddeItem name="5523.TW-Price" advise="1">
        <values>
          <value t="str">
            <val>--</val>
          </value>
        </values>
      </ddeItem>
      <ddeItem name="5525.TW-PreClose" advise="1">
        <values>
          <value>
            <val>28.9</val>
          </value>
        </values>
      </ddeItem>
      <ddeItem name="5525.TW-Price" advise="1">
        <values>
          <value t="str">
            <val>--</val>
          </value>
        </values>
      </ddeItem>
      <ddeItem name="5529.TW-PreClose" advise="1">
        <values>
          <value t="str">
            <val>--</val>
          </value>
        </values>
      </ddeItem>
      <ddeItem name="5529.TW-Price" advise="1">
        <values>
          <value t="str">
            <val>--</val>
          </value>
        </values>
      </ddeItem>
      <ddeItem name="5530.TW-PreClose" advise="1">
        <values>
          <value t="str">
            <val>--</val>
          </value>
        </values>
      </ddeItem>
      <ddeItem name="5530.TW-Price" advise="1">
        <values>
          <value t="str">
            <val>--</val>
          </value>
        </values>
      </ddeItem>
      <ddeItem name="5531.TW-PreClose" advise="1">
        <values>
          <value>
            <val>10.95</val>
          </value>
        </values>
      </ddeItem>
      <ddeItem name="5531.TW-Price" advise="1">
        <values>
          <value t="str">
            <val>--</val>
          </value>
        </values>
      </ddeItem>
      <ddeItem name="5533.TW-PreClose" advise="1">
        <values>
          <value>
            <val>18.8</val>
          </value>
        </values>
      </ddeItem>
      <ddeItem name="5533.TW-Price" advise="1">
        <values>
          <value t="str">
            <val>--</val>
          </value>
        </values>
      </ddeItem>
      <ddeItem name="5534.TW-PreClose" advise="1">
        <values>
          <value>
            <val>74.099999999999994</val>
          </value>
        </values>
      </ddeItem>
      <ddeItem name="5534.TW-Price" advise="1">
        <values>
          <value t="str">
            <val>--</val>
          </value>
        </values>
      </ddeItem>
      <ddeItem name="5536.TW-PreClose" advise="1">
        <values>
          <value>
            <val>196</val>
          </value>
        </values>
      </ddeItem>
      <ddeItem name="5536.TW-Price" advise="1">
        <values>
          <value t="str">
            <val>--</val>
          </value>
        </values>
      </ddeItem>
      <ddeItem name="5538.TW-PreClose" advise="1">
        <values>
          <value>
            <val>51.5</val>
          </value>
        </values>
      </ddeItem>
      <ddeItem name="5538.TW-Price" advise="1">
        <values>
          <value t="str">
            <val>--</val>
          </value>
        </values>
      </ddeItem>
      <ddeItem name="5543.TW-PreClose" advise="1">
        <values>
          <value>
            <val>68</val>
          </value>
        </values>
      </ddeItem>
      <ddeItem name="5543.TW-Price" advise="1">
        <values>
          <value t="str">
            <val>--</val>
          </value>
        </values>
      </ddeItem>
      <ddeItem name="5546.TW-PreClose" advise="1">
        <values>
          <value>
            <val>60.5</val>
          </value>
        </values>
      </ddeItem>
      <ddeItem name="5546.TW-Price" advise="1">
        <values>
          <value t="str">
            <val>--</val>
          </value>
        </values>
      </ddeItem>
      <ddeItem name="5601.TW-PreClose" advise="1">
        <values>
          <value t="str">
            <val>--</val>
          </value>
        </values>
      </ddeItem>
      <ddeItem name="5601.TW-Price" advise="1">
        <values>
          <value t="str">
            <val>--</val>
          </value>
        </values>
      </ddeItem>
      <ddeItem name="5603.TW-PreClose" advise="1">
        <values>
          <value>
            <val>31.5</val>
          </value>
        </values>
      </ddeItem>
      <ddeItem name="5603.TW-Price" advise="1">
        <values>
          <value t="str">
            <val>--</val>
          </value>
        </values>
      </ddeItem>
      <ddeItem name="5604.TW-PreClose" advise="1">
        <values>
          <value t="str">
            <val>--</val>
          </value>
        </values>
      </ddeItem>
      <ddeItem name="5604.TW-Price" advise="1">
        <values>
          <value t="str">
            <val>--</val>
          </value>
        </values>
      </ddeItem>
      <ddeItem name="5607.TW-PreClose" advise="1">
        <values>
          <value>
            <val>53.3</val>
          </value>
        </values>
      </ddeItem>
      <ddeItem name="5607.TW-Price" advise="1">
        <values>
          <value t="str">
            <val>--</val>
          </value>
        </values>
      </ddeItem>
      <ddeItem name="5608.TW-PreClose" advise="1">
        <values>
          <value t="str">
            <val>--</val>
          </value>
        </values>
      </ddeItem>
      <ddeItem name="5608.TW-Price" advise="1">
        <values>
          <value t="str">
            <val>--</val>
          </value>
        </values>
      </ddeItem>
      <ddeItem name="5609.TW-PreClose" advise="1">
        <values>
          <value>
            <val>102</val>
          </value>
        </values>
      </ddeItem>
      <ddeItem name="5609.TW-Price" advise="1">
        <values>
          <value t="str">
            <val>--</val>
          </value>
        </values>
      </ddeItem>
      <ddeItem name="5701.TW-PreClose" advise="1">
        <values>
          <value>
            <val>3.11</val>
          </value>
        </values>
      </ddeItem>
      <ddeItem name="5701.TW-Price" advise="1">
        <values>
          <value t="str">
            <val>--</val>
          </value>
        </values>
      </ddeItem>
      <ddeItem name="5703.TW-PreClose" advise="1">
        <values>
          <value>
            <val>27.85</val>
          </value>
        </values>
      </ddeItem>
      <ddeItem name="5703.TW-Price" advise="1">
        <values>
          <value t="str">
            <val>--</val>
          </value>
        </values>
      </ddeItem>
      <ddeItem name="5704.TW-PreClose" advise="1">
        <values>
          <value t="str">
            <val>--</val>
          </value>
        </values>
      </ddeItem>
      <ddeItem name="5704.TW-Price" advise="1">
        <values>
          <value t="str">
            <val>--</val>
          </value>
        </values>
      </ddeItem>
      <ddeItem name="5706.TW-PreClose" advise="1">
        <values>
          <value>
            <val>44</val>
          </value>
        </values>
      </ddeItem>
      <ddeItem name="5706.TW-Price" advise="1">
        <values>
          <value t="str">
            <val>--</val>
          </value>
        </values>
      </ddeItem>
      <ddeItem name="5820.TW-PreClose" advise="1">
        <values>
          <value>
            <val>12.35</val>
          </value>
        </values>
      </ddeItem>
      <ddeItem name="5820.TW-Price" advise="1">
        <values>
          <value t="str">
            <val>--</val>
          </value>
        </values>
      </ddeItem>
      <ddeItem name="5864.TW-PreClose" advise="1">
        <values>
          <value>
            <val>15.55</val>
          </value>
        </values>
      </ddeItem>
      <ddeItem name="5864.TW-Price" advise="1">
        <values>
          <value t="str">
            <val>--</val>
          </value>
        </values>
      </ddeItem>
      <ddeItem name="5871.TW-PreClose" advise="1">
        <values>
          <value>
            <val>246</val>
          </value>
        </values>
      </ddeItem>
      <ddeItem name="5871.TW-Price" advise="1">
        <values>
          <value t="str">
            <val>--</val>
          </value>
        </values>
      </ddeItem>
      <ddeItem name="5876.TW-PreClose" advise="1">
        <values>
          <value>
            <val>46.95</val>
          </value>
        </values>
      </ddeItem>
      <ddeItem name="5876.TW-Price" advise="1">
        <values>
          <value>
            <val>47.45</val>
          </value>
        </values>
      </ddeItem>
      <ddeItem name="5878.TW-PreClose" advise="1">
        <values>
          <value t="str">
            <val>--</val>
          </value>
        </values>
      </ddeItem>
      <ddeItem name="5878.TW-Price" advise="1">
        <values>
          <value t="str">
            <val>--</val>
          </value>
        </values>
      </ddeItem>
      <ddeItem name="5880.TW-PreClose" advise="1">
        <values>
          <value>
            <val>23.5</val>
          </value>
        </values>
      </ddeItem>
      <ddeItem name="5880.TW-Price" advise="1">
        <values>
          <value t="str">
            <val>--</val>
          </value>
        </values>
      </ddeItem>
      <ddeItem name="5902.TW-PreClose" advise="1">
        <values>
          <value>
            <val>24.5</val>
          </value>
        </values>
      </ddeItem>
      <ddeItem name="5902.TW-Price" advise="1">
        <values>
          <value t="str">
            <val>--</val>
          </value>
        </values>
      </ddeItem>
      <ddeItem name="5903.TW-PreClose" advise="1">
        <values>
          <value>
            <val>255.5</val>
          </value>
        </values>
      </ddeItem>
      <ddeItem name="5903.TW-Price" advise="1">
        <values>
          <value t="str">
            <val>--</val>
          </value>
        </values>
      </ddeItem>
      <ddeItem name="5904.TW-PreClose" advise="1">
        <values>
          <value>
            <val>503</val>
          </value>
        </values>
      </ddeItem>
      <ddeItem name="5904.TW-Price" advise="1">
        <values>
          <value t="str">
            <val>--</val>
          </value>
        </values>
      </ddeItem>
      <ddeItem name="5905.TW-PreClose" advise="1">
        <values>
          <value>
            <val>14.6</val>
          </value>
        </values>
      </ddeItem>
      <ddeItem name="5905.TW-Price" advise="1">
        <values>
          <value t="str">
            <val>--</val>
          </value>
        </values>
      </ddeItem>
      <ddeItem name="5906.TW-PreClose" advise="1">
        <values>
          <value>
            <val>36.549999999999997</val>
          </value>
        </values>
      </ddeItem>
      <ddeItem name="5906.TW-Price" advise="1">
        <values>
          <value t="str">
            <val>--</val>
          </value>
        </values>
      </ddeItem>
      <ddeItem name="5907.TW-PreClose" advise="1">
        <values>
          <value t="str">
            <val>--</val>
          </value>
        </values>
      </ddeItem>
      <ddeItem name="5907.TW-Price" advise="1">
        <values>
          <value t="str">
            <val>--</val>
          </value>
        </values>
      </ddeItem>
      <ddeItem name="6005.TW-PreClose" advise="1">
        <values>
          <value>
            <val>16.55</val>
          </value>
        </values>
      </ddeItem>
      <ddeItem name="6005.TW-Price" advise="1">
        <values>
          <value t="str">
            <val>--</val>
          </value>
        </values>
      </ddeItem>
      <ddeItem name="6015.TW-PreClose" advise="1">
        <values>
          <value>
            <val>16.8</val>
          </value>
        </values>
      </ddeItem>
      <ddeItem name="6015.TW-Price" advise="1">
        <values>
          <value>
            <val>16.850000000000001</val>
          </value>
        </values>
      </ddeItem>
      <ddeItem name="6016.TW-PreClose" advise="1">
        <values>
          <value>
            <val>14</val>
          </value>
        </values>
      </ddeItem>
      <ddeItem name="6016.TW-Price" advise="1">
        <values>
          <value t="str">
            <val>--</val>
          </value>
        </values>
      </ddeItem>
      <ddeItem name="6020.TW-PreClose" advise="1">
        <values>
          <value>
            <val>22.55</val>
          </value>
        </values>
      </ddeItem>
      <ddeItem name="6020.TW-Price" advise="1">
        <values>
          <value t="str">
            <val>--</val>
          </value>
        </values>
      </ddeItem>
      <ddeItem name="6021.TW-PreClose" advise="1">
        <values>
          <value>
            <val>21.25</val>
          </value>
        </values>
      </ddeItem>
      <ddeItem name="6021.TW-Price" advise="1">
        <values>
          <value t="str">
            <val>--</val>
          </value>
        </values>
      </ddeItem>
      <ddeItem name="6023.TW-PreClose" advise="1">
        <values>
          <value t="str">
            <val>--</val>
          </value>
        </values>
      </ddeItem>
      <ddeItem name="6023.TW-Price" advise="1">
        <values>
          <value t="str">
            <val>--</val>
          </value>
        </values>
      </ddeItem>
      <ddeItem name="6024.TW-PreClose" advise="1">
        <values>
          <value>
            <val>38.9</val>
          </value>
        </values>
      </ddeItem>
      <ddeItem name="6024.TW-Price" advise="1">
        <values>
          <value t="str">
            <val>--</val>
          </value>
        </values>
      </ddeItem>
      <ddeItem name="6026.TW-PreClose" advise="1">
        <values>
          <value t="str">
            <val>--</val>
          </value>
        </values>
      </ddeItem>
      <ddeItem name="6026.TW-Price" advise="1">
        <values>
          <value t="str">
            <val>--</val>
          </value>
        </values>
      </ddeItem>
      <ddeItem name="6101.TW-PreClose" advise="1">
        <values>
          <value>
            <val>19.05</val>
          </value>
        </values>
      </ddeItem>
      <ddeItem name="6101.TW-Price" advise="1">
        <values>
          <value t="str">
            <val>--</val>
          </value>
        </values>
      </ddeItem>
      <ddeItem name="6103.TW-PreClose" advise="1">
        <values>
          <value>
            <val>8.6199999999999992</val>
          </value>
        </values>
      </ddeItem>
      <ddeItem name="6103.TW-Price" advise="1">
        <values>
          <value t="str">
            <val>--</val>
          </value>
        </values>
      </ddeItem>
      <ddeItem name="6104.TW-PreClose" advise="1">
        <values>
          <value>
            <val>189</val>
          </value>
        </values>
      </ddeItem>
      <ddeItem name="6104.TW-Price" advise="1">
        <values>
          <value>
            <val>189.5</val>
          </value>
        </values>
      </ddeItem>
      <ddeItem name="6108.TW-PreClose" advise="1">
        <values>
          <value>
            <val>21.25</val>
          </value>
        </values>
      </ddeItem>
      <ddeItem name="6108.TW-Price" advise="1">
        <values>
          <value t="str">
            <val>--</val>
          </value>
        </values>
      </ddeItem>
      <ddeItem name="6109.TW-PreClose" advise="1">
        <values>
          <value t="str">
            <val>--</val>
          </value>
        </values>
      </ddeItem>
      <ddeItem name="6109.TW-Price" advise="1">
        <values>
          <value t="str">
            <val>--</val>
          </value>
        </values>
      </ddeItem>
      <ddeItem name="6111.TW-PreClose" advise="1">
        <values>
          <value>
            <val>64.900000000000006</val>
          </value>
        </values>
      </ddeItem>
      <ddeItem name="6111.TW-Price" advise="1">
        <values>
          <value t="str">
            <val>--</val>
          </value>
        </values>
      </ddeItem>
      <ddeItem name="6112.TW-PreClose" advise="1">
        <values>
          <value t="str">
            <val>--</val>
          </value>
        </values>
      </ddeItem>
      <ddeItem name="6112.TW-Price" advise="1">
        <values>
          <value t="str">
            <val>--</val>
          </value>
        </values>
      </ddeItem>
      <ddeItem name="6113.TW-PreClose" advise="1">
        <values>
          <value>
            <val>12.55</val>
          </value>
        </values>
      </ddeItem>
      <ddeItem name="6113.TW-Price" advise="1">
        <values>
          <value t="str">
            <val>--</val>
          </value>
        </values>
      </ddeItem>
      <ddeItem name="6114.TW-PreClose" advise="1">
        <values>
          <value>
            <val>23.15</val>
          </value>
        </values>
      </ddeItem>
      <ddeItem name="6114.TW-Price" advise="1">
        <values>
          <value t="str">
            <val>--</val>
          </value>
        </values>
      </ddeItem>
      <ddeItem name="6115.TW-PreClose" advise="1">
        <values>
          <value>
            <val>42.65</val>
          </value>
        </values>
      </ddeItem>
      <ddeItem name="6115.TW-Price" advise="1">
        <values>
          <value t="str">
            <val>--</val>
          </value>
        </values>
      </ddeItem>
      <ddeItem name="6116.TW-PreClose" advise="1">
        <values>
          <value>
            <val>16.100000000000001</val>
          </value>
        </values>
      </ddeItem>
      <ddeItem name="6116.TW-Price" advise="1">
        <values>
          <value t="str">
            <val>--</val>
          </value>
        </values>
      </ddeItem>
      <ddeItem name="6117.TW-PreClose" advise="1">
        <values>
          <value>
            <val>16.8</val>
          </value>
        </values>
      </ddeItem>
      <ddeItem name="6117.TW-Price" advise="1">
        <values>
          <value t="str">
            <val>--</val>
          </value>
        </values>
      </ddeItem>
      <ddeItem name="6118.TW-PreClose" advise="1">
        <values>
          <value t="str">
            <val>--</val>
          </value>
        </values>
      </ddeItem>
      <ddeItem name="6118.TW-Price" advise="1">
        <values>
          <value t="str">
            <val>--</val>
          </value>
        </values>
      </ddeItem>
      <ddeItem name="6120.TW-PreClose" advise="1">
        <values>
          <value>
            <val>11.25</val>
          </value>
        </values>
      </ddeItem>
      <ddeItem name="6120.TW-Price" advise="1">
        <values>
          <value t="str">
            <val>--</val>
          </value>
        </values>
      </ddeItem>
      <ddeItem name="6121.TW-PreClose" advise="1">
        <values>
          <value>
            <val>325.5</val>
          </value>
        </values>
      </ddeItem>
      <ddeItem name="6121.TW-Price" advise="1">
        <values>
          <value t="str">
            <val>--</val>
          </value>
        </values>
      </ddeItem>
      <ddeItem name="6122.TW-PreClose" advise="1">
        <values>
          <value>
            <val>12.15</val>
          </value>
        </values>
      </ddeItem>
      <ddeItem name="6122.TW-Price" advise="1">
        <values>
          <value t="str">
            <val>--</val>
          </value>
        </values>
      </ddeItem>
      <ddeItem name="6123.TW-PreClose" advise="1">
        <values>
          <value t="str">
            <val>--</val>
          </value>
        </values>
      </ddeItem>
      <ddeItem name="6123.TW-Price" advise="1">
        <values>
          <value t="str">
            <val>--</val>
          </value>
        </values>
      </ddeItem>
      <ddeItem name="6124.TW-PreClose" advise="1">
        <values>
          <value>
            <val>27.25</val>
          </value>
        </values>
      </ddeItem>
      <ddeItem name="6124.TW-Price" advise="1">
        <values>
          <value t="str">
            <val>--</val>
          </value>
        </values>
      </ddeItem>
      <ddeItem name="6125.TW-PreClose" advise="1">
        <values>
          <value t="str">
            <val>--</val>
          </value>
        </values>
      </ddeItem>
      <ddeItem name="6125.TW-Price" advise="1">
        <values>
          <value t="str">
            <val>--</val>
          </value>
        </values>
      </ddeItem>
      <ddeItem name="6126.TW-PreClose" advise="1">
        <values>
          <value>
            <val>27.35</val>
          </value>
        </values>
      </ddeItem>
      <ddeItem name="6126.TW-Price" advise="1">
        <values>
          <value t="str">
            <val>--</val>
          </value>
        </values>
      </ddeItem>
      <ddeItem name="6127.TW-PreClose" advise="1">
        <values>
          <value>
            <val>26.2</val>
          </value>
        </values>
      </ddeItem>
      <ddeItem name="6127.TW-Price" advise="1">
        <values>
          <value t="str">
            <val>--</val>
          </value>
        </values>
      </ddeItem>
      <ddeItem name="6128.TW-PreClose" advise="1">
        <values>
          <value>
            <val>28.7</val>
          </value>
        </values>
      </ddeItem>
      <ddeItem name="6128.TW-Price" advise="1">
        <values>
          <value t="str">
            <val>--</val>
          </value>
        </values>
      </ddeItem>
      <ddeItem name="6129.TW-PreClose" advise="1">
        <values>
          <value>
            <val>32.65</val>
          </value>
        </values>
      </ddeItem>
      <ddeItem name="6129.TW-Price" advise="1">
        <values>
          <value t="str">
            <val>--</val>
          </value>
        </values>
      </ddeItem>
      <ddeItem name="6130.TW-PreClose" advise="1">
        <values>
          <value>
            <val>33.9</val>
          </value>
        </values>
      </ddeItem>
      <ddeItem name="6130.TW-Price" advise="1">
        <values>
          <value t="str">
            <val>--</val>
          </value>
        </values>
      </ddeItem>
      <ddeItem name="6133.TW-PreClose" advise="1">
        <values>
          <value>
            <val>8.69</val>
          </value>
        </values>
      </ddeItem>
      <ddeItem name="6133.TW-Price" advise="1">
        <values>
          <value t="str">
            <val>--</val>
          </value>
        </values>
      </ddeItem>
      <ddeItem name="6134.TW-PreClose" advise="1">
        <values>
          <value t="str">
            <val>--</val>
          </value>
        </values>
      </ddeItem>
      <ddeItem name="6134.TW-Price" advise="1">
        <values>
          <value t="str">
            <val>--</val>
          </value>
        </values>
      </ddeItem>
      <ddeItem name="6136.TW-PreClose" advise="1">
        <values>
          <value>
            <val>19.149999999999999</val>
          </value>
        </values>
      </ddeItem>
      <ddeItem name="6136.TW-Price" advise="1">
        <values>
          <value>
            <val>19.100000000000001</val>
          </value>
        </values>
      </ddeItem>
      <ddeItem name="6138.TW-PreClose" advise="1">
        <values>
          <value>
            <val>226</val>
          </value>
        </values>
      </ddeItem>
      <ddeItem name="6138.TW-Price" advise="1">
        <values>
          <value t="str">
            <val>--</val>
          </value>
        </values>
      </ddeItem>
      <ddeItem name="6139.TW-PreClose" advise="1">
        <values>
          <value t="str">
            <val>--</val>
          </value>
        </values>
      </ddeItem>
      <ddeItem name="6139.TW-Price" advise="1">
        <values>
          <value t="str">
            <val>--</val>
          </value>
        </values>
      </ddeItem>
      <ddeItem name="6140.TW-PreClose" advise="1">
        <values>
          <value>
            <val>23.1</val>
          </value>
        </values>
      </ddeItem>
      <ddeItem name="6140.TW-Price" advise="1">
        <values>
          <value t="str">
            <val>--</val>
          </value>
        </values>
      </ddeItem>
      <ddeItem name="6141.TW-PreClose" advise="1">
        <values>
          <value t="str">
            <val>--</val>
          </value>
        </values>
      </ddeItem>
      <ddeItem name="6141.TW-Price" advise="1">
        <values>
          <value t="str">
            <val>--</val>
          </value>
        </values>
      </ddeItem>
      <ddeItem name="6142.TW-PreClose" advise="1">
        <values>
          <value>
            <val>11.55</val>
          </value>
        </values>
      </ddeItem>
      <ddeItem name="6142.TW-Price" advise="1">
        <values>
          <value t="str">
            <val>--</val>
          </value>
        </values>
      </ddeItem>
      <ddeItem name="6143.TW-PreClose" advise="1">
        <values>
          <value t="str">
            <val>--</val>
          </value>
        </values>
      </ddeItem>
      <ddeItem name="6143.TW-Price" advise="1">
        <values>
          <value t="str">
            <val>--</val>
          </value>
        </values>
      </ddeItem>
      <ddeItem name="6144.TW-PreClose" advise="1">
        <values>
          <value>
            <val>14.2</val>
          </value>
        </values>
      </ddeItem>
      <ddeItem name="6144.TW-Price" advise="1">
        <values>
          <value t="str">
            <val>--</val>
          </value>
        </values>
      </ddeItem>
      <ddeItem name="6146.TW-PreClose" advise="1">
        <values>
          <value t="str">
            <val>--</val>
          </value>
        </values>
      </ddeItem>
      <ddeItem name="6146.TW-Price" advise="1">
        <values>
          <value t="str">
            <val>--</val>
          </value>
        </values>
      </ddeItem>
      <ddeItem name="6147.TW-PreClose" advise="1">
        <values>
          <value>
            <val>67.599999999999994</val>
          </value>
        </values>
      </ddeItem>
      <ddeItem name="6147.TW-Price" advise="1">
        <values>
          <value t="str">
            <val>--</val>
          </value>
        </values>
      </ddeItem>
      <ddeItem name="6148.TW-PreClose" advise="1">
        <values>
          <value>
            <val>13.95</val>
          </value>
        </values>
      </ddeItem>
      <ddeItem name="6148.TW-Price" advise="1">
        <values>
          <value t="str">
            <val>--</val>
          </value>
        </values>
      </ddeItem>
      <ddeItem name="6150.TW-PreClose" advise="1">
        <values>
          <value>
            <val>155</val>
          </value>
        </values>
      </ddeItem>
      <ddeItem name="6150.TW-Price" advise="1">
        <values>
          <value t="str">
            <val>--</val>
          </value>
        </values>
      </ddeItem>
      <ddeItem name="6151.TW-PreClose" advise="1">
        <values>
          <value>
            <val>36.950000000000003</val>
          </value>
        </values>
      </ddeItem>
      <ddeItem name="6151.TW-Price" advise="1">
        <values>
          <value t="str">
            <val>--</val>
          </value>
        </values>
      </ddeItem>
      <ddeItem name="6152.TW-PreClose" advise="1">
        <values>
          <value>
            <val>10.65</val>
          </value>
        </values>
      </ddeItem>
      <ddeItem name="6152.TW-Price" advise="1">
        <values>
          <value t="str">
            <val>--</val>
          </value>
        </values>
      </ddeItem>
      <ddeItem name="6153.TW-PreClose" advise="1">
        <values>
          <value t="str">
            <val>--</val>
          </value>
        </values>
      </ddeItem>
      <ddeItem name="6153.TW-Price" advise="1">
        <values>
          <value t="str">
            <val>--</val>
          </value>
        </values>
      </ddeItem>
      <ddeItem name="6154.TW-PreClose" advise="1">
        <values>
          <value t="str">
            <val>--</val>
          </value>
        </values>
      </ddeItem>
      <ddeItem name="6154.TW-Price" advise="1">
        <values>
          <value t="str">
            <val>--</val>
          </value>
        </values>
      </ddeItem>
      <ddeItem name="6155.TW-PreClose" advise="1">
        <values>
          <value>
            <val>25.1</val>
          </value>
        </values>
      </ddeItem>
      <ddeItem name="6155.TW-Price" advise="1">
        <values>
          <value t="str">
            <val>--</val>
          </value>
        </values>
      </ddeItem>
      <ddeItem name="6156.TW-PreClose" advise="1">
        <values>
          <value>
            <val>18.05</val>
          </value>
        </values>
      </ddeItem>
      <ddeItem name="6156.TW-Price" advise="1">
        <values>
          <value t="str">
            <val>--</val>
          </value>
        </values>
      </ddeItem>
      <ddeItem name="6158.TW-PreClose" advise="1">
        <values>
          <value>
            <val>33.299999999999997</val>
          </value>
        </values>
      </ddeItem>
      <ddeItem name="6158.TW-Price" advise="1">
        <values>
          <value t="str">
            <val>--</val>
          </value>
        </values>
      </ddeItem>
      <ddeItem name="6160.TW-PreClose" advise="1">
        <values>
          <value>
            <val>17.45</val>
          </value>
        </values>
      </ddeItem>
      <ddeItem name="6160.TW-Price" advise="1">
        <values>
          <value>
            <val>17.45</val>
          </value>
        </values>
      </ddeItem>
      <ddeItem name="6161.TW-PreClose" advise="1">
        <values>
          <value>
            <val>30</val>
          </value>
        </values>
      </ddeItem>
      <ddeItem name="6161.TW-Price" advise="1">
        <values>
          <value t="str">
            <val>--</val>
          </value>
        </values>
      </ddeItem>
      <ddeItem name="6163.TW-PreClose" advise="1">
        <values>
          <value>
            <val>20.5</val>
          </value>
        </values>
      </ddeItem>
      <ddeItem name="6163.TW-Price" advise="1">
        <values>
          <value t="str">
            <val>--</val>
          </value>
        </values>
      </ddeItem>
      <ddeItem name="6164.TW-PreClose" advise="1">
        <values>
          <value t="str">
            <val>--</val>
          </value>
        </values>
      </ddeItem>
      <ddeItem name="6164.TW-Price" advise="1">
        <values>
          <value t="str">
            <val>--</val>
          </value>
        </values>
      </ddeItem>
      <ddeItem name="6165.TW-PreClose" advise="1">
        <values>
          <value>
            <val>36.6</val>
          </value>
        </values>
      </ddeItem>
      <ddeItem name="6165.TW-Price" advise="1">
        <values>
          <value t="str">
            <val>--</val>
          </value>
        </values>
      </ddeItem>
      <ddeItem name="6166.TW-PreClose" advise="1">
        <values>
          <value t="str">
            <val>--</val>
          </value>
        </values>
      </ddeItem>
      <ddeItem name="6166.TW-Price" advise="1">
        <values>
          <value t="str">
            <val>--</val>
          </value>
        </values>
      </ddeItem>
      <ddeItem name="6167.TW-PreClose" advise="1">
        <values>
          <value t="str">
            <val>--</val>
          </value>
        </values>
      </ddeItem>
      <ddeItem name="6167.TW-Price" advise="1">
        <values>
          <value t="str">
            <val>--</val>
          </value>
        </values>
      </ddeItem>
      <ddeItem name="6168.TW-PreClose" advise="1">
        <values>
          <value t="str">
            <val>--</val>
          </value>
        </values>
      </ddeItem>
      <ddeItem name="6168.TW-Price" advise="1">
        <values>
          <value t="str">
            <val>--</val>
          </value>
        </values>
      </ddeItem>
      <ddeItem name="6169.TW-PreClose" advise="1">
        <values>
          <value>
            <val>22.35</val>
          </value>
        </values>
      </ddeItem>
      <ddeItem name="6169.TW-Price" advise="1">
        <values>
          <value t="str">
            <val>--</val>
          </value>
        </values>
      </ddeItem>
      <ddeItem name="6170.TW-PreClose" advise="1">
        <values>
          <value>
            <val>45.55</val>
          </value>
        </values>
      </ddeItem>
      <ddeItem name="6170.TW-Price" advise="1">
        <values>
          <value t="str">
            <val>--</val>
          </value>
        </values>
      </ddeItem>
      <ddeItem name="6171.TW-PreClose" advise="1">
        <values>
          <value>
            <val>28.35</val>
          </value>
        </values>
      </ddeItem>
      <ddeItem name="6171.TW-Price" advise="1">
        <values>
          <value t="str">
            <val>--</val>
          </value>
        </values>
      </ddeItem>
      <ddeItem name="6172.TW-PreClose" advise="1">
        <values>
          <value t="str">
            <val>--</val>
          </value>
        </values>
      </ddeItem>
      <ddeItem name="6172.TW-Price" advise="1">
        <values>
          <value t="str">
            <val>--</val>
          </value>
        </values>
      </ddeItem>
      <ddeItem name="6173.TW-PreClose" advise="1">
        <values>
          <value>
            <val>63</val>
          </value>
        </values>
      </ddeItem>
      <ddeItem name="6173.TW-Price" advise="1">
        <values>
          <value t="str">
            <val>--</val>
          </value>
        </values>
      </ddeItem>
      <ddeItem name="6174.TW-PreClose" advise="1">
        <values>
          <value>
            <val>32.5</val>
          </value>
        </values>
      </ddeItem>
      <ddeItem name="6174.TW-Price" advise="1">
        <values>
          <value t="str">
            <val>--</val>
          </value>
        </values>
      </ddeItem>
      <ddeItem name="6175.TW-PreClose" advise="1">
        <values>
          <value t="str">
            <val>--</val>
          </value>
        </values>
      </ddeItem>
      <ddeItem name="6175.TW-Price" advise="1">
        <values>
          <value t="str">
            <val>--</val>
          </value>
        </values>
      </ddeItem>
      <ddeItem name="6176.TW-PreClose" advise="1">
        <values>
          <value t="str">
            <val>--</val>
          </value>
        </values>
      </ddeItem>
      <ddeItem name="6176.TW-Price" advise="1">
        <values>
          <value t="str">
            <val>--</val>
          </value>
        </values>
      </ddeItem>
      <ddeItem name="6177.TW-PreClose" advise="1">
        <values>
          <value>
            <val>29.85</val>
          </value>
        </values>
      </ddeItem>
      <ddeItem name="6177.TW-Price" advise="1">
        <values>
          <value t="str">
            <val>--</val>
          </value>
        </values>
      </ddeItem>
      <ddeItem name="6179.TW-PreClose" advise="1">
        <values>
          <value>
            <val>31.4</val>
          </value>
        </values>
      </ddeItem>
      <ddeItem name="6179.TW-Price" advise="1">
        <values>
          <value t="str">
            <val>--</val>
          </value>
        </values>
      </ddeItem>
      <ddeItem name="6180.TW-PreClose" advise="1">
        <values>
          <value>
            <val>60.7</val>
          </value>
        </values>
      </ddeItem>
      <ddeItem name="6180.TW-Price" advise="1">
        <values>
          <value t="str">
            <val>--</val>
          </value>
        </values>
      </ddeItem>
      <ddeItem name="6182.TW-Capital" advise="1">
        <values>
          <value t="str">
            <val>--</val>
          </value>
        </values>
      </ddeItem>
      <ddeItem name="6182.TW-CashAndStockDividend" advise="1">
        <values>
          <value t="str">
            <val>--</val>
          </value>
        </values>
      </ddeItem>
      <ddeItem name="6182.TW-CashDividendYieldRate" advise="1">
        <values>
          <value t="str">
            <val>--</val>
          </value>
        </values>
      </ddeItem>
      <ddeItem name="6182.TW-MonthlyNetSalesYoY" advise="1">
        <values>
          <value t="str">
            <val>--</val>
          </value>
        </values>
      </ddeItem>
      <ddeItem name="6182.TW-NetIncomeGrowthRate" advise="1">
        <values>
          <value t="str">
            <val>--</val>
          </value>
        </values>
      </ddeItem>
      <ddeItem name="6182.TW-NetProfitMargin" advise="1">
        <values>
          <value t="str">
            <val>--</val>
          </value>
        </values>
      </ddeItem>
      <ddeItem name="6182.TW-OperatingProfitRatio" advise="1">
        <values>
          <value t="str">
            <val>--</val>
          </value>
        </values>
      </ddeItem>
      <ddeItem name="6182.TW-OperIncomeGrowthRate" advise="1">
        <values>
          <value t="str">
            <val>--</val>
          </value>
        </values>
      </ddeItem>
      <ddeItem name="6182.TW-PreClose" advise="1">
        <values>
          <value>
            <val>69.5</val>
          </value>
        </values>
      </ddeItem>
      <ddeItem name="6182.TW-Price" advise="1">
        <values>
          <value>
            <val>76.400000000000006</val>
          </value>
        </values>
      </ddeItem>
      <ddeItem name="6182.TW-ProfitFourSeason" advise="1">
        <values>
          <value t="str">
            <val>--</val>
          </value>
        </values>
      </ddeItem>
      <ddeItem name="6182.TW-ProfitMargin" advise="1">
        <values>
          <value t="str">
            <val>--</val>
          </value>
        </values>
      </ddeItem>
      <ddeItem name="6182.TW-TFXRatio" advise="1">
        <values>
          <value t="str">
            <val>--</val>
          </value>
        </values>
      </ddeItem>
      <ddeItem name="6183.TW-PreClose" advise="1">
        <values>
          <value>
            <val>50</val>
          </value>
        </values>
      </ddeItem>
      <ddeItem name="6183.TW-Price" advise="1">
        <values>
          <value t="str">
            <val>--</val>
          </value>
        </values>
      </ddeItem>
      <ddeItem name="6184.TW-PreClose" advise="1">
        <values>
          <value>
            <val>43.8</val>
          </value>
        </values>
      </ddeItem>
      <ddeItem name="6184.TW-Price" advise="1">
        <values>
          <value t="str">
            <val>--</val>
          </value>
        </values>
      </ddeItem>
      <ddeItem name="6185.TW-PreClose" advise="1">
        <values>
          <value>
            <val>13.25</val>
          </value>
        </values>
      </ddeItem>
      <ddeItem name="6185.TW-Price" advise="1">
        <values>
          <value t="str">
            <val>--</val>
          </value>
        </values>
      </ddeItem>
      <ddeItem name="6186.TW-PreClose" advise="1">
        <values>
          <value>
            <val>27.05</val>
          </value>
        </values>
      </ddeItem>
      <ddeItem name="6186.TW-Price" advise="1">
        <values>
          <value>
            <val>27.1</val>
          </value>
        </values>
      </ddeItem>
      <ddeItem name="6187.TW-PreClose" advise="1">
        <values>
          <value t="str">
            <val>--</val>
          </value>
        </values>
      </ddeItem>
      <ddeItem name="6187.TW-Price" advise="1">
        <values>
          <value t="str">
            <val>--</val>
          </value>
        </values>
      </ddeItem>
      <ddeItem name="6188.TW-PreClose" advise="1">
        <values>
          <value>
            <val>40.049999999999997</val>
          </value>
        </values>
      </ddeItem>
      <ddeItem name="6188.TW-Price" advise="1">
        <values>
          <value t="str">
            <val>--</val>
          </value>
        </values>
      </ddeItem>
      <ddeItem name="6189.TW-PreClose" advise="1">
        <values>
          <value>
            <val>40.950000000000003</val>
          </value>
        </values>
      </ddeItem>
      <ddeItem name="6189.TW-Price" advise="1">
        <values>
          <value>
            <val>40.85</val>
          </value>
        </values>
      </ddeItem>
      <ddeItem name="6190.TW-Capital" advise="1">
        <values>
          <value t="str">
            <val>0.00</val>
          </value>
        </values>
      </ddeItem>
      <ddeItem name="6190.TW-CashAndStockDividend" advise="1">
        <values>
          <value t="str">
            <val>0.00</val>
          </value>
        </values>
      </ddeItem>
      <ddeItem name="6190.TW-CashDividendYieldRate" advise="1">
        <values>
          <value t="str">
            <val>--</val>
          </value>
        </values>
      </ddeItem>
      <ddeItem name="6190.TW-MonthlyNetSalesYoY" advise="1">
        <values>
          <value t="str">
            <val>0.00</val>
          </value>
        </values>
      </ddeItem>
      <ddeItem name="6190.TW-NetIncomeGrowthRate" advise="1">
        <values>
          <value t="str">
            <val>0.00</val>
          </value>
        </values>
      </ddeItem>
      <ddeItem name="6190.TW-NetProfitMargin" advise="1">
        <values>
          <value t="str">
            <val>0.00</val>
          </value>
        </values>
      </ddeItem>
      <ddeItem name="6190.TW-OperatingProfitRatio" advise="1">
        <values>
          <value t="str">
            <val>0.00</val>
          </value>
        </values>
      </ddeItem>
      <ddeItem name="6190.TW-OperIncomeGrowthRate" advise="1">
        <values>
          <value t="str">
            <val>0.00</val>
          </value>
        </values>
      </ddeItem>
      <ddeItem name="6190.TW-PreClose" advise="1">
        <values>
          <value t="str">
            <val>--</val>
          </value>
        </values>
      </ddeItem>
      <ddeItem name="6190.TW-Price" advise="1">
        <values>
          <value t="str">
            <val>--</val>
          </value>
        </values>
      </ddeItem>
      <ddeItem name="6190.TW-ProfitFourSeason" advise="1">
        <values>
          <value t="str">
            <val>0.00</val>
          </value>
        </values>
      </ddeItem>
      <ddeItem name="6190.TW-ProfitMargin" advise="1">
        <values>
          <value t="str">
            <val>0.00</val>
          </value>
        </values>
      </ddeItem>
      <ddeItem name="6190.TW-TFXRatio" advise="1">
        <values>
          <value t="str">
            <val>0.00</val>
          </value>
        </values>
      </ddeItem>
      <ddeItem name="6191.TW-PreClose" advise="1">
        <values>
          <value>
            <val>37.5</val>
          </value>
        </values>
      </ddeItem>
      <ddeItem name="6191.TW-Price" advise="1">
        <values>
          <value t="str">
            <val>--</val>
          </value>
        </values>
      </ddeItem>
      <ddeItem name="6192.TW-PreClose" advise="1">
        <values>
          <value>
            <val>69.599999999999994</val>
          </value>
        </values>
      </ddeItem>
      <ddeItem name="6192.TW-Price" advise="1">
        <values>
          <value t="str">
            <val>--</val>
          </value>
        </values>
      </ddeItem>
      <ddeItem name="6194.TW-PreClose" advise="1">
        <values>
          <value>
            <val>25.05</val>
          </value>
        </values>
      </ddeItem>
      <ddeItem name="6194.TW-Price" advise="1">
        <values>
          <value t="str">
            <val>--</val>
          </value>
        </values>
      </ddeItem>
      <ddeItem name="6195.TW-PreClose" advise="1">
        <values>
          <value>
            <val>53</val>
          </value>
        </values>
      </ddeItem>
      <ddeItem name="6195.TW-Price" advise="1">
        <values>
          <value t="str">
            <val>--</val>
          </value>
        </values>
      </ddeItem>
      <ddeItem name="6196.TW-PreClose" advise="1">
        <values>
          <value>
            <val>148.5</val>
          </value>
        </values>
      </ddeItem>
      <ddeItem name="6196.TW-Price" advise="1">
        <values>
          <value>
            <val>147.5</val>
          </value>
        </values>
      </ddeItem>
      <ddeItem name="6197.TW-PreClose" advise="1">
        <values>
          <value>
            <val>37.25</val>
          </value>
        </values>
      </ddeItem>
      <ddeItem name="6197.TW-Price" advise="1">
        <values>
          <value t="str">
            <val>--</val>
          </value>
        </values>
      </ddeItem>
      <ddeItem name="6198.TW-PreClose" advise="1">
        <values>
          <value t="str">
            <val>--</val>
          </value>
        </values>
      </ddeItem>
      <ddeItem name="6198.TW-Price" advise="1">
        <values>
          <value t="str">
            <val>--</val>
          </value>
        </values>
      </ddeItem>
      <ddeItem name="6199.TW-PreClose" advise="1">
        <values>
          <value>
            <val>15.35</val>
          </value>
        </values>
      </ddeItem>
      <ddeItem name="6199.TW-Price" advise="1">
        <values>
          <value t="str">
            <val>--</val>
          </value>
        </values>
      </ddeItem>
      <ddeItem name="6201.TW-PreClose" advise="1">
        <values>
          <value t="str">
            <val>--</val>
          </value>
        </values>
      </ddeItem>
      <ddeItem name="6201.TW-Price" advise="1">
        <values>
          <value t="str">
            <val>--</val>
          </value>
        </values>
      </ddeItem>
      <ddeItem name="6202.TW-PreClose" advise="1">
        <values>
          <value>
            <val>108.5</val>
          </value>
        </values>
      </ddeItem>
      <ddeItem name="6202.TW-Price" advise="1">
        <values>
          <value t="str">
            <val>--</val>
          </value>
        </values>
      </ddeItem>
      <ddeItem name="6203.TW-PreClose" advise="1">
        <values>
          <value>
            <val>83.6</val>
          </value>
        </values>
      </ddeItem>
      <ddeItem name="6203.TW-Price" advise="1">
        <values>
          <value t="str">
            <val>--</val>
          </value>
        </values>
      </ddeItem>
      <ddeItem name="6204.TW-PreClose" advise="1">
        <values>
          <value t="str">
            <val>--</val>
          </value>
        </values>
      </ddeItem>
      <ddeItem name="6204.TW-Price" advise="1">
        <values>
          <value t="str">
            <val>--</val>
          </value>
        </values>
      </ddeItem>
      <ddeItem name="6205.TW-Capital" advise="1">
        <values>
          <value t="str">
            <val>7.20</val>
          </value>
        </values>
      </ddeItem>
      <ddeItem name="6205.TW-CashAndStockDividend" advise="1">
        <values>
          <value t="str">
            <val>1.50</val>
          </value>
        </values>
      </ddeItem>
      <ddeItem name="6205.TW-CashDividendYieldRate" advise="1">
        <values>
          <value>
            <val>3.1</val>
          </value>
        </values>
      </ddeItem>
      <ddeItem name="6205.TW-MonthlyNetSalesYoY" advise="1">
        <values>
          <value t="str">
            <val>26.38</val>
          </value>
        </values>
      </ddeItem>
      <ddeItem name="6205.TW-NetIncomeGrowthRate" advise="1">
        <values>
          <value t="str">
            <val>-12.39</val>
          </value>
        </values>
      </ddeItem>
      <ddeItem name="6205.TW-NetProfitMargin" advise="1">
        <values>
          <value t="str">
            <val>8.63</val>
          </value>
        </values>
      </ddeItem>
      <ddeItem name="6205.TW-OperatingProfitRatio" advise="1">
        <values>
          <value t="str">
            <val>9.85</val>
          </value>
        </values>
      </ddeItem>
      <ddeItem name="6205.TW-OperIncomeGrowthRate" advise="1">
        <values>
          <value t="str">
            <val>-15.19</val>
          </value>
        </values>
      </ddeItem>
      <ddeItem name="6205.TW-PreClose" advise="1">
        <values>
          <value>
            <val>48.45</val>
          </value>
        </values>
      </ddeItem>
      <ddeItem name="6205.TW-Price" advise="1">
        <values>
          <value t="str">
            <val>--</val>
          </value>
        </values>
      </ddeItem>
      <ddeItem name="6205.TW-ProfitFourSeason" advise="1">
        <values>
          <value t="str">
            <val>1.79</val>
          </value>
        </values>
      </ddeItem>
      <ddeItem name="6205.TW-ProfitMargin" advise="1">
        <values>
          <value t="str">
            <val>28.90</val>
          </value>
        </values>
      </ddeItem>
      <ddeItem name="6205.TW-TFXRatio" advise="1">
        <values>
          <value t="str">
            <val>-3.01</val>
          </value>
        </values>
      </ddeItem>
      <ddeItem name="6206.TW-PreClose" advise="1">
        <values>
          <value>
            <val>70.2</val>
          </value>
        </values>
      </ddeItem>
      <ddeItem name="6206.TW-Price" advise="1">
        <values>
          <value t="str">
            <val>--</val>
          </value>
        </values>
      </ddeItem>
      <ddeItem name="6207.TW-PreClose" advise="1">
        <values>
          <value t="str">
            <val>--</val>
          </value>
        </values>
      </ddeItem>
      <ddeItem name="6207.TW-Price" advise="1">
        <values>
          <value t="str">
            <val>--</val>
          </value>
        </values>
      </ddeItem>
      <ddeItem name="6208.TW-PreClose" advise="1">
        <values>
          <value>
            <val>52.5</val>
          </value>
        </values>
      </ddeItem>
      <ddeItem name="6208.TW-Price" advise="1">
        <values>
          <value>
            <val>53</val>
          </value>
        </values>
      </ddeItem>
      <ddeItem name="6209.TW-PreClose" advise="1">
        <values>
          <value t="str">
            <val>--</val>
          </value>
        </values>
      </ddeItem>
      <ddeItem name="6209.TW-Price" advise="1">
        <values>
          <value t="str">
            <val>--</val>
          </value>
        </values>
      </ddeItem>
      <ddeItem name="6210.TW-PreClose" advise="1">
        <values>
          <value>
            <val>40.65</val>
          </value>
        </values>
      </ddeItem>
      <ddeItem name="6210.TW-Price" advise="1">
        <values>
          <value t="str">
            <val>--</val>
          </value>
        </values>
      </ddeItem>
      <ddeItem name="6212.TW-PreClose" advise="1">
        <values>
          <value>
            <val>58</val>
          </value>
        </values>
      </ddeItem>
      <ddeItem name="6212.TW-Price" advise="1">
        <values>
          <value t="str">
            <val>--</val>
          </value>
        </values>
      </ddeItem>
      <ddeItem name="6213.TW-PreClose" advise="1">
        <values>
          <value>
            <val>127.5</val>
          </value>
        </values>
      </ddeItem>
      <ddeItem name="6213.TW-Price" advise="1">
        <values>
          <value>
            <val>128</val>
          </value>
        </values>
      </ddeItem>
      <ddeItem name="6214.TW-PreClose" advise="1">
        <values>
          <value>
            <val>86.4</val>
          </value>
        </values>
      </ddeItem>
      <ddeItem name="6214.TW-Price" advise="1">
        <values>
          <value t="str">
            <val>--</val>
          </value>
        </values>
      </ddeItem>
      <ddeItem name="6215.TW-PreClose" advise="1">
        <values>
          <value>
            <val>30.3</val>
          </value>
        </values>
      </ddeItem>
      <ddeItem name="6215.TW-Price" advise="1">
        <values>
          <value t="str">
            <val>--</val>
          </value>
        </values>
      </ddeItem>
      <ddeItem name="6216.TW-PreClose" advise="1">
        <values>
          <value>
            <val>26.95</val>
          </value>
        </values>
      </ddeItem>
      <ddeItem name="6216.TW-Price" advise="1">
        <values>
          <value t="str">
            <val>--</val>
          </value>
        </values>
      </ddeItem>
      <ddeItem name="6217.TW-PreClose" advise="1">
        <values>
          <value>
            <val>55</val>
          </value>
        </values>
      </ddeItem>
      <ddeItem name="6217.TW-Price" advise="1">
        <values>
          <value t="str">
            <val>--</val>
          </value>
        </values>
      </ddeItem>
      <ddeItem name="6218.TW-PreClose" advise="1">
        <values>
          <value t="str">
            <val>--</val>
          </value>
        </values>
      </ddeItem>
      <ddeItem name="6218.TW-Price" advise="1">
        <values>
          <value t="str">
            <val>--</val>
          </value>
        </values>
      </ddeItem>
      <ddeItem name="6219.TW-PreClose" advise="1">
        <values>
          <value>
            <val>19.3</val>
          </value>
        </values>
      </ddeItem>
      <ddeItem name="6219.TW-Price" advise="1">
        <values>
          <value t="str">
            <val>--</val>
          </value>
        </values>
      </ddeItem>
      <ddeItem name="6220.TW-PreClose" advise="1">
        <values>
          <value t="str">
            <val>--</val>
          </value>
        </values>
      </ddeItem>
      <ddeItem name="6220.TW-Price" advise="1">
        <values>
          <value t="str">
            <val>--</val>
          </value>
        </values>
      </ddeItem>
      <ddeItem name="6221.TW-PreClose" advise="1">
        <values>
          <value t="str">
            <val>--</val>
          </value>
        </values>
      </ddeItem>
      <ddeItem name="6221.TW-Price" advise="1">
        <values>
          <value t="str">
            <val>--</val>
          </value>
        </values>
      </ddeItem>
      <ddeItem name="6222.TW-PreClose" advise="1">
        <values>
          <value>
            <val>14.75</val>
          </value>
        </values>
      </ddeItem>
      <ddeItem name="6222.TW-Price" advise="1">
        <values>
          <value t="str">
            <val>--</val>
          </value>
        </values>
      </ddeItem>
      <ddeItem name="6223.TW-PreClose" advise="1">
        <values>
          <value>
            <val>116.5</val>
          </value>
        </values>
      </ddeItem>
      <ddeItem name="6223.TW-Price" advise="1">
        <values>
          <value t="str">
            <val>--</val>
          </value>
        </values>
      </ddeItem>
      <ddeItem name="6224.TW-PreClose" advise="1">
        <values>
          <value>
            <val>117</val>
          </value>
        </values>
      </ddeItem>
      <ddeItem name="6224.TW-Price" advise="1">
        <values>
          <value t="str">
            <val>--</val>
          </value>
        </values>
      </ddeItem>
      <ddeItem name="6225.TW-PreClose" advise="1">
        <values>
          <value t="str">
            <val>--</val>
          </value>
        </values>
      </ddeItem>
      <ddeItem name="6225.TW-Price" advise="1">
        <values>
          <value t="str">
            <val>--</val>
          </value>
        </values>
      </ddeItem>
      <ddeItem name="6226.TW-Capital" advise="1">
        <values>
          <value t="str">
            <val>--</val>
          </value>
        </values>
      </ddeItem>
      <ddeItem name="6226.TW-CashAndStockDividend" advise="1">
        <values>
          <value t="str">
            <val>--</val>
          </value>
        </values>
      </ddeItem>
      <ddeItem name="6226.TW-CashDividendYieldRate" advise="1">
        <values>
          <value t="str">
            <val>--</val>
          </value>
        </values>
      </ddeItem>
      <ddeItem name="6226.TW-MonthlyNetSalesYoY" advise="1">
        <values>
          <value t="str">
            <val>--</val>
          </value>
        </values>
      </ddeItem>
      <ddeItem name="6226.TW-NetIncomeGrowthRate" advise="1">
        <values>
          <value t="str">
            <val>--</val>
          </value>
        </values>
      </ddeItem>
      <ddeItem name="6226.TW-NetProfitMargin" advise="1">
        <values>
          <value t="str">
            <val>--</val>
          </value>
        </values>
      </ddeItem>
      <ddeItem name="6226.TW-OperatingProfitRatio" advise="1">
        <values>
          <value t="str">
            <val>--</val>
          </value>
        </values>
      </ddeItem>
      <ddeItem name="6226.TW-OperIncomeGrowthRate" advise="1">
        <values>
          <value t="str">
            <val>--</val>
          </value>
        </values>
      </ddeItem>
      <ddeItem name="6226.TW-PreClose" advise="1">
        <values>
          <value>
            <val>15</val>
          </value>
        </values>
      </ddeItem>
      <ddeItem name="6226.TW-Price" advise="1">
        <values>
          <value t="str">
            <val>--</val>
          </value>
        </values>
      </ddeItem>
      <ddeItem name="6226.TW-ProfitFourSeason" advise="1">
        <values>
          <value t="str">
            <val>--</val>
          </value>
        </values>
      </ddeItem>
      <ddeItem name="6226.TW-ProfitMargin" advise="1">
        <values>
          <value t="str">
            <val>--</val>
          </value>
        </values>
      </ddeItem>
      <ddeItem name="6226.TW-TFXRatio" advise="1">
        <values>
          <value t="str">
            <val>--</val>
          </value>
        </values>
      </ddeItem>
      <ddeItem name="6227.TW-PreClose" advise="1">
        <values>
          <value>
            <val>36</val>
          </value>
        </values>
      </ddeItem>
      <ddeItem name="6227.TW-Price" advise="1">
        <values>
          <value t="str">
            <val>--</val>
          </value>
        </values>
      </ddeItem>
      <ddeItem name="6228.TW-PreClose" advise="1">
        <values>
          <value t="str">
            <val>--</val>
          </value>
        </values>
      </ddeItem>
      <ddeItem name="6228.TW-Price" advise="1">
        <values>
          <value t="str">
            <val>--</val>
          </value>
        </values>
      </ddeItem>
      <ddeItem name="6229.TW-PreClose" advise="1">
        <values>
          <value>
            <val>44.7</val>
          </value>
        </values>
      </ddeItem>
      <ddeItem name="6229.TW-Price" advise="1">
        <values>
          <value t="str">
            <val>--</val>
          </value>
        </values>
      </ddeItem>
      <ddeItem name="6230.TW-PreClose" advise="1">
        <values>
          <value>
            <val>172.5</val>
          </value>
        </values>
      </ddeItem>
      <ddeItem name="6230.TW-Price" advise="1">
        <values>
          <value t="str">
            <val>--</val>
          </value>
        </values>
      </ddeItem>
      <ddeItem name="6231.TW-PreClose" advise="1">
        <values>
          <value t="str">
            <val>--</val>
          </value>
        </values>
      </ddeItem>
      <ddeItem name="6231.TW-Price" advise="1">
        <values>
          <value t="str">
            <val>--</val>
          </value>
        </values>
      </ddeItem>
      <ddeItem name="6233.TW-PreClose" advise="1">
        <values>
          <value>
            <val>37.65</val>
          </value>
        </values>
      </ddeItem>
      <ddeItem name="6233.TW-Price" advise="1">
        <values>
          <value t="str">
            <val>--</val>
          </value>
        </values>
      </ddeItem>
      <ddeItem name="6234.TW-PreClose" advise="1">
        <values>
          <value>
            <val>20.7</val>
          </value>
        </values>
      </ddeItem>
      <ddeItem name="6234.TW-Price" advise="1">
        <values>
          <value t="str">
            <val>--</val>
          </value>
        </values>
      </ddeItem>
      <ddeItem name="6235.TW-PreClose" advise="1">
        <values>
          <value>
            <val>19.100000000000001</val>
          </value>
        </values>
      </ddeItem>
      <ddeItem name="6235.TW-Price" advise="1">
        <values>
          <value t="str">
            <val>--</val>
          </value>
        </values>
      </ddeItem>
      <ddeItem name="6236.TW-PreClose" advise="1">
        <values>
          <value>
            <val>18.55</val>
          </value>
        </values>
      </ddeItem>
      <ddeItem name="6236.TW-Price" advise="1">
        <values>
          <value t="str">
            <val>--</val>
          </value>
        </values>
      </ddeItem>
      <ddeItem name="6237.TW-PreClose" advise="1">
        <values>
          <value>
            <val>109.5</val>
          </value>
        </values>
      </ddeItem>
      <ddeItem name="6237.TW-Price" advise="1">
        <values>
          <value>
            <val>110</val>
          </value>
        </values>
      </ddeItem>
      <ddeItem name="6239.TW-PreClose" advise="1">
        <values>
          <value>
            <val>99.1</val>
          </value>
        </values>
      </ddeItem>
      <ddeItem name="6239.TW-Price" advise="1">
        <values>
          <value t="str">
            <val>--</val>
          </value>
        </values>
      </ddeItem>
      <ddeItem name="6240.TW-PreClose" advise="1">
        <values>
          <value>
            <val>14.3</val>
          </value>
        </values>
      </ddeItem>
      <ddeItem name="6240.TW-Price" advise="1">
        <values>
          <value t="str">
            <val>--</val>
          </value>
        </values>
      </ddeItem>
      <ddeItem name="6241.TW-PreClose" advise="1">
        <values>
          <value>
            <val>22.9</val>
          </value>
        </values>
      </ddeItem>
      <ddeItem name="6241.TW-Price" advise="1">
        <values>
          <value t="str">
            <val>--</val>
          </value>
        </values>
      </ddeItem>
      <ddeItem name="6242.TW-PreClose" advise="1">
        <values>
          <value t="str">
            <val>--</val>
          </value>
        </values>
      </ddeItem>
      <ddeItem name="6242.TW-Price" advise="1">
        <values>
          <value t="str">
            <val>--</val>
          </value>
        </values>
      </ddeItem>
      <ddeItem name="6244.TW-PreClose" advise="1">
        <values>
          <value>
            <val>34.35</val>
          </value>
        </values>
      </ddeItem>
      <ddeItem name="6244.TW-Price" advise="1">
        <values>
          <value>
            <val>33.9</val>
          </value>
        </values>
      </ddeItem>
      <ddeItem name="6245.TW-PreClose" advise="1">
        <values>
          <value>
            <val>50.9</val>
          </value>
        </values>
      </ddeItem>
      <ddeItem name="6245.TW-Price" advise="1">
        <values>
          <value t="str">
            <val>--</val>
          </value>
        </values>
      </ddeItem>
      <ddeItem name="6246.TW-PreClose" advise="1">
        <values>
          <value>
            <val>17.899999999999999</val>
          </value>
        </values>
      </ddeItem>
      <ddeItem name="6246.TW-Price" advise="1">
        <values>
          <value t="str">
            <val>--</val>
          </value>
        </values>
      </ddeItem>
      <ddeItem name="6247.TW-PreClose" advise="1">
        <values>
          <value t="str">
            <val>--</val>
          </value>
        </values>
      </ddeItem>
      <ddeItem name="6247.TW-Price" advise="1">
        <values>
          <value t="str">
            <val>--</val>
          </value>
        </values>
      </ddeItem>
      <ddeItem name="6248.TW-PreClose" advise="1">
        <values>
          <value>
            <val>20.7</val>
          </value>
        </values>
      </ddeItem>
      <ddeItem name="6248.TW-Price" advise="1">
        <values>
          <value t="str">
            <val>--</val>
          </value>
        </values>
      </ddeItem>
      <ddeItem name="6251.TW-PreClose" advise="1">
        <values>
          <value>
            <val>21.55</val>
          </value>
        </values>
      </ddeItem>
      <ddeItem name="6251.TW-Price" advise="1">
        <values>
          <value t="str">
            <val>--</val>
          </value>
        </values>
      </ddeItem>
      <ddeItem name="6257.TW-PreClose" advise="1">
        <values>
          <value>
            <val>60.6</val>
          </value>
        </values>
      </ddeItem>
      <ddeItem name="6257.TW-Price" advise="1">
        <values>
          <value t="str">
            <val>--</val>
          </value>
        </values>
      </ddeItem>
      <ddeItem name="6259.TW-PreClose" advise="1">
        <values>
          <value>
            <val>33.5</val>
          </value>
        </values>
      </ddeItem>
      <ddeItem name="6259.TW-Price" advise="1">
        <values>
          <value t="str">
            <val>--</val>
          </value>
        </values>
      </ddeItem>
      <ddeItem name="6261.TW-PreClose" advise="1">
        <values>
          <value>
            <val>92</val>
          </value>
        </values>
      </ddeItem>
      <ddeItem name="6261.TW-Price" advise="1">
        <values>
          <value>
            <val>93.6</val>
          </value>
        </values>
      </ddeItem>
      <ddeItem name="6263.TW-PreClose" advise="1">
        <values>
          <value>
            <val>68</val>
          </value>
        </values>
      </ddeItem>
      <ddeItem name="6263.TW-Price" advise="1">
        <values>
          <value t="str">
            <val>--</val>
          </value>
        </values>
      </ddeItem>
      <ddeItem name="6264.TW-PreClose" advise="1">
        <values>
          <value t="str">
            <val>--</val>
          </value>
        </values>
      </ddeItem>
      <ddeItem name="6264.TW-Price" advise="1">
        <values>
          <value t="str">
            <val>--</val>
          </value>
        </values>
      </ddeItem>
      <ddeItem name="6265.TW-PreClose" advise="1">
        <values>
          <value>
            <val>15.4</val>
          </value>
        </values>
      </ddeItem>
      <ddeItem name="6265.TW-Price" advise="1">
        <values>
          <value>
            <val>15.5</val>
          </value>
        </values>
      </ddeItem>
      <ddeItem name="6266.TW-PreClose" advise="1">
        <values>
          <value>
            <val>19.649999999999999</val>
          </value>
        </values>
      </ddeItem>
      <ddeItem name="6266.TW-Price" advise="1">
        <values>
          <value>
            <val>19.8</val>
          </value>
        </values>
      </ddeItem>
      <ddeItem name="6269.TW-PreClose" advise="1">
        <values>
          <value>
            <val>100.5</val>
          </value>
        </values>
      </ddeItem>
      <ddeItem name="6269.TW-Price" advise="1">
        <values>
          <value t="str">
            <val>--</val>
          </value>
        </values>
      </ddeItem>
      <ddeItem name="6270.TW-PreClose" advise="1">
        <values>
          <value>
            <val>22.7</val>
          </value>
        </values>
      </ddeItem>
      <ddeItem name="6270.TW-Price" advise="1">
        <values>
          <value t="str">
            <val>--</val>
          </value>
        </values>
      </ddeItem>
      <ddeItem name="6271.TW-PreClose" advise="1">
        <values>
          <value>
            <val>313.5</val>
          </value>
        </values>
      </ddeItem>
      <ddeItem name="6271.TW-Price" advise="1">
        <values>
          <value>
            <val>317</val>
          </value>
        </values>
      </ddeItem>
      <ddeItem name="6274.TW-PreClose" advise="1">
        <values>
          <value>
            <val>100.5</val>
          </value>
        </values>
      </ddeItem>
      <ddeItem name="6274.TW-Price" advise="1">
        <values>
          <value t="str">
            <val>--</val>
          </value>
        </values>
      </ddeItem>
      <ddeItem name="6275.TW-PreClose" advise="1">
        <values>
          <value>
            <val>31.8</val>
          </value>
        </values>
      </ddeItem>
      <ddeItem name="6275.TW-Price" advise="1">
        <values>
          <value>
            <val>32</val>
          </value>
        </values>
      </ddeItem>
      <ddeItem name="6276.TW-PreClose" advise="1">
        <values>
          <value t="str">
            <val>--</val>
          </value>
        </values>
      </ddeItem>
      <ddeItem name="6276.TW-Price" advise="1">
        <values>
          <value t="str">
            <val>--</val>
          </value>
        </values>
      </ddeItem>
      <ddeItem name="6277.TW-PreClose" advise="1">
        <values>
          <value>
            <val>82</val>
          </value>
        </values>
      </ddeItem>
      <ddeItem name="6277.TW-Price" advise="1">
        <values>
          <value t="str">
            <val>--</val>
          </value>
        </values>
      </ddeItem>
      <ddeItem name="6278.TW-PreClose" advise="1">
        <values>
          <value>
            <val>119</val>
          </value>
        </values>
      </ddeItem>
      <ddeItem name="6278.TW-Price" advise="1">
        <values>
          <value>
            <val>119</val>
          </value>
        </values>
      </ddeItem>
      <ddeItem name="6279.TW-PreClose" advise="1">
        <values>
          <value t="str">
            <val>--</val>
          </value>
        </values>
      </ddeItem>
      <ddeItem name="6279.TW-Price" advise="1">
        <values>
          <value t="str">
            <val>--</val>
          </value>
        </values>
      </ddeItem>
      <ddeItem name="6281.TW-PreClose" advise="1">
        <values>
          <value t="str">
            <val>--</val>
          </value>
        </values>
      </ddeItem>
      <ddeItem name="6281.TW-Price" advise="1">
        <values>
          <value t="str">
            <val>--</val>
          </value>
        </values>
      </ddeItem>
      <ddeItem name="6282.TW-Capital" advise="1">
        <values>
          <value t="str">
            <val>0.00</val>
          </value>
        </values>
      </ddeItem>
      <ddeItem name="6282.TW-CashAndStockDividend" advise="1">
        <values>
          <value t="str">
            <val>0.00</val>
          </value>
        </values>
      </ddeItem>
      <ddeItem name="6282.TW-CashDividendYieldRate" advise="1">
        <values>
          <value t="str">
            <val>--</val>
          </value>
        </values>
      </ddeItem>
      <ddeItem name="6282.TW-MonthlyNetSalesYoY" advise="1">
        <values>
          <value t="str">
            <val>0.00</val>
          </value>
        </values>
      </ddeItem>
      <ddeItem name="6282.TW-NetIncomeGrowthRate" advise="1">
        <values>
          <value t="str">
            <val>0.00</val>
          </value>
        </values>
      </ddeItem>
      <ddeItem name="6282.TW-NetProfitMargin" advise="1">
        <values>
          <value t="str">
            <val>0.00</val>
          </value>
        </values>
      </ddeItem>
      <ddeItem name="6282.TW-OperatingProfitRatio" advise="1">
        <values>
          <value t="str">
            <val>0.00</val>
          </value>
        </values>
      </ddeItem>
      <ddeItem name="6282.TW-OperIncomeGrowthRate" advise="1">
        <values>
          <value t="str">
            <val>0.00</val>
          </value>
        </values>
      </ddeItem>
      <ddeItem name="6282.TW-PreClose" advise="1">
        <values>
          <value t="str">
            <val>--</val>
          </value>
        </values>
      </ddeItem>
      <ddeItem name="6282.TW-Price" advise="1">
        <values>
          <value t="str">
            <val>--</val>
          </value>
        </values>
      </ddeItem>
      <ddeItem name="6282.TW-ProfitFourSeason" advise="1">
        <values>
          <value t="str">
            <val>0.00</val>
          </value>
        </values>
      </ddeItem>
      <ddeItem name="6282.TW-ProfitMargin" advise="1">
        <values>
          <value t="str">
            <val>0.00</val>
          </value>
        </values>
      </ddeItem>
      <ddeItem name="6282.TW-TFXRatio" advise="1">
        <values>
          <value t="str">
            <val>0.00</val>
          </value>
        </values>
      </ddeItem>
      <ddeItem name="6283.TW-PreClose" advise="1">
        <values>
          <value t="str">
            <val>--</val>
          </value>
        </values>
      </ddeItem>
      <ddeItem name="6283.TW-Price" advise="1">
        <values>
          <value t="str">
            <val>--</val>
          </value>
        </values>
      </ddeItem>
      <ddeItem name="6284.TW-PreClose" advise="1">
        <values>
          <value>
            <val>64.3</val>
          </value>
        </values>
      </ddeItem>
      <ddeItem name="6284.TW-Price" advise="1">
        <values>
          <value>
            <val>64.2</val>
          </value>
        </values>
      </ddeItem>
      <ddeItem name="6285.TW-PreClose" advise="1">
        <values>
          <value>
            <val>75.099999999999994</val>
          </value>
        </values>
      </ddeItem>
      <ddeItem name="6285.TW-Price" advise="1">
        <values>
          <value t="str">
            <val>--</val>
          </value>
        </values>
      </ddeItem>
      <ddeItem name="6287.TW-PreClose" advise="1">
        <values>
          <value>
            <val>12.35</val>
          </value>
        </values>
      </ddeItem>
      <ddeItem name="6287.TW-Price" advise="1">
        <values>
          <value t="str">
            <val>--</val>
          </value>
        </values>
      </ddeItem>
      <ddeItem name="6288.TW-PreClose" advise="1">
        <values>
          <value>
            <val>26.4</val>
          </value>
        </values>
      </ddeItem>
      <ddeItem name="6288.TW-Price" advise="1">
        <values>
          <value t="str">
            <val>--</val>
          </value>
        </values>
      </ddeItem>
      <ddeItem name="6289.TW-PreClose" advise="1">
        <values>
          <value>
            <val>2.46</val>
          </value>
        </values>
      </ddeItem>
      <ddeItem name="6289.TW-Price" advise="1">
        <values>
          <value t="str">
            <val>--</val>
          </value>
        </values>
      </ddeItem>
      <ddeItem name="6290.TW-PreClose" advise="1">
        <values>
          <value>
            <val>53</val>
          </value>
        </values>
      </ddeItem>
      <ddeItem name="6290.TW-Price" advise="1">
        <values>
          <value t="str">
            <val>--</val>
          </value>
        </values>
      </ddeItem>
      <ddeItem name="6291.TW-PreClose" advise="1">
        <values>
          <value>
            <val>44.5</val>
          </value>
        </values>
      </ddeItem>
      <ddeItem name="6291.TW-Price" advise="1">
        <values>
          <value t="str">
            <val>--</val>
          </value>
        </values>
      </ddeItem>
      <ddeItem name="6292.TW-PreClose" advise="1">
        <values>
          <value t="str">
            <val>--</val>
          </value>
        </values>
      </ddeItem>
      <ddeItem name="6292.TW-Price" advise="1">
        <values>
          <value t="str">
            <val>--</val>
          </value>
        </values>
      </ddeItem>
      <ddeItem name="6294.TW-PreClose" advise="1">
        <values>
          <value>
            <val>128.5</val>
          </value>
        </values>
      </ddeItem>
      <ddeItem name="6294.TW-Price" advise="1">
        <values>
          <value t="str">
            <val>--</val>
          </value>
        </values>
      </ddeItem>
      <ddeItem name="6404.TW-PreClose" advise="1">
        <values>
          <value>
            <val>21.8</val>
          </value>
        </values>
      </ddeItem>
      <ddeItem name="6404.TW-Price" advise="1">
        <values>
          <value t="str">
            <val>--</val>
          </value>
        </values>
      </ddeItem>
      <ddeItem name="6405.TW-PreClose" advise="1">
        <values>
          <value>
            <val>29</val>
          </value>
        </values>
      </ddeItem>
      <ddeItem name="6405.TW-Price" advise="1">
        <values>
          <value t="str">
            <val>--</val>
          </value>
        </values>
      </ddeItem>
      <ddeItem name="6409.TW-PreClose" advise="1">
        <values>
          <value>
            <val>1650</val>
          </value>
        </values>
      </ddeItem>
      <ddeItem name="6409.TW-Price" advise="1">
        <values>
          <value t="str">
            <val>--</val>
          </value>
        </values>
      </ddeItem>
      <ddeItem name="6411.TW-PreClose" advise="1">
        <values>
          <value>
            <val>261</val>
          </value>
        </values>
      </ddeItem>
      <ddeItem name="6411.TW-Price" advise="1">
        <values>
          <value>
            <val>263</val>
          </value>
        </values>
      </ddeItem>
      <ddeItem name="6412.TW-PreClose" advise="1">
        <values>
          <value>
            <val>77.7</val>
          </value>
        </values>
      </ddeItem>
      <ddeItem name="6412.TW-Price" advise="1">
        <values>
          <value t="str">
            <val>--</val>
          </value>
        </values>
      </ddeItem>
      <ddeItem name="6414.TW-PreClose" advise="1">
        <values>
          <value>
            <val>212</val>
          </value>
        </values>
      </ddeItem>
      <ddeItem name="6414.TW-Price" advise="1">
        <values>
          <value t="str">
            <val>--</val>
          </value>
        </values>
      </ddeItem>
      <ddeItem name="6415.TW-PreClose" advise="1">
        <values>
          <value>
            <val>4705</val>
          </value>
        </values>
      </ddeItem>
      <ddeItem name="6415.TW-Price" advise="1">
        <values>
          <value t="str">
            <val>--</val>
          </value>
        </values>
      </ddeItem>
      <ddeItem name="6416.TW-PreClose" advise="1">
        <values>
          <value>
            <val>100</val>
          </value>
        </values>
      </ddeItem>
      <ddeItem name="6416.TW-Price" advise="1">
        <values>
          <value t="str">
            <val>--</val>
          </value>
        </values>
      </ddeItem>
      <ddeItem name="6417.TW-PreClose" advise="1">
        <values>
          <value>
            <val>79.3</val>
          </value>
        </values>
      </ddeItem>
      <ddeItem name="6417.TW-Price" advise="1">
        <values>
          <value t="str">
            <val>--</val>
          </value>
        </values>
      </ddeItem>
      <ddeItem name="6418.TW-PreClose" advise="1">
        <values>
          <value>
            <val>24.45</val>
          </value>
        </values>
      </ddeItem>
      <ddeItem name="6418.TW-Price" advise="1">
        <values>
          <value t="str">
            <val>--</val>
          </value>
        </values>
      </ddeItem>
      <ddeItem name="6419.TW-PreClose" advise="1">
        <values>
          <value>
            <val>43.4</val>
          </value>
        </values>
      </ddeItem>
      <ddeItem name="6419.TW-Price" advise="1">
        <values>
          <value t="str">
            <val>--</val>
          </value>
        </values>
      </ddeItem>
      <ddeItem name="6425.TW-PreClose" advise="1">
        <values>
          <value>
            <val>26</val>
          </value>
        </values>
      </ddeItem>
      <ddeItem name="6425.TW-Price" advise="1">
        <values>
          <value t="str">
            <val>--</val>
          </value>
        </values>
      </ddeItem>
      <ddeItem name="6426.TW-PreClose" advise="1">
        <values>
          <value>
            <val>77.400000000000006</val>
          </value>
        </values>
      </ddeItem>
      <ddeItem name="6426.TW-Price" advise="1">
        <values>
          <value t="str">
            <val>--</val>
          </value>
        </values>
      </ddeItem>
      <ddeItem name="6431.TW-PreClose" advise="1">
        <values>
          <value>
            <val>29.45</val>
          </value>
        </values>
      </ddeItem>
      <ddeItem name="6431.TW-Price" advise="1">
        <values>
          <value t="str">
            <val>--</val>
          </value>
        </values>
      </ddeItem>
      <ddeItem name="6432.TW-PreClose" advise="1">
        <values>
          <value t="str">
            <val>--</val>
          </value>
        </values>
      </ddeItem>
      <ddeItem name="6432.TW-Price" advise="1">
        <values>
          <value t="str">
            <val>--</val>
          </value>
        </values>
      </ddeItem>
      <ddeItem name="6435.TW-PreClose" advise="1">
        <values>
          <value t="str">
            <val>--</val>
          </value>
        </values>
      </ddeItem>
      <ddeItem name="6435.TW-Price" advise="1">
        <values>
          <value t="str">
            <val>--</val>
          </value>
        </values>
      </ddeItem>
      <ddeItem name="6438.TW-PreClose" advise="1">
        <values>
          <value>
            <val>113.5</val>
          </value>
        </values>
      </ddeItem>
      <ddeItem name="6438.TW-Price" advise="1">
        <values>
          <value t="str">
            <val>--</val>
          </value>
        </values>
      </ddeItem>
      <ddeItem name="6441.TW-PreClose" advise="1">
        <values>
          <value t="str">
            <val>--</val>
          </value>
        </values>
      </ddeItem>
      <ddeItem name="6441.TW-Price" advise="1">
        <values>
          <value t="str">
            <val>--</val>
          </value>
        </values>
      </ddeItem>
      <ddeItem name="6442.TW-PreClose" advise="1">
        <values>
          <value>
            <val>35.6</val>
          </value>
        </values>
      </ddeItem>
      <ddeItem name="6442.TW-Price" advise="1">
        <values>
          <value t="str">
            <val>--</val>
          </value>
        </values>
      </ddeItem>
      <ddeItem name="6443.TW-Capital" advise="1">
        <values>
          <value t="str">
            <val>44.58</val>
          </value>
        </values>
      </ddeItem>
      <ddeItem name="6443.TW-CashAndStockDividend" advise="1">
        <values>
          <value t="str">
            <val>0.00</val>
          </value>
        </values>
      </ddeItem>
      <ddeItem name="6443.TW-CashDividendYieldRate" advise="1">
        <values>
          <value>
            <val>0</val>
          </value>
        </values>
      </ddeItem>
      <ddeItem name="6443.TW-MonthlyNetSalesYoY" advise="1">
        <values>
          <value t="str">
            <val>58.90</val>
          </value>
        </values>
      </ddeItem>
      <ddeItem name="6443.TW-NetIncomeGrowthRate" advise="1">
        <values>
          <value t="str">
            <val>27.72</val>
          </value>
        </values>
      </ddeItem>
      <ddeItem name="6443.TW-NetProfitMargin" advise="1">
        <values>
          <value t="str">
            <val>-5.05</val>
          </value>
        </values>
      </ddeItem>
      <ddeItem name="6443.TW-OperatingProfitRatio" advise="1">
        <values>
          <value t="str">
            <val>-5.34</val>
          </value>
        </values>
      </ddeItem>
      <ddeItem name="6443.TW-OperIncomeGrowthRate" advise="1">
        <values>
          <value t="str">
            <val>13.01</val>
          </value>
        </values>
      </ddeItem>
      <ddeItem name="6443.TW-PreClose" advise="1">
        <values>
          <value>
            <val>37.6</val>
          </value>
        </values>
      </ddeItem>
      <ddeItem name="6443.TW-Price" advise="1">
        <values>
          <value>
            <val>37.85</val>
          </value>
        </values>
      </ddeItem>
      <ddeItem name="6443.TW-ProfitFourSeason" advise="1">
        <values>
          <value t="str">
            <val>-0.49</val>
          </value>
        </values>
      </ddeItem>
      <ddeItem name="6443.TW-ProfitMargin" advise="1">
        <values>
          <value t="str">
            <val>2.16</val>
          </value>
        </values>
      </ddeItem>
      <ddeItem name="6443.TW-TFXRatio" advise="1">
        <values>
          <value t="str">
            <val>21.71</val>
          </value>
        </values>
      </ddeItem>
      <ddeItem name="6446.TW-PreClose" advise="1">
        <values>
          <value>
            <val>182</val>
          </value>
        </values>
      </ddeItem>
      <ddeItem name="6446.TW-Price" advise="1">
        <values>
          <value t="str">
            <val>--</val>
          </value>
        </values>
      </ddeItem>
      <ddeItem name="6449.TW-PreClose" advise="1">
        <values>
          <value>
            <val>57</val>
          </value>
        </values>
      </ddeItem>
      <ddeItem name="6449.TW-Price" advise="1">
        <values>
          <value t="str">
            <val>--</val>
          </value>
        </values>
      </ddeItem>
      <ddeItem name="6451.TW-PreClose" advise="1">
        <values>
          <value>
            <val>101.5</val>
          </value>
        </values>
      </ddeItem>
      <ddeItem name="6451.TW-Price" advise="1">
        <values>
          <value t="str">
            <val>--</val>
          </value>
        </values>
      </ddeItem>
      <ddeItem name="6456.TW-PreClose" advise="1">
        <values>
          <value>
            <val>101.5</val>
          </value>
        </values>
      </ddeItem>
      <ddeItem name="6456.TW-Price" advise="1">
        <values>
          <value t="str">
            <val>--</val>
          </value>
        </values>
      </ddeItem>
      <ddeItem name="6457.TW-PreClose" advise="1">
        <values>
          <value>
            <val>216.5</val>
          </value>
        </values>
      </ddeItem>
      <ddeItem name="6457.TW-Price" advise="1">
        <values>
          <value t="str">
            <val>--</val>
          </value>
        </values>
      </ddeItem>
      <ddeItem name="6461.TW-PreClose" advise="1">
        <values>
          <value t="str">
            <val>--</val>
          </value>
        </values>
      </ddeItem>
      <ddeItem name="6461.TW-Price" advise="1">
        <values>
          <value t="str">
            <val>--</val>
          </value>
        </values>
      </ddeItem>
      <ddeItem name="6462.TW-PreClose" advise="1">
        <values>
          <value>
            <val>114.5</val>
          </value>
        </values>
      </ddeItem>
      <ddeItem name="6462.TW-Price" advise="1">
        <values>
          <value t="str">
            <val>--</val>
          </value>
        </values>
      </ddeItem>
      <ddeItem name="6464.TW-PreClose" advise="1">
        <values>
          <value>
            <val>96.6</val>
          </value>
        </values>
      </ddeItem>
      <ddeItem name="6464.TW-Price" advise="1">
        <values>
          <value t="str">
            <val>--</val>
          </value>
        </values>
      </ddeItem>
      <ddeItem name="6465.TW-PreClose" advise="1">
        <values>
          <value>
            <val>22.5</val>
          </value>
        </values>
      </ddeItem>
      <ddeItem name="6465.TW-Price" advise="1">
        <values>
          <value t="str">
            <val>--</val>
          </value>
        </values>
      </ddeItem>
      <ddeItem name="6469.TW-PreClose" advise="1">
        <values>
          <value>
            <val>215</val>
          </value>
        </values>
      </ddeItem>
      <ddeItem name="6469.TW-Price" advise="1">
        <values>
          <value t="str">
            <val>--</val>
          </value>
        </values>
      </ddeItem>
      <ddeItem name="6470.TW-PreClose" advise="1">
        <values>
          <value>
            <val>43.9</val>
          </value>
        </values>
      </ddeItem>
      <ddeItem name="6470.TW-Price" advise="1">
        <values>
          <value t="str">
            <val>--</val>
          </value>
        </values>
      </ddeItem>
      <ddeItem name="6472.TW-PreClose" advise="1">
        <values>
          <value>
            <val>199.5</val>
          </value>
        </values>
      </ddeItem>
      <ddeItem name="6472.TW-Price" advise="1">
        <values>
          <value t="str">
            <val>--</val>
          </value>
        </values>
      </ddeItem>
      <ddeItem name="6477.TW-PreClose" advise="1">
        <values>
          <value>
            <val>42.75</val>
          </value>
        </values>
      </ddeItem>
      <ddeItem name="6477.TW-Price" advise="1">
        <values>
          <value t="str">
            <val>--</val>
          </value>
        </values>
      </ddeItem>
      <ddeItem name="6482.TW-PreClose" advise="1">
        <values>
          <value t="str">
            <val>--</val>
          </value>
        </values>
      </ddeItem>
      <ddeItem name="6482.TW-Price" advise="1">
        <values>
          <value t="str">
            <val>--</val>
          </value>
        </values>
      </ddeItem>
      <ddeItem name="6485.TW-Capital" advise="1">
        <values>
          <value t="str">
            <val>4.30</val>
          </value>
        </values>
      </ddeItem>
      <ddeItem name="6485.TW-CashAndStockDividend" advise="1">
        <values>
          <value t="str">
            <val>0.49</val>
          </value>
        </values>
      </ddeItem>
      <ddeItem name="6485.TW-CashDividendYieldRate" advise="1">
        <values>
          <value>
            <val>0.33</val>
          </value>
        </values>
      </ddeItem>
      <ddeItem name="6485.TW-MonthlyNetSalesYoY" advise="1">
        <values>
          <value t="str">
            <val>104.97</val>
          </value>
        </values>
      </ddeItem>
      <ddeItem name="6485.TW-NetIncomeGrowthRate" advise="1">
        <values>
          <value t="str">
            <val>7360.81</val>
          </value>
        </values>
      </ddeItem>
      <ddeItem name="6485.TW-NetProfitMargin" advise="1">
        <values>
          <value t="str">
            <val>23.43</val>
          </value>
        </values>
      </ddeItem>
      <ddeItem name="6485.TW-OperatingProfitRatio" advise="1">
        <values>
          <value t="str">
            <val>29.19</val>
          </value>
        </values>
      </ddeItem>
      <ddeItem name="6485.TW-OperIncomeGrowthRate" advise="1">
        <values>
          <value t="str">
            <val>2113.72</val>
          </value>
        </values>
      </ddeItem>
      <ddeItem name="6485.TW-PreClose" advise="1">
        <values>
          <value>
            <val>150</val>
          </value>
        </values>
      </ddeItem>
      <ddeItem name="6485.TW-Price" advise="1">
        <values>
          <value t="str">
            <val>--</val>
          </value>
        </values>
      </ddeItem>
      <ddeItem name="6485.TW-ProfitFourSeason" advise="1">
        <values>
          <value t="str">
            <val>8.48</val>
          </value>
        </values>
      </ddeItem>
      <ddeItem name="6485.TW-ProfitMargin" advise="1">
        <values>
          <value t="str">
            <val>58.44</val>
          </value>
        </values>
      </ddeItem>
      <ddeItem name="6485.TW-TFXRatio" advise="1">
        <values>
          <value t="str">
            <val>2.87</val>
          </value>
        </values>
      </ddeItem>
      <ddeItem name="6486.TW-PreClose" advise="1">
        <values>
          <value>
            <val>74.2</val>
          </value>
        </values>
      </ddeItem>
      <ddeItem name="6486.TW-Price" advise="1">
        <values>
          <value t="str">
            <val>--</val>
          </value>
        </values>
      </ddeItem>
      <ddeItem name="6488.TW-PreClose" advise="1">
        <values>
          <value>
            <val>834</val>
          </value>
        </values>
      </ddeItem>
      <ddeItem name="6488.TW-Price" advise="1">
        <values>
          <value t="str">
            <val>--</val>
          </value>
        </values>
      </ddeItem>
      <ddeItem name="6491.TW-PreClose" advise="1">
        <values>
          <value>
            <val>476</val>
          </value>
        </values>
      </ddeItem>
      <ddeItem name="6491.TW-Price" advise="1">
        <values>
          <value t="str">
            <val>--</val>
          </value>
        </values>
      </ddeItem>
      <ddeItem name="6492.TW-PreClose" advise="1">
        <values>
          <value t="str">
            <val>--</val>
          </value>
        </values>
      </ddeItem>
      <ddeItem name="6492.TW-Price" advise="1">
        <values>
          <value t="str">
            <val>--</val>
          </value>
        </values>
      </ddeItem>
      <ddeItem name="6494.TW-PreClose" advise="1">
        <values>
          <value>
            <val>157</val>
          </value>
        </values>
      </ddeItem>
      <ddeItem name="6494.TW-Price" advise="1">
        <values>
          <value t="str">
            <val>--</val>
          </value>
        </values>
      </ddeItem>
      <ddeItem name="6496.TW-PreClose" advise="1">
        <values>
          <value>
            <val>28.95</val>
          </value>
        </values>
      </ddeItem>
      <ddeItem name="6496.TW-Price" advise="1">
        <values>
          <value t="str">
            <val>--</val>
          </value>
        </values>
      </ddeItem>
      <ddeItem name="6499.TW-PreClose" advise="1">
        <values>
          <value t="str">
            <val>--</val>
          </value>
        </values>
      </ddeItem>
      <ddeItem name="6499.TW-Price" advise="1">
        <values>
          <value t="str">
            <val>--</val>
          </value>
        </values>
      </ddeItem>
      <ddeItem name="6504.TW-PreClose" advise="1">
        <values>
          <value>
            <val>114.5</val>
          </value>
        </values>
      </ddeItem>
      <ddeItem name="6504.TW-Price" advise="1">
        <values>
          <value t="str">
            <val>--</val>
          </value>
        </values>
      </ddeItem>
      <ddeItem name="6505.TW-PreClose" advise="1">
        <values>
          <value>
            <val>96</val>
          </value>
        </values>
      </ddeItem>
      <ddeItem name="6505.TW-Price" advise="1">
        <values>
          <value t="str">
            <val>--</val>
          </value>
        </values>
      </ddeItem>
      <ddeItem name="6506.TW-PreClose" advise="1">
        <values>
          <value t="str">
            <val>--</val>
          </value>
        </values>
      </ddeItem>
      <ddeItem name="6506.TW-Price" advise="1">
        <values>
          <value t="str">
            <val>--</val>
          </value>
        </values>
      </ddeItem>
      <ddeItem name="6508.TW-PreClose" advise="1">
        <values>
          <value>
            <val>32.950000000000003</val>
          </value>
        </values>
      </ddeItem>
      <ddeItem name="6508.TW-Price" advise="1">
        <values>
          <value t="str">
            <val>--</val>
          </value>
        </values>
      </ddeItem>
      <ddeItem name="6509.TW-PreClose" advise="1">
        <values>
          <value>
            <val>69.7</val>
          </value>
        </values>
      </ddeItem>
      <ddeItem name="6509.TW-Price" advise="1">
        <values>
          <value>
            <val>70.2</val>
          </value>
        </values>
      </ddeItem>
      <ddeItem name="6510.TW-PreClose" advise="1">
        <values>
          <value>
            <val>701</val>
          </value>
        </values>
      </ddeItem>
      <ddeItem name="6510.TW-Price" advise="1">
        <values>
          <value t="str">
            <val>--</val>
          </value>
        </values>
      </ddeItem>
      <ddeItem name="6512.TW-PreClose" advise="1">
        <values>
          <value>
            <val>19.7</val>
          </value>
        </values>
      </ddeItem>
      <ddeItem name="6512.TW-Price" advise="1">
        <values>
          <value t="str">
            <val>--</val>
          </value>
        </values>
      </ddeItem>
      <ddeItem name="6514.TW-PreClose" advise="1">
        <values>
          <value t="str">
            <val>--</val>
          </value>
        </values>
      </ddeItem>
      <ddeItem name="6514.TW-Price" advise="1">
        <values>
          <value t="str">
            <val>--</val>
          </value>
        </values>
      </ddeItem>
      <ddeItem name="6515.TW-PreClose" advise="1">
        <values>
          <value t="str">
            <val>--</val>
          </value>
        </values>
      </ddeItem>
      <ddeItem name="6515.TW-Price" advise="1">
        <values>
          <value t="str">
            <val>--</val>
          </value>
        </values>
      </ddeItem>
      <ddeItem name="6516.TW-PreClose" advise="1">
        <values>
          <value>
            <val>99.9</val>
          </value>
        </values>
      </ddeItem>
      <ddeItem name="6516.TW-Price" advise="1">
        <values>
          <value t="str">
            <val>--</val>
          </value>
        </values>
      </ddeItem>
      <ddeItem name="6523.TW-Capital" advise="1">
        <values>
          <value t="str">
            <val>4.50</val>
          </value>
        </values>
      </ddeItem>
      <ddeItem name="6523.TW-CashAndStockDividend" advise="1">
        <values>
          <value t="str">
            <val>5.22</val>
          </value>
        </values>
      </ddeItem>
      <ddeItem name="6523.TW-CashDividendYieldRate" advise="1">
        <values>
          <value>
            <val>2.69</val>
          </value>
        </values>
      </ddeItem>
      <ddeItem name="6523.TW-MonthlyNetSalesYoY" advise="1">
        <values>
          <value t="str">
            <val>80.47</val>
          </value>
        </values>
      </ddeItem>
      <ddeItem name="6523.TW-NetIncomeGrowthRate" advise="1">
        <values>
          <value t="str">
            <val>60.18</val>
          </value>
        </values>
      </ddeItem>
      <ddeItem name="6523.TW-NetProfitMargin" advise="1">
        <values>
          <value t="str">
            <val>26.52</val>
          </value>
        </values>
      </ddeItem>
      <ddeItem name="6523.TW-OperatingProfitRatio" advise="1">
        <values>
          <value t="str">
            <val>35.53</val>
          </value>
        </values>
      </ddeItem>
      <ddeItem name="6523.TW-OperIncomeGrowthRate" advise="1">
        <values>
          <value t="str">
            <val>61.31</val>
          </value>
        </values>
      </ddeItem>
      <ddeItem name="6523.TW-PreClose" advise="1">
        <values>
          <value>
            <val>148.5</val>
          </value>
        </values>
      </ddeItem>
      <ddeItem name="6523.TW-Price" advise="1">
        <values>
          <value t="str">
            <val>--</val>
          </value>
        </values>
      </ddeItem>
      <ddeItem name="6523.TW-ProfitFourSeason" advise="1">
        <values>
          <value t="str">
            <val>16.46</val>
          </value>
        </values>
      </ddeItem>
      <ddeItem name="6523.TW-ProfitMargin" advise="1">
        <values>
          <value t="str">
            <val>62.56</val>
          </value>
        </values>
      </ddeItem>
      <ddeItem name="6523.TW-TFXRatio" advise="1">
        <values>
          <value t="str">
            <val>-0.06</val>
          </value>
        </values>
      </ddeItem>
      <ddeItem name="6525.TW-PreClose" advise="1">
        <values>
          <value t="str">
            <val>--</val>
          </value>
        </values>
      </ddeItem>
      <ddeItem name="6525.TW-Price" advise="1">
        <values>
          <value t="str">
            <val>--</val>
          </value>
        </values>
      </ddeItem>
      <ddeItem name="6527.TW-PreClose" advise="1">
        <values>
          <value>
            <val>47.95</val>
          </value>
        </values>
      </ddeItem>
      <ddeItem name="6527.TW-Price" advise="1">
        <values>
          <value t="str">
            <val>--</val>
          </value>
        </values>
      </ddeItem>
      <ddeItem name="6530.TW-PreClose" advise="1">
        <values>
          <value>
            <val>21.9</val>
          </value>
        </values>
      </ddeItem>
      <ddeItem name="6530.TW-Price" advise="1">
        <values>
          <value t="str">
            <val>--</val>
          </value>
        </values>
      </ddeItem>
      <ddeItem name="6531.TW-Capital" advise="1">
        <values>
          <value t="str">
            <val>--</val>
          </value>
        </values>
      </ddeItem>
      <ddeItem name="6531.TW-CashAndStockDividend" advise="1">
        <values>
          <value t="str">
            <val>--</val>
          </value>
        </values>
      </ddeItem>
      <ddeItem name="6531.TW-CashDividendYieldRate" advise="1">
        <values>
          <value t="str">
            <val>--</val>
          </value>
        </values>
      </ddeItem>
      <ddeItem name="6531.TW-MonthlyNetSalesYoY" advise="1">
        <values>
          <value t="str">
            <val>--</val>
          </value>
        </values>
      </ddeItem>
      <ddeItem name="6531.TW-NetIncomeGrowthRate" advise="1">
        <values>
          <value t="str">
            <val>--</val>
          </value>
        </values>
      </ddeItem>
      <ddeItem name="6531.TW-NetProfitMargin" advise="1">
        <values>
          <value t="str">
            <val>--</val>
          </value>
        </values>
      </ddeItem>
      <ddeItem name="6531.TW-OperatingProfitRatio" advise="1">
        <values>
          <value t="str">
            <val>--</val>
          </value>
        </values>
      </ddeItem>
      <ddeItem name="6531.TW-OperIncomeGrowthRate" advise="1">
        <values>
          <value t="str">
            <val>--</val>
          </value>
        </values>
      </ddeItem>
      <ddeItem name="6531.TW-PreClose" advise="1">
        <values>
          <value>
            <val>515</val>
          </value>
        </values>
      </ddeItem>
      <ddeItem name="6531.TW-Price" advise="1">
        <values>
          <value t="str">
            <val>--</val>
          </value>
        </values>
      </ddeItem>
      <ddeItem name="6531.TW-ProfitFourSeason" advise="1">
        <values>
          <value t="str">
            <val>--</val>
          </value>
        </values>
      </ddeItem>
      <ddeItem name="6531.TW-ProfitMargin" advise="1">
        <values>
          <value t="str">
            <val>--</val>
          </value>
        </values>
      </ddeItem>
      <ddeItem name="6531.TW-TFXRatio" advise="1">
        <values>
          <value t="str">
            <val>--</val>
          </value>
        </values>
      </ddeItem>
      <ddeItem name="6532.TW-PreClose" advise="1">
        <values>
          <value t="str">
            <val>--</val>
          </value>
        </values>
      </ddeItem>
      <ddeItem name="6532.TW-Price" advise="1">
        <values>
          <value t="str">
            <val>--</val>
          </value>
        </values>
      </ddeItem>
      <ddeItem name="6533.TW-PreClose" advise="1">
        <values>
          <value>
            <val>577</val>
          </value>
        </values>
      </ddeItem>
      <ddeItem name="6533.TW-Price" advise="1">
        <values>
          <value t="str">
            <val>--</val>
          </value>
        </values>
      </ddeItem>
      <ddeItem name="6535.TW-PreClose" advise="1">
        <values>
          <value>
            <val>36.6</val>
          </value>
        </values>
      </ddeItem>
      <ddeItem name="6535.TW-Price" advise="1">
        <values>
          <value t="str">
            <val>--</val>
          </value>
        </values>
      </ddeItem>
      <ddeItem name="6538.TW-PreClose" advise="1">
        <values>
          <value>
            <val>73.8</val>
          </value>
        </values>
      </ddeItem>
      <ddeItem name="6538.TW-Price" advise="1">
        <values>
          <value t="str">
            <val>--</val>
          </value>
        </values>
      </ddeItem>
      <ddeItem name="6541.TW-PreClose" advise="1">
        <values>
          <value>
            <val>54.1</val>
          </value>
        </values>
      </ddeItem>
      <ddeItem name="6541.TW-Price" advise="1">
        <values>
          <value t="str">
            <val>--</val>
          </value>
        </values>
      </ddeItem>
      <ddeItem name="6542.TW-PreClose" advise="1">
        <values>
          <value>
            <val>58</val>
          </value>
        </values>
      </ddeItem>
      <ddeItem name="6542.TW-Price" advise="1">
        <values>
          <value t="str">
            <val>--</val>
          </value>
        </values>
      </ddeItem>
      <ddeItem name="6547.TW-PreClose" advise="1">
        <values>
          <value>
            <val>237</val>
          </value>
        </values>
      </ddeItem>
      <ddeItem name="6547.TW-Price" advise="1">
        <values>
          <value t="str">
            <val>--</val>
          </value>
        </values>
      </ddeItem>
      <ddeItem name="6548.TW-PreClose" advise="1">
        <values>
          <value>
            <val>102</val>
          </value>
        </values>
      </ddeItem>
      <ddeItem name="6548.TW-Price" advise="1">
        <values>
          <value t="str">
            <val>--</val>
          </value>
        </values>
      </ddeItem>
      <ddeItem name="6552.TW-PreClose" advise="1">
        <values>
          <value>
            <val>55.8</val>
          </value>
        </values>
      </ddeItem>
      <ddeItem name="6552.TW-Price" advise="1">
        <values>
          <value t="str">
            <val>--</val>
          </value>
        </values>
      </ddeItem>
      <ddeItem name="6556.TW-PreClose" advise="1">
        <values>
          <value>
            <val>48.05</val>
          </value>
        </values>
      </ddeItem>
      <ddeItem name="6556.TW-Price" advise="1">
        <values>
          <value t="str">
            <val>--</val>
          </value>
        </values>
      </ddeItem>
      <ddeItem name="6558.TW-PreClose" advise="1">
        <values>
          <value t="str">
            <val>--</val>
          </value>
        </values>
      </ddeItem>
      <ddeItem name="6558.TW-Price" advise="1">
        <values>
          <value t="str">
            <val>--</val>
          </value>
        </values>
      </ddeItem>
      <ddeItem name="6560.TW-PreClose" advise="1">
        <values>
          <value>
            <val>85.2</val>
          </value>
        </values>
      </ddeItem>
      <ddeItem name="6560.TW-Price" advise="1">
        <values>
          <value t="str">
            <val>--</val>
          </value>
        </values>
      </ddeItem>
      <ddeItem name="6561.TW-PreClose" advise="1">
        <values>
          <value>
            <val>282</val>
          </value>
        </values>
      </ddeItem>
      <ddeItem name="6561.TW-Price" advise="1">
        <values>
          <value t="str">
            <val>--</val>
          </value>
        </values>
      </ddeItem>
      <ddeItem name="6568.TW-PreClose" advise="1">
        <values>
          <value>
            <val>363</val>
          </value>
        </values>
      </ddeItem>
      <ddeItem name="6568.TW-Price" advise="1">
        <values>
          <value t="str">
            <val>--</val>
          </value>
        </values>
      </ddeItem>
      <ddeItem name="6569.TW-PreClose" advise="1">
        <values>
          <value>
            <val>105</val>
          </value>
        </values>
      </ddeItem>
      <ddeItem name="6569.TW-Price" advise="1">
        <values>
          <value t="str">
            <val>--</val>
          </value>
        </values>
      </ddeItem>
      <ddeItem name="6570.TW-PreClose" advise="1">
        <values>
          <value>
            <val>36.9</val>
          </value>
        </values>
      </ddeItem>
      <ddeItem name="6570.TW-Price" advise="1">
        <values>
          <value t="str">
            <val>--</val>
          </value>
        </values>
      </ddeItem>
      <ddeItem name="6573.TW-PreClose" advise="1">
        <values>
          <value>
            <val>22.8</val>
          </value>
        </values>
      </ddeItem>
      <ddeItem name="6573.TW-Price" advise="1">
        <values>
          <value t="str">
            <val>--</val>
          </value>
        </values>
      </ddeItem>
      <ddeItem name="6574.TW-PreClose" advise="1">
        <values>
          <value>
            <val>47</val>
          </value>
        </values>
      </ddeItem>
      <ddeItem name="6574.TW-Price" advise="1">
        <values>
          <value t="str">
            <val>--</val>
          </value>
        </values>
      </ddeItem>
      <ddeItem name="6576.TW-PreClose" advise="1">
        <values>
          <value>
            <val>90.3</val>
          </value>
        </values>
      </ddeItem>
      <ddeItem name="6576.TW-Price" advise="1">
        <values>
          <value t="str">
            <val>--</val>
          </value>
        </values>
      </ddeItem>
      <ddeItem name="6577.TW-PreClose" advise="1">
        <values>
          <value>
            <val>61.4</val>
          </value>
        </values>
      </ddeItem>
      <ddeItem name="6577.TW-Price" advise="1">
        <values>
          <value t="str">
            <val>--</val>
          </value>
        </values>
      </ddeItem>
      <ddeItem name="6578.TW-PreClose" advise="1">
        <values>
          <value t="str">
            <val>--</val>
          </value>
        </values>
      </ddeItem>
      <ddeItem name="6578.TW-Price" advise="1">
        <values>
          <value t="str">
            <val>--</val>
          </value>
        </values>
      </ddeItem>
      <ddeItem name="6579.TW-PreClose" advise="1">
        <values>
          <value>
            <val>63.8</val>
          </value>
        </values>
      </ddeItem>
      <ddeItem name="6579.TW-Price" advise="1">
        <values>
          <value t="str">
            <val>--</val>
          </value>
        </values>
      </ddeItem>
      <ddeItem name="6581.TW-PreClose" advise="1">
        <values>
          <value>
            <val>80.400000000000006</val>
          </value>
        </values>
      </ddeItem>
      <ddeItem name="6581.TW-Price" advise="1">
        <values>
          <value t="str">
            <val>--</val>
          </value>
        </values>
      </ddeItem>
      <ddeItem name="6582.TW-PreClose" advise="1">
        <values>
          <value>
            <val>181.5</val>
          </value>
        </values>
      </ddeItem>
      <ddeItem name="6582.TW-Price" advise="1">
        <values>
          <value t="str">
            <val>--</val>
          </value>
        </values>
      </ddeItem>
      <ddeItem name="6588.TW-PreClose" advise="1">
        <values>
          <value t="str">
            <val>--</val>
          </value>
        </values>
      </ddeItem>
      <ddeItem name="6588.TW-Price" advise="1">
        <values>
          <value t="str">
            <val>--</val>
          </value>
        </values>
      </ddeItem>
      <ddeItem name="6589.TW-PreClose" advise="1">
        <values>
          <value>
            <val>105.5</val>
          </value>
        </values>
      </ddeItem>
      <ddeItem name="6589.TW-Price" advise="1">
        <values>
          <value t="str">
            <val>--</val>
          </value>
        </values>
      </ddeItem>
      <ddeItem name="6590.TW-PreClose" advise="1">
        <values>
          <value t="str">
            <val>--</val>
          </value>
        </values>
      </ddeItem>
      <ddeItem name="6590.TW-Price" advise="1">
        <values>
          <value t="str">
            <val>--</val>
          </value>
        </values>
      </ddeItem>
      <ddeItem name="6591.TW-PreClose" advise="1">
        <values>
          <value>
            <val>54.4</val>
          </value>
        </values>
      </ddeItem>
      <ddeItem name="6591.TW-Price" advise="1">
        <values>
          <value t="str">
            <val>--</val>
          </value>
        </values>
      </ddeItem>
      <ddeItem name="6592.TW-PreClose" advise="1">
        <values>
          <value>
            <val>90.9</val>
          </value>
        </values>
      </ddeItem>
      <ddeItem name="6592.TW-Price" advise="1">
        <values>
          <value t="str">
            <val>--</val>
          </value>
        </values>
      </ddeItem>
      <ddeItem name="6593.TW-PreClose" advise="1">
        <values>
          <value>
            <val>27.35</val>
          </value>
        </values>
      </ddeItem>
      <ddeItem name="6593.TW-Price" advise="1">
        <values>
          <value t="str">
            <val>--</val>
          </value>
        </values>
      </ddeItem>
      <ddeItem name="6594.TW-PreClose" advise="1">
        <values>
          <value>
            <val>39.200000000000003</val>
          </value>
        </values>
      </ddeItem>
      <ddeItem name="6594.TW-Price" advise="1">
        <values>
          <value t="str">
            <val>--</val>
          </value>
        </values>
      </ddeItem>
      <ddeItem name="6596.TW-PreClose" advise="1">
        <values>
          <value>
            <val>49.5</val>
          </value>
        </values>
      </ddeItem>
      <ddeItem name="6596.TW-Price" advise="1">
        <values>
          <value t="str">
            <val>--</val>
          </value>
        </values>
      </ddeItem>
      <ddeItem name="6598.TW-PreClose" advise="1">
        <values>
          <value>
            <val>31.8</val>
          </value>
        </values>
      </ddeItem>
      <ddeItem name="6598.TW-Price" advise="1">
        <values>
          <value t="str">
            <val>--</val>
          </value>
        </values>
      </ddeItem>
      <ddeItem name="6603.TW-PreClose" advise="1">
        <values>
          <value t="str">
            <val>--</val>
          </value>
        </values>
      </ddeItem>
      <ddeItem name="6603.TW-Price" advise="1">
        <values>
          <value t="str">
            <val>--</val>
          </value>
        </values>
      </ddeItem>
      <ddeItem name="6605.TW-PreClose" advise="1">
        <values>
          <value>
            <val>58.4</val>
          </value>
        </values>
      </ddeItem>
      <ddeItem name="6605.TW-Price" advise="1">
        <values>
          <value t="str">
            <val>--</val>
          </value>
        </values>
      </ddeItem>
      <ddeItem name="6609.TW-PreClose" advise="1">
        <values>
          <value>
            <val>28.9</val>
          </value>
        </values>
      </ddeItem>
      <ddeItem name="6609.TW-Price" advise="1">
        <values>
          <value t="str">
            <val>--</val>
          </value>
        </values>
      </ddeItem>
      <ddeItem name="6612.TW-PreClose" advise="1">
        <values>
          <value>
            <val>60.6</val>
          </value>
        </values>
      </ddeItem>
      <ddeItem name="6612.TW-Price" advise="1">
        <values>
          <value t="str">
            <val>--</val>
          </value>
        </values>
      </ddeItem>
      <ddeItem name="6613.TW-PreClose" advise="1">
        <values>
          <value>
            <val>154.5</val>
          </value>
        </values>
      </ddeItem>
      <ddeItem name="6613.TW-Price" advise="1">
        <values>
          <value t="str">
            <val>--</val>
          </value>
        </values>
      </ddeItem>
      <ddeItem name="6615.TW-PreClose" advise="1">
        <values>
          <value t="str">
            <val>--</val>
          </value>
        </values>
      </ddeItem>
      <ddeItem name="6615.TW-Price" advise="1">
        <values>
          <value t="str">
            <val>--</val>
          </value>
        </values>
      </ddeItem>
      <ddeItem name="6616.TW-PreClose" advise="1">
        <values>
          <value t="str">
            <val>--</val>
          </value>
        </values>
      </ddeItem>
      <ddeItem name="6616.TW-Price" advise="1">
        <values>
          <value t="str">
            <val>--</val>
          </value>
        </values>
      </ddeItem>
      <ddeItem name="6624.TW-PreClose" advise="1">
        <values>
          <value>
            <val>31.8</val>
          </value>
        </values>
      </ddeItem>
      <ddeItem name="6624.TW-Price" advise="1">
        <values>
          <value t="str">
            <val>--</val>
          </value>
        </values>
      </ddeItem>
      <ddeItem name="6625.TW-PreClose" advise="1">
        <values>
          <value>
            <val>33.700000000000003</val>
          </value>
        </values>
      </ddeItem>
      <ddeItem name="6625.TW-Price" advise="1">
        <values>
          <value t="str">
            <val>--</val>
          </value>
        </values>
      </ddeItem>
      <ddeItem name="6629.TW-PreClose" advise="1">
        <values>
          <value>
            <val>58.8</val>
          </value>
        </values>
      </ddeItem>
      <ddeItem name="6629.TW-Price" advise="1">
        <values>
          <value t="str">
            <val>--</val>
          </value>
        </values>
      </ddeItem>
      <ddeItem name="6640.TW-PreClose" advise="1">
        <values>
          <value>
            <val>106</val>
          </value>
        </values>
      </ddeItem>
      <ddeItem name="6640.TW-Price" advise="1">
        <values>
          <value t="str">
            <val>--</val>
          </value>
        </values>
      </ddeItem>
      <ddeItem name="6641.TW-PreClose" advise="1">
        <values>
          <value>
            <val>58.8</val>
          </value>
        </values>
      </ddeItem>
      <ddeItem name="6641.TW-Price" advise="1">
        <values>
          <value t="str">
            <val>--</val>
          </value>
        </values>
      </ddeItem>
      <ddeItem name="6642.TW-PreClose" advise="1">
        <values>
          <value>
            <val>69</val>
          </value>
        </values>
      </ddeItem>
      <ddeItem name="6642.TW-Price" advise="1">
        <values>
          <value t="str">
            <val>--</val>
          </value>
        </values>
      </ddeItem>
      <ddeItem name="6643.TW-PreClose" advise="1">
        <values>
          <value>
            <val>432</val>
          </value>
        </values>
      </ddeItem>
      <ddeItem name="6643.TW-Price" advise="1">
        <values>
          <value t="str">
            <val>--</val>
          </value>
        </values>
      </ddeItem>
      <ddeItem name="6649.TW-PreClose" advise="1">
        <values>
          <value>
            <val>25.05</val>
          </value>
        </values>
      </ddeItem>
      <ddeItem name="6649.TW-Price" advise="1">
        <values>
          <value t="str">
            <val>--</val>
          </value>
        </values>
      </ddeItem>
      <ddeItem name="6651.TW-PreClose" advise="1">
        <values>
          <value>
            <val>110</val>
          </value>
        </values>
      </ddeItem>
      <ddeItem name="6651.TW-Price" advise="1">
        <values>
          <value t="str">
            <val>--</val>
          </value>
        </values>
      </ddeItem>
      <ddeItem name="6654.TW-PreClose" advise="1">
        <values>
          <value t="str">
            <val>--</val>
          </value>
        </values>
      </ddeItem>
      <ddeItem name="6654.TW-Price" advise="1">
        <values>
          <value t="str">
            <val>--</val>
          </value>
        </values>
      </ddeItem>
      <ddeItem name="6655.TW-PreClose" advise="1">
        <values>
          <value t="str">
            <val>--</val>
          </value>
        </values>
      </ddeItem>
      <ddeItem name="6655.TW-Price" advise="1">
        <values>
          <value t="str">
            <val>--</val>
          </value>
        </values>
      </ddeItem>
      <ddeItem name="6661.TW-PreClose" advise="1">
        <values>
          <value>
            <val>24.8</val>
          </value>
        </values>
      </ddeItem>
      <ddeItem name="6661.TW-Price" advise="1">
        <values>
          <value t="str">
            <val>--</val>
          </value>
        </values>
      </ddeItem>
      <ddeItem name="6662.TW-PreClose" advise="1">
        <values>
          <value>
            <val>30.5</val>
          </value>
        </values>
      </ddeItem>
      <ddeItem name="6662.TW-Price" advise="1">
        <values>
          <value t="str">
            <val>--</val>
          </value>
        </values>
      </ddeItem>
      <ddeItem name="6664.TW-PreClose" advise="1">
        <values>
          <value>
            <val>65</val>
          </value>
        </values>
      </ddeItem>
      <ddeItem name="6664.TW-Price" advise="1">
        <values>
          <value t="str">
            <val>--</val>
          </value>
        </values>
      </ddeItem>
      <ddeItem name="6666.TW-PreClose" advise="1">
        <values>
          <value t="str">
            <val>--</val>
          </value>
        </values>
      </ddeItem>
      <ddeItem name="6666.TW-Price" advise="1">
        <values>
          <value t="str">
            <val>--</val>
          </value>
        </values>
      </ddeItem>
      <ddeItem name="6667.TW-PreClose" advise="1">
        <values>
          <value>
            <val>74</val>
          </value>
        </values>
      </ddeItem>
      <ddeItem name="6667.TW-Price" advise="1">
        <values>
          <value t="str">
            <val>--</val>
          </value>
        </values>
      </ddeItem>
      <ddeItem name="6668.TW-PreClose" advise="1">
        <values>
          <value t="str">
            <val>--</val>
          </value>
        </values>
      </ddeItem>
      <ddeItem name="6668.TW-Price" advise="1">
        <values>
          <value t="str">
            <val>--</val>
          </value>
        </values>
      </ddeItem>
      <ddeItem name="6669.TW-PreClose" advise="1">
        <values>
          <value t="str">
            <val>--</val>
          </value>
        </values>
      </ddeItem>
      <ddeItem name="6669.TW-Price" advise="1">
        <values>
          <value t="str">
            <val>--</val>
          </value>
        </values>
      </ddeItem>
      <ddeItem name="6670.TW-PreClose" advise="1">
        <values>
          <value>
            <val>193</val>
          </value>
        </values>
      </ddeItem>
      <ddeItem name="6670.TW-Price" advise="1">
        <values>
          <value t="str">
            <val>--</val>
          </value>
        </values>
      </ddeItem>
      <ddeItem name="6671.TW-PreClose" advise="1">
        <values>
          <value>
            <val>48</val>
          </value>
        </values>
      </ddeItem>
      <ddeItem name="6671.TW-Price" advise="1">
        <values>
          <value t="str">
            <val>--</val>
          </value>
        </values>
      </ddeItem>
      <ddeItem name="6672.TW-PreClose" advise="1">
        <values>
          <value>
            <val>131</val>
          </value>
        </values>
      </ddeItem>
      <ddeItem name="6672.TW-Price" advise="1">
        <values>
          <value t="str">
            <val>--</val>
          </value>
        </values>
      </ddeItem>
      <ddeItem name="6674.TW-PreClose" advise="1">
        <values>
          <value>
            <val>31</val>
          </value>
        </values>
      </ddeItem>
      <ddeItem name="6674.TW-Price" advise="1">
        <values>
          <value t="str">
            <val>--</val>
          </value>
        </values>
      </ddeItem>
      <ddeItem name="6679.TW-PreClose" advise="1">
        <values>
          <value>
            <val>377.5</val>
          </value>
        </values>
      </ddeItem>
      <ddeItem name="6679.TW-Price" advise="1">
        <values>
          <value t="str">
            <val>--</val>
          </value>
        </values>
      </ddeItem>
      <ddeItem name="6680.TW-PreClose" advise="1">
        <values>
          <value>
            <val>50.1</val>
          </value>
        </values>
      </ddeItem>
      <ddeItem name="6680.TW-Price" advise="1">
        <values>
          <value t="str">
            <val>--</val>
          </value>
        </values>
      </ddeItem>
      <ddeItem name="6683.TW-PreClose" advise="1">
        <values>
          <value>
            <val>327</val>
          </value>
        </values>
      </ddeItem>
      <ddeItem name="6683.TW-Price" advise="1">
        <values>
          <value t="str">
            <val>--</val>
          </value>
        </values>
      </ddeItem>
      <ddeItem name="6684.TW-PreClose" advise="1">
        <values>
          <value>
            <val>185</val>
          </value>
        </values>
      </ddeItem>
      <ddeItem name="6684.TW-Price" advise="1">
        <values>
          <value t="str">
            <val>--</val>
          </value>
        </values>
      </ddeItem>
      <ddeItem name="6690.TW-PreClose" advise="1">
        <values>
          <value>
            <val>121</val>
          </value>
        </values>
      </ddeItem>
      <ddeItem name="6690.TW-Price" advise="1">
        <values>
          <value t="str">
            <val>--</val>
          </value>
        </values>
      </ddeItem>
      <ddeItem name="6697.TW-PreClose" advise="1">
        <values>
          <value t="str">
            <val>--</val>
          </value>
        </values>
      </ddeItem>
      <ddeItem name="6697.TW-Price" advise="1">
        <values>
          <value t="str">
            <val>--</val>
          </value>
        </values>
      </ddeItem>
      <ddeItem name="6698.TW-PreClose" advise="1">
        <values>
          <value>
            <val>39.799999999999997</val>
          </value>
        </values>
      </ddeItem>
      <ddeItem name="6698.TW-Price" advise="1">
        <values>
          <value t="str">
            <val>--</val>
          </value>
        </values>
      </ddeItem>
      <ddeItem name="6703.TW-PreClose" advise="1">
        <values>
          <value t="str">
            <val>--</val>
          </value>
        </values>
      </ddeItem>
      <ddeItem name="6703.TW-Price" advise="1">
        <values>
          <value t="str">
            <val>--</val>
          </value>
        </values>
      </ddeItem>
      <ddeItem name="6706.TW-PreClose" advise="1">
        <values>
          <value>
            <val>222</val>
          </value>
        </values>
      </ddeItem>
      <ddeItem name="6706.TW-Price" advise="1">
        <values>
          <value t="str">
            <val>--</val>
          </value>
        </values>
      </ddeItem>
      <ddeItem name="6712.TW-PreClose" advise="1">
        <values>
          <value>
            <val>246.5</val>
          </value>
        </values>
      </ddeItem>
      <ddeItem name="6712.TW-Price" advise="1">
        <values>
          <value t="str">
            <val>--</val>
          </value>
        </values>
      </ddeItem>
      <ddeItem name="6715.TW-PreClose" advise="1">
        <values>
          <value>
            <val>115</val>
          </value>
        </values>
      </ddeItem>
      <ddeItem name="6715.TW-Price" advise="1">
        <values>
          <value t="str">
            <val>--</val>
          </value>
        </values>
      </ddeItem>
      <ddeItem name="6716.TW-PreClose" advise="1">
        <values>
          <value>
            <val>168.5</val>
          </value>
        </values>
      </ddeItem>
      <ddeItem name="6716.TW-Price" advise="1">
        <values>
          <value t="str">
            <val>--</val>
          </value>
        </values>
      </ddeItem>
      <ddeItem name="6727.TW-PreClose" advise="1">
        <values>
          <value>
            <val>68.2</val>
          </value>
        </values>
      </ddeItem>
      <ddeItem name="6727.TW-Price" advise="1">
        <values>
          <value t="str">
            <val>--</val>
          </value>
        </values>
      </ddeItem>
      <ddeItem name="6728.TW-PreClose" advise="1">
        <values>
          <value>
            <val>90.5</val>
          </value>
        </values>
      </ddeItem>
      <ddeItem name="6728.TW-Price" advise="1">
        <values>
          <value t="str">
            <val>--</val>
          </value>
        </values>
      </ddeItem>
      <ddeItem name="6732.TW-PreClose" advise="1">
        <values>
          <value>
            <val>517</val>
          </value>
        </values>
      </ddeItem>
      <ddeItem name="6732.TW-Price" advise="1">
        <values>
          <value t="str">
            <val>--</val>
          </value>
        </values>
      </ddeItem>
      <ddeItem name="6733.TW-PreClose" advise="1">
        <values>
          <value>
            <val>24.1</val>
          </value>
        </values>
      </ddeItem>
      <ddeItem name="6733.TW-Price" advise="1">
        <values>
          <value t="str">
            <val>--</val>
          </value>
        </values>
      </ddeItem>
      <ddeItem name="6741.TW-PreClose" advise="1">
        <values>
          <value>
            <val>300.5</val>
          </value>
        </values>
      </ddeItem>
      <ddeItem name="6741.TW-Price" advise="1">
        <values>
          <value t="str">
            <val>--</val>
          </value>
        </values>
      </ddeItem>
      <ddeItem name="6743.TW-PreClose" advise="1">
        <values>
          <value>
            <val>78.2</val>
          </value>
        </values>
      </ddeItem>
      <ddeItem name="6743.TW-Price" advise="1">
        <values>
          <value t="str">
            <val>--</val>
          </value>
        </values>
      </ddeItem>
      <ddeItem name="6747.TW-PreClose" advise="1">
        <values>
          <value t="str">
            <val>--</val>
          </value>
        </values>
      </ddeItem>
      <ddeItem name="6747.TW-Price" advise="1">
        <values>
          <value t="str">
            <val>--</val>
          </value>
        </values>
      </ddeItem>
      <ddeItem name="6751.TW-PreClose" advise="1">
        <values>
          <value>
            <val>51.2</val>
          </value>
        </values>
      </ddeItem>
      <ddeItem name="6751.TW-Price" advise="1">
        <values>
          <value t="str">
            <val>--</val>
          </value>
        </values>
      </ddeItem>
      <ddeItem name="6752.TW-PreClose" advise="1">
        <values>
          <value>
            <val>62.4</val>
          </value>
        </values>
      </ddeItem>
      <ddeItem name="6752.TW-Price" advise="1">
        <values>
          <value t="str">
            <val>--</val>
          </value>
        </values>
      </ddeItem>
      <ddeItem name="6754.TW-PreClose" advise="1">
        <values>
          <value>
            <val>41.2</val>
          </value>
        </values>
      </ddeItem>
      <ddeItem name="6754.TW-Price" advise="1">
        <values>
          <value t="str">
            <val>--</val>
          </value>
        </values>
      </ddeItem>
      <ddeItem name="6756.TW-Capital" advise="1">
        <values>
          <value t="str">
            <val>6.75</val>
          </value>
        </values>
      </ddeItem>
      <ddeItem name="6756.TW-CashAndStockDividend" advise="1">
        <values>
          <value t="str">
            <val>4.50</val>
          </value>
        </values>
      </ddeItem>
      <ddeItem name="6756.TW-CashDividendYieldRate" advise="1">
        <values>
          <value>
            <val>0.79</val>
          </value>
        </values>
      </ddeItem>
      <ddeItem name="6756.TW-MonthlyNetSalesYoY" advise="1">
        <values>
          <value t="str">
            <val>77.95</val>
          </value>
        </values>
      </ddeItem>
      <ddeItem name="6756.TW-NetIncomeGrowthRate" advise="1">
        <values>
          <value t="str">
            <val>169.66</val>
          </value>
        </values>
      </ddeItem>
      <ddeItem name="6756.TW-NetProfitMargin" advise="1">
        <values>
          <value t="str">
            <val>26.14</val>
          </value>
        </values>
      </ddeItem>
      <ddeItem name="6756.TW-OperatingProfitRatio" advise="1">
        <values>
          <value t="str">
            <val>30.90</val>
          </value>
        </values>
      </ddeItem>
      <ddeItem name="6756.TW-OperIncomeGrowthRate" advise="1">
        <values>
          <value t="str">
            <val>171.71</val>
          </value>
        </values>
      </ddeItem>
      <ddeItem name="6756.TW-PreClose" advise="1">
        <values>
          <value>
            <val>565</val>
          </value>
        </values>
      </ddeItem>
      <ddeItem name="6756.TW-Price" advise="1">
        <values>
          <value>
            <val>570</val>
          </value>
        </values>
      </ddeItem>
      <ddeItem name="6756.TW-ProfitFourSeason" advise="1">
        <values>
          <value t="str">
            <val>10.91</val>
          </value>
        </values>
      </ddeItem>
      <ddeItem name="6756.TW-ProfitMargin" advise="1">
        <values>
          <value t="str">
            <val>53.07</val>
          </value>
        </values>
      </ddeItem>
      <ddeItem name="6756.TW-TFXRatio" advise="1">
        <values>
          <value t="str">
            <val>3.72</val>
          </value>
        </values>
      </ddeItem>
      <ddeItem name="6762.TW-PreClose" advise="1">
        <values>
          <value>
            <val>265.5</val>
          </value>
        </values>
      </ddeItem>
      <ddeItem name="6762.TW-Price" advise="1">
        <values>
          <value t="str">
            <val>--</val>
          </value>
        </values>
      </ddeItem>
      <ddeItem name="6767.TW-PreClose" advise="1">
        <values>
          <value t="str">
            <val>--</val>
          </value>
        </values>
      </ddeItem>
      <ddeItem name="6767.TW-Price" advise="1">
        <values>
          <value t="str">
            <val>--</val>
          </value>
        </values>
      </ddeItem>
      <ddeItem name="6768.TW-PreClose" advise="1">
        <values>
          <value t="str">
            <val>--</val>
          </value>
        </values>
      </ddeItem>
      <ddeItem name="6768.TW-Price" advise="1">
        <values>
          <value t="str">
            <val>--</val>
          </value>
        </values>
      </ddeItem>
      <ddeItem name="6776.TW-PreClose" advise="1">
        <values>
          <value>
            <val>43.15</val>
          </value>
        </values>
      </ddeItem>
      <ddeItem name="6776.TW-Price" advise="1">
        <values>
          <value t="str">
            <val>--</val>
          </value>
        </values>
      </ddeItem>
      <ddeItem name="6781.TW-PreClose" advise="1">
        <values>
          <value>
            <val>1460</val>
          </value>
        </values>
      </ddeItem>
      <ddeItem name="6781.TW-Price" advise="1">
        <values>
          <value t="str">
            <val>--</val>
          </value>
        </values>
      </ddeItem>
      <ddeItem name="6788.TW-PreClose" advise="1">
        <values>
          <value>
            <val>236.5</val>
          </value>
        </values>
      </ddeItem>
      <ddeItem name="6788.TW-Price" advise="1">
        <values>
          <value>
            <val>235</val>
          </value>
        </values>
      </ddeItem>
      <ddeItem name="6790.TW-PreClose" advise="1">
        <values>
          <value>
            <val>49.1</val>
          </value>
        </values>
      </ddeItem>
      <ddeItem name="6790.TW-Price" advise="1">
        <values>
          <value t="str">
            <val>--</val>
          </value>
        </values>
      </ddeItem>
      <ddeItem name="6803.TW-PreClose" advise="1">
        <values>
          <value>
            <val>236.5</val>
          </value>
        </values>
      </ddeItem>
      <ddeItem name="6803.TW-Price" advise="1">
        <values>
          <value t="str">
            <val>--</val>
          </value>
        </values>
      </ddeItem>
      <ddeItem name="6840.TW-PreClose" advise="1">
        <values>
          <value t="str">
            <val>--</val>
          </value>
        </values>
      </ddeItem>
      <ddeItem name="6840.TW-Price" advise="1">
        <values>
          <value t="str">
            <val>--</val>
          </value>
        </values>
      </ddeItem>
      <ddeItem name="6843.TW-PreClose" advise="1">
        <values>
          <value>
            <val>49.2</val>
          </value>
        </values>
      </ddeItem>
      <ddeItem name="6843.TW-Price" advise="1">
        <values>
          <value t="str">
            <val>--</val>
          </value>
        </values>
      </ddeItem>
      <ddeItem name="6855.TW-PreClose" advise="1">
        <values>
          <value>
            <val>97.5</val>
          </value>
        </values>
      </ddeItem>
      <ddeItem name="6855.TW-Price" advise="1">
        <values>
          <value t="str">
            <val>--</val>
          </value>
        </values>
      </ddeItem>
      <ddeItem name="6857.TW-PreClose" advise="1">
        <values>
          <value>
            <val>88</val>
          </value>
        </values>
      </ddeItem>
      <ddeItem name="6857.TW-Price" advise="1">
        <values>
          <value t="str">
            <val>--</val>
          </value>
        </values>
      </ddeItem>
      <ddeItem name="7402.TW-PreClose" advise="1">
        <values>
          <value>
            <val>48.25</val>
          </value>
        </values>
      </ddeItem>
      <ddeItem name="7402.TW-Price" advise="1">
        <values>
          <value t="str">
            <val>--</val>
          </value>
        </values>
      </ddeItem>
      <ddeItem name="7556.TW-PreClose" advise="1">
        <values>
          <value>
            <val>116</val>
          </value>
        </values>
      </ddeItem>
      <ddeItem name="7556.TW-Price" advise="1">
        <values>
          <value t="str">
            <val>--</val>
          </value>
        </values>
      </ddeItem>
      <ddeItem name="8011.TW-PreClose" advise="1">
        <values>
          <value>
            <val>20</val>
          </value>
        </values>
      </ddeItem>
      <ddeItem name="8011.TW-Price" advise="1">
        <values>
          <value>
            <val>20.2</val>
          </value>
        </values>
      </ddeItem>
      <ddeItem name="8016.TW-PreClose" advise="1">
        <values>
          <value>
            <val>281.5</val>
          </value>
        </values>
      </ddeItem>
      <ddeItem name="8016.TW-Price" advise="1">
        <values>
          <value t="str">
            <val>--</val>
          </value>
        </values>
      </ddeItem>
      <ddeItem name="8021.TW-PreClose" advise="1">
        <values>
          <value>
            <val>40.85</val>
          </value>
        </values>
      </ddeItem>
      <ddeItem name="8021.TW-Price" advise="1">
        <values>
          <value t="str">
            <val>--</val>
          </value>
        </values>
      </ddeItem>
      <ddeItem name="8024.TW-PreClose" advise="1">
        <values>
          <value>
            <val>27</val>
          </value>
        </values>
      </ddeItem>
      <ddeItem name="8024.TW-Price" advise="1">
        <values>
          <value>
            <val>27.5</val>
          </value>
        </values>
      </ddeItem>
      <ddeItem name="8027.TW-PreClose" advise="1">
        <values>
          <value>
            <val>70.900000000000006</val>
          </value>
        </values>
      </ddeItem>
      <ddeItem name="8027.TW-Price" advise="1">
        <values>
          <value t="str">
            <val>--</val>
          </value>
        </values>
      </ddeItem>
      <ddeItem name="8028.TW-PreClose" advise="1">
        <values>
          <value>
            <val>50.5</val>
          </value>
        </values>
      </ddeItem>
      <ddeItem name="8028.TW-Price" advise="1">
        <values>
          <value t="str">
            <val>--</val>
          </value>
        </values>
      </ddeItem>
      <ddeItem name="8032.TW-PreClose" advise="1">
        <values>
          <value>
            <val>28.65</val>
          </value>
        </values>
      </ddeItem>
      <ddeItem name="8032.TW-Price" advise="1">
        <values>
          <value t="str">
            <val>--</val>
          </value>
        </values>
      </ddeItem>
      <ddeItem name="8033.TW-PreClose" advise="1">
        <values>
          <value>
            <val>18.899999999999999</val>
          </value>
        </values>
      </ddeItem>
      <ddeItem name="8033.TW-Price" advise="1">
        <values>
          <value t="str">
            <val>--</val>
          </value>
        </values>
      </ddeItem>
      <ddeItem name="8034.TW-PreClose" advise="1">
        <values>
          <value t="str">
            <val>--</val>
          </value>
        </values>
      </ddeItem>
      <ddeItem name="8034.TW-Price" advise="1">
        <values>
          <value t="str">
            <val>--</val>
          </value>
        </values>
      </ddeItem>
      <ddeItem name="8038.TW-PreClose" advise="1">
        <values>
          <value>
            <val>37.1</val>
          </value>
        </values>
      </ddeItem>
      <ddeItem name="8038.TW-Price" advise="1">
        <values>
          <value t="str">
            <val>--</val>
          </value>
        </values>
      </ddeItem>
      <ddeItem name="8039.TW-PreClose" advise="1">
        <values>
          <value t="str">
            <val>--</val>
          </value>
        </values>
      </ddeItem>
      <ddeItem name="8039.TW-Price" advise="1">
        <values>
          <value t="str">
            <val>--</val>
          </value>
        </values>
      </ddeItem>
      <ddeItem name="8040.TW-Capital" advise="1">
        <values>
          <value t="str">
            <val>0.00</val>
          </value>
        </values>
      </ddeItem>
      <ddeItem name="8040.TW-CashAndStockDividend" advise="1">
        <values>
          <value t="str">
            <val>0.00</val>
          </value>
        </values>
      </ddeItem>
      <ddeItem name="8040.TW-CashDividendYieldRate" advise="1">
        <values>
          <value t="str">
            <val>--</val>
          </value>
        </values>
      </ddeItem>
      <ddeItem name="8040.TW-MonthlyNetSalesYoY" advise="1">
        <values>
          <value t="str">
            <val>0.00</val>
          </value>
        </values>
      </ddeItem>
      <ddeItem name="8040.TW-NetIncomeGrowthRate" advise="1">
        <values>
          <value t="str">
            <val>0.00</val>
          </value>
        </values>
      </ddeItem>
      <ddeItem name="8040.TW-NetProfitMargin" advise="1">
        <values>
          <value t="str">
            <val>0.00</val>
          </value>
        </values>
      </ddeItem>
      <ddeItem name="8040.TW-OperatingProfitRatio" advise="1">
        <values>
          <value t="str">
            <val>0.00</val>
          </value>
        </values>
      </ddeItem>
      <ddeItem name="8040.TW-OperIncomeGrowthRate" advise="1">
        <values>
          <value t="str">
            <val>0.00</val>
          </value>
        </values>
      </ddeItem>
      <ddeItem name="8040.TW-PreClose" advise="1">
        <values>
          <value t="str">
            <val>--</val>
          </value>
        </values>
      </ddeItem>
      <ddeItem name="8040.TW-Price" advise="1">
        <values>
          <value t="str">
            <val>--</val>
          </value>
        </values>
      </ddeItem>
      <ddeItem name="8040.TW-ProfitFourSeason" advise="1">
        <values>
          <value t="str">
            <val>0.00</val>
          </value>
        </values>
      </ddeItem>
      <ddeItem name="8040.TW-ProfitMargin" advise="1">
        <values>
          <value t="str">
            <val>0.00</val>
          </value>
        </values>
      </ddeItem>
      <ddeItem name="8040.TW-TFXRatio" advise="1">
        <values>
          <value t="str">
            <val>0.00</val>
          </value>
        </values>
      </ddeItem>
      <ddeItem name="8042.TW-PreClose" advise="1">
        <values>
          <value>
            <val>46.2</val>
          </value>
        </values>
      </ddeItem>
      <ddeItem name="8042.TW-Price" advise="1">
        <values>
          <value t="str">
            <val>--</val>
          </value>
        </values>
      </ddeItem>
      <ddeItem name="8043.TW-PreClose" advise="1">
        <values>
          <value t="str">
            <val>--</val>
          </value>
        </values>
      </ddeItem>
      <ddeItem name="8043.TW-Price" advise="1">
        <values>
          <value t="str">
            <val>--</val>
          </value>
        </values>
      </ddeItem>
      <ddeItem name="8044.TW-PreClose" advise="1">
        <values>
          <value>
            <val>135.5</val>
          </value>
        </values>
      </ddeItem>
      <ddeItem name="8044.TW-Price" advise="1">
        <values>
          <value t="str">
            <val>--</val>
          </value>
        </values>
      </ddeItem>
      <ddeItem name="8046.TW-Capital" advise="1">
        <values>
          <value t="str">
            <val>0.00</val>
          </value>
        </values>
      </ddeItem>
      <ddeItem name="8046.TW-CashAndStockDividend" advise="1">
        <values>
          <value t="str">
            <val>0.00</val>
          </value>
        </values>
      </ddeItem>
      <ddeItem name="8046.TW-CashDividendYieldRate" advise="1">
        <values>
          <value t="str">
            <val>--</val>
          </value>
        </values>
      </ddeItem>
      <ddeItem name="8046.TW-MonthlyNetSalesYoY" advise="1">
        <values>
          <value t="str">
            <val>0.00</val>
          </value>
        </values>
      </ddeItem>
      <ddeItem name="8046.TW-NetIncomeGrowthRate" advise="1">
        <values>
          <value t="str">
            <val>0.00</val>
          </value>
        </values>
      </ddeItem>
      <ddeItem name="8046.TW-NetProfitMargin" advise="1">
        <values>
          <value t="str">
            <val>0.00</val>
          </value>
        </values>
      </ddeItem>
      <ddeItem name="8046.TW-OperatingProfitRatio" advise="1">
        <values>
          <value t="str">
            <val>0.00</val>
          </value>
        </values>
      </ddeItem>
      <ddeItem name="8046.TW-OperIncomeGrowthRate" advise="1">
        <values>
          <value t="str">
            <val>0.00</val>
          </value>
        </values>
      </ddeItem>
      <ddeItem name="8046.TW-PreClose" advise="1">
        <values>
          <value t="str">
            <val>--</val>
          </value>
        </values>
      </ddeItem>
      <ddeItem name="8046.TW-Price" advise="1">
        <values>
          <value t="str">
            <val>--</val>
          </value>
        </values>
      </ddeItem>
      <ddeItem name="8046.TW-ProfitFourSeason" advise="1">
        <values>
          <value t="str">
            <val>0.00</val>
          </value>
        </values>
      </ddeItem>
      <ddeItem name="8046.TW-ProfitMargin" advise="1">
        <values>
          <value t="str">
            <val>0.00</val>
          </value>
        </values>
      </ddeItem>
      <ddeItem name="8046.TW-TFXRatio" advise="1">
        <values>
          <value t="str">
            <val>0.00</val>
          </value>
        </values>
      </ddeItem>
      <ddeItem name="8047.TW-PreClose" advise="1">
        <values>
          <value>
            <val>12.8</val>
          </value>
        </values>
      </ddeItem>
      <ddeItem name="8047.TW-Price" advise="1">
        <values>
          <value t="str">
            <val>--</val>
          </value>
        </values>
      </ddeItem>
      <ddeItem name="8048.TW-PreClose" advise="1">
        <values>
          <value>
            <val>36</val>
          </value>
        </values>
      </ddeItem>
      <ddeItem name="8048.TW-Price" advise="1">
        <values>
          <value t="str">
            <val>--</val>
          </value>
        </values>
      </ddeItem>
      <ddeItem name="8049.TW-PreClose" advise="1">
        <values>
          <value>
            <val>25</val>
          </value>
        </values>
      </ddeItem>
      <ddeItem name="8049.TW-Price" advise="1">
        <values>
          <value t="str">
            <val>--</val>
          </value>
        </values>
      </ddeItem>
      <ddeItem name="8050.TW-PreClose" advise="1">
        <values>
          <value t="str">
            <val>--</val>
          </value>
        </values>
      </ddeItem>
      <ddeItem name="8050.TW-Price" advise="1">
        <values>
          <value t="str">
            <val>--</val>
          </value>
        </values>
      </ddeItem>
      <ddeItem name="8054.TW-PreClose" advise="1">
        <values>
          <value>
            <val>62.4</val>
          </value>
        </values>
      </ddeItem>
      <ddeItem name="8054.TW-Price" advise="1">
        <values>
          <value t="str">
            <val>--</val>
          </value>
        </values>
      </ddeItem>
      <ddeItem name="8059.TW-PreClose" advise="1">
        <values>
          <value t="str">
            <val>--</val>
          </value>
        </values>
      </ddeItem>
      <ddeItem name="8059.TW-Price" advise="1">
        <values>
          <value t="str">
            <val>--</val>
          </value>
        </values>
      </ddeItem>
      <ddeItem name="8064.TW-PreClose" advise="1">
        <values>
          <value>
            <val>22.4</val>
          </value>
        </values>
      </ddeItem>
      <ddeItem name="8064.TW-Price" advise="1">
        <values>
          <value>
            <val>23.65</val>
          </value>
        </values>
      </ddeItem>
      <ddeItem name="8066.TW-PreClose" advise="1">
        <values>
          <value>
            <val>33.35</val>
          </value>
        </values>
      </ddeItem>
      <ddeItem name="8066.TW-Price" advise="1">
        <values>
          <value t="str">
            <val>--</val>
          </value>
        </values>
      </ddeItem>
      <ddeItem name="8067.TW-PreClose" advise="1">
        <values>
          <value>
            <val>9.24</val>
          </value>
        </values>
      </ddeItem>
      <ddeItem name="8067.TW-Price" advise="1">
        <values>
          <value t="str">
            <val>--</val>
          </value>
        </values>
      </ddeItem>
      <ddeItem name="8068.TW-PreClose" advise="1">
        <values>
          <value>
            <val>26.35</val>
          </value>
        </values>
      </ddeItem>
      <ddeItem name="8068.TW-Price" advise="1">
        <values>
          <value t="str">
            <val>--</val>
          </value>
        </values>
      </ddeItem>
      <ddeItem name="8069.TW-PreClose" advise="1">
        <values>
          <value>
            <val>122</val>
          </value>
        </values>
      </ddeItem>
      <ddeItem name="8069.TW-Price" advise="1">
        <values>
          <value>
            <val>127</val>
          </value>
        </values>
      </ddeItem>
      <ddeItem name="8070.TW-PreClose" advise="1">
        <values>
          <value>
            <val>33.85</val>
          </value>
        </values>
      </ddeItem>
      <ddeItem name="8070.TW-Price" advise="1">
        <values>
          <value t="str">
            <val>--</val>
          </value>
        </values>
      </ddeItem>
      <ddeItem name="8071.TW-PreClose" advise="1">
        <values>
          <value>
            <val>12.4</val>
          </value>
        </values>
      </ddeItem>
      <ddeItem name="8071.TW-Price" advise="1">
        <values>
          <value t="str">
            <val>--</val>
          </value>
        </values>
      </ddeItem>
      <ddeItem name="8072.TW-PreClose" advise="1">
        <values>
          <value t="str">
            <val>--</val>
          </value>
        </values>
      </ddeItem>
      <ddeItem name="8072.TW-Price" advise="1">
        <values>
          <value t="str">
            <val>--</val>
          </value>
        </values>
      </ddeItem>
      <ddeItem name="8074.TW-PreClose" advise="1">
        <values>
          <value>
            <val>19.3</val>
          </value>
        </values>
      </ddeItem>
      <ddeItem name="8074.TW-Price" advise="1">
        <values>
          <value t="str">
            <val>--</val>
          </value>
        </values>
      </ddeItem>
      <ddeItem name="8076.TW-PreClose" advise="1">
        <values>
          <value>
            <val>32</val>
          </value>
        </values>
      </ddeItem>
      <ddeItem name="8076.TW-Price" advise="1">
        <values>
          <value t="str">
            <val>--</val>
          </value>
        </values>
      </ddeItem>
      <ddeItem name="8077.TW-PreClose" advise="1">
        <values>
          <value>
            <val>11.25</val>
          </value>
        </values>
      </ddeItem>
      <ddeItem name="8077.TW-Price" advise="1">
        <values>
          <value t="str">
            <val>--</val>
          </value>
        </values>
      </ddeItem>
      <ddeItem name="8080.TW-PreClose" advise="1">
        <values>
          <value t="str">
            <val>--</val>
          </value>
        </values>
      </ddeItem>
      <ddeItem name="8080.TW-Price" advise="1">
        <values>
          <value t="str">
            <val>--</val>
          </value>
        </values>
      </ddeItem>
      <ddeItem name="8081.TW-PreClose" advise="1">
        <values>
          <value t="str">
            <val>--</val>
          </value>
        </values>
      </ddeItem>
      <ddeItem name="8081.TW-Price" advise="1">
        <values>
          <value t="str">
            <val>--</val>
          </value>
        </values>
      </ddeItem>
      <ddeItem name="8083.TW-PreClose" advise="1">
        <values>
          <value t="str">
            <val>--</val>
          </value>
        </values>
      </ddeItem>
      <ddeItem name="8083.TW-Price" advise="1">
        <values>
          <value t="str">
            <val>--</val>
          </value>
        </values>
      </ddeItem>
      <ddeItem name="8084.TW-PreClose" advise="1">
        <values>
          <value t="str">
            <val>--</val>
          </value>
        </values>
      </ddeItem>
      <ddeItem name="8084.TW-Price" advise="1">
        <values>
          <value t="str">
            <val>--</val>
          </value>
        </values>
      </ddeItem>
      <ddeItem name="8085.TW-PreClose" advise="1">
        <values>
          <value>
            <val>16.95</val>
          </value>
        </values>
      </ddeItem>
      <ddeItem name="8085.TW-Price" advise="1">
        <values>
          <value t="str">
            <val>--</val>
          </value>
        </values>
      </ddeItem>
      <ddeItem name="8086.TW-Capital" advise="1">
        <values>
          <value t="str">
            <val>19.65</val>
          </value>
        </values>
      </ddeItem>
      <ddeItem name="8086.TW-CashAndStockDividend" advise="1">
        <values>
          <value t="str">
            <val>2.80</val>
          </value>
        </values>
      </ddeItem>
      <ddeItem name="8086.TW-CashDividendYieldRate" advise="1">
        <values>
          <value>
            <val>1.86</val>
          </value>
        </values>
      </ddeItem>
      <ddeItem name="8086.TW-MonthlyNetSalesYoY" advise="1">
        <values>
          <value t="str">
            <val>39.52</val>
          </value>
        </values>
      </ddeItem>
      <ddeItem name="8086.TW-NetIncomeGrowthRate" advise="1">
        <values>
          <value t="str">
            <val>31.67</val>
          </value>
        </values>
      </ddeItem>
      <ddeItem name="8086.TW-NetProfitMargin" advise="1">
        <values>
          <value t="str">
            <val>18.02</val>
          </value>
        </values>
      </ddeItem>
      <ddeItem name="8086.TW-OperatingProfitRatio" advise="1">
        <values>
          <value t="str">
            <val>20.88</val>
          </value>
        </values>
      </ddeItem>
      <ddeItem name="8086.TW-OperIncomeGrowthRate" advise="1">
        <values>
          <value t="str">
            <val>23.57</val>
          </value>
        </values>
      </ddeItem>
      <ddeItem name="8086.TW-PreClose" advise="1">
        <values>
          <value>
            <val>151</val>
          </value>
        </values>
      </ddeItem>
      <ddeItem name="8086.TW-Price" advise="1">
        <values>
          <value>
            <val>150.5</val>
          </value>
        </values>
      </ddeItem>
      <ddeItem name="8086.TW-ProfitFourSeason" advise="1">
        <values>
          <value t="str">
            <val>4.10</val>
          </value>
        </values>
      </ddeItem>
      <ddeItem name="8086.TW-ProfitMargin" advise="1">
        <values>
          <value t="str">
            <val>29.17</val>
          </value>
        </values>
      </ddeItem>
      <ddeItem name="8086.TW-TFXRatio" advise="1">
        <values>
          <value t="str">
            <val>2.37</val>
          </value>
        </values>
      </ddeItem>
      <ddeItem name="8087.TW-PreClose" advise="1">
        <values>
          <value t="str">
            <val>--</val>
          </value>
        </values>
      </ddeItem>
      <ddeItem name="8087.TW-Price" advise="1">
        <values>
          <value t="str">
            <val>--</val>
          </value>
        </values>
      </ddeItem>
      <ddeItem name="8088.TW-PreClose" advise="1">
        <values>
          <value>
            <val>26</val>
          </value>
        </values>
      </ddeItem>
      <ddeItem name="8088.TW-Price" advise="1">
        <values>
          <value>
            <val>26</val>
          </value>
        </values>
      </ddeItem>
      <ddeItem name="8089.TW-PreClose" advise="1">
        <values>
          <value>
            <val>27.15</val>
          </value>
        </values>
      </ddeItem>
      <ddeItem name="8089.TW-Price" advise="1">
        <values>
          <value t="str">
            <val>--</val>
          </value>
        </values>
      </ddeItem>
      <ddeItem name="8091.TW-PreClose" advise="1">
        <values>
          <value t="str">
            <val>--</val>
          </value>
        </values>
      </ddeItem>
      <ddeItem name="8091.TW-Price" advise="1">
        <values>
          <value t="str">
            <val>--</val>
          </value>
        </values>
      </ddeItem>
      <ddeItem name="8092.TW-PreClose" advise="1">
        <values>
          <value>
            <val>9.1300000000000008</val>
          </value>
        </values>
      </ddeItem>
      <ddeItem name="8092.TW-Price" advise="1">
        <values>
          <value t="str">
            <val>--</val>
          </value>
        </values>
      </ddeItem>
      <ddeItem name="8093.TW-PreClose" advise="1">
        <values>
          <value t="str">
            <val>--</val>
          </value>
        </values>
      </ddeItem>
      <ddeItem name="8093.TW-Price" advise="1">
        <values>
          <value t="str">
            <val>--</val>
          </value>
        </values>
      </ddeItem>
      <ddeItem name="8096.TW-PreClose" advise="1">
        <values>
          <value>
            <val>13.35</val>
          </value>
        </values>
      </ddeItem>
      <ddeItem name="8096.TW-Price" advise="1">
        <values>
          <value t="str">
            <val>--</val>
          </value>
        </values>
      </ddeItem>
      <ddeItem name="8097.TW-PreClose" advise="1">
        <values>
          <value>
            <val>26.1</val>
          </value>
        </values>
      </ddeItem>
      <ddeItem name="8097.TW-Price" advise="1">
        <values>
          <value t="str">
            <val>--</val>
          </value>
        </values>
      </ddeItem>
      <ddeItem name="8099.TW-PreClose" advise="1">
        <values>
          <value>
            <val>41.4</val>
          </value>
        </values>
      </ddeItem>
      <ddeItem name="8099.TW-Price" advise="1">
        <values>
          <value t="str">
            <val>--</val>
          </value>
        </values>
      </ddeItem>
      <ddeItem name="8101.TW-PreClose" advise="1">
        <values>
          <value>
            <val>2.4</val>
          </value>
        </values>
      </ddeItem>
      <ddeItem name="8101.TW-Price" advise="1">
        <values>
          <value t="str">
            <val>--</val>
          </value>
        </values>
      </ddeItem>
      <ddeItem name="8103.TW-PreClose" advise="1">
        <values>
          <value>
            <val>51.2</val>
          </value>
        </values>
      </ddeItem>
      <ddeItem name="8103.TW-Price" advise="1">
        <values>
          <value t="str">
            <val>--</val>
          </value>
        </values>
      </ddeItem>
      <ddeItem name="8104.TW-PreClose" advise="1">
        <values>
          <value t="str">
            <val>--</val>
          </value>
        </values>
      </ddeItem>
      <ddeItem name="8104.TW-Price" advise="1">
        <values>
          <value t="str">
            <val>--</val>
          </value>
        </values>
      </ddeItem>
      <ddeItem name="8105.TW-PreClose" advise="1">
        <values>
          <value t="str">
            <val>--</val>
          </value>
        </values>
      </ddeItem>
      <ddeItem name="8105.TW-Price" advise="1">
        <values>
          <value t="str">
            <val>--</val>
          </value>
        </values>
      </ddeItem>
      <ddeItem name="8107.TW-PreClose" advise="1">
        <values>
          <value>
            <val>18.350000000000001</val>
          </value>
        </values>
      </ddeItem>
      <ddeItem name="8107.TW-Price" advise="1">
        <values>
          <value t="str">
            <val>--</val>
          </value>
        </values>
      </ddeItem>
      <ddeItem name="8109.TW-PreClose" advise="1">
        <values>
          <value>
            <val>71.8</val>
          </value>
        </values>
      </ddeItem>
      <ddeItem name="8109.TW-Price" advise="1">
        <values>
          <value t="str">
            <val>--</val>
          </value>
        </values>
      </ddeItem>
      <ddeItem name="8110.TW-PreClose" advise="1">
        <values>
          <value>
            <val>18.5</val>
          </value>
        </values>
      </ddeItem>
      <ddeItem name="8110.TW-Price" advise="1">
        <values>
          <value t="str">
            <val>--</val>
          </value>
        </values>
      </ddeItem>
      <ddeItem name="8111.TW-PreClose" advise="1">
        <values>
          <value t="str">
            <val>--</val>
          </value>
        </values>
      </ddeItem>
      <ddeItem name="8111.TW-Price" advise="1">
        <values>
          <value t="str">
            <val>--</val>
          </value>
        </values>
      </ddeItem>
      <ddeItem name="8112.TW-PreClose" advise="1">
        <values>
          <value>
            <val>44.15</val>
          </value>
        </values>
      </ddeItem>
      <ddeItem name="8112.TW-Price" advise="1">
        <values>
          <value t="str">
            <val>--</val>
          </value>
        </values>
      </ddeItem>
      <ddeItem name="8114.TW-PreClose" advise="1">
        <values>
          <value t="str">
            <val>--</val>
          </value>
        </values>
      </ddeItem>
      <ddeItem name="8114.TW-Price" advise="1">
        <values>
          <value t="str">
            <val>--</val>
          </value>
        </values>
      </ddeItem>
      <ddeItem name="8121.TW-PreClose" advise="1">
        <values>
          <value t="str">
            <val>--</val>
          </value>
        </values>
      </ddeItem>
      <ddeItem name="8121.TW-Price" advise="1">
        <values>
          <value t="str">
            <val>--</val>
          </value>
        </values>
      </ddeItem>
      <ddeItem name="8131.TW-PreClose" advise="1">
        <values>
          <value>
            <val>39.200000000000003</val>
          </value>
        </values>
      </ddeItem>
      <ddeItem name="8131.TW-Price" advise="1">
        <values>
          <value t="str">
            <val>--</val>
          </value>
        </values>
      </ddeItem>
      <ddeItem name="8147.TW-PreClose" advise="1">
        <values>
          <value t="str">
            <val>--</val>
          </value>
        </values>
      </ddeItem>
      <ddeItem name="8147.TW-Price" advise="1">
        <values>
          <value t="str">
            <val>--</val>
          </value>
        </values>
      </ddeItem>
      <ddeItem name="8150.TW-PreClose" advise="1">
        <values>
          <value>
            <val>46.25</val>
          </value>
        </values>
      </ddeItem>
      <ddeItem name="8150.TW-Price" advise="1">
        <values>
          <value t="str">
            <val>--</val>
          </value>
        </values>
      </ddeItem>
      <ddeItem name="8155.TW-PreClose" advise="1">
        <values>
          <value>
            <val>141.5</val>
          </value>
        </values>
      </ddeItem>
      <ddeItem name="8155.TW-Price" advise="1">
        <values>
          <value t="str">
            <val>--</val>
          </value>
        </values>
      </ddeItem>
      <ddeItem name="8163.TW-PreClose" advise="1">
        <values>
          <value t="str">
            <val>--</val>
          </value>
        </values>
      </ddeItem>
      <ddeItem name="8163.TW-Price" advise="1">
        <values>
          <value t="str">
            <val>--</val>
          </value>
        </values>
      </ddeItem>
      <ddeItem name="8171.TW-PreClose" advise="1">
        <values>
          <value>
            <val>50.6</val>
          </value>
        </values>
      </ddeItem>
      <ddeItem name="8171.TW-Price" advise="1">
        <values>
          <value t="str">
            <val>--</val>
          </value>
        </values>
      </ddeItem>
      <ddeItem name="8176.TW-PreClose" advise="1">
        <values>
          <value>
            <val>8.77</val>
          </value>
        </values>
      </ddeItem>
      <ddeItem name="8176.TW-Price" advise="1">
        <values>
          <value t="str">
            <val>--</val>
          </value>
        </values>
      </ddeItem>
      <ddeItem name="8182.TW-PreClose" advise="1">
        <values>
          <value t="str">
            <val>--</val>
          </value>
        </values>
      </ddeItem>
      <ddeItem name="8182.TW-Price" advise="1">
        <values>
          <value t="str">
            <val>--</val>
          </value>
        </values>
      </ddeItem>
      <ddeItem name="8183.TW-Capital" advise="1">
        <values>
          <value t="str">
            <val>--</val>
          </value>
        </values>
      </ddeItem>
      <ddeItem name="8183.TW-CashAndStockDividend" advise="1">
        <values>
          <value t="str">
            <val>--</val>
          </value>
        </values>
      </ddeItem>
      <ddeItem name="8183.TW-CashDividendYieldRate" advise="1">
        <values>
          <value t="str">
            <val>--</val>
          </value>
        </values>
      </ddeItem>
      <ddeItem name="8183.TW-MonthlyNetSalesYoY" advise="1">
        <values>
          <value t="str">
            <val>--</val>
          </value>
        </values>
      </ddeItem>
      <ddeItem name="8183.TW-NetIncomeGrowthRate" advise="1">
        <values>
          <value t="str">
            <val>--</val>
          </value>
        </values>
      </ddeItem>
      <ddeItem name="8183.TW-NetProfitMargin" advise="1">
        <values>
          <value t="str">
            <val>--</val>
          </value>
        </values>
      </ddeItem>
      <ddeItem name="8183.TW-OperatingProfitRatio" advise="1">
        <values>
          <value t="str">
            <val>--</val>
          </value>
        </values>
      </ddeItem>
      <ddeItem name="8183.TW-OperIncomeGrowthRate" advise="1">
        <values>
          <value t="str">
            <val>--</val>
          </value>
        </values>
      </ddeItem>
      <ddeItem name="8183.TW-PreClose" advise="1">
        <values>
          <value>
            <val>63.6</val>
          </value>
        </values>
      </ddeItem>
      <ddeItem name="8183.TW-Price" advise="1">
        <values>
          <value>
            <val>64.099999999999994</val>
          </value>
        </values>
      </ddeItem>
      <ddeItem name="8183.TW-ProfitFourSeason" advise="1">
        <values>
          <value t="str">
            <val>--</val>
          </value>
        </values>
      </ddeItem>
      <ddeItem name="8183.TW-ProfitMargin" advise="1">
        <values>
          <value t="str">
            <val>--</val>
          </value>
        </values>
      </ddeItem>
      <ddeItem name="8183.TW-TFXRatio" advise="1">
        <values>
          <value t="str">
            <val>--</val>
          </value>
        </values>
      </ddeItem>
      <ddeItem name="8201.TW-PreClose" advise="1">
        <values>
          <value>
            <val>17.2</val>
          </value>
        </values>
      </ddeItem>
      <ddeItem name="8201.TW-Price" advise="1">
        <values>
          <value t="str">
            <val>--</val>
          </value>
        </values>
      </ddeItem>
      <ddeItem name="8210.TW-PreClose" advise="1">
        <values>
          <value>
            <val>77</val>
          </value>
        </values>
      </ddeItem>
      <ddeItem name="8210.TW-Price" advise="1">
        <values>
          <value t="str">
            <val>--</val>
          </value>
        </values>
      </ddeItem>
      <ddeItem name="8213.TW-PreClose" advise="1">
        <values>
          <value>
            <val>48.1</val>
          </value>
        </values>
      </ddeItem>
      <ddeItem name="8213.TW-Price" advise="1">
        <values>
          <value t="str">
            <val>--</val>
          </value>
        </values>
      </ddeItem>
      <ddeItem name="8215.TW-PreClose" advise="1">
        <values>
          <value t="str">
            <val>--</val>
          </value>
        </values>
      </ddeItem>
      <ddeItem name="8215.TW-Price" advise="1">
        <values>
          <value t="str">
            <val>--</val>
          </value>
        </values>
      </ddeItem>
      <ddeItem name="8222.TW-PreClose" advise="1">
        <values>
          <value>
            <val>14.95</val>
          </value>
        </values>
      </ddeItem>
      <ddeItem name="8222.TW-Price" advise="1">
        <values>
          <value t="str">
            <val>--</val>
          </value>
        </values>
      </ddeItem>
      <ddeItem name="8234.TW-PreClose" advise="1">
        <values>
          <value>
            <val>23.45</val>
          </value>
        </values>
      </ddeItem>
      <ddeItem name="8234.TW-Price" advise="1">
        <values>
          <value t="str">
            <val>--</val>
          </value>
        </values>
      </ddeItem>
      <ddeItem name="8240.TW-PreClose" advise="1">
        <values>
          <value>
            <val>31.45</val>
          </value>
        </values>
      </ddeItem>
      <ddeItem name="8240.TW-Price" advise="1">
        <values>
          <value t="str">
            <val>--</val>
          </value>
        </values>
      </ddeItem>
      <ddeItem name="8249.TW-PreClose" advise="1">
        <values>
          <value>
            <val>26.75</val>
          </value>
        </values>
      </ddeItem>
      <ddeItem name="8249.TW-Price" advise="1">
        <values>
          <value t="str">
            <val>--</val>
          </value>
        </values>
      </ddeItem>
      <ddeItem name="8255.TW-PreClose" advise="1">
        <values>
          <value t="str">
            <val>--</val>
          </value>
        </values>
      </ddeItem>
      <ddeItem name="8255.TW-Price" advise="1">
        <values>
          <value t="str">
            <val>--</val>
          </value>
        </values>
      </ddeItem>
      <ddeItem name="8261.TW-PreClose" advise="1">
        <values>
          <value t="str">
            <val>--</val>
          </value>
        </values>
      </ddeItem>
      <ddeItem name="8261.TW-Price" advise="1">
        <values>
          <value t="str">
            <val>--</val>
          </value>
        </values>
      </ddeItem>
      <ddeItem name="8271.TW-PreClose" advise="1">
        <values>
          <value t="str">
            <val>--</val>
          </value>
        </values>
      </ddeItem>
      <ddeItem name="8271.TW-Price" advise="1">
        <values>
          <value t="str">
            <val>--</val>
          </value>
        </values>
      </ddeItem>
      <ddeItem name="8277.TW-PreClose" advise="1">
        <values>
          <value>
            <val>13.05</val>
          </value>
        </values>
      </ddeItem>
      <ddeItem name="8277.TW-Price" advise="1">
        <values>
          <value>
            <val>12.75</val>
          </value>
        </values>
      </ddeItem>
      <ddeItem name="8279.TW-PreClose" advise="1">
        <values>
          <value>
            <val>103.5</val>
          </value>
        </values>
      </ddeItem>
      <ddeItem name="8279.TW-Price" advise="1">
        <values>
          <value t="str">
            <val>--</val>
          </value>
        </values>
      </ddeItem>
      <ddeItem name="8284.TW-PreClose" advise="1">
        <values>
          <value t="str">
            <val>--</val>
          </value>
        </values>
      </ddeItem>
      <ddeItem name="8284.TW-Price" advise="1">
        <values>
          <value t="str">
            <val>--</val>
          </value>
        </values>
      </ddeItem>
      <ddeItem name="8289.TW-PreClose" advise="1">
        <values>
          <value>
            <val>37.15</val>
          </value>
        </values>
      </ddeItem>
      <ddeItem name="8289.TW-Price" advise="1">
        <values>
          <value>
            <val>37.200000000000003</val>
          </value>
        </values>
      </ddeItem>
      <ddeItem name="8291.TW-PreClose" advise="1">
        <values>
          <value>
            <val>7.18</val>
          </value>
        </values>
      </ddeItem>
      <ddeItem name="8291.TW-Price" advise="1">
        <values>
          <value t="str">
            <val>--</val>
          </value>
        </values>
      </ddeItem>
      <ddeItem name="8299.TW-PreClose" advise="1">
        <values>
          <value>
            <val>425.5</val>
          </value>
        </values>
      </ddeItem>
      <ddeItem name="8299.TW-Price" advise="1">
        <values>
          <value t="str">
            <val>--</val>
          </value>
        </values>
      </ddeItem>
      <ddeItem name="8341.TW-PreClose" advise="1">
        <values>
          <value>
            <val>201.5</val>
          </value>
        </values>
      </ddeItem>
      <ddeItem name="8341.TW-Price" advise="1">
        <values>
          <value t="str">
            <val>--</val>
          </value>
        </values>
      </ddeItem>
      <ddeItem name="8342.TW-PreClose" advise="1">
        <values>
          <value t="str">
            <val>--</val>
          </value>
        </values>
      </ddeItem>
      <ddeItem name="8342.TW-Price" advise="1">
        <values>
          <value t="str">
            <val>--</val>
          </value>
        </values>
      </ddeItem>
      <ddeItem name="8349.TW-PreClose" advise="1">
        <values>
          <value>
            <val>57.4</val>
          </value>
        </values>
      </ddeItem>
      <ddeItem name="8349.TW-Price" advise="1">
        <values>
          <value t="str">
            <val>--</val>
          </value>
        </values>
      </ddeItem>
      <ddeItem name="8354.TW-PreClose" advise="1">
        <values>
          <value>
            <val>14.55</val>
          </value>
        </values>
      </ddeItem>
      <ddeItem name="8354.TW-Price" advise="1">
        <values>
          <value t="str">
            <val>--</val>
          </value>
        </values>
      </ddeItem>
      <ddeItem name="8358.TW-PreClose" advise="1">
        <values>
          <value>
            <val>78.8</val>
          </value>
        </values>
      </ddeItem>
      <ddeItem name="8358.TW-Price" advise="1">
        <values>
          <value>
            <val>78.8</val>
          </value>
        </values>
      </ddeItem>
      <ddeItem name="8367.TW-PreClose" advise="1">
        <values>
          <value t="str">
            <val>--</val>
          </value>
        </values>
      </ddeItem>
      <ddeItem name="8367.TW-Price" advise="1">
        <values>
          <value t="str">
            <val>--</val>
          </value>
        </values>
      </ddeItem>
      <ddeItem name="8374.TW-PreClose" advise="1">
        <values>
          <value>
            <val>30.15</val>
          </value>
        </values>
      </ddeItem>
      <ddeItem name="8374.TW-Price" advise="1">
        <values>
          <value t="str">
            <val>--</val>
          </value>
        </values>
      </ddeItem>
      <ddeItem name="8383.TW-PreClose" advise="1">
        <values>
          <value t="str">
            <val>--</val>
          </value>
        </values>
      </ddeItem>
      <ddeItem name="8383.TW-Price" advise="1">
        <values>
          <value t="str">
            <val>--</val>
          </value>
        </values>
      </ddeItem>
      <ddeItem name="8390.TW-PreClose" advise="1">
        <values>
          <value>
            <val>33.65</val>
          </value>
        </values>
      </ddeItem>
      <ddeItem name="8390.TW-Price" advise="1">
        <values>
          <value t="str">
            <val>--</val>
          </value>
        </values>
      </ddeItem>
      <ddeItem name="8401.TW-PreClose" advise="1">
        <values>
          <value>
            <val>13.9</val>
          </value>
        </values>
      </ddeItem>
      <ddeItem name="8401.TW-Price" advise="1">
        <values>
          <value t="str">
            <val>--</val>
          </value>
        </values>
      </ddeItem>
      <ddeItem name="8403.TW-PreClose" advise="1">
        <values>
          <value t="str">
            <val>--</val>
          </value>
        </values>
      </ddeItem>
      <ddeItem name="8403.TW-Price" advise="1">
        <values>
          <value t="str">
            <val>--</val>
          </value>
        </values>
      </ddeItem>
      <ddeItem name="8404.TW-PreClose" advise="1">
        <values>
          <value t="str">
            <val>--</val>
          </value>
        </values>
      </ddeItem>
      <ddeItem name="8404.TW-Price" advise="1">
        <values>
          <value t="str">
            <val>--</val>
          </value>
        </values>
      </ddeItem>
      <ddeItem name="8406.TW-PreClose" advise="1">
        <values>
          <value>
            <val>197.5</val>
          </value>
        </values>
      </ddeItem>
      <ddeItem name="8406.TW-Price" advise="1">
        <values>
          <value>
            <val>197.5</val>
          </value>
        </values>
      </ddeItem>
      <ddeItem name="8409.TW-PreClose" advise="1">
        <values>
          <value>
            <val>15.7</val>
          </value>
        </values>
      </ddeItem>
      <ddeItem name="8409.TW-Price" advise="1">
        <values>
          <value t="str">
            <val>--</val>
          </value>
        </values>
      </ddeItem>
      <ddeItem name="8410.TW-PreClose" advise="1">
        <values>
          <value>
            <val>32.049999999999997</val>
          </value>
        </values>
      </ddeItem>
      <ddeItem name="8410.TW-Price" advise="1">
        <values>
          <value t="str">
            <val>--</val>
          </value>
        </values>
      </ddeItem>
      <ddeItem name="8411.TW-PreClose" advise="1">
        <values>
          <value>
            <val>16.45</val>
          </value>
        </values>
      </ddeItem>
      <ddeItem name="8411.TW-Price" advise="1">
        <values>
          <value t="str">
            <val>--</val>
          </value>
        </values>
      </ddeItem>
      <ddeItem name="8415.TW-PreClose" advise="1">
        <values>
          <value>
            <val>34.299999999999997</val>
          </value>
        </values>
      </ddeItem>
      <ddeItem name="8415.TW-Price" advise="1">
        <values>
          <value t="str">
            <val>--</val>
          </value>
        </values>
      </ddeItem>
      <ddeItem name="8416.TW-PreClose" advise="1">
        <values>
          <value t="str">
            <val>--</val>
          </value>
        </values>
      </ddeItem>
      <ddeItem name="8416.TW-Price" advise="1">
        <values>
          <value t="str">
            <val>--</val>
          </value>
        </values>
      </ddeItem>
      <ddeItem name="8418.TW-PreClose" advise="1">
        <values>
          <value>
            <val>10.6</val>
          </value>
        </values>
      </ddeItem>
      <ddeItem name="8418.TW-Price" advise="1">
        <values>
          <value t="str">
            <val>--</val>
          </value>
        </values>
      </ddeItem>
      <ddeItem name="8420.TW-PreClose" advise="1">
        <values>
          <value>
            <val>38.1</val>
          </value>
        </values>
      </ddeItem>
      <ddeItem name="8420.TW-Price" advise="1">
        <values>
          <value t="str">
            <val>--</val>
          </value>
        </values>
      </ddeItem>
      <ddeItem name="8421.TW-PreClose" advise="1">
        <values>
          <value>
            <val>10.050000000000001</val>
          </value>
        </values>
      </ddeItem>
      <ddeItem name="8421.TW-Price" advise="1">
        <values>
          <value t="str">
            <val>--</val>
          </value>
        </values>
      </ddeItem>
      <ddeItem name="8422.TW-PreClose" advise="1">
        <values>
          <value>
            <val>239.5</val>
          </value>
        </values>
      </ddeItem>
      <ddeItem name="8422.TW-Price" advise="1">
        <values>
          <value t="str">
            <val>--</val>
          </value>
        </values>
      </ddeItem>
      <ddeItem name="8423.TW-PreClose" advise="1">
        <values>
          <value>
            <val>17.600000000000001</val>
          </value>
        </values>
      </ddeItem>
      <ddeItem name="8423.TW-Price" advise="1">
        <values>
          <value t="str">
            <val>--</val>
          </value>
        </values>
      </ddeItem>
      <ddeItem name="8424.TW-PreClose" advise="1">
        <values>
          <value>
            <val>61.1</val>
          </value>
        </values>
      </ddeItem>
      <ddeItem name="8424.TW-Price" advise="1">
        <values>
          <value t="str">
            <val>--</val>
          </value>
        </values>
      </ddeItem>
      <ddeItem name="8426.TW-PreClose" advise="1">
        <values>
          <value>
            <val>16.899999999999999</val>
          </value>
        </values>
      </ddeItem>
      <ddeItem name="8426.TW-Price" advise="1">
        <values>
          <value t="str">
            <val>--</val>
          </value>
        </values>
      </ddeItem>
      <ddeItem name="8427.TW-PreClose" advise="1">
        <values>
          <value t="str">
            <val>--</val>
          </value>
        </values>
      </ddeItem>
      <ddeItem name="8427.TW-Price" advise="1">
        <values>
          <value t="str">
            <val>--</val>
          </value>
        </values>
      </ddeItem>
      <ddeItem name="8429.TW-PreClose" advise="1">
        <values>
          <value>
            <val>13.1</val>
          </value>
        </values>
      </ddeItem>
      <ddeItem name="8429.TW-Price" advise="1">
        <values>
          <value t="str">
            <val>--</val>
          </value>
        </values>
      </ddeItem>
      <ddeItem name="8431.TW-PreClose" advise="1">
        <values>
          <value t="str">
            <val>--</val>
          </value>
        </values>
      </ddeItem>
      <ddeItem name="8431.TW-Price" advise="1">
        <values>
          <value t="str">
            <val>--</val>
          </value>
        </values>
      </ddeItem>
      <ddeItem name="8432.TW-PreClose" advise="1">
        <values>
          <value>
            <val>43.95</val>
          </value>
        </values>
      </ddeItem>
      <ddeItem name="8432.TW-Price" advise="1">
        <values>
          <value t="str">
            <val>--</val>
          </value>
        </values>
      </ddeItem>
      <ddeItem name="8433.TW-PreClose" advise="1">
        <values>
          <value>
            <val>42.6</val>
          </value>
        </values>
      </ddeItem>
      <ddeItem name="8433.TW-Price" advise="1">
        <values>
          <value t="str">
            <val>--</val>
          </value>
        </values>
      </ddeItem>
      <ddeItem name="8435.TW-PreClose" advise="1">
        <values>
          <value t="str">
            <val>--</val>
          </value>
        </values>
      </ddeItem>
      <ddeItem name="8435.TW-Price" advise="1">
        <values>
          <value t="str">
            <val>--</val>
          </value>
        </values>
      </ddeItem>
      <ddeItem name="8436.TW-PreClose" advise="1">
        <values>
          <value t="str">
            <val>--</val>
          </value>
        </values>
      </ddeItem>
      <ddeItem name="8436.TW-Price" advise="1">
        <values>
          <value t="str">
            <val>--</val>
          </value>
        </values>
      </ddeItem>
      <ddeItem name="8437.TW-PreClose" advise="1">
        <values>
          <value>
            <val>148.5</val>
          </value>
        </values>
      </ddeItem>
      <ddeItem name="8437.TW-Price" advise="1">
        <values>
          <value t="str">
            <val>--</val>
          </value>
        </values>
      </ddeItem>
      <ddeItem name="8440.TW-PreClose" advise="1">
        <values>
          <value>
            <val>19</val>
          </value>
        </values>
      </ddeItem>
      <ddeItem name="8440.TW-Price" advise="1">
        <values>
          <value t="str">
            <val>--</val>
          </value>
        </values>
      </ddeItem>
      <ddeItem name="8442.TW-PreClose" advise="1">
        <values>
          <value>
            <val>42.85</val>
          </value>
        </values>
      </ddeItem>
      <ddeItem name="8442.TW-Price" advise="1">
        <values>
          <value t="str">
            <val>--</val>
          </value>
        </values>
      </ddeItem>
      <ddeItem name="8443.TW-PreClose" advise="1">
        <values>
          <value>
            <val>11.85</val>
          </value>
        </values>
      </ddeItem>
      <ddeItem name="8443.TW-Price" advise="1">
        <values>
          <value t="str">
            <val>--</val>
          </value>
        </values>
      </ddeItem>
      <ddeItem name="8444.TW-PreClose" advise="1">
        <values>
          <value>
            <val>125</val>
          </value>
        </values>
      </ddeItem>
      <ddeItem name="8444.TW-Price" advise="1">
        <values>
          <value t="str">
            <val>--</val>
          </value>
        </values>
      </ddeItem>
      <ddeItem name="8446.TW-PreClose" advise="1">
        <values>
          <value t="str">
            <val>--</val>
          </value>
        </values>
      </ddeItem>
      <ddeItem name="8446.TW-Price" advise="1">
        <values>
          <value t="str">
            <val>--</val>
          </value>
        </values>
      </ddeItem>
      <ddeItem name="8450.TW-PreClose" advise="1">
        <values>
          <value t="str">
            <val>--</val>
          </value>
        </values>
      </ddeItem>
      <ddeItem name="8450.TW-Price" advise="1">
        <values>
          <value t="str">
            <val>--</val>
          </value>
        </values>
      </ddeItem>
      <ddeItem name="8454.TW-PreClose" advise="1">
        <values>
          <value t="str">
            <val>--</val>
          </value>
        </values>
      </ddeItem>
      <ddeItem name="8454.TW-Price" advise="1">
        <values>
          <value t="str">
            <val>--</val>
          </value>
        </values>
      </ddeItem>
      <ddeItem name="8455.TW-PreClose" advise="1">
        <values>
          <value>
            <val>18.75</val>
          </value>
        </values>
      </ddeItem>
      <ddeItem name="8455.TW-Price" advise="1">
        <values>
          <value t="str">
            <val>--</val>
          </value>
        </values>
      </ddeItem>
      <ddeItem name="8462.TW-PreClose" advise="1">
        <values>
          <value>
            <val>141.5</val>
          </value>
        </values>
      </ddeItem>
      <ddeItem name="8462.TW-Price" advise="1">
        <values>
          <value t="str">
            <val>--</val>
          </value>
        </values>
      </ddeItem>
      <ddeItem name="8463.TW-PreClose" advise="1">
        <values>
          <value t="str">
            <val>--</val>
          </value>
        </values>
      </ddeItem>
      <ddeItem name="8463.TW-Price" advise="1">
        <values>
          <value t="str">
            <val>--</val>
          </value>
        </values>
      </ddeItem>
      <ddeItem name="8464.TW-PreClose" advise="1">
        <values>
          <value t="str">
            <val>--</val>
          </value>
        </values>
      </ddeItem>
      <ddeItem name="8464.TW-Price" advise="1">
        <values>
          <value t="str">
            <val>--</val>
          </value>
        </values>
      </ddeItem>
      <ddeItem name="8466.TW-PreClose" advise="1">
        <values>
          <value t="str">
            <val>--</val>
          </value>
        </values>
      </ddeItem>
      <ddeItem name="8466.TW-Price" advise="1">
        <values>
          <value t="str">
            <val>--</val>
          </value>
        </values>
      </ddeItem>
      <ddeItem name="8467.TW-PreClose" advise="1">
        <values>
          <value>
            <val>41</val>
          </value>
        </values>
      </ddeItem>
      <ddeItem name="8467.TW-Price" advise="1">
        <values>
          <value t="str">
            <val>--</val>
          </value>
        </values>
      </ddeItem>
      <ddeItem name="8472.TW-PreClose" advise="1">
        <values>
          <value>
            <val>51.6</val>
          </value>
        </values>
      </ddeItem>
      <ddeItem name="8472.TW-Price" advise="1">
        <values>
          <value t="str">
            <val>--</val>
          </value>
        </values>
      </ddeItem>
      <ddeItem name="8473.TW-PreClose" advise="1">
        <values>
          <value>
            <val>33.799999999999997</val>
          </value>
        </values>
      </ddeItem>
      <ddeItem name="8473.TW-Price" advise="1">
        <values>
          <value t="str">
            <val>--</val>
          </value>
        </values>
      </ddeItem>
      <ddeItem name="8476.TW-PreClose" advise="1">
        <values>
          <value>
            <val>58.6</val>
          </value>
        </values>
      </ddeItem>
      <ddeItem name="8476.TW-Price" advise="1">
        <values>
          <value t="str">
            <val>--</val>
          </value>
        </values>
      </ddeItem>
      <ddeItem name="8477.TW-PreClose" advise="1">
        <values>
          <value>
            <val>34.799999999999997</val>
          </value>
        </values>
      </ddeItem>
      <ddeItem name="8477.TW-Price" advise="1">
        <values>
          <value t="str">
            <val>--</val>
          </value>
        </values>
      </ddeItem>
      <ddeItem name="8478.TW-PreClose" advise="1">
        <values>
          <value t="str">
            <val>--</val>
          </value>
        </values>
      </ddeItem>
      <ddeItem name="8478.TW-Price" advise="1">
        <values>
          <value t="str">
            <val>--</val>
          </value>
        </values>
      </ddeItem>
      <ddeItem name="8480.TW-PreClose" advise="1">
        <values>
          <value t="str">
            <val>--</val>
          </value>
        </values>
      </ddeItem>
      <ddeItem name="8480.TW-Price" advise="1">
        <values>
          <value t="str">
            <val>--</val>
          </value>
        </values>
      </ddeItem>
      <ddeItem name="8481.TW-PreClose" advise="1">
        <values>
          <value>
            <val>70.7</val>
          </value>
        </values>
      </ddeItem>
      <ddeItem name="8481.TW-Price" advise="1">
        <values>
          <value t="str">
            <val>--</val>
          </value>
        </values>
      </ddeItem>
      <ddeItem name="8482.TW-PreClose" advise="1">
        <values>
          <value>
            <val>73</val>
          </value>
        </values>
      </ddeItem>
      <ddeItem name="8482.TW-Price" advise="1">
        <values>
          <value t="str">
            <val>--</val>
          </value>
        </values>
      </ddeItem>
      <ddeItem name="8488.TW-PreClose" advise="1">
        <values>
          <value t="str">
            <val>--</val>
          </value>
        </values>
      </ddeItem>
      <ddeItem name="8488.TW-Price" advise="1">
        <values>
          <value t="str">
            <val>--</val>
          </value>
        </values>
      </ddeItem>
      <ddeItem name="8489.TW-PreClose" advise="1">
        <values>
          <value>
            <val>31.55</val>
          </value>
        </values>
      </ddeItem>
      <ddeItem name="8489.TW-Price" advise="1">
        <values>
          <value t="str">
            <val>--</val>
          </value>
        </values>
      </ddeItem>
      <ddeItem name="8499.TW-PreClose" advise="1">
        <values>
          <value t="str">
            <val>--</val>
          </value>
        </values>
      </ddeItem>
      <ddeItem name="8499.TW-Price" advise="1">
        <values>
          <value t="str">
            <val>--</val>
          </value>
        </values>
      </ddeItem>
      <ddeItem name="8905.TW-PreClose" advise="1">
        <values>
          <value t="str">
            <val>--</val>
          </value>
        </values>
      </ddeItem>
      <ddeItem name="8905.TW-Price" advise="1">
        <values>
          <value t="str">
            <val>--</val>
          </value>
        </values>
      </ddeItem>
      <ddeItem name="8906.TW-PreClose" advise="1">
        <values>
          <value>
            <val>15.45</val>
          </value>
        </values>
      </ddeItem>
      <ddeItem name="8906.TW-Price" advise="1">
        <values>
          <value t="str">
            <val>--</val>
          </value>
        </values>
      </ddeItem>
      <ddeItem name="8908.TW-PreClose" advise="1">
        <values>
          <value t="str">
            <val>--</val>
          </value>
        </values>
      </ddeItem>
      <ddeItem name="8908.TW-Price" advise="1">
        <values>
          <value t="str">
            <val>--</val>
          </value>
        </values>
      </ddeItem>
      <ddeItem name="8916.TW-PreClose" advise="1">
        <values>
          <value t="str">
            <val>--</val>
          </value>
        </values>
      </ddeItem>
      <ddeItem name="8916.TW-Price" advise="1">
        <values>
          <value t="str">
            <val>--</val>
          </value>
        </values>
      </ddeItem>
      <ddeItem name="8917.TW-PreClose" advise="1">
        <values>
          <value>
            <val>88.8</val>
          </value>
        </values>
      </ddeItem>
      <ddeItem name="8917.TW-Price" advise="1">
        <values>
          <value t="str">
            <val>--</val>
          </value>
        </values>
      </ddeItem>
      <ddeItem name="8921.TW-PreClose" advise="1">
        <values>
          <value t="str">
            <val>--</val>
          </value>
        </values>
      </ddeItem>
      <ddeItem name="8921.TW-Price" advise="1">
        <values>
          <value t="str">
            <val>--</val>
          </value>
        </values>
      </ddeItem>
      <ddeItem name="8923.TW-PreClose" advise="1">
        <values>
          <value>
            <val>16.399999999999999</val>
          </value>
        </values>
      </ddeItem>
      <ddeItem name="8923.TW-Price" advise="1">
        <values>
          <value t="str">
            <val>--</val>
          </value>
        </values>
      </ddeItem>
      <ddeItem name="8924.TW-PreClose" advise="1">
        <values>
          <value>
            <val>156.5</val>
          </value>
        </values>
      </ddeItem>
      <ddeItem name="8924.TW-Price" advise="1">
        <values>
          <value>
            <val>157</val>
          </value>
        </values>
      </ddeItem>
      <ddeItem name="8926.TW-PreClose" advise="1">
        <values>
          <value>
            <val>37.75</val>
          </value>
        </values>
      </ddeItem>
      <ddeItem name="8926.TW-Price" advise="1">
        <values>
          <value t="str">
            <val>--</val>
          </value>
        </values>
      </ddeItem>
      <ddeItem name="8927.TW-PreClose" advise="1">
        <values>
          <value t="str">
            <val>--</val>
          </value>
        </values>
      </ddeItem>
      <ddeItem name="8927.TW-Price" advise="1">
        <values>
          <value t="str">
            <val>--</val>
          </value>
        </values>
      </ddeItem>
      <ddeItem name="8928.TW-PreClose" advise="1">
        <values>
          <value>
            <val>34.4</val>
          </value>
        </values>
      </ddeItem>
      <ddeItem name="8928.TW-Price" advise="1">
        <values>
          <value t="str">
            <val>--</val>
          </value>
        </values>
      </ddeItem>
      <ddeItem name="8929.TW-PreClose" advise="1">
        <values>
          <value>
            <val>21.05</val>
          </value>
        </values>
      </ddeItem>
      <ddeItem name="8929.TW-Price" advise="1">
        <values>
          <value t="str">
            <val>--</val>
          </value>
        </values>
      </ddeItem>
      <ddeItem name="8930.TW-PreClose" advise="1">
        <values>
          <value>
            <val>14.75</val>
          </value>
        </values>
      </ddeItem>
      <ddeItem name="8930.TW-Price" advise="1">
        <values>
          <value t="str">
            <val>--</val>
          </value>
        </values>
      </ddeItem>
      <ddeItem name="8931.TW-PreClose" advise="1">
        <values>
          <value>
            <val>31.8</val>
          </value>
        </values>
      </ddeItem>
      <ddeItem name="8931.TW-Price" advise="1">
        <values>
          <value t="str">
            <val>--</val>
          </value>
        </values>
      </ddeItem>
      <ddeItem name="8932.TW-PreClose" advise="1">
        <values>
          <value t="str">
            <val>--</val>
          </value>
        </values>
      </ddeItem>
      <ddeItem name="8932.TW-Price" advise="1">
        <values>
          <value t="str">
            <val>--</val>
          </value>
        </values>
      </ddeItem>
      <ddeItem name="8933.TW-PreClose" advise="1">
        <values>
          <value>
            <val>11.5</val>
          </value>
        </values>
      </ddeItem>
      <ddeItem name="8933.TW-Price" advise="1">
        <values>
          <value t="str">
            <val>--</val>
          </value>
        </values>
      </ddeItem>
      <ddeItem name="8935.TW-PreClose" advise="1">
        <values>
          <value t="str">
            <val>--</val>
          </value>
        </values>
      </ddeItem>
      <ddeItem name="8935.TW-Price" advise="1">
        <values>
          <value t="str">
            <val>--</val>
          </value>
        </values>
      </ddeItem>
      <ddeItem name="8936.TW-PreClose" advise="1">
        <values>
          <value>
            <val>20.5</val>
          </value>
        </values>
      </ddeItem>
      <ddeItem name="8936.TW-Price" advise="1">
        <values>
          <value t="str">
            <val>--</val>
          </value>
        </values>
      </ddeItem>
      <ddeItem name="8937.TW-PreClose" advise="1">
        <values>
          <value t="str">
            <val>--</val>
          </value>
        </values>
      </ddeItem>
      <ddeItem name="8937.TW-Price" advise="1">
        <values>
          <value t="str">
            <val>--</val>
          </value>
        </values>
      </ddeItem>
      <ddeItem name="8938.TW-PreClose" advise="1">
        <values>
          <value>
            <val>76.3</val>
          </value>
        </values>
      </ddeItem>
      <ddeItem name="8938.TW-Price" advise="1">
        <values>
          <value t="str">
            <val>--</val>
          </value>
        </values>
      </ddeItem>
      <ddeItem name="8940.TW-PreClose" advise="1">
        <values>
          <value t="str">
            <val>--</val>
          </value>
        </values>
      </ddeItem>
      <ddeItem name="8940.TW-Price" advise="1">
        <values>
          <value t="str">
            <val>--</val>
          </value>
        </values>
      </ddeItem>
      <ddeItem name="8941.TW-PreClose" advise="1">
        <values>
          <value t="str">
            <val>--</val>
          </value>
        </values>
      </ddeItem>
      <ddeItem name="8941.TW-Price" advise="1">
        <values>
          <value t="str">
            <val>--</val>
          </value>
        </values>
      </ddeItem>
      <ddeItem name="8942.TW-PreClose" advise="1">
        <values>
          <value>
            <val>68</val>
          </value>
        </values>
      </ddeItem>
      <ddeItem name="8942.TW-Price" advise="1">
        <values>
          <value t="str">
            <val>--</val>
          </value>
        </values>
      </ddeItem>
      <ddeItem name="8996.TW-PreClose" advise="1">
        <values>
          <value t="str">
            <val>--</val>
          </value>
        </values>
      </ddeItem>
      <ddeItem name="8996.TW-Price" advise="1">
        <values>
          <value t="str">
            <val>--</val>
          </value>
        </values>
      </ddeItem>
      <ddeItem name="9802.TW-PreClose" advise="1">
        <values>
          <value>
            <val>99.2</val>
          </value>
        </values>
      </ddeItem>
      <ddeItem name="9802.TW-Price" advise="1">
        <values>
          <value t="str">
            <val>--</val>
          </value>
        </values>
      </ddeItem>
      <ddeItem name="9902.TW-PreClose" advise="1">
        <values>
          <value>
            <val>13.15</val>
          </value>
        </values>
      </ddeItem>
      <ddeItem name="9902.TW-Price" advise="1">
        <values>
          <value t="str">
            <val>--</val>
          </value>
        </values>
      </ddeItem>
      <ddeItem name="9904.TW-PreClose" advise="1">
        <values>
          <value>
            <val>33.799999999999997</val>
          </value>
        </values>
      </ddeItem>
      <ddeItem name="9904.TW-Price" advise="1">
        <values>
          <value t="str">
            <val>--</val>
          </value>
        </values>
      </ddeItem>
      <ddeItem name="9905.TW-PreClose" advise="1">
        <values>
          <value t="str">
            <val>--</val>
          </value>
        </values>
      </ddeItem>
      <ddeItem name="9905.TW-Price" advise="1">
        <values>
          <value t="str">
            <val>--</val>
          </value>
        </values>
      </ddeItem>
      <ddeItem name="9906.TW-PreClose" advise="1">
        <values>
          <value>
            <val>56.6</val>
          </value>
        </values>
      </ddeItem>
      <ddeItem name="9906.TW-Price" advise="1">
        <values>
          <value t="str">
            <val>--</val>
          </value>
        </values>
      </ddeItem>
      <ddeItem name="9907.TW-PreClose" advise="1">
        <values>
          <value t="str">
            <val>--</val>
          </value>
        </values>
      </ddeItem>
      <ddeItem name="9907.TW-Price" advise="1">
        <values>
          <value t="str">
            <val>--</val>
          </value>
        </values>
      </ddeItem>
      <ddeItem name="9908.TW-PreClose" advise="1">
        <values>
          <value>
            <val>33.299999999999997</val>
          </value>
        </values>
      </ddeItem>
      <ddeItem name="9908.TW-Price" advise="1">
        <values>
          <value t="str">
            <val>--</val>
          </value>
        </values>
      </ddeItem>
      <ddeItem name="9910.TW-PreClose" advise="1">
        <values>
          <value>
            <val>211</val>
          </value>
        </values>
      </ddeItem>
      <ddeItem name="9910.TW-Price" advise="1">
        <values>
          <value t="str">
            <val>--</val>
          </value>
        </values>
      </ddeItem>
      <ddeItem name="9911.TW-PreClose" advise="1">
        <values>
          <value>
            <val>68.400000000000006</val>
          </value>
        </values>
      </ddeItem>
      <ddeItem name="9911.TW-Price" advise="1">
        <values>
          <value t="str">
            <val>--</val>
          </value>
        </values>
      </ddeItem>
      <ddeItem name="9912.TW-PreClose" advise="1">
        <values>
          <value>
            <val>8.83</val>
          </value>
        </values>
      </ddeItem>
      <ddeItem name="9912.TW-Price" advise="1">
        <values>
          <value t="str">
            <val>--</val>
          </value>
        </values>
      </ddeItem>
      <ddeItem name="9914.TW-PreClose" advise="1">
        <values>
          <value>
            <val>303.5</val>
          </value>
        </values>
      </ddeItem>
      <ddeItem name="9914.TW-Price" advise="1">
        <values>
          <value t="str">
            <val>--</val>
          </value>
        </values>
      </ddeItem>
      <ddeItem name="9917.TW-PreClose" advise="1">
        <values>
          <value>
            <val>102</val>
          </value>
        </values>
      </ddeItem>
      <ddeItem name="9917.TW-Price" advise="1">
        <values>
          <value t="str">
            <val>--</val>
          </value>
        </values>
      </ddeItem>
      <ddeItem name="9918.TW-PreClose" advise="1">
        <values>
          <value>
            <val>42.6</val>
          </value>
        </values>
      </ddeItem>
      <ddeItem name="9918.TW-Price" advise="1">
        <values>
          <value t="str">
            <val>--</val>
          </value>
        </values>
      </ddeItem>
      <ddeItem name="9919.TW-PreClose" advise="1">
        <values>
          <value t="str">
            <val>--</val>
          </value>
        </values>
      </ddeItem>
      <ddeItem name="9919.TW-Price" advise="1">
        <values>
          <value t="str">
            <val>--</val>
          </value>
        </values>
      </ddeItem>
      <ddeItem name="9921.TW-PreClose" advise="1">
        <values>
          <value>
            <val>316.5</val>
          </value>
        </values>
      </ddeItem>
      <ddeItem name="9921.TW-Price" advise="1">
        <values>
          <value t="str">
            <val>--</val>
          </value>
        </values>
      </ddeItem>
      <ddeItem name="9924.TW-PreClose" advise="1">
        <values>
          <value>
            <val>41.05</val>
          </value>
        </values>
      </ddeItem>
      <ddeItem name="9924.TW-Price" advise="1">
        <values>
          <value t="str">
            <val>--</val>
          </value>
        </values>
      </ddeItem>
      <ddeItem name="9925.TW-PreClose" advise="1">
        <values>
          <value>
            <val>39.200000000000003</val>
          </value>
        </values>
      </ddeItem>
      <ddeItem name="9925.TW-Price" advise="1">
        <values>
          <value t="str">
            <val>--</val>
          </value>
        </values>
      </ddeItem>
      <ddeItem name="9926.TW-PreClose" advise="1">
        <values>
          <value t="str">
            <val>--</val>
          </value>
        </values>
      </ddeItem>
      <ddeItem name="9926.TW-Price" advise="1">
        <values>
          <value t="str">
            <val>--</val>
          </value>
        </values>
      </ddeItem>
      <ddeItem name="9927.TW-PreClose" advise="1">
        <values>
          <value t="str">
            <val>--</val>
          </value>
        </values>
      </ddeItem>
      <ddeItem name="9927.TW-Price" advise="1">
        <values>
          <value t="str">
            <val>--</val>
          </value>
        </values>
      </ddeItem>
      <ddeItem name="9928.TW-PreClose" advise="1">
        <values>
          <value>
            <val>6.12</val>
          </value>
        </values>
      </ddeItem>
      <ddeItem name="9928.TW-Price" advise="1">
        <values>
          <value t="str">
            <val>--</val>
          </value>
        </values>
      </ddeItem>
      <ddeItem name="9929.TW-PreClose" advise="1">
        <values>
          <value t="str">
            <val>--</val>
          </value>
        </values>
      </ddeItem>
      <ddeItem name="9929.TW-Price" advise="1">
        <values>
          <value t="str">
            <val>--</val>
          </value>
        </values>
      </ddeItem>
      <ddeItem name="9930.TW-PreClose" advise="1">
        <values>
          <value t="str">
            <val>--</val>
          </value>
        </values>
      </ddeItem>
      <ddeItem name="9930.TW-Price" advise="1">
        <values>
          <value t="str">
            <val>--</val>
          </value>
        </values>
      </ddeItem>
      <ddeItem name="9931.TW-PreClose" advise="1">
        <values>
          <value>
            <val>39.799999999999997</val>
          </value>
        </values>
      </ddeItem>
      <ddeItem name="9931.TW-Price" advise="1">
        <values>
          <value t="str">
            <val>--</val>
          </value>
        </values>
      </ddeItem>
      <ddeItem name="9933.TW-PreClose" advise="1">
        <values>
          <value>
            <val>36.450000000000003</val>
          </value>
        </values>
      </ddeItem>
      <ddeItem name="9933.TW-Price" advise="1">
        <values>
          <value t="str">
            <val>--</val>
          </value>
        </values>
      </ddeItem>
      <ddeItem name="9934.TW-PreClose" advise="1">
        <values>
          <value>
            <val>14.85</val>
          </value>
        </values>
      </ddeItem>
      <ddeItem name="9934.TW-Price" advise="1">
        <values>
          <value t="str">
            <val>--</val>
          </value>
        </values>
      </ddeItem>
      <ddeItem name="9935.TW-PreClose" advise="1">
        <values>
          <value>
            <val>20.2</val>
          </value>
        </values>
      </ddeItem>
      <ddeItem name="9935.TW-Price" advise="1">
        <values>
          <value t="str">
            <val>--</val>
          </value>
        </values>
      </ddeItem>
      <ddeItem name="9937.TW-PreClose" advise="1">
        <values>
          <value>
            <val>48.4</val>
          </value>
        </values>
      </ddeItem>
      <ddeItem name="9937.TW-Price" advise="1">
        <values>
          <value t="str">
            <val>--</val>
          </value>
        </values>
      </ddeItem>
      <ddeItem name="9938.TW-PreClose" advise="1">
        <values>
          <value>
            <val>81.400000000000006</val>
          </value>
        </values>
      </ddeItem>
      <ddeItem name="9938.TW-Price" advise="1">
        <values>
          <value t="str">
            <val>--</val>
          </value>
        </values>
      </ddeItem>
      <ddeItem name="9939.TW-PreClose" advise="1">
        <values>
          <value t="str">
            <val>--</val>
          </value>
        </values>
      </ddeItem>
      <ddeItem name="9939.TW-Price" advise="1">
        <values>
          <value t="str">
            <val>--</val>
          </value>
        </values>
      </ddeItem>
      <ddeItem name="9940.TW-PreClose" advise="1">
        <values>
          <value t="str">
            <val>--</val>
          </value>
        </values>
      </ddeItem>
      <ddeItem name="9940.TW-Price" advise="1">
        <values>
          <value t="str">
            <val>--</val>
          </value>
        </values>
      </ddeItem>
      <ddeItem name="9941.TW-PreClose" advise="1">
        <values>
          <value>
            <val>171.5</val>
          </value>
        </values>
      </ddeItem>
      <ddeItem name="9941.TW-Price" advise="1">
        <values>
          <value>
            <val>171.5</val>
          </value>
        </values>
      </ddeItem>
      <ddeItem name="9942.TW-PreClose" advise="1">
        <values>
          <value t="str">
            <val>--</val>
          </value>
        </values>
      </ddeItem>
      <ddeItem name="9942.TW-Price" advise="1">
        <values>
          <value t="str">
            <val>--</val>
          </value>
        </values>
      </ddeItem>
      <ddeItem name="9943.TW-PreClose" advise="1">
        <values>
          <value t="str">
            <val>--</val>
          </value>
        </values>
      </ddeItem>
      <ddeItem name="9943.TW-Price" advise="1">
        <values>
          <value t="str">
            <val>--</val>
          </value>
        </values>
      </ddeItem>
      <ddeItem name="9944.TW-PreClose" advise="1">
        <values>
          <value>
            <val>22.7</val>
          </value>
        </values>
      </ddeItem>
      <ddeItem name="9944.TW-Price" advise="1">
        <values>
          <value t="str">
            <val>--</val>
          </value>
        </values>
      </ddeItem>
      <ddeItem name="9945.TW-Capital" advise="1">
        <values>
          <value t="str">
            <val>0.00</val>
          </value>
        </values>
      </ddeItem>
      <ddeItem name="9945.TW-CashAndStockDividend" advise="1">
        <values>
          <value t="str">
            <val>0.00</val>
          </value>
        </values>
      </ddeItem>
      <ddeItem name="9945.TW-CashDividendYieldRate" advise="1">
        <values>
          <value t="str">
            <val>--</val>
          </value>
        </values>
      </ddeItem>
      <ddeItem name="9945.TW-MonthlyNetSalesYoY" advise="1">
        <values>
          <value t="str">
            <val>0.00</val>
          </value>
        </values>
      </ddeItem>
      <ddeItem name="9945.TW-NetIncomeGrowthRate" advise="1">
        <values>
          <value t="str">
            <val>0.00</val>
          </value>
        </values>
      </ddeItem>
      <ddeItem name="9945.TW-NetProfitMargin" advise="1">
        <values>
          <value t="str">
            <val>0.00</val>
          </value>
        </values>
      </ddeItem>
      <ddeItem name="9945.TW-OperatingProfitRatio" advise="1">
        <values>
          <value t="str">
            <val>0.00</val>
          </value>
        </values>
      </ddeItem>
      <ddeItem name="9945.TW-OperIncomeGrowthRate" advise="1">
        <values>
          <value t="str">
            <val>0.00</val>
          </value>
        </values>
      </ddeItem>
      <ddeItem name="9945.TW-PreClose" advise="1">
        <values>
          <value t="str">
            <val>--</val>
          </value>
        </values>
      </ddeItem>
      <ddeItem name="9945.TW-Price" advise="1">
        <values>
          <value t="str">
            <val>--</val>
          </value>
        </values>
      </ddeItem>
      <ddeItem name="9945.TW-ProfitFourSeason" advise="1">
        <values>
          <value t="str">
            <val>0.00</val>
          </value>
        </values>
      </ddeItem>
      <ddeItem name="9945.TW-ProfitMargin" advise="1">
        <values>
          <value t="str">
            <val>0.00</val>
          </value>
        </values>
      </ddeItem>
      <ddeItem name="9945.TW-TFXRatio" advise="1">
        <values>
          <value t="str">
            <val>0.00</val>
          </value>
        </values>
      </ddeItem>
      <ddeItem name="9946.TW-PreClose" advise="1">
        <values>
          <value>
            <val>15.4</val>
          </value>
        </values>
      </ddeItem>
      <ddeItem name="9946.TW-Price" advise="1">
        <values>
          <value t="str">
            <val>--</val>
          </value>
        </values>
      </ddeItem>
      <ddeItem name="9949.TW-PreClose" advise="1">
        <values>
          <value>
            <val>11.6</val>
          </value>
        </values>
      </ddeItem>
      <ddeItem name="9949.TW-Price" advise="1">
        <values>
          <value t="str">
            <val>--</val>
          </value>
        </values>
      </ddeItem>
      <ddeItem name="9950.TW-PreClose" advise="1">
        <values>
          <value>
            <val>9.8000000000000007</val>
          </value>
        </values>
      </ddeItem>
      <ddeItem name="9950.TW-Price" advise="1">
        <values>
          <value t="str">
            <val>--</val>
          </value>
        </values>
      </ddeItem>
      <ddeItem name="9951.TW-PreClose" advise="1">
        <values>
          <value>
            <val>80</val>
          </value>
        </values>
      </ddeItem>
      <ddeItem name="9951.TW-Price" advise="1">
        <values>
          <value t="str">
            <val>--</val>
          </value>
        </values>
      </ddeItem>
      <ddeItem name="9955.TW-PreClose" advise="1">
        <values>
          <value>
            <val>17.25</val>
          </value>
        </values>
      </ddeItem>
      <ddeItem name="9955.TW-Price" advise="1">
        <values>
          <value t="str">
            <val>--</val>
          </value>
        </values>
      </ddeItem>
      <ddeItem name="9958.TW-PreClose" advise="1">
        <values>
          <value t="str">
            <val>--</val>
          </value>
        </values>
      </ddeItem>
      <ddeItem name="9958.TW-Price" advise="1">
        <values>
          <value t="str">
            <val>--</val>
          </value>
        </values>
      </ddeItem>
      <ddeItem name="9960.TW-PreClose" advise="1">
        <values>
          <value t="str">
            <val>--</val>
          </value>
        </values>
      </ddeItem>
      <ddeItem name="9960.TW-Price" advise="1">
        <values>
          <value t="str">
            <val>--</val>
          </value>
        </values>
      </ddeItem>
      <ddeItem name="9962.TW-PreClose" advise="1">
        <values>
          <value t="str">
            <val>--</val>
          </value>
        </values>
      </ddeItem>
      <ddeItem name="9962.TW-Price" advise="1">
        <values>
          <value t="str">
            <val>--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CC24C-34EF-4995-9994-4D68E7EA9344}">
  <sheetPr codeName="工作表2"/>
  <dimension ref="A1:U1748"/>
  <sheetViews>
    <sheetView workbookViewId="0">
      <selection activeCell="U15" sqref="U15"/>
    </sheetView>
  </sheetViews>
  <sheetFormatPr defaultRowHeight="16.2"/>
  <cols>
    <col min="13" max="14" width="2.21875" customWidth="1"/>
  </cols>
  <sheetData>
    <row r="1" spans="1:21">
      <c r="A1" s="60" t="s">
        <v>5495</v>
      </c>
      <c r="B1" s="60"/>
      <c r="C1" s="60"/>
      <c r="D1" s="60"/>
      <c r="E1" s="60"/>
      <c r="F1" s="60"/>
      <c r="G1" s="60"/>
      <c r="H1" s="60"/>
      <c r="I1" s="60"/>
      <c r="J1" s="60"/>
      <c r="O1" s="60" t="s">
        <v>5495</v>
      </c>
      <c r="P1" s="60"/>
      <c r="Q1" s="60"/>
      <c r="R1" s="60"/>
      <c r="S1" s="60"/>
      <c r="T1" s="60"/>
      <c r="U1" s="60"/>
    </row>
    <row r="2" spans="1:21">
      <c r="A2" s="60" t="s">
        <v>5746</v>
      </c>
      <c r="B2" s="60"/>
      <c r="C2" s="60"/>
      <c r="D2" s="60"/>
      <c r="E2" s="60"/>
      <c r="F2" s="60"/>
      <c r="G2" s="60"/>
      <c r="H2" s="60"/>
      <c r="I2" s="60"/>
      <c r="J2" s="60"/>
      <c r="O2" s="60" t="s">
        <v>5746</v>
      </c>
      <c r="P2" s="60"/>
      <c r="Q2" s="60"/>
      <c r="R2" s="60"/>
      <c r="S2" s="60"/>
      <c r="T2" s="60"/>
      <c r="U2" s="60"/>
    </row>
    <row r="3" spans="1:21">
      <c r="A3" s="60" t="s">
        <v>5496</v>
      </c>
      <c r="B3" s="60" t="s">
        <v>5747</v>
      </c>
      <c r="C3" s="60"/>
      <c r="D3" s="60"/>
      <c r="E3" s="60"/>
      <c r="F3" s="60"/>
      <c r="G3" s="60"/>
      <c r="H3" s="60"/>
      <c r="I3" s="60"/>
      <c r="J3" s="60"/>
      <c r="O3" s="60" t="s">
        <v>5496</v>
      </c>
      <c r="P3" s="60" t="s">
        <v>5762</v>
      </c>
      <c r="Q3" s="60"/>
      <c r="R3" s="60"/>
      <c r="S3" s="60"/>
      <c r="T3" s="60"/>
      <c r="U3" s="60"/>
    </row>
    <row r="4" spans="1:21">
      <c r="A4" s="60" t="s">
        <v>5497</v>
      </c>
      <c r="B4" s="60" t="s">
        <v>5498</v>
      </c>
      <c r="C4" s="60" t="s">
        <v>5499</v>
      </c>
      <c r="D4" s="60" t="s">
        <v>5500</v>
      </c>
      <c r="E4" s="60" t="s">
        <v>5501</v>
      </c>
      <c r="F4" s="60" t="s">
        <v>5502</v>
      </c>
      <c r="G4" s="60" t="s">
        <v>5503</v>
      </c>
      <c r="H4" s="60" t="s">
        <v>5504</v>
      </c>
      <c r="I4" s="60" t="s">
        <v>5505</v>
      </c>
      <c r="J4" s="60" t="s">
        <v>5506</v>
      </c>
      <c r="O4" s="60" t="s">
        <v>5497</v>
      </c>
      <c r="P4" s="60" t="s">
        <v>5498</v>
      </c>
      <c r="Q4" s="60" t="s">
        <v>5499</v>
      </c>
      <c r="R4" s="60" t="s">
        <v>5500</v>
      </c>
      <c r="S4" s="60" t="s">
        <v>5501</v>
      </c>
      <c r="T4" s="60" t="s">
        <v>5502</v>
      </c>
      <c r="U4" s="60" t="s">
        <v>5514</v>
      </c>
    </row>
    <row r="5" spans="1:21">
      <c r="A5" s="60" t="s">
        <v>5748</v>
      </c>
      <c r="B5" s="60"/>
      <c r="C5" s="60"/>
      <c r="D5" s="60"/>
      <c r="E5" s="60"/>
      <c r="F5" s="60"/>
      <c r="G5" s="60"/>
      <c r="H5" s="60"/>
      <c r="I5" s="60"/>
      <c r="J5" s="60"/>
      <c r="O5" s="60" t="s">
        <v>5763</v>
      </c>
      <c r="P5" s="60"/>
      <c r="Q5" s="60"/>
      <c r="R5" s="60"/>
      <c r="S5" s="60"/>
      <c r="T5" s="60"/>
      <c r="U5" s="60"/>
    </row>
    <row r="6" spans="1:21">
      <c r="A6" s="60" t="s">
        <v>54</v>
      </c>
      <c r="B6" s="60" t="s">
        <v>272</v>
      </c>
      <c r="C6" s="60" t="s">
        <v>3695</v>
      </c>
      <c r="D6" s="60">
        <v>47.9</v>
      </c>
      <c r="E6" s="60">
        <v>-0.83</v>
      </c>
      <c r="F6" s="60">
        <v>12527</v>
      </c>
      <c r="G6" s="60">
        <v>0.01</v>
      </c>
      <c r="H6" s="60">
        <v>26.26</v>
      </c>
      <c r="I6" s="60">
        <v>0.45</v>
      </c>
      <c r="J6" s="60">
        <v>2.42</v>
      </c>
      <c r="O6" s="60" t="s">
        <v>54</v>
      </c>
      <c r="P6" s="60" t="s">
        <v>272</v>
      </c>
      <c r="Q6" s="60" t="s">
        <v>3695</v>
      </c>
      <c r="R6" s="60">
        <v>47.9</v>
      </c>
      <c r="S6" s="60">
        <v>-0.83</v>
      </c>
      <c r="T6" s="60">
        <v>12527</v>
      </c>
      <c r="U6" s="60">
        <v>69.34</v>
      </c>
    </row>
    <row r="7" spans="1:21">
      <c r="A7" s="60" t="s">
        <v>55</v>
      </c>
      <c r="B7" s="60" t="s">
        <v>274</v>
      </c>
      <c r="C7" s="60" t="s">
        <v>3696</v>
      </c>
      <c r="D7" s="60">
        <v>44.7</v>
      </c>
      <c r="E7" s="60">
        <v>-0.78</v>
      </c>
      <c r="F7" s="60">
        <v>5099</v>
      </c>
      <c r="G7" s="60">
        <v>0.01</v>
      </c>
      <c r="H7" s="60">
        <v>22.86</v>
      </c>
      <c r="I7" s="60">
        <v>0.26</v>
      </c>
      <c r="J7" s="60">
        <v>2.57</v>
      </c>
      <c r="O7" s="60" t="s">
        <v>55</v>
      </c>
      <c r="P7" s="60" t="s">
        <v>274</v>
      </c>
      <c r="Q7" s="60" t="s">
        <v>3696</v>
      </c>
      <c r="R7" s="60">
        <v>44.7</v>
      </c>
      <c r="S7" s="60">
        <v>-0.78</v>
      </c>
      <c r="T7" s="60">
        <v>5099</v>
      </c>
      <c r="U7" s="60">
        <v>79.510000000000005</v>
      </c>
    </row>
    <row r="8" spans="1:21">
      <c r="A8" s="60" t="s">
        <v>56</v>
      </c>
      <c r="B8" s="60" t="s">
        <v>276</v>
      </c>
      <c r="C8" s="60" t="s">
        <v>3697</v>
      </c>
      <c r="D8" s="60">
        <v>21</v>
      </c>
      <c r="E8" s="60">
        <v>-1.41</v>
      </c>
      <c r="F8" s="60">
        <v>1003</v>
      </c>
      <c r="G8" s="60">
        <v>0</v>
      </c>
      <c r="H8" s="60">
        <v>5.77</v>
      </c>
      <c r="I8" s="60">
        <v>1.2</v>
      </c>
      <c r="J8" s="60">
        <v>0.04</v>
      </c>
      <c r="O8" s="60" t="s">
        <v>56</v>
      </c>
      <c r="P8" s="60" t="s">
        <v>276</v>
      </c>
      <c r="Q8" s="60" t="s">
        <v>3697</v>
      </c>
      <c r="R8" s="60">
        <v>21</v>
      </c>
      <c r="S8" s="60">
        <v>-1.41</v>
      </c>
      <c r="T8" s="60">
        <v>1003</v>
      </c>
      <c r="U8" s="60">
        <v>73.63</v>
      </c>
    </row>
    <row r="9" spans="1:21">
      <c r="A9" s="60" t="s">
        <v>57</v>
      </c>
      <c r="B9" s="60" t="s">
        <v>278</v>
      </c>
      <c r="C9" s="60" t="s">
        <v>3698</v>
      </c>
      <c r="D9" s="60">
        <v>21.15</v>
      </c>
      <c r="E9" s="60">
        <v>-0.24</v>
      </c>
      <c r="F9" s="60">
        <v>445</v>
      </c>
      <c r="G9" s="60">
        <v>0.01</v>
      </c>
      <c r="H9" s="60">
        <v>12.12</v>
      </c>
      <c r="I9" s="60">
        <v>1.07</v>
      </c>
      <c r="J9" s="60">
        <v>0</v>
      </c>
      <c r="O9" s="60" t="s">
        <v>57</v>
      </c>
      <c r="P9" s="60" t="s">
        <v>278</v>
      </c>
      <c r="Q9" s="60" t="s">
        <v>3698</v>
      </c>
      <c r="R9" s="60">
        <v>21.15</v>
      </c>
      <c r="S9" s="60">
        <v>-0.24</v>
      </c>
      <c r="T9" s="60">
        <v>445</v>
      </c>
      <c r="U9" s="60">
        <v>71.03</v>
      </c>
    </row>
    <row r="10" spans="1:21">
      <c r="A10" s="60" t="s">
        <v>58</v>
      </c>
      <c r="B10" s="60" t="s">
        <v>280</v>
      </c>
      <c r="C10" s="60" t="s">
        <v>3699</v>
      </c>
      <c r="D10" s="60">
        <v>11.9</v>
      </c>
      <c r="E10" s="60">
        <v>-0.42</v>
      </c>
      <c r="F10" s="60">
        <v>123</v>
      </c>
      <c r="G10" s="60">
        <v>0</v>
      </c>
      <c r="H10" s="60">
        <v>1.04</v>
      </c>
      <c r="I10" s="60">
        <v>3.15</v>
      </c>
      <c r="J10" s="60">
        <v>0</v>
      </c>
      <c r="O10" s="60" t="s">
        <v>58</v>
      </c>
      <c r="P10" s="60" t="s">
        <v>280</v>
      </c>
      <c r="Q10" s="60" t="s">
        <v>3699</v>
      </c>
      <c r="R10" s="60">
        <v>11.9</v>
      </c>
      <c r="S10" s="60">
        <v>-0.42</v>
      </c>
      <c r="T10" s="60">
        <v>123</v>
      </c>
      <c r="U10" s="60">
        <v>77.25</v>
      </c>
    </row>
    <row r="11" spans="1:21">
      <c r="A11" s="60" t="s">
        <v>59</v>
      </c>
      <c r="B11" s="60" t="s">
        <v>282</v>
      </c>
      <c r="C11" s="60" t="s">
        <v>3700</v>
      </c>
      <c r="D11" s="60">
        <v>21.15</v>
      </c>
      <c r="E11" s="60">
        <v>-0.47</v>
      </c>
      <c r="F11" s="60">
        <v>343</v>
      </c>
      <c r="G11" s="60">
        <v>0</v>
      </c>
      <c r="H11" s="60">
        <v>4.72</v>
      </c>
      <c r="I11" s="60">
        <v>1.19</v>
      </c>
      <c r="J11" s="60">
        <v>0</v>
      </c>
      <c r="O11" s="60" t="s">
        <v>59</v>
      </c>
      <c r="P11" s="60" t="s">
        <v>282</v>
      </c>
      <c r="Q11" s="60" t="s">
        <v>3700</v>
      </c>
      <c r="R11" s="60">
        <v>21.15</v>
      </c>
      <c r="S11" s="60">
        <v>-0.47</v>
      </c>
      <c r="T11" s="60">
        <v>343</v>
      </c>
      <c r="U11" s="60">
        <v>75.53</v>
      </c>
    </row>
    <row r="12" spans="1:21">
      <c r="A12" s="60" t="s">
        <v>60</v>
      </c>
      <c r="B12" s="60" t="s">
        <v>284</v>
      </c>
      <c r="C12" s="60" t="s">
        <v>3701</v>
      </c>
      <c r="D12" s="60">
        <v>23.55</v>
      </c>
      <c r="E12" s="60">
        <v>9.5299999999999994</v>
      </c>
      <c r="F12" s="60">
        <v>4802</v>
      </c>
      <c r="G12" s="60">
        <v>0.01</v>
      </c>
      <c r="H12" s="60">
        <v>7.35</v>
      </c>
      <c r="I12" s="60">
        <v>4.12</v>
      </c>
      <c r="J12" s="60">
        <v>0.02</v>
      </c>
      <c r="O12" s="60" t="s">
        <v>60</v>
      </c>
      <c r="P12" s="60" t="s">
        <v>284</v>
      </c>
      <c r="Q12" s="60" t="s">
        <v>3701</v>
      </c>
      <c r="R12" s="60">
        <v>23.55</v>
      </c>
      <c r="S12" s="60">
        <v>9.5299999999999994</v>
      </c>
      <c r="T12" s="60">
        <v>4802</v>
      </c>
      <c r="U12" s="60">
        <v>93.3</v>
      </c>
    </row>
    <row r="13" spans="1:21">
      <c r="A13" s="60" t="s">
        <v>61</v>
      </c>
      <c r="B13" s="60" t="s">
        <v>286</v>
      </c>
      <c r="C13" s="60" t="s">
        <v>3702</v>
      </c>
      <c r="D13" s="60">
        <v>22.3</v>
      </c>
      <c r="E13" s="60">
        <v>0.45</v>
      </c>
      <c r="F13" s="60">
        <v>609</v>
      </c>
      <c r="G13" s="60">
        <v>0.01</v>
      </c>
      <c r="H13" s="60">
        <v>11.48</v>
      </c>
      <c r="I13" s="60">
        <v>2.06</v>
      </c>
      <c r="J13" s="60">
        <v>0</v>
      </c>
      <c r="O13" s="60" t="s">
        <v>61</v>
      </c>
      <c r="P13" s="60" t="s">
        <v>286</v>
      </c>
      <c r="Q13" s="60" t="s">
        <v>3702</v>
      </c>
      <c r="R13" s="60">
        <v>22.3</v>
      </c>
      <c r="S13" s="60">
        <v>0.45</v>
      </c>
      <c r="T13" s="60">
        <v>609</v>
      </c>
      <c r="U13" s="60">
        <v>56.62</v>
      </c>
    </row>
    <row r="14" spans="1:21">
      <c r="A14" s="60" t="s">
        <v>62</v>
      </c>
      <c r="B14" s="60" t="s">
        <v>288</v>
      </c>
      <c r="C14" s="60" t="s">
        <v>3621</v>
      </c>
      <c r="D14" s="60">
        <v>33.15</v>
      </c>
      <c r="E14" s="60">
        <v>-0.15</v>
      </c>
      <c r="F14" s="60">
        <v>4</v>
      </c>
      <c r="G14" s="60">
        <v>0</v>
      </c>
      <c r="H14" s="60">
        <v>1.86</v>
      </c>
      <c r="I14" s="60">
        <v>0.28999999999999998</v>
      </c>
      <c r="J14" s="60">
        <v>0</v>
      </c>
      <c r="O14" s="60" t="s">
        <v>62</v>
      </c>
      <c r="P14" s="60" t="s">
        <v>288</v>
      </c>
      <c r="Q14" s="60" t="s">
        <v>3621</v>
      </c>
      <c r="R14" s="60">
        <v>33.15</v>
      </c>
      <c r="S14" s="60">
        <v>-0.15</v>
      </c>
      <c r="T14" s="60">
        <v>4</v>
      </c>
      <c r="U14" s="60">
        <v>82.82</v>
      </c>
    </row>
    <row r="15" spans="1:21">
      <c r="A15" s="60" t="s">
        <v>63</v>
      </c>
      <c r="B15" s="60" t="s">
        <v>290</v>
      </c>
      <c r="C15" s="60" t="s">
        <v>3703</v>
      </c>
      <c r="D15" s="60">
        <v>53</v>
      </c>
      <c r="E15" s="60">
        <v>-0.38</v>
      </c>
      <c r="F15" s="60">
        <v>1236</v>
      </c>
      <c r="G15" s="60">
        <v>7.0000000000000007E-2</v>
      </c>
      <c r="H15" s="60">
        <v>12.17</v>
      </c>
      <c r="I15" s="60">
        <v>0.55000000000000004</v>
      </c>
      <c r="J15" s="60">
        <v>0.22</v>
      </c>
      <c r="O15" s="60" t="s">
        <v>63</v>
      </c>
      <c r="P15" s="60" t="s">
        <v>290</v>
      </c>
      <c r="Q15" s="60" t="s">
        <v>3703</v>
      </c>
      <c r="R15" s="60">
        <v>53</v>
      </c>
      <c r="S15" s="60">
        <v>-0.38</v>
      </c>
      <c r="T15" s="60">
        <v>1236</v>
      </c>
      <c r="U15" s="60">
        <v>57.09</v>
      </c>
    </row>
    <row r="16" spans="1:21">
      <c r="A16" s="60" t="s">
        <v>64</v>
      </c>
      <c r="B16" s="60" t="s">
        <v>3120</v>
      </c>
      <c r="C16" s="60" t="s">
        <v>3704</v>
      </c>
      <c r="D16" s="60">
        <v>8.1999999999999993</v>
      </c>
      <c r="E16" s="60">
        <v>0.12</v>
      </c>
      <c r="F16" s="60">
        <v>10</v>
      </c>
      <c r="G16" s="60">
        <v>0</v>
      </c>
      <c r="H16" s="60">
        <v>7.0000000000000007E-2</v>
      </c>
      <c r="I16" s="60">
        <v>0</v>
      </c>
      <c r="J16" s="60">
        <v>0</v>
      </c>
      <c r="O16" s="60" t="s">
        <v>64</v>
      </c>
      <c r="P16" s="60" t="s">
        <v>3120</v>
      </c>
      <c r="Q16" s="60" t="s">
        <v>3704</v>
      </c>
      <c r="R16" s="60">
        <v>8.1999999999999993</v>
      </c>
      <c r="S16" s="60">
        <v>0.12</v>
      </c>
      <c r="T16" s="60">
        <v>10</v>
      </c>
      <c r="U16" s="60">
        <v>73.81</v>
      </c>
    </row>
    <row r="17" spans="1:21">
      <c r="A17" s="60" t="s">
        <v>65</v>
      </c>
      <c r="B17" s="60" t="s">
        <v>293</v>
      </c>
      <c r="C17" s="60" t="s">
        <v>3705</v>
      </c>
      <c r="D17" s="60">
        <v>82.3</v>
      </c>
      <c r="E17" s="60">
        <v>0.98</v>
      </c>
      <c r="F17" s="60">
        <v>1940</v>
      </c>
      <c r="G17" s="60">
        <v>0</v>
      </c>
      <c r="H17" s="60">
        <v>40.19</v>
      </c>
      <c r="I17" s="60">
        <v>0.95</v>
      </c>
      <c r="J17" s="60">
        <v>0.87</v>
      </c>
      <c r="O17" s="60" t="s">
        <v>65</v>
      </c>
      <c r="P17" s="60" t="s">
        <v>293</v>
      </c>
      <c r="Q17" s="60" t="s">
        <v>3705</v>
      </c>
      <c r="R17" s="60">
        <v>82.3</v>
      </c>
      <c r="S17" s="60">
        <v>0.98</v>
      </c>
      <c r="T17" s="60">
        <v>1940</v>
      </c>
      <c r="U17" s="60">
        <v>56.65</v>
      </c>
    </row>
    <row r="18" spans="1:21">
      <c r="A18" s="60" t="s">
        <v>66</v>
      </c>
      <c r="B18" s="60" t="s">
        <v>295</v>
      </c>
      <c r="C18" s="60" t="s">
        <v>3706</v>
      </c>
      <c r="D18" s="60">
        <v>67.5</v>
      </c>
      <c r="E18" s="60">
        <v>-1.03</v>
      </c>
      <c r="F18" s="60">
        <v>4183</v>
      </c>
      <c r="G18" s="60">
        <v>0</v>
      </c>
      <c r="H18" s="60">
        <v>45.11</v>
      </c>
      <c r="I18" s="60">
        <v>0.09</v>
      </c>
      <c r="J18" s="60">
        <v>1.1399999999999999</v>
      </c>
      <c r="O18" s="60" t="s">
        <v>66</v>
      </c>
      <c r="P18" s="60" t="s">
        <v>295</v>
      </c>
      <c r="Q18" s="60" t="s">
        <v>3706</v>
      </c>
      <c r="R18" s="60">
        <v>67.5</v>
      </c>
      <c r="S18" s="60">
        <v>-1.03</v>
      </c>
      <c r="T18" s="60">
        <v>4183</v>
      </c>
      <c r="U18" s="60">
        <v>86.08</v>
      </c>
    </row>
    <row r="19" spans="1:21">
      <c r="A19" s="60" t="s">
        <v>67</v>
      </c>
      <c r="B19" s="60" t="s">
        <v>297</v>
      </c>
      <c r="C19" s="60" t="s">
        <v>3707</v>
      </c>
      <c r="D19" s="60">
        <v>10.55</v>
      </c>
      <c r="E19" s="60">
        <v>0.48</v>
      </c>
      <c r="F19" s="60">
        <v>1306</v>
      </c>
      <c r="G19" s="60">
        <v>0.03</v>
      </c>
      <c r="H19" s="60">
        <v>8.2100000000000009</v>
      </c>
      <c r="I19" s="60">
        <v>10.89</v>
      </c>
      <c r="J19" s="60">
        <v>0</v>
      </c>
      <c r="O19" s="60" t="s">
        <v>67</v>
      </c>
      <c r="P19" s="60" t="s">
        <v>297</v>
      </c>
      <c r="Q19" s="60" t="s">
        <v>3707</v>
      </c>
      <c r="R19" s="60">
        <v>10.55</v>
      </c>
      <c r="S19" s="60">
        <v>0.48</v>
      </c>
      <c r="T19" s="60">
        <v>1306</v>
      </c>
      <c r="U19" s="60">
        <v>43.69</v>
      </c>
    </row>
    <row r="20" spans="1:21">
      <c r="A20" s="60" t="s">
        <v>68</v>
      </c>
      <c r="B20" s="60" t="s">
        <v>299</v>
      </c>
      <c r="C20" s="60" t="s">
        <v>3708</v>
      </c>
      <c r="D20" s="60">
        <v>27.4</v>
      </c>
      <c r="E20" s="60">
        <v>-0.18</v>
      </c>
      <c r="F20" s="60">
        <v>308</v>
      </c>
      <c r="G20" s="60">
        <v>0.01</v>
      </c>
      <c r="H20" s="60">
        <v>2.29</v>
      </c>
      <c r="I20" s="60">
        <v>1.8</v>
      </c>
      <c r="J20" s="60">
        <v>0</v>
      </c>
      <c r="O20" s="60" t="s">
        <v>68</v>
      </c>
      <c r="P20" s="60" t="s">
        <v>299</v>
      </c>
      <c r="Q20" s="60" t="s">
        <v>3708</v>
      </c>
      <c r="R20" s="60">
        <v>27.4</v>
      </c>
      <c r="S20" s="60">
        <v>-0.18</v>
      </c>
      <c r="T20" s="60">
        <v>308</v>
      </c>
      <c r="U20" s="60">
        <v>77.47</v>
      </c>
    </row>
    <row r="21" spans="1:21">
      <c r="A21" s="60" t="s">
        <v>69</v>
      </c>
      <c r="B21" s="60" t="s">
        <v>301</v>
      </c>
      <c r="C21" s="60" t="s">
        <v>3631</v>
      </c>
      <c r="D21" s="60">
        <v>20.75</v>
      </c>
      <c r="E21" s="60">
        <v>-0.95</v>
      </c>
      <c r="F21" s="60">
        <v>399</v>
      </c>
      <c r="G21" s="60">
        <v>0</v>
      </c>
      <c r="H21" s="60">
        <v>4.01</v>
      </c>
      <c r="I21" s="60">
        <v>8.65</v>
      </c>
      <c r="J21" s="60">
        <v>0.03</v>
      </c>
      <c r="O21" s="60" t="s">
        <v>69</v>
      </c>
      <c r="P21" s="60" t="s">
        <v>301</v>
      </c>
      <c r="Q21" s="60" t="s">
        <v>3631</v>
      </c>
      <c r="R21" s="60">
        <v>20.75</v>
      </c>
      <c r="S21" s="60">
        <v>-0.95</v>
      </c>
      <c r="T21" s="60">
        <v>399</v>
      </c>
      <c r="U21" s="60">
        <v>70.819999999999993</v>
      </c>
    </row>
    <row r="22" spans="1:21">
      <c r="A22" s="60" t="s">
        <v>70</v>
      </c>
      <c r="B22" s="60" t="s">
        <v>303</v>
      </c>
      <c r="C22" s="60" t="s">
        <v>3709</v>
      </c>
      <c r="D22" s="60">
        <v>15.45</v>
      </c>
      <c r="E22" s="60">
        <v>-0.32</v>
      </c>
      <c r="F22" s="60">
        <v>98</v>
      </c>
      <c r="G22" s="60">
        <v>0.05</v>
      </c>
      <c r="H22" s="60">
        <v>7.41</v>
      </c>
      <c r="I22" s="60">
        <v>2.2400000000000002</v>
      </c>
      <c r="J22" s="60">
        <v>0</v>
      </c>
      <c r="O22" s="60" t="s">
        <v>70</v>
      </c>
      <c r="P22" s="60" t="s">
        <v>303</v>
      </c>
      <c r="Q22" s="60" t="s">
        <v>3709</v>
      </c>
      <c r="R22" s="60">
        <v>15.45</v>
      </c>
      <c r="S22" s="60">
        <v>-0.32</v>
      </c>
      <c r="T22" s="60">
        <v>98</v>
      </c>
      <c r="U22" s="60">
        <v>62.2</v>
      </c>
    </row>
    <row r="23" spans="1:21">
      <c r="A23" s="60" t="s">
        <v>71</v>
      </c>
      <c r="B23" s="60" t="s">
        <v>305</v>
      </c>
      <c r="C23" s="60" t="s">
        <v>3710</v>
      </c>
      <c r="D23" s="60">
        <v>50.4</v>
      </c>
      <c r="E23" s="60">
        <v>0</v>
      </c>
      <c r="F23" s="60">
        <v>52</v>
      </c>
      <c r="G23" s="60">
        <v>0</v>
      </c>
      <c r="H23" s="60">
        <v>0.76</v>
      </c>
      <c r="I23" s="60">
        <v>8.68</v>
      </c>
      <c r="J23" s="60">
        <v>0</v>
      </c>
      <c r="O23" s="60" t="s">
        <v>71</v>
      </c>
      <c r="P23" s="60" t="s">
        <v>305</v>
      </c>
      <c r="Q23" s="60" t="s">
        <v>3710</v>
      </c>
      <c r="R23" s="60">
        <v>50.4</v>
      </c>
      <c r="S23" s="60">
        <v>0</v>
      </c>
      <c r="T23" s="60">
        <v>52</v>
      </c>
      <c r="U23" s="60">
        <v>87.95</v>
      </c>
    </row>
    <row r="24" spans="1:21">
      <c r="A24" s="60" t="s">
        <v>72</v>
      </c>
      <c r="B24" s="60" t="s">
        <v>307</v>
      </c>
      <c r="C24" s="60" t="s">
        <v>3711</v>
      </c>
      <c r="D24" s="60">
        <v>51.7</v>
      </c>
      <c r="E24" s="60">
        <v>0.39</v>
      </c>
      <c r="F24" s="60">
        <v>467</v>
      </c>
      <c r="G24" s="60">
        <v>0</v>
      </c>
      <c r="H24" s="60">
        <v>7.11</v>
      </c>
      <c r="I24" s="60">
        <v>1</v>
      </c>
      <c r="J24" s="60">
        <v>0.17</v>
      </c>
      <c r="O24" s="60" t="s">
        <v>72</v>
      </c>
      <c r="P24" s="60" t="s">
        <v>307</v>
      </c>
      <c r="Q24" s="60" t="s">
        <v>3711</v>
      </c>
      <c r="R24" s="60">
        <v>51.7</v>
      </c>
      <c r="S24" s="60">
        <v>0.39</v>
      </c>
      <c r="T24" s="60">
        <v>467</v>
      </c>
      <c r="U24" s="60">
        <v>69.39</v>
      </c>
    </row>
    <row r="25" spans="1:21">
      <c r="A25" s="60" t="s">
        <v>73</v>
      </c>
      <c r="B25" s="60" t="s">
        <v>309</v>
      </c>
      <c r="C25" s="60" t="s">
        <v>3712</v>
      </c>
      <c r="D25" s="60">
        <v>57</v>
      </c>
      <c r="E25" s="60">
        <v>-0.52</v>
      </c>
      <c r="F25" s="60">
        <v>1332</v>
      </c>
      <c r="G25" s="60">
        <v>0</v>
      </c>
      <c r="H25" s="60">
        <v>12.14</v>
      </c>
      <c r="I25" s="60">
        <v>0.28000000000000003</v>
      </c>
      <c r="J25" s="60">
        <v>0.1</v>
      </c>
      <c r="O25" s="60" t="s">
        <v>73</v>
      </c>
      <c r="P25" s="60" t="s">
        <v>309</v>
      </c>
      <c r="Q25" s="60" t="s">
        <v>3712</v>
      </c>
      <c r="R25" s="60">
        <v>57</v>
      </c>
      <c r="S25" s="60">
        <v>-0.52</v>
      </c>
      <c r="T25" s="60">
        <v>1332</v>
      </c>
      <c r="U25" s="60">
        <v>64.510000000000005</v>
      </c>
    </row>
    <row r="26" spans="1:21">
      <c r="A26" s="60" t="s">
        <v>74</v>
      </c>
      <c r="B26" s="60" t="s">
        <v>311</v>
      </c>
      <c r="C26" s="60" t="s">
        <v>3667</v>
      </c>
      <c r="D26" s="60">
        <v>68.3</v>
      </c>
      <c r="E26" s="60">
        <v>-0.28999999999999998</v>
      </c>
      <c r="F26" s="60">
        <v>99</v>
      </c>
      <c r="G26" s="60">
        <v>0</v>
      </c>
      <c r="H26" s="60">
        <v>2.0099999999999998</v>
      </c>
      <c r="I26" s="60">
        <v>0.24</v>
      </c>
      <c r="J26" s="60">
        <v>0.02</v>
      </c>
      <c r="O26" s="60" t="s">
        <v>74</v>
      </c>
      <c r="P26" s="60" t="s">
        <v>311</v>
      </c>
      <c r="Q26" s="60" t="s">
        <v>3667</v>
      </c>
      <c r="R26" s="60">
        <v>68.3</v>
      </c>
      <c r="S26" s="60">
        <v>-0.28999999999999998</v>
      </c>
      <c r="T26" s="60">
        <v>99</v>
      </c>
      <c r="U26" s="60">
        <v>63.53</v>
      </c>
    </row>
    <row r="27" spans="1:21">
      <c r="A27" s="60" t="s">
        <v>75</v>
      </c>
      <c r="B27" s="60" t="s">
        <v>313</v>
      </c>
      <c r="C27" s="60" t="s">
        <v>3713</v>
      </c>
      <c r="D27" s="60">
        <v>166</v>
      </c>
      <c r="E27" s="60">
        <v>-0.6</v>
      </c>
      <c r="F27" s="60">
        <v>51</v>
      </c>
      <c r="G27" s="60">
        <v>0</v>
      </c>
      <c r="H27" s="60">
        <v>2.17</v>
      </c>
      <c r="I27" s="60">
        <v>0.15</v>
      </c>
      <c r="J27" s="60">
        <v>0.71</v>
      </c>
      <c r="O27" s="60" t="s">
        <v>75</v>
      </c>
      <c r="P27" s="60" t="s">
        <v>313</v>
      </c>
      <c r="Q27" s="60" t="s">
        <v>3713</v>
      </c>
      <c r="R27" s="60">
        <v>166</v>
      </c>
      <c r="S27" s="60">
        <v>-0.6</v>
      </c>
      <c r="T27" s="60">
        <v>51</v>
      </c>
      <c r="U27" s="60">
        <v>76.59</v>
      </c>
    </row>
    <row r="28" spans="1:21">
      <c r="A28" s="60" t="s">
        <v>76</v>
      </c>
      <c r="B28" s="60" t="s">
        <v>315</v>
      </c>
      <c r="C28" s="60" t="s">
        <v>3714</v>
      </c>
      <c r="D28" s="60">
        <v>33.65</v>
      </c>
      <c r="E28" s="60">
        <v>-0.44</v>
      </c>
      <c r="F28" s="60">
        <v>4</v>
      </c>
      <c r="G28" s="60">
        <v>0</v>
      </c>
      <c r="H28" s="60">
        <v>5.28</v>
      </c>
      <c r="I28" s="60">
        <v>0</v>
      </c>
      <c r="J28" s="60">
        <v>0</v>
      </c>
      <c r="O28" s="60" t="s">
        <v>76</v>
      </c>
      <c r="P28" s="60" t="s">
        <v>315</v>
      </c>
      <c r="Q28" s="60" t="s">
        <v>3714</v>
      </c>
      <c r="R28" s="60">
        <v>33.65</v>
      </c>
      <c r="S28" s="60">
        <v>-0.44</v>
      </c>
      <c r="T28" s="60">
        <v>4</v>
      </c>
      <c r="U28" s="60">
        <v>60.89</v>
      </c>
    </row>
    <row r="29" spans="1:21">
      <c r="A29" s="60" t="s">
        <v>77</v>
      </c>
      <c r="B29" s="60" t="s">
        <v>317</v>
      </c>
      <c r="C29" s="60" t="s">
        <v>3715</v>
      </c>
      <c r="D29" s="60">
        <v>35.4</v>
      </c>
      <c r="E29" s="60">
        <v>-0.14000000000000001</v>
      </c>
      <c r="F29" s="60">
        <v>85</v>
      </c>
      <c r="G29" s="60">
        <v>0</v>
      </c>
      <c r="H29" s="60">
        <v>5.23</v>
      </c>
      <c r="I29" s="60">
        <v>0.13</v>
      </c>
      <c r="J29" s="60">
        <v>0</v>
      </c>
      <c r="O29" s="60" t="s">
        <v>77</v>
      </c>
      <c r="P29" s="60" t="s">
        <v>317</v>
      </c>
      <c r="Q29" s="60" t="s">
        <v>3715</v>
      </c>
      <c r="R29" s="60">
        <v>35.4</v>
      </c>
      <c r="S29" s="60">
        <v>-0.14000000000000001</v>
      </c>
      <c r="T29" s="60">
        <v>85</v>
      </c>
      <c r="U29" s="60">
        <v>78.05</v>
      </c>
    </row>
    <row r="30" spans="1:21">
      <c r="A30" s="60" t="s">
        <v>78</v>
      </c>
      <c r="B30" s="60" t="s">
        <v>319</v>
      </c>
      <c r="C30" s="60" t="s">
        <v>3716</v>
      </c>
      <c r="D30" s="60">
        <v>44.65</v>
      </c>
      <c r="E30" s="60">
        <v>0</v>
      </c>
      <c r="F30" s="60">
        <v>13</v>
      </c>
      <c r="G30" s="60">
        <v>0</v>
      </c>
      <c r="H30" s="60">
        <v>0.22</v>
      </c>
      <c r="I30" s="60">
        <v>20.9</v>
      </c>
      <c r="J30" s="60">
        <v>0</v>
      </c>
      <c r="O30" s="60" t="s">
        <v>78</v>
      </c>
      <c r="P30" s="60" t="s">
        <v>319</v>
      </c>
      <c r="Q30" s="60" t="s">
        <v>3716</v>
      </c>
      <c r="R30" s="60">
        <v>44.65</v>
      </c>
      <c r="S30" s="60">
        <v>0</v>
      </c>
      <c r="T30" s="60">
        <v>13</v>
      </c>
      <c r="U30" s="60">
        <v>88.76</v>
      </c>
    </row>
    <row r="31" spans="1:21">
      <c r="A31" s="60" t="s">
        <v>79</v>
      </c>
      <c r="B31" s="60" t="s">
        <v>321</v>
      </c>
      <c r="C31" s="60" t="s">
        <v>3717</v>
      </c>
      <c r="D31" s="60">
        <v>22.25</v>
      </c>
      <c r="E31" s="60">
        <v>-4.91</v>
      </c>
      <c r="F31" s="60">
        <v>4818</v>
      </c>
      <c r="G31" s="60">
        <v>0.14000000000000001</v>
      </c>
      <c r="H31" s="60">
        <v>0.35</v>
      </c>
      <c r="I31" s="60">
        <v>7.17</v>
      </c>
      <c r="J31" s="60">
        <v>0</v>
      </c>
      <c r="O31" s="60" t="s">
        <v>79</v>
      </c>
      <c r="P31" s="60" t="s">
        <v>321</v>
      </c>
      <c r="Q31" s="60" t="s">
        <v>3717</v>
      </c>
      <c r="R31" s="60">
        <v>22.25</v>
      </c>
      <c r="S31" s="60">
        <v>-4.91</v>
      </c>
      <c r="T31" s="60">
        <v>4818</v>
      </c>
      <c r="U31" s="60">
        <v>80.09</v>
      </c>
    </row>
    <row r="32" spans="1:21">
      <c r="A32" s="60" t="s">
        <v>80</v>
      </c>
      <c r="B32" s="60" t="s">
        <v>323</v>
      </c>
      <c r="C32" s="60" t="s">
        <v>5198</v>
      </c>
      <c r="D32" s="60">
        <v>51</v>
      </c>
      <c r="E32" s="60">
        <v>0</v>
      </c>
      <c r="F32" s="60">
        <v>8</v>
      </c>
      <c r="G32" s="60">
        <v>0</v>
      </c>
      <c r="H32" s="60">
        <v>0.28999999999999998</v>
      </c>
      <c r="I32" s="60">
        <v>1.04</v>
      </c>
      <c r="J32" s="60">
        <v>0</v>
      </c>
      <c r="O32" s="60" t="s">
        <v>80</v>
      </c>
      <c r="P32" s="60" t="s">
        <v>323</v>
      </c>
      <c r="Q32" s="60" t="s">
        <v>5198</v>
      </c>
      <c r="R32" s="60">
        <v>51</v>
      </c>
      <c r="S32" s="60">
        <v>0</v>
      </c>
      <c r="T32" s="60">
        <v>8</v>
      </c>
      <c r="U32" s="60">
        <v>37.06</v>
      </c>
    </row>
    <row r="33" spans="1:21">
      <c r="A33" s="60" t="s">
        <v>81</v>
      </c>
      <c r="B33" s="60" t="s">
        <v>325</v>
      </c>
      <c r="C33" s="60" t="s">
        <v>3718</v>
      </c>
      <c r="D33" s="60">
        <v>361.5</v>
      </c>
      <c r="E33" s="60">
        <v>-0.14000000000000001</v>
      </c>
      <c r="F33" s="60">
        <v>25</v>
      </c>
      <c r="G33" s="60">
        <v>0</v>
      </c>
      <c r="H33" s="60">
        <v>5.22</v>
      </c>
      <c r="I33" s="60">
        <v>1.41</v>
      </c>
      <c r="J33" s="60">
        <v>0.1</v>
      </c>
      <c r="O33" s="60" t="s">
        <v>81</v>
      </c>
      <c r="P33" s="60" t="s">
        <v>325</v>
      </c>
      <c r="Q33" s="60" t="s">
        <v>3718</v>
      </c>
      <c r="R33" s="60">
        <v>361.5</v>
      </c>
      <c r="S33" s="60">
        <v>-0.14000000000000001</v>
      </c>
      <c r="T33" s="60">
        <v>25</v>
      </c>
      <c r="U33" s="60">
        <v>49.38</v>
      </c>
    </row>
    <row r="34" spans="1:21">
      <c r="A34" s="60" t="s">
        <v>82</v>
      </c>
      <c r="B34" s="60" t="s">
        <v>327</v>
      </c>
      <c r="C34" s="60" t="s">
        <v>4500</v>
      </c>
      <c r="D34" s="60">
        <v>17.75</v>
      </c>
      <c r="E34" s="60">
        <v>1.43</v>
      </c>
      <c r="F34" s="60">
        <v>9</v>
      </c>
      <c r="G34" s="60">
        <v>0</v>
      </c>
      <c r="H34" s="60">
        <v>72.040000000000006</v>
      </c>
      <c r="I34" s="60">
        <v>0.27</v>
      </c>
      <c r="J34" s="60">
        <v>0</v>
      </c>
      <c r="O34" s="60" t="s">
        <v>82</v>
      </c>
      <c r="P34" s="60" t="s">
        <v>327</v>
      </c>
      <c r="Q34" s="60" t="s">
        <v>4500</v>
      </c>
      <c r="R34" s="60">
        <v>17.75</v>
      </c>
      <c r="S34" s="60">
        <v>1.43</v>
      </c>
      <c r="T34" s="60">
        <v>9</v>
      </c>
      <c r="U34" s="60">
        <v>68.319999999999993</v>
      </c>
    </row>
    <row r="35" spans="1:21">
      <c r="A35" s="60" t="s">
        <v>83</v>
      </c>
      <c r="B35" s="60" t="s">
        <v>329</v>
      </c>
      <c r="C35" s="60" t="s">
        <v>5075</v>
      </c>
      <c r="D35" s="60">
        <v>69.3</v>
      </c>
      <c r="E35" s="60">
        <v>0.28999999999999998</v>
      </c>
      <c r="F35" s="60">
        <v>1</v>
      </c>
      <c r="G35" s="60">
        <v>0</v>
      </c>
      <c r="H35" s="60">
        <v>26.29</v>
      </c>
      <c r="I35" s="60">
        <v>0.12</v>
      </c>
      <c r="J35" s="60">
        <v>0</v>
      </c>
      <c r="O35" s="60" t="s">
        <v>83</v>
      </c>
      <c r="P35" s="60" t="s">
        <v>329</v>
      </c>
      <c r="Q35" s="60" t="s">
        <v>5075</v>
      </c>
      <c r="R35" s="60">
        <v>69.3</v>
      </c>
      <c r="S35" s="60">
        <v>0.28999999999999998</v>
      </c>
      <c r="T35" s="60">
        <v>1</v>
      </c>
      <c r="U35" s="60">
        <v>65.400000000000006</v>
      </c>
    </row>
    <row r="36" spans="1:21">
      <c r="A36" s="60" t="s">
        <v>84</v>
      </c>
      <c r="B36" s="60" t="s">
        <v>331</v>
      </c>
      <c r="C36" s="60" t="s">
        <v>4501</v>
      </c>
      <c r="D36" s="60">
        <v>295</v>
      </c>
      <c r="E36" s="60">
        <v>0</v>
      </c>
      <c r="F36" s="60">
        <v>17</v>
      </c>
      <c r="G36" s="60">
        <v>0</v>
      </c>
      <c r="H36" s="60">
        <v>7.83</v>
      </c>
      <c r="I36" s="60">
        <v>0.05</v>
      </c>
      <c r="J36" s="60">
        <v>0</v>
      </c>
      <c r="O36" s="60" t="s">
        <v>84</v>
      </c>
      <c r="P36" s="60" t="s">
        <v>331</v>
      </c>
      <c r="Q36" s="60" t="s">
        <v>4501</v>
      </c>
      <c r="R36" s="60">
        <v>295</v>
      </c>
      <c r="S36" s="60">
        <v>0</v>
      </c>
      <c r="T36" s="60">
        <v>17</v>
      </c>
      <c r="U36" s="60">
        <v>24.65</v>
      </c>
    </row>
    <row r="37" spans="1:21">
      <c r="A37" s="60" t="s">
        <v>85</v>
      </c>
      <c r="B37" s="60" t="s">
        <v>333</v>
      </c>
      <c r="C37" s="60" t="s">
        <v>5076</v>
      </c>
      <c r="D37" s="60">
        <v>120</v>
      </c>
      <c r="E37" s="60">
        <v>-0.41</v>
      </c>
      <c r="F37" s="60">
        <v>16</v>
      </c>
      <c r="G37" s="60">
        <v>0</v>
      </c>
      <c r="H37" s="60">
        <v>0.19</v>
      </c>
      <c r="I37" s="60">
        <v>0.48</v>
      </c>
      <c r="J37" s="60">
        <v>0</v>
      </c>
      <c r="O37" s="60" t="s">
        <v>85</v>
      </c>
      <c r="P37" s="60" t="s">
        <v>333</v>
      </c>
      <c r="Q37" s="60" t="s">
        <v>5076</v>
      </c>
      <c r="R37" s="60">
        <v>120</v>
      </c>
      <c r="S37" s="60">
        <v>-0.41</v>
      </c>
      <c r="T37" s="60">
        <v>16</v>
      </c>
      <c r="U37" s="60">
        <v>73.760000000000005</v>
      </c>
    </row>
    <row r="38" spans="1:21">
      <c r="A38" s="60" t="s">
        <v>86</v>
      </c>
      <c r="B38" s="60" t="s">
        <v>335</v>
      </c>
      <c r="C38" s="60" t="s">
        <v>3721</v>
      </c>
      <c r="D38" s="60">
        <v>104.5</v>
      </c>
      <c r="E38" s="60">
        <v>0.97</v>
      </c>
      <c r="F38" s="60">
        <v>9244</v>
      </c>
      <c r="G38" s="60">
        <v>0</v>
      </c>
      <c r="H38" s="60">
        <v>39.24</v>
      </c>
      <c r="I38" s="60">
        <v>0.16</v>
      </c>
      <c r="J38" s="60">
        <v>0.98</v>
      </c>
      <c r="O38" s="60" t="s">
        <v>86</v>
      </c>
      <c r="P38" s="60" t="s">
        <v>335</v>
      </c>
      <c r="Q38" s="60" t="s">
        <v>3721</v>
      </c>
      <c r="R38" s="60">
        <v>104.5</v>
      </c>
      <c r="S38" s="60">
        <v>0.97</v>
      </c>
      <c r="T38" s="60">
        <v>9244</v>
      </c>
      <c r="U38" s="60">
        <v>84.05</v>
      </c>
    </row>
    <row r="39" spans="1:21">
      <c r="A39" s="60" t="s">
        <v>87</v>
      </c>
      <c r="B39" s="60" t="s">
        <v>337</v>
      </c>
      <c r="C39" s="60" t="s">
        <v>3722</v>
      </c>
      <c r="D39" s="60">
        <v>85.5</v>
      </c>
      <c r="E39" s="60">
        <v>0.59</v>
      </c>
      <c r="F39" s="60">
        <v>6119</v>
      </c>
      <c r="G39" s="60">
        <v>0</v>
      </c>
      <c r="H39" s="60">
        <v>34</v>
      </c>
      <c r="I39" s="60">
        <v>0.17</v>
      </c>
      <c r="J39" s="60">
        <v>0.89</v>
      </c>
      <c r="O39" s="60" t="s">
        <v>87</v>
      </c>
      <c r="P39" s="60" t="s">
        <v>337</v>
      </c>
      <c r="Q39" s="60" t="s">
        <v>3722</v>
      </c>
      <c r="R39" s="60">
        <v>85.5</v>
      </c>
      <c r="S39" s="60">
        <v>0.59</v>
      </c>
      <c r="T39" s="60">
        <v>6119</v>
      </c>
      <c r="U39" s="60">
        <v>83.99</v>
      </c>
    </row>
    <row r="40" spans="1:21">
      <c r="A40" s="60" t="s">
        <v>88</v>
      </c>
      <c r="B40" s="60" t="s">
        <v>339</v>
      </c>
      <c r="C40" s="60" t="s">
        <v>3658</v>
      </c>
      <c r="D40" s="60">
        <v>32.700000000000003</v>
      </c>
      <c r="E40" s="60">
        <v>-0.91</v>
      </c>
      <c r="F40" s="60">
        <v>8919</v>
      </c>
      <c r="G40" s="60">
        <v>0.13</v>
      </c>
      <c r="H40" s="60">
        <v>40.86</v>
      </c>
      <c r="I40" s="60">
        <v>5.96</v>
      </c>
      <c r="J40" s="60">
        <v>0.13</v>
      </c>
      <c r="O40" s="60" t="s">
        <v>88</v>
      </c>
      <c r="P40" s="60" t="s">
        <v>339</v>
      </c>
      <c r="Q40" s="60" t="s">
        <v>3658</v>
      </c>
      <c r="R40" s="60">
        <v>32.700000000000003</v>
      </c>
      <c r="S40" s="60">
        <v>-0.91</v>
      </c>
      <c r="T40" s="60">
        <v>8919</v>
      </c>
      <c r="U40" s="60">
        <v>65</v>
      </c>
    </row>
    <row r="41" spans="1:21">
      <c r="A41" s="60" t="s">
        <v>89</v>
      </c>
      <c r="B41" s="60" t="s">
        <v>341</v>
      </c>
      <c r="C41" s="60" t="s">
        <v>3723</v>
      </c>
      <c r="D41" s="60">
        <v>34.85</v>
      </c>
      <c r="E41" s="60">
        <v>-0.43</v>
      </c>
      <c r="F41" s="60">
        <v>5807</v>
      </c>
      <c r="G41" s="60">
        <v>0.1</v>
      </c>
      <c r="H41" s="60">
        <v>13.28</v>
      </c>
      <c r="I41" s="60">
        <v>12.17</v>
      </c>
      <c r="J41" s="60">
        <v>0.09</v>
      </c>
      <c r="O41" s="60" t="s">
        <v>89</v>
      </c>
      <c r="P41" s="60" t="s">
        <v>341</v>
      </c>
      <c r="Q41" s="60" t="s">
        <v>3723</v>
      </c>
      <c r="R41" s="60">
        <v>34.85</v>
      </c>
      <c r="S41" s="60">
        <v>-0.43</v>
      </c>
      <c r="T41" s="60">
        <v>5807</v>
      </c>
      <c r="U41" s="60">
        <v>51.46</v>
      </c>
    </row>
    <row r="42" spans="1:21">
      <c r="A42" s="60" t="s">
        <v>90</v>
      </c>
      <c r="B42" s="60" t="s">
        <v>343</v>
      </c>
      <c r="C42" s="60" t="s">
        <v>3724</v>
      </c>
      <c r="D42" s="60">
        <v>20.9</v>
      </c>
      <c r="E42" s="60">
        <v>0</v>
      </c>
      <c r="F42" s="60">
        <v>88</v>
      </c>
      <c r="G42" s="60">
        <v>0</v>
      </c>
      <c r="H42" s="60">
        <v>11.31</v>
      </c>
      <c r="I42" s="60">
        <v>0.56999999999999995</v>
      </c>
      <c r="J42" s="60">
        <v>0</v>
      </c>
      <c r="O42" s="60" t="s">
        <v>90</v>
      </c>
      <c r="P42" s="60" t="s">
        <v>343</v>
      </c>
      <c r="Q42" s="60" t="s">
        <v>3724</v>
      </c>
      <c r="R42" s="60">
        <v>20.9</v>
      </c>
      <c r="S42" s="60">
        <v>0</v>
      </c>
      <c r="T42" s="60">
        <v>88</v>
      </c>
      <c r="U42" s="60">
        <v>79.790000000000006</v>
      </c>
    </row>
    <row r="43" spans="1:21">
      <c r="A43" s="60" t="s">
        <v>91</v>
      </c>
      <c r="B43" s="60" t="s">
        <v>345</v>
      </c>
      <c r="C43" s="60" t="s">
        <v>3725</v>
      </c>
      <c r="D43" s="60">
        <v>37.85</v>
      </c>
      <c r="E43" s="60">
        <v>1.47</v>
      </c>
      <c r="F43" s="60">
        <v>7276</v>
      </c>
      <c r="G43" s="60">
        <v>0.16</v>
      </c>
      <c r="H43" s="60">
        <v>10.54</v>
      </c>
      <c r="I43" s="60">
        <v>16.71</v>
      </c>
      <c r="J43" s="60">
        <v>0.1</v>
      </c>
      <c r="O43" s="60" t="s">
        <v>91</v>
      </c>
      <c r="P43" s="60" t="s">
        <v>345</v>
      </c>
      <c r="Q43" s="60" t="s">
        <v>3725</v>
      </c>
      <c r="R43" s="60">
        <v>37.85</v>
      </c>
      <c r="S43" s="60">
        <v>1.47</v>
      </c>
      <c r="T43" s="60">
        <v>7276</v>
      </c>
      <c r="U43" s="60">
        <v>55.69</v>
      </c>
    </row>
    <row r="44" spans="1:21">
      <c r="A44" s="60" t="s">
        <v>92</v>
      </c>
      <c r="B44" s="60" t="s">
        <v>347</v>
      </c>
      <c r="C44" s="60" t="s">
        <v>3726</v>
      </c>
      <c r="D44" s="60">
        <v>35.049999999999997</v>
      </c>
      <c r="E44" s="60">
        <v>1.01</v>
      </c>
      <c r="F44" s="60">
        <v>1046</v>
      </c>
      <c r="G44" s="60">
        <v>1.51</v>
      </c>
      <c r="H44" s="60">
        <v>3.24</v>
      </c>
      <c r="I44" s="60">
        <v>9.2100000000000009</v>
      </c>
      <c r="J44" s="60">
        <v>0</v>
      </c>
      <c r="O44" s="60" t="s">
        <v>92</v>
      </c>
      <c r="P44" s="60" t="s">
        <v>347</v>
      </c>
      <c r="Q44" s="60" t="s">
        <v>3726</v>
      </c>
      <c r="R44" s="60">
        <v>35.049999999999997</v>
      </c>
      <c r="S44" s="60">
        <v>1.01</v>
      </c>
      <c r="T44" s="60">
        <v>1046</v>
      </c>
      <c r="U44" s="60">
        <v>41.97</v>
      </c>
    </row>
    <row r="45" spans="1:21">
      <c r="A45" s="60" t="s">
        <v>93</v>
      </c>
      <c r="B45" s="60" t="s">
        <v>349</v>
      </c>
      <c r="C45" s="60" t="s">
        <v>3727</v>
      </c>
      <c r="D45" s="60">
        <v>17.649999999999999</v>
      </c>
      <c r="E45" s="60">
        <v>0</v>
      </c>
      <c r="F45" s="60">
        <v>1890</v>
      </c>
      <c r="G45" s="60">
        <v>0.01</v>
      </c>
      <c r="H45" s="60">
        <v>8.94</v>
      </c>
      <c r="I45" s="60">
        <v>5.6</v>
      </c>
      <c r="J45" s="60">
        <v>0.02</v>
      </c>
      <c r="O45" s="60" t="s">
        <v>93</v>
      </c>
      <c r="P45" s="60" t="s">
        <v>349</v>
      </c>
      <c r="Q45" s="60" t="s">
        <v>3727</v>
      </c>
      <c r="R45" s="60">
        <v>17.649999999999999</v>
      </c>
      <c r="S45" s="60">
        <v>0</v>
      </c>
      <c r="T45" s="60">
        <v>1890</v>
      </c>
      <c r="U45" s="60">
        <v>34.1</v>
      </c>
    </row>
    <row r="46" spans="1:21">
      <c r="A46" s="60" t="s">
        <v>94</v>
      </c>
      <c r="B46" s="60" t="s">
        <v>351</v>
      </c>
      <c r="C46" s="60" t="s">
        <v>3650</v>
      </c>
      <c r="D46" s="60">
        <v>28.3</v>
      </c>
      <c r="E46" s="60">
        <v>-0.7</v>
      </c>
      <c r="F46" s="60">
        <v>6465</v>
      </c>
      <c r="G46" s="60">
        <v>0.36</v>
      </c>
      <c r="H46" s="60">
        <v>27.11</v>
      </c>
      <c r="I46" s="60">
        <v>23.77</v>
      </c>
      <c r="J46" s="60">
        <v>0</v>
      </c>
      <c r="O46" s="60" t="s">
        <v>94</v>
      </c>
      <c r="P46" s="60" t="s">
        <v>351</v>
      </c>
      <c r="Q46" s="60" t="s">
        <v>3650</v>
      </c>
      <c r="R46" s="60">
        <v>28.3</v>
      </c>
      <c r="S46" s="60">
        <v>-0.7</v>
      </c>
      <c r="T46" s="60">
        <v>6465</v>
      </c>
      <c r="U46" s="60">
        <v>46.12</v>
      </c>
    </row>
    <row r="47" spans="1:21">
      <c r="A47" s="60" t="s">
        <v>95</v>
      </c>
      <c r="B47" s="60" t="s">
        <v>353</v>
      </c>
      <c r="C47" s="60" t="s">
        <v>3728</v>
      </c>
      <c r="D47" s="60">
        <v>21.95</v>
      </c>
      <c r="E47" s="60">
        <v>-0.9</v>
      </c>
      <c r="F47" s="60">
        <v>4699</v>
      </c>
      <c r="G47" s="60">
        <v>0.05</v>
      </c>
      <c r="H47" s="60">
        <v>9.1</v>
      </c>
      <c r="I47" s="60">
        <v>5.79</v>
      </c>
      <c r="J47" s="60">
        <v>0.01</v>
      </c>
      <c r="O47" s="60" t="s">
        <v>95</v>
      </c>
      <c r="P47" s="60" t="s">
        <v>353</v>
      </c>
      <c r="Q47" s="60" t="s">
        <v>3728</v>
      </c>
      <c r="R47" s="60">
        <v>21.95</v>
      </c>
      <c r="S47" s="60">
        <v>-0.9</v>
      </c>
      <c r="T47" s="60">
        <v>4699</v>
      </c>
      <c r="U47" s="60">
        <v>65.319999999999993</v>
      </c>
    </row>
    <row r="48" spans="1:21">
      <c r="A48" s="60" t="s">
        <v>96</v>
      </c>
      <c r="B48" s="60" t="s">
        <v>355</v>
      </c>
      <c r="C48" s="60" t="s">
        <v>3729</v>
      </c>
      <c r="D48" s="60">
        <v>13.3</v>
      </c>
      <c r="E48" s="60">
        <v>0.38</v>
      </c>
      <c r="F48" s="60">
        <v>24605</v>
      </c>
      <c r="G48" s="60">
        <v>0</v>
      </c>
      <c r="H48" s="60">
        <v>12.19</v>
      </c>
      <c r="I48" s="60">
        <v>18.670000000000002</v>
      </c>
      <c r="J48" s="60">
        <v>0.01</v>
      </c>
      <c r="O48" s="60" t="s">
        <v>96</v>
      </c>
      <c r="P48" s="60" t="s">
        <v>355</v>
      </c>
      <c r="Q48" s="60" t="s">
        <v>3729</v>
      </c>
      <c r="R48" s="60">
        <v>13.3</v>
      </c>
      <c r="S48" s="60">
        <v>0.38</v>
      </c>
      <c r="T48" s="60">
        <v>24605</v>
      </c>
      <c r="U48" s="60">
        <v>29.67</v>
      </c>
    </row>
    <row r="49" spans="1:21">
      <c r="A49" s="60" t="s">
        <v>97</v>
      </c>
      <c r="B49" s="60" t="s">
        <v>357</v>
      </c>
      <c r="C49" s="60" t="s">
        <v>3730</v>
      </c>
      <c r="D49" s="60">
        <v>64.7</v>
      </c>
      <c r="E49" s="60">
        <v>-0.15</v>
      </c>
      <c r="F49" s="60">
        <v>31</v>
      </c>
      <c r="G49" s="60">
        <v>0</v>
      </c>
      <c r="H49" s="60">
        <v>1.68</v>
      </c>
      <c r="I49" s="60">
        <v>1.47</v>
      </c>
      <c r="J49" s="60">
        <v>0.02</v>
      </c>
      <c r="O49" s="60" t="s">
        <v>97</v>
      </c>
      <c r="P49" s="60" t="s">
        <v>357</v>
      </c>
      <c r="Q49" s="60" t="s">
        <v>3730</v>
      </c>
      <c r="R49" s="60">
        <v>64.7</v>
      </c>
      <c r="S49" s="60">
        <v>-0.15</v>
      </c>
      <c r="T49" s="60">
        <v>31</v>
      </c>
      <c r="U49" s="60">
        <v>71.98</v>
      </c>
    </row>
    <row r="50" spans="1:21">
      <c r="A50" s="60" t="s">
        <v>98</v>
      </c>
      <c r="B50" s="60" t="s">
        <v>359</v>
      </c>
      <c r="C50" s="60" t="s">
        <v>4297</v>
      </c>
      <c r="D50" s="60">
        <v>21.2</v>
      </c>
      <c r="E50" s="60">
        <v>0</v>
      </c>
      <c r="F50" s="60">
        <v>20617</v>
      </c>
      <c r="G50" s="60">
        <v>8.65</v>
      </c>
      <c r="H50" s="60">
        <v>3.61</v>
      </c>
      <c r="I50" s="60">
        <v>65.55</v>
      </c>
      <c r="J50" s="60">
        <v>0</v>
      </c>
      <c r="O50" s="60" t="s">
        <v>98</v>
      </c>
      <c r="P50" s="60" t="s">
        <v>359</v>
      </c>
      <c r="Q50" s="60" t="s">
        <v>4297</v>
      </c>
      <c r="R50" s="60">
        <v>21.2</v>
      </c>
      <c r="S50" s="60">
        <v>0</v>
      </c>
      <c r="T50" s="60">
        <v>20617</v>
      </c>
      <c r="U50" s="60">
        <v>44.56</v>
      </c>
    </row>
    <row r="51" spans="1:21">
      <c r="A51" s="60" t="s">
        <v>99</v>
      </c>
      <c r="B51" s="60" t="s">
        <v>361</v>
      </c>
      <c r="C51" s="60" t="s">
        <v>3910</v>
      </c>
      <c r="D51" s="60">
        <v>33.65</v>
      </c>
      <c r="E51" s="60">
        <v>1.2</v>
      </c>
      <c r="F51" s="60">
        <v>548</v>
      </c>
      <c r="G51" s="60">
        <v>0.01</v>
      </c>
      <c r="H51" s="60">
        <v>15.13</v>
      </c>
      <c r="I51" s="60">
        <v>2.31</v>
      </c>
      <c r="J51" s="60">
        <v>0.11</v>
      </c>
      <c r="O51" s="60" t="s">
        <v>99</v>
      </c>
      <c r="P51" s="60" t="s">
        <v>361</v>
      </c>
      <c r="Q51" s="60" t="s">
        <v>3910</v>
      </c>
      <c r="R51" s="60">
        <v>33.65</v>
      </c>
      <c r="S51" s="60">
        <v>1.2</v>
      </c>
      <c r="T51" s="60">
        <v>548</v>
      </c>
      <c r="U51" s="60">
        <v>71.760000000000005</v>
      </c>
    </row>
    <row r="52" spans="1:21">
      <c r="A52" s="60" t="s">
        <v>100</v>
      </c>
      <c r="B52" s="60" t="s">
        <v>363</v>
      </c>
      <c r="C52" s="60" t="s">
        <v>3731</v>
      </c>
      <c r="D52" s="60">
        <v>35.700000000000003</v>
      </c>
      <c r="E52" s="60">
        <v>2</v>
      </c>
      <c r="F52" s="60">
        <v>579</v>
      </c>
      <c r="G52" s="60">
        <v>0</v>
      </c>
      <c r="H52" s="60">
        <v>2.5</v>
      </c>
      <c r="I52" s="60">
        <v>3.6</v>
      </c>
      <c r="J52" s="60">
        <v>0</v>
      </c>
      <c r="O52" s="60" t="s">
        <v>100</v>
      </c>
      <c r="P52" s="60" t="s">
        <v>363</v>
      </c>
      <c r="Q52" s="60" t="s">
        <v>3731</v>
      </c>
      <c r="R52" s="60">
        <v>35.700000000000003</v>
      </c>
      <c r="S52" s="60">
        <v>2</v>
      </c>
      <c r="T52" s="60">
        <v>579</v>
      </c>
      <c r="U52" s="60">
        <v>61.26</v>
      </c>
    </row>
    <row r="53" spans="1:21">
      <c r="A53" s="60" t="s">
        <v>101</v>
      </c>
      <c r="B53" s="60" t="s">
        <v>365</v>
      </c>
      <c r="C53" s="60" t="s">
        <v>3732</v>
      </c>
      <c r="D53" s="60">
        <v>35.299999999999997</v>
      </c>
      <c r="E53" s="60">
        <v>0</v>
      </c>
      <c r="F53" s="60">
        <v>182</v>
      </c>
      <c r="G53" s="60">
        <v>0</v>
      </c>
      <c r="H53" s="60">
        <v>3.47</v>
      </c>
      <c r="I53" s="60">
        <v>1.17</v>
      </c>
      <c r="J53" s="60">
        <v>0</v>
      </c>
      <c r="O53" s="60" t="s">
        <v>101</v>
      </c>
      <c r="P53" s="60" t="s">
        <v>365</v>
      </c>
      <c r="Q53" s="60" t="s">
        <v>3732</v>
      </c>
      <c r="R53" s="60">
        <v>35.299999999999997</v>
      </c>
      <c r="S53" s="60">
        <v>0</v>
      </c>
      <c r="T53" s="60">
        <v>182</v>
      </c>
      <c r="U53" s="60">
        <v>43.23</v>
      </c>
    </row>
    <row r="54" spans="1:21">
      <c r="A54" s="60" t="s">
        <v>102</v>
      </c>
      <c r="B54" s="60" t="s">
        <v>367</v>
      </c>
      <c r="C54" s="60" t="s">
        <v>3733</v>
      </c>
      <c r="D54" s="60">
        <v>11</v>
      </c>
      <c r="E54" s="60">
        <v>-0.9</v>
      </c>
      <c r="F54" s="60">
        <v>273</v>
      </c>
      <c r="G54" s="60">
        <v>0.02</v>
      </c>
      <c r="H54" s="60">
        <v>0.74</v>
      </c>
      <c r="I54" s="60">
        <v>2.2000000000000002</v>
      </c>
      <c r="J54" s="60">
        <v>0</v>
      </c>
      <c r="O54" s="60" t="s">
        <v>102</v>
      </c>
      <c r="P54" s="60" t="s">
        <v>367</v>
      </c>
      <c r="Q54" s="60" t="s">
        <v>3733</v>
      </c>
      <c r="R54" s="60">
        <v>11</v>
      </c>
      <c r="S54" s="60">
        <v>-0.9</v>
      </c>
      <c r="T54" s="60">
        <v>273</v>
      </c>
      <c r="U54" s="60">
        <v>67.25</v>
      </c>
    </row>
    <row r="55" spans="1:21">
      <c r="A55" s="60" t="s">
        <v>103</v>
      </c>
      <c r="B55" s="60" t="s">
        <v>369</v>
      </c>
      <c r="C55" s="60" t="s">
        <v>3554</v>
      </c>
      <c r="D55" s="60">
        <v>41</v>
      </c>
      <c r="E55" s="60">
        <v>3.27</v>
      </c>
      <c r="F55" s="60">
        <v>656</v>
      </c>
      <c r="G55" s="60">
        <v>9.94</v>
      </c>
      <c r="H55" s="60">
        <v>9.57</v>
      </c>
      <c r="I55" s="60">
        <v>17.52</v>
      </c>
      <c r="J55" s="60">
        <v>0</v>
      </c>
      <c r="O55" s="60" t="s">
        <v>103</v>
      </c>
      <c r="P55" s="60" t="s">
        <v>369</v>
      </c>
      <c r="Q55" s="60" t="s">
        <v>3554</v>
      </c>
      <c r="R55" s="60">
        <v>41</v>
      </c>
      <c r="S55" s="60">
        <v>3.27</v>
      </c>
      <c r="T55" s="60">
        <v>656</v>
      </c>
      <c r="U55" s="60">
        <v>41.44</v>
      </c>
    </row>
    <row r="56" spans="1:21">
      <c r="A56" s="60" t="s">
        <v>104</v>
      </c>
      <c r="B56" s="60" t="s">
        <v>371</v>
      </c>
      <c r="C56" s="60" t="s">
        <v>3734</v>
      </c>
      <c r="D56" s="60">
        <v>80.2</v>
      </c>
      <c r="E56" s="60">
        <v>-0.74</v>
      </c>
      <c r="F56" s="60">
        <v>3661</v>
      </c>
      <c r="G56" s="60">
        <v>0</v>
      </c>
      <c r="H56" s="60">
        <v>36.08</v>
      </c>
      <c r="I56" s="60">
        <v>0.11</v>
      </c>
      <c r="J56" s="60">
        <v>0.49</v>
      </c>
      <c r="O56" s="60" t="s">
        <v>104</v>
      </c>
      <c r="P56" s="60" t="s">
        <v>371</v>
      </c>
      <c r="Q56" s="60" t="s">
        <v>3734</v>
      </c>
      <c r="R56" s="60">
        <v>80.2</v>
      </c>
      <c r="S56" s="60">
        <v>-0.74</v>
      </c>
      <c r="T56" s="60">
        <v>3661</v>
      </c>
      <c r="U56" s="60">
        <v>86.02</v>
      </c>
    </row>
    <row r="57" spans="1:21">
      <c r="A57" s="60" t="s">
        <v>105</v>
      </c>
      <c r="B57" s="60" t="s">
        <v>373</v>
      </c>
      <c r="C57" s="60" t="s">
        <v>4865</v>
      </c>
      <c r="D57" s="60">
        <v>20.7</v>
      </c>
      <c r="E57" s="60">
        <v>-0.24</v>
      </c>
      <c r="F57" s="60">
        <v>42</v>
      </c>
      <c r="G57" s="60">
        <v>0.03</v>
      </c>
      <c r="H57" s="60">
        <v>1.35</v>
      </c>
      <c r="I57" s="60">
        <v>11.92</v>
      </c>
      <c r="J57" s="60">
        <v>0</v>
      </c>
      <c r="O57" s="60" t="s">
        <v>105</v>
      </c>
      <c r="P57" s="60" t="s">
        <v>373</v>
      </c>
      <c r="Q57" s="60" t="s">
        <v>4865</v>
      </c>
      <c r="R57" s="60">
        <v>20.7</v>
      </c>
      <c r="S57" s="60">
        <v>-0.24</v>
      </c>
      <c r="T57" s="60">
        <v>42</v>
      </c>
      <c r="U57" s="60">
        <v>43.46</v>
      </c>
    </row>
    <row r="58" spans="1:21">
      <c r="A58" s="60" t="s">
        <v>106</v>
      </c>
      <c r="B58" s="60" t="s">
        <v>375</v>
      </c>
      <c r="C58" s="60" t="s">
        <v>3735</v>
      </c>
      <c r="D58" s="60">
        <v>7.26</v>
      </c>
      <c r="E58" s="60">
        <v>-0.68</v>
      </c>
      <c r="F58" s="60">
        <v>546</v>
      </c>
      <c r="G58" s="60">
        <v>0.12</v>
      </c>
      <c r="H58" s="60">
        <v>24.62</v>
      </c>
      <c r="I58" s="60">
        <v>24.52</v>
      </c>
      <c r="J58" s="60">
        <v>0</v>
      </c>
      <c r="O58" s="60" t="s">
        <v>106</v>
      </c>
      <c r="P58" s="60" t="s">
        <v>375</v>
      </c>
      <c r="Q58" s="60" t="s">
        <v>3735</v>
      </c>
      <c r="R58" s="60">
        <v>7.26</v>
      </c>
      <c r="S58" s="60">
        <v>-0.68</v>
      </c>
      <c r="T58" s="60">
        <v>546</v>
      </c>
      <c r="U58" s="60">
        <v>33.22</v>
      </c>
    </row>
    <row r="59" spans="1:21">
      <c r="A59" s="60" t="s">
        <v>107</v>
      </c>
      <c r="B59" s="60" t="s">
        <v>377</v>
      </c>
      <c r="C59" s="60" t="s">
        <v>3911</v>
      </c>
      <c r="D59" s="60">
        <v>51.4</v>
      </c>
      <c r="E59" s="60">
        <v>0.19</v>
      </c>
      <c r="F59" s="60">
        <v>81</v>
      </c>
      <c r="G59" s="60">
        <v>0</v>
      </c>
      <c r="H59" s="60">
        <v>8.7200000000000006</v>
      </c>
      <c r="I59" s="60">
        <v>16.38</v>
      </c>
      <c r="J59" s="60">
        <v>0</v>
      </c>
      <c r="O59" s="60" t="s">
        <v>107</v>
      </c>
      <c r="P59" s="60" t="s">
        <v>377</v>
      </c>
      <c r="Q59" s="60" t="s">
        <v>3911</v>
      </c>
      <c r="R59" s="60">
        <v>51.4</v>
      </c>
      <c r="S59" s="60">
        <v>0.19</v>
      </c>
      <c r="T59" s="60">
        <v>81</v>
      </c>
      <c r="U59" s="60">
        <v>31.81</v>
      </c>
    </row>
    <row r="60" spans="1:21">
      <c r="A60" s="60" t="s">
        <v>108</v>
      </c>
      <c r="B60" s="60" t="s">
        <v>379</v>
      </c>
      <c r="C60" s="60" t="s">
        <v>3912</v>
      </c>
      <c r="D60" s="60">
        <v>34.299999999999997</v>
      </c>
      <c r="E60" s="60">
        <v>0.28999999999999998</v>
      </c>
      <c r="F60" s="60">
        <v>36</v>
      </c>
      <c r="G60" s="60">
        <v>0</v>
      </c>
      <c r="H60" s="60">
        <v>1.1599999999999999</v>
      </c>
      <c r="I60" s="60">
        <v>4.55</v>
      </c>
      <c r="J60" s="60">
        <v>0</v>
      </c>
      <c r="O60" s="60" t="s">
        <v>108</v>
      </c>
      <c r="P60" s="60" t="s">
        <v>379</v>
      </c>
      <c r="Q60" s="60" t="s">
        <v>3912</v>
      </c>
      <c r="R60" s="60">
        <v>34.299999999999997</v>
      </c>
      <c r="S60" s="60">
        <v>0.28999999999999998</v>
      </c>
      <c r="T60" s="60">
        <v>36</v>
      </c>
      <c r="U60" s="60">
        <v>64.88</v>
      </c>
    </row>
    <row r="61" spans="1:21">
      <c r="A61" s="60" t="s">
        <v>109</v>
      </c>
      <c r="B61" s="60" t="s">
        <v>381</v>
      </c>
      <c r="C61" s="60" t="s">
        <v>3736</v>
      </c>
      <c r="D61" s="60">
        <v>11.6</v>
      </c>
      <c r="E61" s="60">
        <v>0.87</v>
      </c>
      <c r="F61" s="60">
        <v>190</v>
      </c>
      <c r="G61" s="60">
        <v>0.05</v>
      </c>
      <c r="H61" s="60">
        <v>28.67</v>
      </c>
      <c r="I61" s="60">
        <v>4.42</v>
      </c>
      <c r="J61" s="60">
        <v>0</v>
      </c>
      <c r="O61" s="60" t="s">
        <v>109</v>
      </c>
      <c r="P61" s="60" t="s">
        <v>381</v>
      </c>
      <c r="Q61" s="60" t="s">
        <v>3736</v>
      </c>
      <c r="R61" s="60">
        <v>11.6</v>
      </c>
      <c r="S61" s="60">
        <v>0.87</v>
      </c>
      <c r="T61" s="60">
        <v>190</v>
      </c>
      <c r="U61" s="60">
        <v>28.9</v>
      </c>
    </row>
    <row r="62" spans="1:21">
      <c r="A62" s="60" t="s">
        <v>110</v>
      </c>
      <c r="B62" s="60" t="s">
        <v>3121</v>
      </c>
      <c r="C62" s="60" t="s">
        <v>3737</v>
      </c>
      <c r="D62" s="60">
        <v>68.599999999999994</v>
      </c>
      <c r="E62" s="60">
        <v>0.88</v>
      </c>
      <c r="F62" s="60">
        <v>4</v>
      </c>
      <c r="G62" s="60">
        <v>0</v>
      </c>
      <c r="H62" s="60">
        <v>83.67</v>
      </c>
      <c r="I62" s="60">
        <v>0</v>
      </c>
      <c r="J62" s="60">
        <v>0</v>
      </c>
      <c r="O62" s="60" t="s">
        <v>110</v>
      </c>
      <c r="P62" s="60" t="s">
        <v>3121</v>
      </c>
      <c r="Q62" s="60" t="s">
        <v>3737</v>
      </c>
      <c r="R62" s="60">
        <v>68.599999999999994</v>
      </c>
      <c r="S62" s="60">
        <v>0.88</v>
      </c>
      <c r="T62" s="60">
        <v>4</v>
      </c>
      <c r="U62" s="60">
        <v>79.67</v>
      </c>
    </row>
    <row r="63" spans="1:21">
      <c r="A63" s="60" t="s">
        <v>111</v>
      </c>
      <c r="B63" s="60" t="s">
        <v>3122</v>
      </c>
      <c r="C63" s="60" t="s">
        <v>4436</v>
      </c>
      <c r="D63" s="60">
        <v>56.4</v>
      </c>
      <c r="E63" s="60">
        <v>0.18</v>
      </c>
      <c r="F63" s="60">
        <v>63</v>
      </c>
      <c r="G63" s="60">
        <v>0</v>
      </c>
      <c r="H63" s="60">
        <v>53.53</v>
      </c>
      <c r="I63" s="60">
        <v>2.27</v>
      </c>
      <c r="J63" s="60">
        <v>0</v>
      </c>
      <c r="O63" s="60" t="s">
        <v>111</v>
      </c>
      <c r="P63" s="60" t="s">
        <v>3122</v>
      </c>
      <c r="Q63" s="60" t="s">
        <v>4436</v>
      </c>
      <c r="R63" s="60">
        <v>56.4</v>
      </c>
      <c r="S63" s="60">
        <v>0.18</v>
      </c>
      <c r="T63" s="60">
        <v>63</v>
      </c>
      <c r="U63" s="60">
        <v>77.540000000000006</v>
      </c>
    </row>
    <row r="64" spans="1:21">
      <c r="A64" s="60" t="s">
        <v>112</v>
      </c>
      <c r="B64" s="60" t="s">
        <v>383</v>
      </c>
      <c r="C64" s="60" t="s">
        <v>3738</v>
      </c>
      <c r="D64" s="60">
        <v>29.15</v>
      </c>
      <c r="E64" s="60">
        <v>-0.85</v>
      </c>
      <c r="F64" s="60">
        <v>8329</v>
      </c>
      <c r="G64" s="60">
        <v>0.01</v>
      </c>
      <c r="H64" s="60">
        <v>18.61</v>
      </c>
      <c r="I64" s="60">
        <v>0.65</v>
      </c>
      <c r="J64" s="60">
        <v>1.22</v>
      </c>
      <c r="O64" s="60" t="s">
        <v>112</v>
      </c>
      <c r="P64" s="60" t="s">
        <v>383</v>
      </c>
      <c r="Q64" s="60" t="s">
        <v>3738</v>
      </c>
      <c r="R64" s="60">
        <v>29.15</v>
      </c>
      <c r="S64" s="60">
        <v>-0.85</v>
      </c>
      <c r="T64" s="60">
        <v>8329</v>
      </c>
      <c r="U64" s="60">
        <v>87.23</v>
      </c>
    </row>
    <row r="65" spans="1:21">
      <c r="A65" s="60" t="s">
        <v>113</v>
      </c>
      <c r="B65" s="60" t="s">
        <v>385</v>
      </c>
      <c r="C65" s="60" t="s">
        <v>3739</v>
      </c>
      <c r="D65" s="60">
        <v>20.100000000000001</v>
      </c>
      <c r="E65" s="60">
        <v>0.5</v>
      </c>
      <c r="F65" s="60">
        <v>5537</v>
      </c>
      <c r="G65" s="60">
        <v>0.01</v>
      </c>
      <c r="H65" s="60">
        <v>13.54</v>
      </c>
      <c r="I65" s="60">
        <v>3.35</v>
      </c>
      <c r="J65" s="60">
        <v>0</v>
      </c>
      <c r="O65" s="60" t="s">
        <v>113</v>
      </c>
      <c r="P65" s="60" t="s">
        <v>385</v>
      </c>
      <c r="Q65" s="60" t="s">
        <v>3739</v>
      </c>
      <c r="R65" s="60">
        <v>20.100000000000001</v>
      </c>
      <c r="S65" s="60">
        <v>0.5</v>
      </c>
      <c r="T65" s="60">
        <v>5537</v>
      </c>
      <c r="U65" s="60">
        <v>67.25</v>
      </c>
    </row>
    <row r="66" spans="1:21">
      <c r="A66" s="60" t="s">
        <v>114</v>
      </c>
      <c r="B66" s="60" t="s">
        <v>387</v>
      </c>
      <c r="C66" s="60" t="s">
        <v>3740</v>
      </c>
      <c r="D66" s="60">
        <v>37.299999999999997</v>
      </c>
      <c r="E66" s="60">
        <v>-0.13</v>
      </c>
      <c r="F66" s="60">
        <v>54</v>
      </c>
      <c r="G66" s="60">
        <v>0</v>
      </c>
      <c r="H66" s="60">
        <v>20.92</v>
      </c>
      <c r="I66" s="60">
        <v>2.37</v>
      </c>
      <c r="J66" s="60">
        <v>0</v>
      </c>
      <c r="O66" s="60" t="s">
        <v>114</v>
      </c>
      <c r="P66" s="60" t="s">
        <v>387</v>
      </c>
      <c r="Q66" s="60" t="s">
        <v>3740</v>
      </c>
      <c r="R66" s="60">
        <v>37.299999999999997</v>
      </c>
      <c r="S66" s="60">
        <v>-0.13</v>
      </c>
      <c r="T66" s="60">
        <v>54</v>
      </c>
      <c r="U66" s="60">
        <v>68.25</v>
      </c>
    </row>
    <row r="67" spans="1:21">
      <c r="A67" s="60" t="s">
        <v>115</v>
      </c>
      <c r="B67" s="60" t="s">
        <v>3123</v>
      </c>
      <c r="C67" s="60" t="s">
        <v>3586</v>
      </c>
      <c r="D67" s="60">
        <v>10.15</v>
      </c>
      <c r="E67" s="60">
        <v>0.5</v>
      </c>
      <c r="F67" s="60">
        <v>152</v>
      </c>
      <c r="G67" s="60">
        <v>0</v>
      </c>
      <c r="H67" s="60">
        <v>0.33</v>
      </c>
      <c r="I67" s="60">
        <v>0</v>
      </c>
      <c r="J67" s="60">
        <v>0</v>
      </c>
      <c r="O67" s="60" t="s">
        <v>115</v>
      </c>
      <c r="P67" s="60" t="s">
        <v>3123</v>
      </c>
      <c r="Q67" s="60" t="s">
        <v>3586</v>
      </c>
      <c r="R67" s="60">
        <v>10.15</v>
      </c>
      <c r="S67" s="60">
        <v>0.5</v>
      </c>
      <c r="T67" s="60">
        <v>152</v>
      </c>
      <c r="U67" s="60">
        <v>61.96</v>
      </c>
    </row>
    <row r="68" spans="1:21">
      <c r="A68" s="60" t="s">
        <v>116</v>
      </c>
      <c r="B68" s="60" t="s">
        <v>390</v>
      </c>
      <c r="C68" s="60" t="s">
        <v>3574</v>
      </c>
      <c r="D68" s="60">
        <v>17</v>
      </c>
      <c r="E68" s="60">
        <v>-0.57999999999999996</v>
      </c>
      <c r="F68" s="60">
        <v>683</v>
      </c>
      <c r="G68" s="60">
        <v>7.0000000000000007E-2</v>
      </c>
      <c r="H68" s="60">
        <v>0.96</v>
      </c>
      <c r="I68" s="60">
        <v>14.44</v>
      </c>
      <c r="J68" s="60">
        <v>0.06</v>
      </c>
      <c r="O68" s="60" t="s">
        <v>116</v>
      </c>
      <c r="P68" s="60" t="s">
        <v>390</v>
      </c>
      <c r="Q68" s="60" t="s">
        <v>3574</v>
      </c>
      <c r="R68" s="60">
        <v>17</v>
      </c>
      <c r="S68" s="60">
        <v>-0.57999999999999996</v>
      </c>
      <c r="T68" s="60">
        <v>683</v>
      </c>
      <c r="U68" s="60">
        <v>69.180000000000007</v>
      </c>
    </row>
    <row r="69" spans="1:21">
      <c r="A69" s="60" t="s">
        <v>117</v>
      </c>
      <c r="B69" s="60" t="s">
        <v>392</v>
      </c>
      <c r="C69" s="60" t="s">
        <v>4437</v>
      </c>
      <c r="D69" s="60">
        <v>11.2</v>
      </c>
      <c r="E69" s="60">
        <v>-0.44</v>
      </c>
      <c r="F69" s="60">
        <v>173</v>
      </c>
      <c r="G69" s="60">
        <v>0</v>
      </c>
      <c r="H69" s="60">
        <v>9.33</v>
      </c>
      <c r="I69" s="60">
        <v>13.81</v>
      </c>
      <c r="J69" s="60">
        <v>0</v>
      </c>
      <c r="O69" s="60" t="s">
        <v>117</v>
      </c>
      <c r="P69" s="60" t="s">
        <v>392</v>
      </c>
      <c r="Q69" s="60" t="s">
        <v>4437</v>
      </c>
      <c r="R69" s="60">
        <v>11.2</v>
      </c>
      <c r="S69" s="60">
        <v>-0.44</v>
      </c>
      <c r="T69" s="60">
        <v>173</v>
      </c>
      <c r="U69" s="60">
        <v>47.62</v>
      </c>
    </row>
    <row r="70" spans="1:21">
      <c r="A70" s="60" t="s">
        <v>118</v>
      </c>
      <c r="B70" s="60" t="s">
        <v>394</v>
      </c>
      <c r="C70" s="60" t="s">
        <v>3741</v>
      </c>
      <c r="D70" s="60">
        <v>14.85</v>
      </c>
      <c r="E70" s="60">
        <v>0.68</v>
      </c>
      <c r="F70" s="60">
        <v>244</v>
      </c>
      <c r="G70" s="60">
        <v>0.02</v>
      </c>
      <c r="H70" s="60">
        <v>2.9</v>
      </c>
      <c r="I70" s="60">
        <v>9.1199999999999992</v>
      </c>
      <c r="J70" s="60">
        <v>0</v>
      </c>
      <c r="O70" s="60" t="s">
        <v>118</v>
      </c>
      <c r="P70" s="60" t="s">
        <v>394</v>
      </c>
      <c r="Q70" s="60" t="s">
        <v>3741</v>
      </c>
      <c r="R70" s="60">
        <v>14.85</v>
      </c>
      <c r="S70" s="60">
        <v>0.68</v>
      </c>
      <c r="T70" s="60">
        <v>244</v>
      </c>
      <c r="U70" s="60">
        <v>48.37</v>
      </c>
    </row>
    <row r="71" spans="1:21">
      <c r="A71" s="60" t="s">
        <v>119</v>
      </c>
      <c r="B71" s="60" t="s">
        <v>3124</v>
      </c>
      <c r="C71" s="60" t="s">
        <v>3742</v>
      </c>
      <c r="D71" s="60">
        <v>10.7</v>
      </c>
      <c r="E71" s="60">
        <v>0.94</v>
      </c>
      <c r="F71" s="60">
        <v>0</v>
      </c>
      <c r="G71" s="60">
        <v>0</v>
      </c>
      <c r="H71" s="60">
        <v>0.59</v>
      </c>
      <c r="I71" s="60">
        <v>0</v>
      </c>
      <c r="J71" s="60">
        <v>0</v>
      </c>
      <c r="O71" s="60" t="s">
        <v>119</v>
      </c>
      <c r="P71" s="60" t="s">
        <v>3124</v>
      </c>
      <c r="Q71" s="60" t="s">
        <v>3742</v>
      </c>
      <c r="R71" s="60">
        <v>10.7</v>
      </c>
      <c r="S71" s="60">
        <v>0.94</v>
      </c>
      <c r="T71" s="60">
        <v>0</v>
      </c>
      <c r="U71" s="60">
        <v>60.4</v>
      </c>
    </row>
    <row r="72" spans="1:21">
      <c r="A72" s="60" t="s">
        <v>120</v>
      </c>
      <c r="B72" s="60" t="s">
        <v>397</v>
      </c>
      <c r="C72" s="60" t="s">
        <v>3743</v>
      </c>
      <c r="D72" s="60">
        <v>41.95</v>
      </c>
      <c r="E72" s="60">
        <v>0.96</v>
      </c>
      <c r="F72" s="60">
        <v>29</v>
      </c>
      <c r="G72" s="60">
        <v>0</v>
      </c>
      <c r="H72" s="60">
        <v>2.1</v>
      </c>
      <c r="I72" s="60">
        <v>0.55000000000000004</v>
      </c>
      <c r="J72" s="60">
        <v>0</v>
      </c>
      <c r="O72" s="60" t="s">
        <v>120</v>
      </c>
      <c r="P72" s="60" t="s">
        <v>397</v>
      </c>
      <c r="Q72" s="60" t="s">
        <v>3743</v>
      </c>
      <c r="R72" s="60">
        <v>41.95</v>
      </c>
      <c r="S72" s="60">
        <v>0.96</v>
      </c>
      <c r="T72" s="60">
        <v>29</v>
      </c>
      <c r="U72" s="60">
        <v>86.23</v>
      </c>
    </row>
    <row r="73" spans="1:21">
      <c r="A73" s="60" t="s">
        <v>121</v>
      </c>
      <c r="B73" s="60" t="s">
        <v>399</v>
      </c>
      <c r="C73" s="60" t="s">
        <v>3744</v>
      </c>
      <c r="D73" s="60">
        <v>19.350000000000001</v>
      </c>
      <c r="E73" s="60">
        <v>1.31</v>
      </c>
      <c r="F73" s="60">
        <v>140</v>
      </c>
      <c r="G73" s="60">
        <v>0.02</v>
      </c>
      <c r="H73" s="60">
        <v>1.39</v>
      </c>
      <c r="I73" s="60">
        <v>8.32</v>
      </c>
      <c r="J73" s="60">
        <v>0</v>
      </c>
      <c r="O73" s="60" t="s">
        <v>121</v>
      </c>
      <c r="P73" s="60" t="s">
        <v>399</v>
      </c>
      <c r="Q73" s="60" t="s">
        <v>3744</v>
      </c>
      <c r="R73" s="60">
        <v>19.350000000000001</v>
      </c>
      <c r="S73" s="60">
        <v>1.31</v>
      </c>
      <c r="T73" s="60">
        <v>140</v>
      </c>
      <c r="U73" s="60">
        <v>70.8</v>
      </c>
    </row>
    <row r="74" spans="1:21">
      <c r="A74" s="60" t="s">
        <v>122</v>
      </c>
      <c r="B74" s="60" t="s">
        <v>401</v>
      </c>
      <c r="C74" s="60" t="s">
        <v>4408</v>
      </c>
      <c r="D74" s="60">
        <v>13.05</v>
      </c>
      <c r="E74" s="60">
        <v>1.56</v>
      </c>
      <c r="F74" s="60">
        <v>54</v>
      </c>
      <c r="G74" s="60">
        <v>0</v>
      </c>
      <c r="H74" s="60">
        <v>0.25</v>
      </c>
      <c r="I74" s="60">
        <v>0</v>
      </c>
      <c r="J74" s="60">
        <v>0</v>
      </c>
      <c r="O74" s="60" t="s">
        <v>122</v>
      </c>
      <c r="P74" s="60" t="s">
        <v>401</v>
      </c>
      <c r="Q74" s="60" t="s">
        <v>4408</v>
      </c>
      <c r="R74" s="60">
        <v>13.05</v>
      </c>
      <c r="S74" s="60">
        <v>1.56</v>
      </c>
      <c r="T74" s="60">
        <v>54</v>
      </c>
      <c r="U74" s="60">
        <v>59.51</v>
      </c>
    </row>
    <row r="75" spans="1:21">
      <c r="A75" s="60" t="s">
        <v>123</v>
      </c>
      <c r="B75" s="60" t="s">
        <v>403</v>
      </c>
      <c r="C75" s="60" t="s">
        <v>3745</v>
      </c>
      <c r="D75" s="60">
        <v>29.25</v>
      </c>
      <c r="E75" s="60">
        <v>-0.34</v>
      </c>
      <c r="F75" s="60">
        <v>1784</v>
      </c>
      <c r="G75" s="60">
        <v>0</v>
      </c>
      <c r="H75" s="60">
        <v>16.670000000000002</v>
      </c>
      <c r="I75" s="60">
        <v>0.38</v>
      </c>
      <c r="J75" s="60">
        <v>4.0599999999999996</v>
      </c>
      <c r="O75" s="60" t="s">
        <v>123</v>
      </c>
      <c r="P75" s="60" t="s">
        <v>403</v>
      </c>
      <c r="Q75" s="60" t="s">
        <v>3745</v>
      </c>
      <c r="R75" s="60">
        <v>29.25</v>
      </c>
      <c r="S75" s="60">
        <v>-0.34</v>
      </c>
      <c r="T75" s="60">
        <v>1784</v>
      </c>
      <c r="U75" s="60">
        <v>79.19</v>
      </c>
    </row>
    <row r="76" spans="1:21">
      <c r="A76" s="60" t="s">
        <v>124</v>
      </c>
      <c r="B76" s="60" t="s">
        <v>3125</v>
      </c>
      <c r="C76" s="60" t="s">
        <v>4438</v>
      </c>
      <c r="D76" s="60">
        <v>27.05</v>
      </c>
      <c r="E76" s="60">
        <v>0.19</v>
      </c>
      <c r="F76" s="60">
        <v>94</v>
      </c>
      <c r="G76" s="60">
        <v>0</v>
      </c>
      <c r="H76" s="60">
        <v>0.19</v>
      </c>
      <c r="I76" s="60">
        <v>0</v>
      </c>
      <c r="J76" s="60">
        <v>0</v>
      </c>
      <c r="O76" s="60" t="s">
        <v>124</v>
      </c>
      <c r="P76" s="60" t="s">
        <v>3125</v>
      </c>
      <c r="Q76" s="60" t="s">
        <v>4438</v>
      </c>
      <c r="R76" s="60">
        <v>27.05</v>
      </c>
      <c r="S76" s="60">
        <v>0.19</v>
      </c>
      <c r="T76" s="60">
        <v>94</v>
      </c>
      <c r="U76" s="60">
        <v>85.92</v>
      </c>
    </row>
    <row r="77" spans="1:21">
      <c r="A77" s="60" t="s">
        <v>125</v>
      </c>
      <c r="B77" s="60" t="s">
        <v>406</v>
      </c>
      <c r="C77" s="60" t="s">
        <v>4299</v>
      </c>
      <c r="D77" s="60">
        <v>54.1</v>
      </c>
      <c r="E77" s="60">
        <v>-0.37</v>
      </c>
      <c r="F77" s="60">
        <v>79</v>
      </c>
      <c r="G77" s="60">
        <v>0.03</v>
      </c>
      <c r="H77" s="60">
        <v>0.44</v>
      </c>
      <c r="I77" s="60">
        <v>2.37</v>
      </c>
      <c r="J77" s="60">
        <v>0</v>
      </c>
      <c r="O77" s="60" t="s">
        <v>125</v>
      </c>
      <c r="P77" s="60" t="s">
        <v>406</v>
      </c>
      <c r="Q77" s="60" t="s">
        <v>4299</v>
      </c>
      <c r="R77" s="60">
        <v>54.1</v>
      </c>
      <c r="S77" s="60">
        <v>-0.37</v>
      </c>
      <c r="T77" s="60">
        <v>79</v>
      </c>
      <c r="U77" s="60">
        <v>81.53</v>
      </c>
    </row>
    <row r="78" spans="1:21">
      <c r="A78" s="60" t="s">
        <v>126</v>
      </c>
      <c r="B78" s="60" t="s">
        <v>408</v>
      </c>
      <c r="C78" s="60" t="s">
        <v>4439</v>
      </c>
      <c r="D78" s="60">
        <v>25.7</v>
      </c>
      <c r="E78" s="60">
        <v>-0.19</v>
      </c>
      <c r="F78" s="60">
        <v>146</v>
      </c>
      <c r="G78" s="60">
        <v>0</v>
      </c>
      <c r="H78" s="60">
        <v>5.25</v>
      </c>
      <c r="I78" s="60">
        <v>2.2400000000000002</v>
      </c>
      <c r="J78" s="60">
        <v>0</v>
      </c>
      <c r="O78" s="60" t="s">
        <v>126</v>
      </c>
      <c r="P78" s="60" t="s">
        <v>408</v>
      </c>
      <c r="Q78" s="60" t="s">
        <v>4439</v>
      </c>
      <c r="R78" s="60">
        <v>25.7</v>
      </c>
      <c r="S78" s="60">
        <v>-0.19</v>
      </c>
      <c r="T78" s="60">
        <v>146</v>
      </c>
      <c r="U78" s="60">
        <v>63.29</v>
      </c>
    </row>
    <row r="79" spans="1:21">
      <c r="A79" s="60" t="s">
        <v>127</v>
      </c>
      <c r="B79" s="60" t="s">
        <v>3126</v>
      </c>
      <c r="C79" s="60" t="s">
        <v>4300</v>
      </c>
      <c r="D79" s="60">
        <v>33.950000000000003</v>
      </c>
      <c r="E79" s="60">
        <v>1.8</v>
      </c>
      <c r="F79" s="60">
        <v>429</v>
      </c>
      <c r="G79" s="60">
        <v>0.12</v>
      </c>
      <c r="H79" s="60">
        <v>0.37</v>
      </c>
      <c r="I79" s="60">
        <v>4.0599999999999996</v>
      </c>
      <c r="J79" s="60">
        <v>0</v>
      </c>
      <c r="O79" s="60" t="s">
        <v>127</v>
      </c>
      <c r="P79" s="60" t="s">
        <v>3126</v>
      </c>
      <c r="Q79" s="60" t="s">
        <v>4300</v>
      </c>
      <c r="R79" s="60">
        <v>33.950000000000003</v>
      </c>
      <c r="S79" s="60">
        <v>1.8</v>
      </c>
      <c r="T79" s="60">
        <v>429</v>
      </c>
      <c r="U79" s="60">
        <v>58.76</v>
      </c>
    </row>
    <row r="80" spans="1:21">
      <c r="A80" s="60" t="s">
        <v>128</v>
      </c>
      <c r="B80" s="60" t="s">
        <v>411</v>
      </c>
      <c r="C80" s="60" t="s">
        <v>3746</v>
      </c>
      <c r="D80" s="60">
        <v>24.2</v>
      </c>
      <c r="E80" s="60">
        <v>-3.2</v>
      </c>
      <c r="F80" s="60">
        <v>65</v>
      </c>
      <c r="G80" s="60">
        <v>0</v>
      </c>
      <c r="H80" s="60">
        <v>0.47</v>
      </c>
      <c r="I80" s="60">
        <v>2.83</v>
      </c>
      <c r="J80" s="60">
        <v>0</v>
      </c>
      <c r="O80" s="60" t="s">
        <v>128</v>
      </c>
      <c r="P80" s="60" t="s">
        <v>411</v>
      </c>
      <c r="Q80" s="60" t="s">
        <v>3746</v>
      </c>
      <c r="R80" s="60">
        <v>24.2</v>
      </c>
      <c r="S80" s="60">
        <v>-3.2</v>
      </c>
      <c r="T80" s="60">
        <v>65</v>
      </c>
      <c r="U80" s="60">
        <v>74.09</v>
      </c>
    </row>
    <row r="81" spans="1:21">
      <c r="A81" s="60" t="s">
        <v>129</v>
      </c>
      <c r="B81" s="60" t="s">
        <v>413</v>
      </c>
      <c r="C81" s="60" t="s">
        <v>3533</v>
      </c>
      <c r="D81" s="60">
        <v>23.65</v>
      </c>
      <c r="E81" s="60">
        <v>1.07</v>
      </c>
      <c r="F81" s="60">
        <v>5064</v>
      </c>
      <c r="G81" s="60">
        <v>0.16</v>
      </c>
      <c r="H81" s="60">
        <v>5.67</v>
      </c>
      <c r="I81" s="60">
        <v>7.07</v>
      </c>
      <c r="J81" s="60">
        <v>0.08</v>
      </c>
      <c r="O81" s="60" t="s">
        <v>129</v>
      </c>
      <c r="P81" s="60" t="s">
        <v>413</v>
      </c>
      <c r="Q81" s="60" t="s">
        <v>3533</v>
      </c>
      <c r="R81" s="60">
        <v>23.65</v>
      </c>
      <c r="S81" s="60">
        <v>1.07</v>
      </c>
      <c r="T81" s="60">
        <v>5064</v>
      </c>
      <c r="U81" s="60">
        <v>71.069999999999993</v>
      </c>
    </row>
    <row r="82" spans="1:21">
      <c r="A82" s="60" t="s">
        <v>130</v>
      </c>
      <c r="B82" s="60" t="s">
        <v>3127</v>
      </c>
      <c r="C82" s="60" t="s">
        <v>3583</v>
      </c>
      <c r="D82" s="60">
        <v>9.41</v>
      </c>
      <c r="E82" s="60">
        <v>0.32</v>
      </c>
      <c r="F82" s="60">
        <v>84</v>
      </c>
      <c r="G82" s="60">
        <v>0</v>
      </c>
      <c r="H82" s="60">
        <v>1.49</v>
      </c>
      <c r="I82" s="60">
        <v>0</v>
      </c>
      <c r="J82" s="60">
        <v>0</v>
      </c>
      <c r="O82" s="60" t="s">
        <v>130</v>
      </c>
      <c r="P82" s="60" t="s">
        <v>3127</v>
      </c>
      <c r="Q82" s="60" t="s">
        <v>3583</v>
      </c>
      <c r="R82" s="60">
        <v>9.41</v>
      </c>
      <c r="S82" s="60">
        <v>0.32</v>
      </c>
      <c r="T82" s="60">
        <v>84</v>
      </c>
      <c r="U82" s="60">
        <v>51.65</v>
      </c>
    </row>
    <row r="83" spans="1:21">
      <c r="A83" s="60" t="s">
        <v>131</v>
      </c>
      <c r="B83" s="60" t="s">
        <v>416</v>
      </c>
      <c r="C83" s="60" t="s">
        <v>4301</v>
      </c>
      <c r="D83" s="60">
        <v>24.75</v>
      </c>
      <c r="E83" s="60">
        <v>1.02</v>
      </c>
      <c r="F83" s="60">
        <v>748</v>
      </c>
      <c r="G83" s="60">
        <v>0.34</v>
      </c>
      <c r="H83" s="60">
        <v>4.26</v>
      </c>
      <c r="I83" s="60">
        <v>11.13</v>
      </c>
      <c r="J83" s="60">
        <v>0.03</v>
      </c>
      <c r="O83" s="60" t="s">
        <v>131</v>
      </c>
      <c r="P83" s="60" t="s">
        <v>416</v>
      </c>
      <c r="Q83" s="60" t="s">
        <v>4301</v>
      </c>
      <c r="R83" s="60">
        <v>24.75</v>
      </c>
      <c r="S83" s="60">
        <v>1.02</v>
      </c>
      <c r="T83" s="60">
        <v>748</v>
      </c>
      <c r="U83" s="60">
        <v>72.83</v>
      </c>
    </row>
    <row r="84" spans="1:21">
      <c r="A84" s="60" t="s">
        <v>132</v>
      </c>
      <c r="B84" s="60" t="s">
        <v>3128</v>
      </c>
      <c r="C84" s="60" t="s">
        <v>3747</v>
      </c>
      <c r="D84" s="60">
        <v>17</v>
      </c>
      <c r="E84" s="60">
        <v>1.49</v>
      </c>
      <c r="F84" s="60">
        <v>60</v>
      </c>
      <c r="G84" s="60">
        <v>0</v>
      </c>
      <c r="H84" s="60">
        <v>0.14000000000000001</v>
      </c>
      <c r="I84" s="60">
        <v>0</v>
      </c>
      <c r="J84" s="60">
        <v>0</v>
      </c>
      <c r="O84" s="60" t="s">
        <v>132</v>
      </c>
      <c r="P84" s="60" t="s">
        <v>3128</v>
      </c>
      <c r="Q84" s="60" t="s">
        <v>3747</v>
      </c>
      <c r="R84" s="60">
        <v>17</v>
      </c>
      <c r="S84" s="60">
        <v>1.49</v>
      </c>
      <c r="T84" s="60">
        <v>60</v>
      </c>
      <c r="U84" s="60">
        <v>75.41</v>
      </c>
    </row>
    <row r="85" spans="1:21">
      <c r="A85" s="60" t="s">
        <v>133</v>
      </c>
      <c r="B85" s="60" t="s">
        <v>419</v>
      </c>
      <c r="C85" s="60" t="s">
        <v>3748</v>
      </c>
      <c r="D85" s="60">
        <v>11.5</v>
      </c>
      <c r="E85" s="60">
        <v>0.44</v>
      </c>
      <c r="F85" s="60">
        <v>3132</v>
      </c>
      <c r="G85" s="60">
        <v>0.15</v>
      </c>
      <c r="H85" s="60">
        <v>6.97</v>
      </c>
      <c r="I85" s="60">
        <v>8.0299999999999994</v>
      </c>
      <c r="J85" s="60">
        <v>0.09</v>
      </c>
      <c r="O85" s="60" t="s">
        <v>133</v>
      </c>
      <c r="P85" s="60" t="s">
        <v>419</v>
      </c>
      <c r="Q85" s="60" t="s">
        <v>3748</v>
      </c>
      <c r="R85" s="60">
        <v>11.5</v>
      </c>
      <c r="S85" s="60">
        <v>0.44</v>
      </c>
      <c r="T85" s="60">
        <v>3132</v>
      </c>
      <c r="U85" s="60">
        <v>56.68</v>
      </c>
    </row>
    <row r="86" spans="1:21">
      <c r="A86" s="60" t="s">
        <v>134</v>
      </c>
      <c r="B86" s="60" t="s">
        <v>421</v>
      </c>
      <c r="C86" s="60" t="s">
        <v>3619</v>
      </c>
      <c r="D86" s="60">
        <v>15</v>
      </c>
      <c r="E86" s="60">
        <v>1.01</v>
      </c>
      <c r="F86" s="60">
        <v>412</v>
      </c>
      <c r="G86" s="60">
        <v>0.01</v>
      </c>
      <c r="H86" s="60">
        <v>1.79</v>
      </c>
      <c r="I86" s="60">
        <v>10.51</v>
      </c>
      <c r="J86" s="60">
        <v>0.02</v>
      </c>
      <c r="O86" s="60" t="s">
        <v>134</v>
      </c>
      <c r="P86" s="60" t="s">
        <v>421</v>
      </c>
      <c r="Q86" s="60" t="s">
        <v>3619</v>
      </c>
      <c r="R86" s="60">
        <v>15</v>
      </c>
      <c r="S86" s="60">
        <v>1.01</v>
      </c>
      <c r="T86" s="60">
        <v>412</v>
      </c>
      <c r="U86" s="60">
        <v>56.22</v>
      </c>
    </row>
    <row r="87" spans="1:21">
      <c r="A87" s="60" t="s">
        <v>135</v>
      </c>
      <c r="B87" s="60" t="s">
        <v>423</v>
      </c>
      <c r="C87" s="60" t="s">
        <v>3749</v>
      </c>
      <c r="D87" s="60">
        <v>33.450000000000003</v>
      </c>
      <c r="E87" s="60">
        <v>-0.74</v>
      </c>
      <c r="F87" s="60">
        <v>135</v>
      </c>
      <c r="G87" s="60">
        <v>0</v>
      </c>
      <c r="H87" s="60">
        <v>1.3</v>
      </c>
      <c r="I87" s="60">
        <v>10.24</v>
      </c>
      <c r="J87" s="60">
        <v>0</v>
      </c>
      <c r="O87" s="60" t="s">
        <v>135</v>
      </c>
      <c r="P87" s="60" t="s">
        <v>423</v>
      </c>
      <c r="Q87" s="60" t="s">
        <v>3749</v>
      </c>
      <c r="R87" s="60">
        <v>33.450000000000003</v>
      </c>
      <c r="S87" s="60">
        <v>-0.74</v>
      </c>
      <c r="T87" s="60">
        <v>135</v>
      </c>
      <c r="U87" s="60">
        <v>66.36</v>
      </c>
    </row>
    <row r="88" spans="1:21">
      <c r="A88" s="60" t="s">
        <v>136</v>
      </c>
      <c r="B88" s="60" t="s">
        <v>425</v>
      </c>
      <c r="C88" s="60" t="s">
        <v>3750</v>
      </c>
      <c r="D88" s="60">
        <v>10.35</v>
      </c>
      <c r="E88" s="60">
        <v>0.98</v>
      </c>
      <c r="F88" s="60">
        <v>1924</v>
      </c>
      <c r="G88" s="60">
        <v>0.06</v>
      </c>
      <c r="H88" s="60">
        <v>6.82</v>
      </c>
      <c r="I88" s="60">
        <v>9.9</v>
      </c>
      <c r="J88" s="60">
        <v>0.11</v>
      </c>
      <c r="O88" s="60" t="s">
        <v>136</v>
      </c>
      <c r="P88" s="60" t="s">
        <v>425</v>
      </c>
      <c r="Q88" s="60" t="s">
        <v>3750</v>
      </c>
      <c r="R88" s="60">
        <v>10.35</v>
      </c>
      <c r="S88" s="60">
        <v>0.98</v>
      </c>
      <c r="T88" s="60">
        <v>1924</v>
      </c>
      <c r="U88" s="60">
        <v>63.05</v>
      </c>
    </row>
    <row r="89" spans="1:21">
      <c r="A89" s="60" t="s">
        <v>137</v>
      </c>
      <c r="B89" s="60" t="s">
        <v>427</v>
      </c>
      <c r="C89" s="60" t="s">
        <v>3751</v>
      </c>
      <c r="D89" s="60">
        <v>16.5</v>
      </c>
      <c r="E89" s="60">
        <v>10</v>
      </c>
      <c r="F89" s="60">
        <v>1261</v>
      </c>
      <c r="G89" s="60">
        <v>0</v>
      </c>
      <c r="H89" s="60">
        <v>16.25</v>
      </c>
      <c r="I89" s="60">
        <v>7.83</v>
      </c>
      <c r="J89" s="60">
        <v>0</v>
      </c>
      <c r="O89" s="60" t="s">
        <v>137</v>
      </c>
      <c r="P89" s="60" t="s">
        <v>427</v>
      </c>
      <c r="Q89" s="60" t="s">
        <v>3751</v>
      </c>
      <c r="R89" s="60">
        <v>16.5</v>
      </c>
      <c r="S89" s="60">
        <v>10</v>
      </c>
      <c r="T89" s="60">
        <v>1261</v>
      </c>
      <c r="U89" s="60">
        <v>65.81</v>
      </c>
    </row>
    <row r="90" spans="1:21">
      <c r="A90" s="60" t="s">
        <v>138</v>
      </c>
      <c r="B90" s="60" t="s">
        <v>429</v>
      </c>
      <c r="C90" s="60" t="s">
        <v>3752</v>
      </c>
      <c r="D90" s="60">
        <v>21.2</v>
      </c>
      <c r="E90" s="60">
        <v>-0.47</v>
      </c>
      <c r="F90" s="60">
        <v>107</v>
      </c>
      <c r="G90" s="60">
        <v>0</v>
      </c>
      <c r="H90" s="60">
        <v>8.3800000000000008</v>
      </c>
      <c r="I90" s="60">
        <v>2.34</v>
      </c>
      <c r="J90" s="60">
        <v>0</v>
      </c>
      <c r="O90" s="60" t="s">
        <v>138</v>
      </c>
      <c r="P90" s="60" t="s">
        <v>429</v>
      </c>
      <c r="Q90" s="60" t="s">
        <v>3752</v>
      </c>
      <c r="R90" s="60">
        <v>21.2</v>
      </c>
      <c r="S90" s="60">
        <v>-0.47</v>
      </c>
      <c r="T90" s="60">
        <v>107</v>
      </c>
      <c r="U90" s="60">
        <v>58.58</v>
      </c>
    </row>
    <row r="91" spans="1:21">
      <c r="A91" s="60" t="s">
        <v>139</v>
      </c>
      <c r="B91" s="60" t="s">
        <v>431</v>
      </c>
      <c r="C91" s="60" t="s">
        <v>3753</v>
      </c>
      <c r="D91" s="60">
        <v>23.3</v>
      </c>
      <c r="E91" s="60">
        <v>0.43</v>
      </c>
      <c r="F91" s="60">
        <v>248</v>
      </c>
      <c r="G91" s="60">
        <v>0.08</v>
      </c>
      <c r="H91" s="60">
        <v>4.3899999999999997</v>
      </c>
      <c r="I91" s="60">
        <v>7.93</v>
      </c>
      <c r="J91" s="60">
        <v>0</v>
      </c>
      <c r="O91" s="60" t="s">
        <v>139</v>
      </c>
      <c r="P91" s="60" t="s">
        <v>431</v>
      </c>
      <c r="Q91" s="60" t="s">
        <v>3753</v>
      </c>
      <c r="R91" s="60">
        <v>23.3</v>
      </c>
      <c r="S91" s="60">
        <v>0.43</v>
      </c>
      <c r="T91" s="60">
        <v>248</v>
      </c>
      <c r="U91" s="60">
        <v>28.03</v>
      </c>
    </row>
    <row r="92" spans="1:21">
      <c r="A92" s="60" t="s">
        <v>140</v>
      </c>
      <c r="B92" s="60" t="s">
        <v>433</v>
      </c>
      <c r="C92" s="60" t="s">
        <v>3754</v>
      </c>
      <c r="D92" s="60">
        <v>8.61</v>
      </c>
      <c r="E92" s="60">
        <v>-0.23</v>
      </c>
      <c r="F92" s="60">
        <v>75</v>
      </c>
      <c r="G92" s="60">
        <v>0</v>
      </c>
      <c r="H92" s="60">
        <v>0.25</v>
      </c>
      <c r="I92" s="60">
        <v>3.06</v>
      </c>
      <c r="J92" s="60">
        <v>0</v>
      </c>
      <c r="O92" s="60" t="s">
        <v>140</v>
      </c>
      <c r="P92" s="60" t="s">
        <v>433</v>
      </c>
      <c r="Q92" s="60" t="s">
        <v>3754</v>
      </c>
      <c r="R92" s="60">
        <v>8.61</v>
      </c>
      <c r="S92" s="60">
        <v>-0.23</v>
      </c>
      <c r="T92" s="60">
        <v>75</v>
      </c>
      <c r="U92" s="60">
        <v>74.099999999999994</v>
      </c>
    </row>
    <row r="93" spans="1:21">
      <c r="A93" s="60" t="s">
        <v>141</v>
      </c>
      <c r="B93" s="60" t="s">
        <v>435</v>
      </c>
      <c r="C93" s="60" t="s">
        <v>3628</v>
      </c>
      <c r="D93" s="60">
        <v>10.8</v>
      </c>
      <c r="E93" s="60">
        <v>0.93</v>
      </c>
      <c r="F93" s="60">
        <v>157</v>
      </c>
      <c r="G93" s="60">
        <v>0</v>
      </c>
      <c r="H93" s="60">
        <v>0.5</v>
      </c>
      <c r="I93" s="60">
        <v>10.6</v>
      </c>
      <c r="J93" s="60">
        <v>0</v>
      </c>
      <c r="O93" s="60" t="s">
        <v>141</v>
      </c>
      <c r="P93" s="60" t="s">
        <v>435</v>
      </c>
      <c r="Q93" s="60" t="s">
        <v>3628</v>
      </c>
      <c r="R93" s="60">
        <v>10.8</v>
      </c>
      <c r="S93" s="60">
        <v>0.93</v>
      </c>
      <c r="T93" s="60">
        <v>157</v>
      </c>
      <c r="U93" s="60">
        <v>63.95</v>
      </c>
    </row>
    <row r="94" spans="1:21">
      <c r="A94" s="60" t="s">
        <v>142</v>
      </c>
      <c r="B94" s="60" t="s">
        <v>437</v>
      </c>
      <c r="C94" s="60" t="s">
        <v>3590</v>
      </c>
      <c r="D94" s="60">
        <v>16.399999999999999</v>
      </c>
      <c r="E94" s="60">
        <v>0</v>
      </c>
      <c r="F94" s="60">
        <v>2808</v>
      </c>
      <c r="G94" s="60">
        <v>0.23</v>
      </c>
      <c r="H94" s="60">
        <v>1.92</v>
      </c>
      <c r="I94" s="60">
        <v>20.29</v>
      </c>
      <c r="J94" s="60">
        <v>0</v>
      </c>
      <c r="O94" s="60" t="s">
        <v>142</v>
      </c>
      <c r="P94" s="60" t="s">
        <v>437</v>
      </c>
      <c r="Q94" s="60" t="s">
        <v>3590</v>
      </c>
      <c r="R94" s="60">
        <v>16.399999999999999</v>
      </c>
      <c r="S94" s="60">
        <v>0</v>
      </c>
      <c r="T94" s="60">
        <v>2808</v>
      </c>
      <c r="U94" s="60">
        <v>49.11</v>
      </c>
    </row>
    <row r="95" spans="1:21">
      <c r="A95" s="60" t="s">
        <v>143</v>
      </c>
      <c r="B95" s="60" t="s">
        <v>439</v>
      </c>
      <c r="C95" s="60" t="s">
        <v>3755</v>
      </c>
      <c r="D95" s="60">
        <v>21.45</v>
      </c>
      <c r="E95" s="60">
        <v>-1.1499999999999999</v>
      </c>
      <c r="F95" s="60">
        <v>151</v>
      </c>
      <c r="G95" s="60">
        <v>0.03</v>
      </c>
      <c r="H95" s="60">
        <v>13.98</v>
      </c>
      <c r="I95" s="60">
        <v>6.83</v>
      </c>
      <c r="J95" s="60">
        <v>0</v>
      </c>
      <c r="O95" s="60" t="s">
        <v>143</v>
      </c>
      <c r="P95" s="60" t="s">
        <v>439</v>
      </c>
      <c r="Q95" s="60" t="s">
        <v>3755</v>
      </c>
      <c r="R95" s="60">
        <v>21.45</v>
      </c>
      <c r="S95" s="60">
        <v>-1.1499999999999999</v>
      </c>
      <c r="T95" s="60">
        <v>151</v>
      </c>
      <c r="U95" s="60">
        <v>81.290000000000006</v>
      </c>
    </row>
    <row r="96" spans="1:21">
      <c r="A96" s="60" t="s">
        <v>144</v>
      </c>
      <c r="B96" s="60" t="s">
        <v>441</v>
      </c>
      <c r="C96" s="60" t="s">
        <v>3756</v>
      </c>
      <c r="D96" s="60">
        <v>17.95</v>
      </c>
      <c r="E96" s="60">
        <v>0.56000000000000005</v>
      </c>
      <c r="F96" s="60">
        <v>480</v>
      </c>
      <c r="G96" s="60">
        <v>0.16</v>
      </c>
      <c r="H96" s="60">
        <v>1.98</v>
      </c>
      <c r="I96" s="60">
        <v>5.15</v>
      </c>
      <c r="J96" s="60">
        <v>0</v>
      </c>
      <c r="O96" s="60" t="s">
        <v>144</v>
      </c>
      <c r="P96" s="60" t="s">
        <v>441</v>
      </c>
      <c r="Q96" s="60" t="s">
        <v>3756</v>
      </c>
      <c r="R96" s="60">
        <v>17.95</v>
      </c>
      <c r="S96" s="60">
        <v>0.56000000000000005</v>
      </c>
      <c r="T96" s="60">
        <v>480</v>
      </c>
      <c r="U96" s="60">
        <v>57.78</v>
      </c>
    </row>
    <row r="97" spans="1:21">
      <c r="A97" s="60" t="s">
        <v>145</v>
      </c>
      <c r="B97" s="60" t="s">
        <v>3129</v>
      </c>
      <c r="C97" s="60" t="s">
        <v>3573</v>
      </c>
      <c r="D97" s="60">
        <v>14.15</v>
      </c>
      <c r="E97" s="60">
        <v>2.17</v>
      </c>
      <c r="F97" s="60">
        <v>972</v>
      </c>
      <c r="G97" s="60">
        <v>0</v>
      </c>
      <c r="H97" s="60">
        <v>1.81</v>
      </c>
      <c r="I97" s="60">
        <v>0</v>
      </c>
      <c r="J97" s="60">
        <v>0.08</v>
      </c>
      <c r="O97" s="60" t="s">
        <v>145</v>
      </c>
      <c r="P97" s="60" t="s">
        <v>3129</v>
      </c>
      <c r="Q97" s="60" t="s">
        <v>3573</v>
      </c>
      <c r="R97" s="60">
        <v>14.15</v>
      </c>
      <c r="S97" s="60">
        <v>2.17</v>
      </c>
      <c r="T97" s="60">
        <v>972</v>
      </c>
      <c r="U97" s="60">
        <v>73.19</v>
      </c>
    </row>
    <row r="98" spans="1:21">
      <c r="A98" s="60" t="s">
        <v>146</v>
      </c>
      <c r="B98" s="60" t="s">
        <v>3130</v>
      </c>
      <c r="C98" s="60" t="s">
        <v>3757</v>
      </c>
      <c r="D98" s="60">
        <v>9.5399999999999991</v>
      </c>
      <c r="E98" s="60">
        <v>0.21</v>
      </c>
      <c r="F98" s="60">
        <v>1856</v>
      </c>
      <c r="G98" s="60">
        <v>0</v>
      </c>
      <c r="H98" s="60">
        <v>2.73</v>
      </c>
      <c r="I98" s="60">
        <v>0</v>
      </c>
      <c r="J98" s="60">
        <v>0</v>
      </c>
      <c r="O98" s="60" t="s">
        <v>146</v>
      </c>
      <c r="P98" s="60" t="s">
        <v>3130</v>
      </c>
      <c r="Q98" s="60" t="s">
        <v>3757</v>
      </c>
      <c r="R98" s="60">
        <v>9.5399999999999991</v>
      </c>
      <c r="S98" s="60">
        <v>0.21</v>
      </c>
      <c r="T98" s="60">
        <v>1856</v>
      </c>
      <c r="U98" s="60">
        <v>55.84</v>
      </c>
    </row>
    <row r="99" spans="1:21">
      <c r="A99" s="60" t="s">
        <v>147</v>
      </c>
      <c r="B99" s="60" t="s">
        <v>445</v>
      </c>
      <c r="C99" s="60" t="s">
        <v>3758</v>
      </c>
      <c r="D99" s="60">
        <v>14.15</v>
      </c>
      <c r="E99" s="60">
        <v>0</v>
      </c>
      <c r="F99" s="60">
        <v>60</v>
      </c>
      <c r="G99" s="60">
        <v>0</v>
      </c>
      <c r="H99" s="60">
        <v>2.44</v>
      </c>
      <c r="I99" s="60">
        <v>4.47</v>
      </c>
      <c r="J99" s="60">
        <v>0</v>
      </c>
      <c r="O99" s="60" t="s">
        <v>147</v>
      </c>
      <c r="P99" s="60" t="s">
        <v>445</v>
      </c>
      <c r="Q99" s="60" t="s">
        <v>3758</v>
      </c>
      <c r="R99" s="60">
        <v>14.15</v>
      </c>
      <c r="S99" s="60">
        <v>0</v>
      </c>
      <c r="T99" s="60">
        <v>60</v>
      </c>
      <c r="U99" s="60">
        <v>54.56</v>
      </c>
    </row>
    <row r="100" spans="1:21">
      <c r="A100" s="60" t="s">
        <v>148</v>
      </c>
      <c r="B100" s="60" t="s">
        <v>447</v>
      </c>
      <c r="C100" s="60" t="s">
        <v>3759</v>
      </c>
      <c r="D100" s="60">
        <v>16</v>
      </c>
      <c r="E100" s="60">
        <v>-0.31</v>
      </c>
      <c r="F100" s="60">
        <v>324</v>
      </c>
      <c r="G100" s="60">
        <v>0</v>
      </c>
      <c r="H100" s="60">
        <v>1.75</v>
      </c>
      <c r="I100" s="60">
        <v>2.4300000000000002</v>
      </c>
      <c r="J100" s="60">
        <v>0.02</v>
      </c>
      <c r="O100" s="60" t="s">
        <v>148</v>
      </c>
      <c r="P100" s="60" t="s">
        <v>447</v>
      </c>
      <c r="Q100" s="60" t="s">
        <v>3759</v>
      </c>
      <c r="R100" s="60">
        <v>16</v>
      </c>
      <c r="S100" s="60">
        <v>-0.31</v>
      </c>
      <c r="T100" s="60">
        <v>324</v>
      </c>
      <c r="U100" s="60">
        <v>52.58</v>
      </c>
    </row>
    <row r="101" spans="1:21">
      <c r="A101" s="60" t="s">
        <v>149</v>
      </c>
      <c r="B101" s="60" t="s">
        <v>449</v>
      </c>
      <c r="C101" s="60" t="s">
        <v>3760</v>
      </c>
      <c r="D101" s="60">
        <v>12.4</v>
      </c>
      <c r="E101" s="60">
        <v>0</v>
      </c>
      <c r="F101" s="60">
        <v>30</v>
      </c>
      <c r="G101" s="60">
        <v>0</v>
      </c>
      <c r="H101" s="60">
        <v>0.5</v>
      </c>
      <c r="I101" s="60">
        <v>19.38</v>
      </c>
      <c r="J101" s="60">
        <v>0</v>
      </c>
      <c r="O101" s="60" t="s">
        <v>149</v>
      </c>
      <c r="P101" s="60" t="s">
        <v>449</v>
      </c>
      <c r="Q101" s="60" t="s">
        <v>3760</v>
      </c>
      <c r="R101" s="60">
        <v>12.4</v>
      </c>
      <c r="S101" s="60">
        <v>0</v>
      </c>
      <c r="T101" s="60">
        <v>30</v>
      </c>
      <c r="U101" s="60">
        <v>60.39</v>
      </c>
    </row>
    <row r="102" spans="1:21">
      <c r="A102" s="60" t="s">
        <v>150</v>
      </c>
      <c r="B102" s="60" t="s">
        <v>451</v>
      </c>
      <c r="C102" s="60" t="s">
        <v>3588</v>
      </c>
      <c r="D102" s="60">
        <v>15.6</v>
      </c>
      <c r="E102" s="60">
        <v>0</v>
      </c>
      <c r="F102" s="60">
        <v>199</v>
      </c>
      <c r="G102" s="60">
        <v>0.04</v>
      </c>
      <c r="H102" s="60">
        <v>1.63</v>
      </c>
      <c r="I102" s="60">
        <v>18.75</v>
      </c>
      <c r="J102" s="60">
        <v>0</v>
      </c>
      <c r="O102" s="60" t="s">
        <v>150</v>
      </c>
      <c r="P102" s="60" t="s">
        <v>451</v>
      </c>
      <c r="Q102" s="60" t="s">
        <v>3588</v>
      </c>
      <c r="R102" s="60">
        <v>15.6</v>
      </c>
      <c r="S102" s="60">
        <v>0</v>
      </c>
      <c r="T102" s="60">
        <v>199</v>
      </c>
      <c r="U102" s="60">
        <v>53.02</v>
      </c>
    </row>
    <row r="103" spans="1:21">
      <c r="A103" s="60" t="s">
        <v>151</v>
      </c>
      <c r="B103" s="60" t="s">
        <v>453</v>
      </c>
      <c r="C103" s="60" t="s">
        <v>3761</v>
      </c>
      <c r="D103" s="60">
        <v>15.05</v>
      </c>
      <c r="E103" s="60">
        <v>0</v>
      </c>
      <c r="F103" s="60">
        <v>10253</v>
      </c>
      <c r="G103" s="60">
        <v>0.03</v>
      </c>
      <c r="H103" s="60">
        <v>21.34</v>
      </c>
      <c r="I103" s="60">
        <v>32.46</v>
      </c>
      <c r="J103" s="60">
        <v>0</v>
      </c>
      <c r="O103" s="60" t="s">
        <v>151</v>
      </c>
      <c r="P103" s="60" t="s">
        <v>453</v>
      </c>
      <c r="Q103" s="60" t="s">
        <v>3761</v>
      </c>
      <c r="R103" s="60">
        <v>15.05</v>
      </c>
      <c r="S103" s="60">
        <v>0</v>
      </c>
      <c r="T103" s="60">
        <v>10253</v>
      </c>
      <c r="U103" s="60">
        <v>64.19</v>
      </c>
    </row>
    <row r="104" spans="1:21">
      <c r="A104" s="60" t="s">
        <v>152</v>
      </c>
      <c r="B104" s="60" t="s">
        <v>3131</v>
      </c>
      <c r="C104" s="60" t="s">
        <v>3762</v>
      </c>
      <c r="D104" s="60">
        <v>13.05</v>
      </c>
      <c r="E104" s="60">
        <v>0</v>
      </c>
      <c r="F104" s="60">
        <v>70</v>
      </c>
      <c r="G104" s="60">
        <v>0</v>
      </c>
      <c r="H104" s="60">
        <v>1.82</v>
      </c>
      <c r="I104" s="60">
        <v>0</v>
      </c>
      <c r="J104" s="60">
        <v>0</v>
      </c>
      <c r="O104" s="60" t="s">
        <v>152</v>
      </c>
      <c r="P104" s="60" t="s">
        <v>3131</v>
      </c>
      <c r="Q104" s="60" t="s">
        <v>3762</v>
      </c>
      <c r="R104" s="60">
        <v>13.05</v>
      </c>
      <c r="S104" s="60">
        <v>0</v>
      </c>
      <c r="T104" s="60">
        <v>70</v>
      </c>
      <c r="U104" s="60">
        <v>97.77</v>
      </c>
    </row>
    <row r="105" spans="1:21">
      <c r="A105" s="60" t="s">
        <v>153</v>
      </c>
      <c r="B105" s="60" t="s">
        <v>456</v>
      </c>
      <c r="C105" s="60" t="s">
        <v>3763</v>
      </c>
      <c r="D105" s="60">
        <v>18.350000000000001</v>
      </c>
      <c r="E105" s="60">
        <v>2.23</v>
      </c>
      <c r="F105" s="60">
        <v>110</v>
      </c>
      <c r="G105" s="60">
        <v>0</v>
      </c>
      <c r="H105" s="60">
        <v>0.18</v>
      </c>
      <c r="I105" s="60">
        <v>0.06</v>
      </c>
      <c r="J105" s="60">
        <v>0</v>
      </c>
      <c r="O105" s="60" t="s">
        <v>153</v>
      </c>
      <c r="P105" s="60" t="s">
        <v>456</v>
      </c>
      <c r="Q105" s="60" t="s">
        <v>3763</v>
      </c>
      <c r="R105" s="60">
        <v>18.350000000000001</v>
      </c>
      <c r="S105" s="60">
        <v>2.23</v>
      </c>
      <c r="T105" s="60">
        <v>110</v>
      </c>
      <c r="U105" s="60">
        <v>70.83</v>
      </c>
    </row>
    <row r="106" spans="1:21">
      <c r="A106" s="60" t="s">
        <v>154</v>
      </c>
      <c r="B106" s="60" t="s">
        <v>3132</v>
      </c>
      <c r="C106" s="60" t="s">
        <v>4144</v>
      </c>
      <c r="D106" s="60">
        <v>7.54</v>
      </c>
      <c r="E106" s="60">
        <v>0.27</v>
      </c>
      <c r="F106" s="60">
        <v>342</v>
      </c>
      <c r="G106" s="60">
        <v>0</v>
      </c>
      <c r="H106" s="60">
        <v>0.25</v>
      </c>
      <c r="I106" s="60">
        <v>0</v>
      </c>
      <c r="J106" s="60">
        <v>0</v>
      </c>
      <c r="O106" s="60" t="s">
        <v>154</v>
      </c>
      <c r="P106" s="60" t="s">
        <v>3132</v>
      </c>
      <c r="Q106" s="60" t="s">
        <v>4144</v>
      </c>
      <c r="R106" s="60">
        <v>7.54</v>
      </c>
      <c r="S106" s="60">
        <v>0.27</v>
      </c>
      <c r="T106" s="60">
        <v>342</v>
      </c>
      <c r="U106" s="60">
        <v>22.06</v>
      </c>
    </row>
    <row r="107" spans="1:21">
      <c r="A107" s="60" t="s">
        <v>155</v>
      </c>
      <c r="B107" s="60" t="s">
        <v>3133</v>
      </c>
      <c r="C107" s="60" t="s">
        <v>5515</v>
      </c>
      <c r="D107" s="60">
        <v>35</v>
      </c>
      <c r="E107" s="60">
        <v>0</v>
      </c>
      <c r="F107" s="60">
        <v>15</v>
      </c>
      <c r="G107" s="60">
        <v>0</v>
      </c>
      <c r="H107" s="60">
        <v>0.22</v>
      </c>
      <c r="I107" s="60">
        <v>0</v>
      </c>
      <c r="J107" s="60">
        <v>0</v>
      </c>
      <c r="O107" s="60" t="s">
        <v>155</v>
      </c>
      <c r="P107" s="60" t="s">
        <v>3133</v>
      </c>
      <c r="Q107" s="60" t="s">
        <v>5515</v>
      </c>
      <c r="R107" s="60">
        <v>35</v>
      </c>
      <c r="S107" s="60">
        <v>0</v>
      </c>
      <c r="T107" s="60">
        <v>15</v>
      </c>
      <c r="U107" s="60">
        <v>62.16</v>
      </c>
    </row>
    <row r="108" spans="1:21">
      <c r="A108" s="60" t="s">
        <v>156</v>
      </c>
      <c r="B108" s="60" t="s">
        <v>460</v>
      </c>
      <c r="C108" s="60" t="s">
        <v>3764</v>
      </c>
      <c r="D108" s="60">
        <v>18</v>
      </c>
      <c r="E108" s="60">
        <v>0</v>
      </c>
      <c r="F108" s="60">
        <v>22</v>
      </c>
      <c r="G108" s="60">
        <v>0</v>
      </c>
      <c r="H108" s="60">
        <v>9.08</v>
      </c>
      <c r="I108" s="60">
        <v>1.17</v>
      </c>
      <c r="J108" s="60">
        <v>0</v>
      </c>
      <c r="O108" s="60" t="s">
        <v>156</v>
      </c>
      <c r="P108" s="60" t="s">
        <v>460</v>
      </c>
      <c r="Q108" s="60" t="s">
        <v>3764</v>
      </c>
      <c r="R108" s="60">
        <v>18</v>
      </c>
      <c r="S108" s="60">
        <v>0</v>
      </c>
      <c r="T108" s="60">
        <v>22</v>
      </c>
      <c r="U108" s="60">
        <v>60.37</v>
      </c>
    </row>
    <row r="109" spans="1:21">
      <c r="A109" s="60" t="s">
        <v>157</v>
      </c>
      <c r="B109" s="60" t="s">
        <v>462</v>
      </c>
      <c r="C109" s="60" t="s">
        <v>3765</v>
      </c>
      <c r="D109" s="60">
        <v>14.85</v>
      </c>
      <c r="E109" s="60">
        <v>0.68</v>
      </c>
      <c r="F109" s="60">
        <v>483</v>
      </c>
      <c r="G109" s="60">
        <v>0.01</v>
      </c>
      <c r="H109" s="60">
        <v>1.6</v>
      </c>
      <c r="I109" s="60">
        <v>17.079999999999998</v>
      </c>
      <c r="J109" s="60">
        <v>0</v>
      </c>
      <c r="O109" s="60" t="s">
        <v>157</v>
      </c>
      <c r="P109" s="60" t="s">
        <v>462</v>
      </c>
      <c r="Q109" s="60" t="s">
        <v>3765</v>
      </c>
      <c r="R109" s="60">
        <v>14.85</v>
      </c>
      <c r="S109" s="60">
        <v>0.68</v>
      </c>
      <c r="T109" s="60">
        <v>483</v>
      </c>
      <c r="U109" s="60">
        <v>41.75</v>
      </c>
    </row>
    <row r="110" spans="1:21">
      <c r="A110" s="60" t="s">
        <v>158</v>
      </c>
      <c r="B110" s="60" t="s">
        <v>3134</v>
      </c>
      <c r="C110" s="60" t="s">
        <v>3766</v>
      </c>
      <c r="D110" s="60">
        <v>47.95</v>
      </c>
      <c r="E110" s="60">
        <v>0.74</v>
      </c>
      <c r="F110" s="60">
        <v>17</v>
      </c>
      <c r="G110" s="60">
        <v>0</v>
      </c>
      <c r="H110" s="60">
        <v>0.5</v>
      </c>
      <c r="I110" s="60">
        <v>0</v>
      </c>
      <c r="J110" s="60">
        <v>0</v>
      </c>
      <c r="O110" s="60" t="s">
        <v>158</v>
      </c>
      <c r="P110" s="60" t="s">
        <v>3134</v>
      </c>
      <c r="Q110" s="60" t="s">
        <v>3766</v>
      </c>
      <c r="R110" s="60">
        <v>47.95</v>
      </c>
      <c r="S110" s="60">
        <v>0.74</v>
      </c>
      <c r="T110" s="60">
        <v>17</v>
      </c>
      <c r="U110" s="60">
        <v>65.16</v>
      </c>
    </row>
    <row r="111" spans="1:21">
      <c r="A111" s="60" t="s">
        <v>159</v>
      </c>
      <c r="B111" s="60" t="s">
        <v>465</v>
      </c>
      <c r="C111" s="60" t="s">
        <v>3767</v>
      </c>
      <c r="D111" s="60">
        <v>629</v>
      </c>
      <c r="E111" s="60">
        <v>-0.63</v>
      </c>
      <c r="F111" s="60">
        <v>491</v>
      </c>
      <c r="G111" s="60">
        <v>0.03</v>
      </c>
      <c r="H111" s="60">
        <v>44.46</v>
      </c>
      <c r="I111" s="60">
        <v>0.43</v>
      </c>
      <c r="J111" s="60">
        <v>1.51</v>
      </c>
      <c r="O111" s="60" t="s">
        <v>159</v>
      </c>
      <c r="P111" s="60" t="s">
        <v>465</v>
      </c>
      <c r="Q111" s="60" t="s">
        <v>3767</v>
      </c>
      <c r="R111" s="60">
        <v>629</v>
      </c>
      <c r="S111" s="60">
        <v>-0.63</v>
      </c>
      <c r="T111" s="60">
        <v>491</v>
      </c>
      <c r="U111" s="60">
        <v>69.14</v>
      </c>
    </row>
    <row r="112" spans="1:21">
      <c r="A112" s="60" t="s">
        <v>160</v>
      </c>
      <c r="B112" s="60" t="s">
        <v>467</v>
      </c>
      <c r="C112" s="60" t="s">
        <v>3768</v>
      </c>
      <c r="D112" s="60">
        <v>242.5</v>
      </c>
      <c r="E112" s="60">
        <v>-0.41</v>
      </c>
      <c r="F112" s="60">
        <v>1558</v>
      </c>
      <c r="G112" s="60">
        <v>7.0000000000000007E-2</v>
      </c>
      <c r="H112" s="60">
        <v>32.43</v>
      </c>
      <c r="I112" s="60">
        <v>2.96</v>
      </c>
      <c r="J112" s="60">
        <v>3.62</v>
      </c>
      <c r="O112" s="60" t="s">
        <v>160</v>
      </c>
      <c r="P112" s="60" t="s">
        <v>467</v>
      </c>
      <c r="Q112" s="60" t="s">
        <v>3768</v>
      </c>
      <c r="R112" s="60">
        <v>242.5</v>
      </c>
      <c r="S112" s="60">
        <v>-0.41</v>
      </c>
      <c r="T112" s="60">
        <v>1558</v>
      </c>
      <c r="U112" s="60">
        <v>55.31</v>
      </c>
    </row>
    <row r="113" spans="1:21">
      <c r="A113" s="60" t="s">
        <v>161</v>
      </c>
      <c r="B113" s="60" t="s">
        <v>469</v>
      </c>
      <c r="C113" s="60" t="s">
        <v>3773</v>
      </c>
      <c r="D113" s="60">
        <v>54.7</v>
      </c>
      <c r="E113" s="60">
        <v>1.1100000000000001</v>
      </c>
      <c r="F113" s="60">
        <v>199</v>
      </c>
      <c r="G113" s="60">
        <v>0</v>
      </c>
      <c r="H113" s="60">
        <v>32.07</v>
      </c>
      <c r="I113" s="60">
        <v>0.14000000000000001</v>
      </c>
      <c r="J113" s="60">
        <v>0</v>
      </c>
      <c r="O113" s="60" t="s">
        <v>161</v>
      </c>
      <c r="P113" s="60" t="s">
        <v>469</v>
      </c>
      <c r="Q113" s="60" t="s">
        <v>3773</v>
      </c>
      <c r="R113" s="60">
        <v>54.7</v>
      </c>
      <c r="S113" s="60">
        <v>1.1100000000000001</v>
      </c>
      <c r="T113" s="60">
        <v>199</v>
      </c>
      <c r="U113" s="60">
        <v>84.15</v>
      </c>
    </row>
    <row r="114" spans="1:21">
      <c r="A114" s="60" t="s">
        <v>162</v>
      </c>
      <c r="B114" s="60" t="s">
        <v>471</v>
      </c>
      <c r="C114" s="60" t="s">
        <v>3685</v>
      </c>
      <c r="D114" s="60">
        <v>31.35</v>
      </c>
      <c r="E114" s="60">
        <v>0</v>
      </c>
      <c r="F114" s="60">
        <v>915</v>
      </c>
      <c r="G114" s="60">
        <v>0</v>
      </c>
      <c r="H114" s="60">
        <v>23.47</v>
      </c>
      <c r="I114" s="60">
        <v>1.08</v>
      </c>
      <c r="J114" s="60">
        <v>0.16</v>
      </c>
      <c r="O114" s="60" t="s">
        <v>162</v>
      </c>
      <c r="P114" s="60" t="s">
        <v>471</v>
      </c>
      <c r="Q114" s="60" t="s">
        <v>3685</v>
      </c>
      <c r="R114" s="60">
        <v>31.35</v>
      </c>
      <c r="S114" s="60">
        <v>0</v>
      </c>
      <c r="T114" s="60">
        <v>915</v>
      </c>
      <c r="U114" s="60">
        <v>80.92</v>
      </c>
    </row>
    <row r="115" spans="1:21">
      <c r="A115" s="60" t="s">
        <v>163</v>
      </c>
      <c r="B115" s="60" t="s">
        <v>3135</v>
      </c>
      <c r="C115" s="60" t="s">
        <v>3774</v>
      </c>
      <c r="D115" s="60">
        <v>12.15</v>
      </c>
      <c r="E115" s="60">
        <v>9.9499999999999993</v>
      </c>
      <c r="F115" s="60">
        <v>3514</v>
      </c>
      <c r="G115" s="60">
        <v>0</v>
      </c>
      <c r="H115" s="60">
        <v>1.38</v>
      </c>
      <c r="I115" s="60">
        <v>0</v>
      </c>
      <c r="J115" s="60">
        <v>0</v>
      </c>
      <c r="O115" s="60" t="s">
        <v>163</v>
      </c>
      <c r="P115" s="60" t="s">
        <v>3135</v>
      </c>
      <c r="Q115" s="60" t="s">
        <v>3774</v>
      </c>
      <c r="R115" s="60">
        <v>12.15</v>
      </c>
      <c r="S115" s="60">
        <v>9.9499999999999993</v>
      </c>
      <c r="T115" s="60">
        <v>3514</v>
      </c>
      <c r="U115" s="60">
        <v>58.2</v>
      </c>
    </row>
    <row r="116" spans="1:21">
      <c r="A116" s="60" t="s">
        <v>164</v>
      </c>
      <c r="B116" s="60" t="s">
        <v>474</v>
      </c>
      <c r="C116" s="60" t="s">
        <v>3775</v>
      </c>
      <c r="D116" s="60">
        <v>64.400000000000006</v>
      </c>
      <c r="E116" s="60">
        <v>-0.16</v>
      </c>
      <c r="F116" s="60">
        <v>587</v>
      </c>
      <c r="G116" s="60">
        <v>0</v>
      </c>
      <c r="H116" s="60">
        <v>14.01</v>
      </c>
      <c r="I116" s="60">
        <v>0.04</v>
      </c>
      <c r="J116" s="60">
        <v>0</v>
      </c>
      <c r="O116" s="60" t="s">
        <v>164</v>
      </c>
      <c r="P116" s="60" t="s">
        <v>474</v>
      </c>
      <c r="Q116" s="60" t="s">
        <v>3775</v>
      </c>
      <c r="R116" s="60">
        <v>64.400000000000006</v>
      </c>
      <c r="S116" s="60">
        <v>-0.16</v>
      </c>
      <c r="T116" s="60">
        <v>587</v>
      </c>
      <c r="U116" s="60">
        <v>85.61</v>
      </c>
    </row>
    <row r="117" spans="1:21">
      <c r="A117" s="60" t="s">
        <v>165</v>
      </c>
      <c r="B117" s="60" t="s">
        <v>3136</v>
      </c>
      <c r="C117" s="60" t="s">
        <v>3913</v>
      </c>
      <c r="D117" s="60">
        <v>3.82</v>
      </c>
      <c r="E117" s="60">
        <v>-0.78</v>
      </c>
      <c r="F117" s="60">
        <v>233</v>
      </c>
      <c r="G117" s="60">
        <v>0</v>
      </c>
      <c r="H117" s="60">
        <v>7.47</v>
      </c>
      <c r="I117" s="60">
        <v>0</v>
      </c>
      <c r="J117" s="60">
        <v>0</v>
      </c>
      <c r="O117" s="60" t="s">
        <v>165</v>
      </c>
      <c r="P117" s="60" t="s">
        <v>3136</v>
      </c>
      <c r="Q117" s="60" t="s">
        <v>3913</v>
      </c>
      <c r="R117" s="60">
        <v>3.82</v>
      </c>
      <c r="S117" s="60">
        <v>-0.78</v>
      </c>
      <c r="T117" s="60">
        <v>233</v>
      </c>
      <c r="U117" s="60">
        <v>49.16</v>
      </c>
    </row>
    <row r="118" spans="1:21">
      <c r="A118" s="60" t="s">
        <v>166</v>
      </c>
      <c r="B118" s="60" t="s">
        <v>477</v>
      </c>
      <c r="C118" s="60" t="s">
        <v>3776</v>
      </c>
      <c r="D118" s="60">
        <v>45.55</v>
      </c>
      <c r="E118" s="60">
        <v>1.22</v>
      </c>
      <c r="F118" s="60">
        <v>3941</v>
      </c>
      <c r="G118" s="60">
        <v>0.18</v>
      </c>
      <c r="H118" s="60">
        <v>8.2799999999999994</v>
      </c>
      <c r="I118" s="60">
        <v>17.399999999999999</v>
      </c>
      <c r="J118" s="60">
        <v>0.48</v>
      </c>
      <c r="O118" s="60" t="s">
        <v>166</v>
      </c>
      <c r="P118" s="60" t="s">
        <v>477</v>
      </c>
      <c r="Q118" s="60" t="s">
        <v>3776</v>
      </c>
      <c r="R118" s="60">
        <v>45.55</v>
      </c>
      <c r="S118" s="60">
        <v>1.22</v>
      </c>
      <c r="T118" s="60">
        <v>3941</v>
      </c>
      <c r="U118" s="60">
        <v>40.630000000000003</v>
      </c>
    </row>
    <row r="119" spans="1:21">
      <c r="A119" s="60" t="s">
        <v>167</v>
      </c>
      <c r="B119" s="60" t="s">
        <v>479</v>
      </c>
      <c r="C119" s="60" t="s">
        <v>3777</v>
      </c>
      <c r="D119" s="60">
        <v>24.1</v>
      </c>
      <c r="E119" s="60">
        <v>0</v>
      </c>
      <c r="F119" s="60">
        <v>380</v>
      </c>
      <c r="G119" s="60">
        <v>0.01</v>
      </c>
      <c r="H119" s="60">
        <v>8.86</v>
      </c>
      <c r="I119" s="60">
        <v>5.83</v>
      </c>
      <c r="J119" s="60">
        <v>0</v>
      </c>
      <c r="O119" s="60" t="s">
        <v>167</v>
      </c>
      <c r="P119" s="60" t="s">
        <v>479</v>
      </c>
      <c r="Q119" s="60" t="s">
        <v>3777</v>
      </c>
      <c r="R119" s="60">
        <v>24.1</v>
      </c>
      <c r="S119" s="60">
        <v>0</v>
      </c>
      <c r="T119" s="60">
        <v>380</v>
      </c>
      <c r="U119" s="60">
        <v>40.1</v>
      </c>
    </row>
    <row r="120" spans="1:21">
      <c r="A120" s="60" t="s">
        <v>168</v>
      </c>
      <c r="B120" s="60" t="s">
        <v>481</v>
      </c>
      <c r="C120" s="60" t="s">
        <v>3778</v>
      </c>
      <c r="D120" s="60">
        <v>64</v>
      </c>
      <c r="E120" s="60">
        <v>0</v>
      </c>
      <c r="F120" s="60">
        <v>373</v>
      </c>
      <c r="G120" s="60">
        <v>0.14000000000000001</v>
      </c>
      <c r="H120" s="60">
        <v>8.57</v>
      </c>
      <c r="I120" s="60">
        <v>19.41</v>
      </c>
      <c r="J120" s="60">
        <v>0.37</v>
      </c>
      <c r="O120" s="60" t="s">
        <v>168</v>
      </c>
      <c r="P120" s="60" t="s">
        <v>481</v>
      </c>
      <c r="Q120" s="60" t="s">
        <v>3778</v>
      </c>
      <c r="R120" s="60">
        <v>64</v>
      </c>
      <c r="S120" s="60">
        <v>0</v>
      </c>
      <c r="T120" s="60">
        <v>373</v>
      </c>
      <c r="U120" s="60">
        <v>47.54</v>
      </c>
    </row>
    <row r="121" spans="1:21">
      <c r="A121" s="60" t="s">
        <v>169</v>
      </c>
      <c r="B121" s="60" t="s">
        <v>483</v>
      </c>
      <c r="C121" s="60" t="s">
        <v>4440</v>
      </c>
      <c r="D121" s="60">
        <v>23.35</v>
      </c>
      <c r="E121" s="60">
        <v>2.41</v>
      </c>
      <c r="F121" s="60">
        <v>118</v>
      </c>
      <c r="G121" s="60">
        <v>0</v>
      </c>
      <c r="H121" s="60">
        <v>0.35</v>
      </c>
      <c r="I121" s="60">
        <v>28.23</v>
      </c>
      <c r="J121" s="60">
        <v>0</v>
      </c>
      <c r="O121" s="60" t="s">
        <v>169</v>
      </c>
      <c r="P121" s="60" t="s">
        <v>483</v>
      </c>
      <c r="Q121" s="60" t="s">
        <v>4440</v>
      </c>
      <c r="R121" s="60">
        <v>23.35</v>
      </c>
      <c r="S121" s="60">
        <v>2.41</v>
      </c>
      <c r="T121" s="60">
        <v>118</v>
      </c>
      <c r="U121" s="60">
        <v>52.54</v>
      </c>
    </row>
    <row r="122" spans="1:21">
      <c r="A122" s="60" t="s">
        <v>170</v>
      </c>
      <c r="B122" s="60" t="s">
        <v>485</v>
      </c>
      <c r="C122" s="60" t="s">
        <v>3779</v>
      </c>
      <c r="D122" s="60">
        <v>27.45</v>
      </c>
      <c r="E122" s="60">
        <v>-1.96</v>
      </c>
      <c r="F122" s="60">
        <v>2073</v>
      </c>
      <c r="G122" s="60">
        <v>0.21</v>
      </c>
      <c r="H122" s="60">
        <v>3.85</v>
      </c>
      <c r="I122" s="60">
        <v>10.58</v>
      </c>
      <c r="J122" s="60">
        <v>0</v>
      </c>
      <c r="O122" s="60" t="s">
        <v>170</v>
      </c>
      <c r="P122" s="60" t="s">
        <v>485</v>
      </c>
      <c r="Q122" s="60" t="s">
        <v>3779</v>
      </c>
      <c r="R122" s="60">
        <v>27.45</v>
      </c>
      <c r="S122" s="60">
        <v>-1.96</v>
      </c>
      <c r="T122" s="60">
        <v>2073</v>
      </c>
      <c r="U122" s="60">
        <v>45.42</v>
      </c>
    </row>
    <row r="123" spans="1:21">
      <c r="A123" s="60" t="s">
        <v>171</v>
      </c>
      <c r="B123" s="60" t="s">
        <v>487</v>
      </c>
      <c r="C123" s="60" t="s">
        <v>3661</v>
      </c>
      <c r="D123" s="60">
        <v>36.35</v>
      </c>
      <c r="E123" s="60">
        <v>1.54</v>
      </c>
      <c r="F123" s="60">
        <v>308</v>
      </c>
      <c r="G123" s="60">
        <v>0.75</v>
      </c>
      <c r="H123" s="60">
        <v>6.95</v>
      </c>
      <c r="I123" s="60">
        <v>6.96</v>
      </c>
      <c r="J123" s="60">
        <v>0.28999999999999998</v>
      </c>
      <c r="O123" s="60" t="s">
        <v>171</v>
      </c>
      <c r="P123" s="60" t="s">
        <v>487</v>
      </c>
      <c r="Q123" s="60" t="s">
        <v>3661</v>
      </c>
      <c r="R123" s="60">
        <v>36.35</v>
      </c>
      <c r="S123" s="60">
        <v>1.54</v>
      </c>
      <c r="T123" s="60">
        <v>308</v>
      </c>
      <c r="U123" s="60">
        <v>65.38</v>
      </c>
    </row>
    <row r="124" spans="1:21">
      <c r="A124" s="60" t="s">
        <v>172</v>
      </c>
      <c r="B124" s="60" t="s">
        <v>489</v>
      </c>
      <c r="C124" s="60" t="s">
        <v>3914</v>
      </c>
      <c r="D124" s="60">
        <v>41.85</v>
      </c>
      <c r="E124" s="60">
        <v>-0.24</v>
      </c>
      <c r="F124" s="60">
        <v>139</v>
      </c>
      <c r="G124" s="60">
        <v>0</v>
      </c>
      <c r="H124" s="60">
        <v>33.36</v>
      </c>
      <c r="I124" s="60">
        <v>0.6</v>
      </c>
      <c r="J124" s="60">
        <v>0</v>
      </c>
      <c r="O124" s="60" t="s">
        <v>172</v>
      </c>
      <c r="P124" s="60" t="s">
        <v>489</v>
      </c>
      <c r="Q124" s="60" t="s">
        <v>3914</v>
      </c>
      <c r="R124" s="60">
        <v>41.85</v>
      </c>
      <c r="S124" s="60">
        <v>-0.24</v>
      </c>
      <c r="T124" s="60">
        <v>139</v>
      </c>
      <c r="U124" s="60">
        <v>60.02</v>
      </c>
    </row>
    <row r="125" spans="1:21">
      <c r="A125" s="60" t="s">
        <v>173</v>
      </c>
      <c r="B125" s="60" t="s">
        <v>491</v>
      </c>
      <c r="C125" s="60" t="s">
        <v>3915</v>
      </c>
      <c r="D125" s="60">
        <v>19.45</v>
      </c>
      <c r="E125" s="60">
        <v>-0.77</v>
      </c>
      <c r="F125" s="60">
        <v>272</v>
      </c>
      <c r="G125" s="60">
        <v>0</v>
      </c>
      <c r="H125" s="60">
        <v>5.94</v>
      </c>
      <c r="I125" s="60">
        <v>2</v>
      </c>
      <c r="J125" s="60">
        <v>0.02</v>
      </c>
      <c r="O125" s="60" t="s">
        <v>173</v>
      </c>
      <c r="P125" s="60" t="s">
        <v>491</v>
      </c>
      <c r="Q125" s="60" t="s">
        <v>3915</v>
      </c>
      <c r="R125" s="60">
        <v>19.45</v>
      </c>
      <c r="S125" s="60">
        <v>-0.77</v>
      </c>
      <c r="T125" s="60">
        <v>272</v>
      </c>
      <c r="U125" s="60">
        <v>55.77</v>
      </c>
    </row>
    <row r="126" spans="1:21">
      <c r="A126" s="60" t="s">
        <v>174</v>
      </c>
      <c r="B126" s="60" t="s">
        <v>493</v>
      </c>
      <c r="C126" s="60" t="s">
        <v>3916</v>
      </c>
      <c r="D126" s="60">
        <v>10.050000000000001</v>
      </c>
      <c r="E126" s="60">
        <v>0</v>
      </c>
      <c r="F126" s="60">
        <v>444</v>
      </c>
      <c r="G126" s="60">
        <v>0.01</v>
      </c>
      <c r="H126" s="60">
        <v>0.38</v>
      </c>
      <c r="I126" s="60">
        <v>8.7799999999999994</v>
      </c>
      <c r="J126" s="60">
        <v>0</v>
      </c>
      <c r="O126" s="60" t="s">
        <v>174</v>
      </c>
      <c r="P126" s="60" t="s">
        <v>493</v>
      </c>
      <c r="Q126" s="60" t="s">
        <v>3916</v>
      </c>
      <c r="R126" s="60">
        <v>10.050000000000001</v>
      </c>
      <c r="S126" s="60">
        <v>0</v>
      </c>
      <c r="T126" s="60">
        <v>444</v>
      </c>
      <c r="U126" s="60">
        <v>46.42</v>
      </c>
    </row>
    <row r="127" spans="1:21">
      <c r="A127" s="60" t="s">
        <v>175</v>
      </c>
      <c r="B127" s="60" t="s">
        <v>495</v>
      </c>
      <c r="C127" s="60" t="s">
        <v>3917</v>
      </c>
      <c r="D127" s="60">
        <v>60.7</v>
      </c>
      <c r="E127" s="60">
        <v>0</v>
      </c>
      <c r="F127" s="60">
        <v>30</v>
      </c>
      <c r="G127" s="60">
        <v>0.01</v>
      </c>
      <c r="H127" s="60">
        <v>0.52</v>
      </c>
      <c r="I127" s="60">
        <v>7.14</v>
      </c>
      <c r="J127" s="60">
        <v>0</v>
      </c>
      <c r="O127" s="60" t="s">
        <v>175</v>
      </c>
      <c r="P127" s="60" t="s">
        <v>495</v>
      </c>
      <c r="Q127" s="60" t="s">
        <v>3917</v>
      </c>
      <c r="R127" s="60">
        <v>60.7</v>
      </c>
      <c r="S127" s="60">
        <v>0</v>
      </c>
      <c r="T127" s="60">
        <v>30</v>
      </c>
      <c r="U127" s="60">
        <v>81.69</v>
      </c>
    </row>
    <row r="128" spans="1:21">
      <c r="A128" s="60" t="s">
        <v>176</v>
      </c>
      <c r="B128" s="60" t="s">
        <v>497</v>
      </c>
      <c r="C128" s="60" t="s">
        <v>3780</v>
      </c>
      <c r="D128" s="60">
        <v>50.9</v>
      </c>
      <c r="E128" s="60">
        <v>0.39</v>
      </c>
      <c r="F128" s="60">
        <v>452</v>
      </c>
      <c r="G128" s="60">
        <v>7.0000000000000007E-2</v>
      </c>
      <c r="H128" s="60">
        <v>3.31</v>
      </c>
      <c r="I128" s="60">
        <v>27.95</v>
      </c>
      <c r="J128" s="60">
        <v>0</v>
      </c>
      <c r="O128" s="60" t="s">
        <v>176</v>
      </c>
      <c r="P128" s="60" t="s">
        <v>497</v>
      </c>
      <c r="Q128" s="60" t="s">
        <v>3780</v>
      </c>
      <c r="R128" s="60">
        <v>50.9</v>
      </c>
      <c r="S128" s="60">
        <v>0.39</v>
      </c>
      <c r="T128" s="60">
        <v>452</v>
      </c>
      <c r="U128" s="60">
        <v>30.21</v>
      </c>
    </row>
    <row r="129" spans="1:21">
      <c r="A129" s="60" t="s">
        <v>177</v>
      </c>
      <c r="B129" s="60" t="s">
        <v>499</v>
      </c>
      <c r="C129" s="60" t="s">
        <v>3781</v>
      </c>
      <c r="D129" s="60">
        <v>43.2</v>
      </c>
      <c r="E129" s="60">
        <v>-0.46</v>
      </c>
      <c r="F129" s="60">
        <v>149</v>
      </c>
      <c r="G129" s="60">
        <v>0</v>
      </c>
      <c r="H129" s="60">
        <v>9.7200000000000006</v>
      </c>
      <c r="I129" s="60">
        <v>6.06</v>
      </c>
      <c r="J129" s="60">
        <v>0.02</v>
      </c>
      <c r="O129" s="60" t="s">
        <v>177</v>
      </c>
      <c r="P129" s="60" t="s">
        <v>499</v>
      </c>
      <c r="Q129" s="60" t="s">
        <v>3781</v>
      </c>
      <c r="R129" s="60">
        <v>43.2</v>
      </c>
      <c r="S129" s="60">
        <v>-0.46</v>
      </c>
      <c r="T129" s="60">
        <v>149</v>
      </c>
      <c r="U129" s="60">
        <v>22.92</v>
      </c>
    </row>
    <row r="130" spans="1:21">
      <c r="A130" s="60" t="s">
        <v>178</v>
      </c>
      <c r="B130" s="60" t="s">
        <v>501</v>
      </c>
      <c r="C130" s="60" t="s">
        <v>3782</v>
      </c>
      <c r="D130" s="60">
        <v>11.45</v>
      </c>
      <c r="E130" s="60">
        <v>0.88</v>
      </c>
      <c r="F130" s="60">
        <v>2557</v>
      </c>
      <c r="G130" s="60">
        <v>0</v>
      </c>
      <c r="H130" s="60">
        <v>2.82</v>
      </c>
      <c r="I130" s="60">
        <v>15.92</v>
      </c>
      <c r="J130" s="60">
        <v>0</v>
      </c>
      <c r="O130" s="60" t="s">
        <v>178</v>
      </c>
      <c r="P130" s="60" t="s">
        <v>501</v>
      </c>
      <c r="Q130" s="60" t="s">
        <v>3782</v>
      </c>
      <c r="R130" s="60">
        <v>11.45</v>
      </c>
      <c r="S130" s="60">
        <v>0.88</v>
      </c>
      <c r="T130" s="60">
        <v>2557</v>
      </c>
      <c r="U130" s="60">
        <v>50.51</v>
      </c>
    </row>
    <row r="131" spans="1:21">
      <c r="A131" s="60" t="s">
        <v>179</v>
      </c>
      <c r="B131" s="60" t="s">
        <v>503</v>
      </c>
      <c r="C131" s="60" t="s">
        <v>3783</v>
      </c>
      <c r="D131" s="60">
        <v>17.350000000000001</v>
      </c>
      <c r="E131" s="60">
        <v>-0.56999999999999995</v>
      </c>
      <c r="F131" s="60">
        <v>354</v>
      </c>
      <c r="G131" s="60">
        <v>0.01</v>
      </c>
      <c r="H131" s="60">
        <v>6.66</v>
      </c>
      <c r="I131" s="60">
        <v>32.33</v>
      </c>
      <c r="J131" s="60">
        <v>0</v>
      </c>
      <c r="O131" s="60" t="s">
        <v>179</v>
      </c>
      <c r="P131" s="60" t="s">
        <v>503</v>
      </c>
      <c r="Q131" s="60" t="s">
        <v>3783</v>
      </c>
      <c r="R131" s="60">
        <v>17.350000000000001</v>
      </c>
      <c r="S131" s="60">
        <v>-0.56999999999999995</v>
      </c>
      <c r="T131" s="60">
        <v>354</v>
      </c>
      <c r="U131" s="60">
        <v>68.98</v>
      </c>
    </row>
    <row r="132" spans="1:21">
      <c r="A132" s="60" t="s">
        <v>180</v>
      </c>
      <c r="B132" s="60" t="s">
        <v>505</v>
      </c>
      <c r="C132" s="60" t="s">
        <v>3784</v>
      </c>
      <c r="D132" s="60">
        <v>32.799999999999997</v>
      </c>
      <c r="E132" s="60">
        <v>0.31</v>
      </c>
      <c r="F132" s="60">
        <v>4</v>
      </c>
      <c r="G132" s="60">
        <v>0</v>
      </c>
      <c r="H132" s="60">
        <v>0.78</v>
      </c>
      <c r="I132" s="60">
        <v>1.1100000000000001</v>
      </c>
      <c r="J132" s="60">
        <v>0</v>
      </c>
      <c r="O132" s="60" t="s">
        <v>180</v>
      </c>
      <c r="P132" s="60" t="s">
        <v>505</v>
      </c>
      <c r="Q132" s="60" t="s">
        <v>3784</v>
      </c>
      <c r="R132" s="60">
        <v>32.799999999999997</v>
      </c>
      <c r="S132" s="60">
        <v>0.31</v>
      </c>
      <c r="T132" s="60">
        <v>4</v>
      </c>
      <c r="U132" s="60">
        <v>74.92</v>
      </c>
    </row>
    <row r="133" spans="1:21">
      <c r="A133" s="60" t="s">
        <v>181</v>
      </c>
      <c r="B133" s="60" t="s">
        <v>507</v>
      </c>
      <c r="C133" s="60" t="s">
        <v>3785</v>
      </c>
      <c r="D133" s="60">
        <v>15.2</v>
      </c>
      <c r="E133" s="60">
        <v>2.0099999999999998</v>
      </c>
      <c r="F133" s="60">
        <v>365</v>
      </c>
      <c r="G133" s="60">
        <v>0</v>
      </c>
      <c r="H133" s="60">
        <v>2.58</v>
      </c>
      <c r="I133" s="60">
        <v>2.65</v>
      </c>
      <c r="J133" s="60">
        <v>0.25</v>
      </c>
      <c r="O133" s="60" t="s">
        <v>181</v>
      </c>
      <c r="P133" s="60" t="s">
        <v>507</v>
      </c>
      <c r="Q133" s="60" t="s">
        <v>3785</v>
      </c>
      <c r="R133" s="60">
        <v>15.2</v>
      </c>
      <c r="S133" s="60">
        <v>2.0099999999999998</v>
      </c>
      <c r="T133" s="60">
        <v>365</v>
      </c>
      <c r="U133" s="60">
        <v>60.08</v>
      </c>
    </row>
    <row r="134" spans="1:21">
      <c r="A134" s="60" t="s">
        <v>182</v>
      </c>
      <c r="B134" s="60" t="s">
        <v>509</v>
      </c>
      <c r="C134" s="60" t="s">
        <v>3786</v>
      </c>
      <c r="D134" s="60">
        <v>31.85</v>
      </c>
      <c r="E134" s="60">
        <v>-1.55</v>
      </c>
      <c r="F134" s="60">
        <v>309</v>
      </c>
      <c r="G134" s="60">
        <v>0</v>
      </c>
      <c r="H134" s="60">
        <v>11.93</v>
      </c>
      <c r="I134" s="60">
        <v>3.43</v>
      </c>
      <c r="J134" s="60">
        <v>0.24</v>
      </c>
      <c r="O134" s="60" t="s">
        <v>182</v>
      </c>
      <c r="P134" s="60" t="s">
        <v>509</v>
      </c>
      <c r="Q134" s="60" t="s">
        <v>3786</v>
      </c>
      <c r="R134" s="60">
        <v>31.85</v>
      </c>
      <c r="S134" s="60">
        <v>-1.55</v>
      </c>
      <c r="T134" s="60">
        <v>309</v>
      </c>
      <c r="U134" s="60">
        <v>68.16</v>
      </c>
    </row>
    <row r="135" spans="1:21">
      <c r="A135" s="60" t="s">
        <v>183</v>
      </c>
      <c r="B135" s="60" t="s">
        <v>511</v>
      </c>
      <c r="C135" s="60" t="s">
        <v>3918</v>
      </c>
      <c r="D135" s="60">
        <v>59.1</v>
      </c>
      <c r="E135" s="60">
        <v>1.2</v>
      </c>
      <c r="F135" s="60">
        <v>441</v>
      </c>
      <c r="G135" s="60">
        <v>0.72</v>
      </c>
      <c r="H135" s="60">
        <v>5.56</v>
      </c>
      <c r="I135" s="60">
        <v>10.71</v>
      </c>
      <c r="J135" s="60">
        <v>0</v>
      </c>
      <c r="O135" s="60" t="s">
        <v>183</v>
      </c>
      <c r="P135" s="60" t="s">
        <v>511</v>
      </c>
      <c r="Q135" s="60" t="s">
        <v>3918</v>
      </c>
      <c r="R135" s="60">
        <v>59.1</v>
      </c>
      <c r="S135" s="60">
        <v>1.2</v>
      </c>
      <c r="T135" s="60">
        <v>441</v>
      </c>
      <c r="U135" s="60">
        <v>52.43</v>
      </c>
    </row>
    <row r="136" spans="1:21">
      <c r="A136" s="60" t="s">
        <v>184</v>
      </c>
      <c r="B136" s="60" t="s">
        <v>513</v>
      </c>
      <c r="C136" s="60" t="s">
        <v>3787</v>
      </c>
      <c r="D136" s="60">
        <v>39.200000000000003</v>
      </c>
      <c r="E136" s="60">
        <v>-0.25</v>
      </c>
      <c r="F136" s="60">
        <v>86</v>
      </c>
      <c r="G136" s="60">
        <v>0</v>
      </c>
      <c r="H136" s="60">
        <v>1.1200000000000001</v>
      </c>
      <c r="I136" s="60">
        <v>0.33</v>
      </c>
      <c r="J136" s="60">
        <v>0</v>
      </c>
      <c r="O136" s="60" t="s">
        <v>184</v>
      </c>
      <c r="P136" s="60" t="s">
        <v>513</v>
      </c>
      <c r="Q136" s="60" t="s">
        <v>3787</v>
      </c>
      <c r="R136" s="60">
        <v>39.200000000000003</v>
      </c>
      <c r="S136" s="60">
        <v>-0.25</v>
      </c>
      <c r="T136" s="60">
        <v>86</v>
      </c>
      <c r="U136" s="60">
        <v>75.87</v>
      </c>
    </row>
    <row r="137" spans="1:21">
      <c r="A137" s="60" t="s">
        <v>185</v>
      </c>
      <c r="B137" s="60" t="s">
        <v>515</v>
      </c>
      <c r="C137" s="60" t="s">
        <v>3919</v>
      </c>
      <c r="D137" s="60">
        <v>94.9</v>
      </c>
      <c r="E137" s="60">
        <v>0.96</v>
      </c>
      <c r="F137" s="60">
        <v>989</v>
      </c>
      <c r="G137" s="60">
        <v>0.13</v>
      </c>
      <c r="H137" s="60">
        <v>14.07</v>
      </c>
      <c r="I137" s="60">
        <v>6.38</v>
      </c>
      <c r="J137" s="60">
        <v>0.87</v>
      </c>
      <c r="O137" s="60" t="s">
        <v>185</v>
      </c>
      <c r="P137" s="60" t="s">
        <v>515</v>
      </c>
      <c r="Q137" s="60" t="s">
        <v>3919</v>
      </c>
      <c r="R137" s="60">
        <v>94.9</v>
      </c>
      <c r="S137" s="60">
        <v>0.96</v>
      </c>
      <c r="T137" s="60">
        <v>989</v>
      </c>
      <c r="U137" s="60">
        <v>54.91</v>
      </c>
    </row>
    <row r="138" spans="1:21">
      <c r="A138" s="60" t="s">
        <v>186</v>
      </c>
      <c r="B138" s="60" t="s">
        <v>517</v>
      </c>
      <c r="C138" s="60" t="s">
        <v>3788</v>
      </c>
      <c r="D138" s="60">
        <v>138.5</v>
      </c>
      <c r="E138" s="60">
        <v>0</v>
      </c>
      <c r="F138" s="60">
        <v>80</v>
      </c>
      <c r="G138" s="60">
        <v>0</v>
      </c>
      <c r="H138" s="60">
        <v>18.97</v>
      </c>
      <c r="I138" s="60">
        <v>0.81</v>
      </c>
      <c r="J138" s="60">
        <v>0.27</v>
      </c>
      <c r="O138" s="60" t="s">
        <v>186</v>
      </c>
      <c r="P138" s="60" t="s">
        <v>517</v>
      </c>
      <c r="Q138" s="60" t="s">
        <v>3788</v>
      </c>
      <c r="R138" s="60">
        <v>138.5</v>
      </c>
      <c r="S138" s="60">
        <v>0</v>
      </c>
      <c r="T138" s="60">
        <v>80</v>
      </c>
      <c r="U138" s="60">
        <v>43.91</v>
      </c>
    </row>
    <row r="139" spans="1:21">
      <c r="A139" s="60" t="s">
        <v>187</v>
      </c>
      <c r="B139" s="60" t="s">
        <v>3137</v>
      </c>
      <c r="C139" s="60" t="s">
        <v>3789</v>
      </c>
      <c r="D139" s="60">
        <v>10.95</v>
      </c>
      <c r="E139" s="60">
        <v>0.46</v>
      </c>
      <c r="F139" s="60">
        <v>11</v>
      </c>
      <c r="G139" s="60">
        <v>0</v>
      </c>
      <c r="H139" s="60">
        <v>0.06</v>
      </c>
      <c r="I139" s="60">
        <v>0</v>
      </c>
      <c r="J139" s="60">
        <v>0</v>
      </c>
      <c r="O139" s="60" t="s">
        <v>187</v>
      </c>
      <c r="P139" s="60" t="s">
        <v>3137</v>
      </c>
      <c r="Q139" s="60" t="s">
        <v>3789</v>
      </c>
      <c r="R139" s="60">
        <v>10.95</v>
      </c>
      <c r="S139" s="60">
        <v>0.46</v>
      </c>
      <c r="T139" s="60">
        <v>11</v>
      </c>
      <c r="U139" s="60">
        <v>35.520000000000003</v>
      </c>
    </row>
    <row r="140" spans="1:21">
      <c r="A140" s="60" t="s">
        <v>188</v>
      </c>
      <c r="B140" s="60" t="s">
        <v>520</v>
      </c>
      <c r="C140" s="60" t="s">
        <v>3790</v>
      </c>
      <c r="D140" s="60">
        <v>19.399999999999999</v>
      </c>
      <c r="E140" s="60">
        <v>1.84</v>
      </c>
      <c r="F140" s="60">
        <v>115</v>
      </c>
      <c r="G140" s="60">
        <v>0</v>
      </c>
      <c r="H140" s="60">
        <v>0.44</v>
      </c>
      <c r="I140" s="60">
        <v>9.3699999999999992</v>
      </c>
      <c r="J140" s="60">
        <v>0</v>
      </c>
      <c r="O140" s="60" t="s">
        <v>188</v>
      </c>
      <c r="P140" s="60" t="s">
        <v>520</v>
      </c>
      <c r="Q140" s="60" t="s">
        <v>3790</v>
      </c>
      <c r="R140" s="60">
        <v>19.399999999999999</v>
      </c>
      <c r="S140" s="60">
        <v>1.84</v>
      </c>
      <c r="T140" s="60">
        <v>115</v>
      </c>
      <c r="U140" s="60">
        <v>58.1</v>
      </c>
    </row>
    <row r="141" spans="1:21">
      <c r="A141" s="60" t="s">
        <v>189</v>
      </c>
      <c r="B141" s="60" t="s">
        <v>522</v>
      </c>
      <c r="C141" s="60" t="s">
        <v>3791</v>
      </c>
      <c r="D141" s="60">
        <v>14.95</v>
      </c>
      <c r="E141" s="60">
        <v>-0.66</v>
      </c>
      <c r="F141" s="60">
        <v>78</v>
      </c>
      <c r="G141" s="60">
        <v>0</v>
      </c>
      <c r="H141" s="60">
        <v>0.41</v>
      </c>
      <c r="I141" s="60">
        <v>1.21</v>
      </c>
      <c r="J141" s="60">
        <v>0</v>
      </c>
      <c r="O141" s="60" t="s">
        <v>189</v>
      </c>
      <c r="P141" s="60" t="s">
        <v>522</v>
      </c>
      <c r="Q141" s="60" t="s">
        <v>3791</v>
      </c>
      <c r="R141" s="60">
        <v>14.95</v>
      </c>
      <c r="S141" s="60">
        <v>-0.66</v>
      </c>
      <c r="T141" s="60">
        <v>78</v>
      </c>
      <c r="U141" s="60">
        <v>31.23</v>
      </c>
    </row>
    <row r="142" spans="1:21">
      <c r="A142" s="60" t="s">
        <v>190</v>
      </c>
      <c r="B142" s="60" t="s">
        <v>524</v>
      </c>
      <c r="C142" s="60" t="s">
        <v>3792</v>
      </c>
      <c r="D142" s="60">
        <v>43.55</v>
      </c>
      <c r="E142" s="60">
        <v>-0.23</v>
      </c>
      <c r="F142" s="60">
        <v>6</v>
      </c>
      <c r="G142" s="60">
        <v>0</v>
      </c>
      <c r="H142" s="60">
        <v>9.7100000000000009</v>
      </c>
      <c r="I142" s="60">
        <v>0.8</v>
      </c>
      <c r="J142" s="60">
        <v>0</v>
      </c>
      <c r="O142" s="60" t="s">
        <v>190</v>
      </c>
      <c r="P142" s="60" t="s">
        <v>524</v>
      </c>
      <c r="Q142" s="60" t="s">
        <v>3792</v>
      </c>
      <c r="R142" s="60">
        <v>43.55</v>
      </c>
      <c r="S142" s="60">
        <v>-0.23</v>
      </c>
      <c r="T142" s="60">
        <v>6</v>
      </c>
      <c r="U142" s="60">
        <v>80.56</v>
      </c>
    </row>
    <row r="143" spans="1:21">
      <c r="A143" s="60" t="s">
        <v>191</v>
      </c>
      <c r="B143" s="60" t="s">
        <v>526</v>
      </c>
      <c r="C143" s="60" t="s">
        <v>3793</v>
      </c>
      <c r="D143" s="60">
        <v>145</v>
      </c>
      <c r="E143" s="60">
        <v>-0.34</v>
      </c>
      <c r="F143" s="60">
        <v>82</v>
      </c>
      <c r="G143" s="60">
        <v>0</v>
      </c>
      <c r="H143" s="60">
        <v>8.6300000000000008</v>
      </c>
      <c r="I143" s="60">
        <v>2.4500000000000002</v>
      </c>
      <c r="J143" s="60">
        <v>0.22</v>
      </c>
      <c r="O143" s="60" t="s">
        <v>191</v>
      </c>
      <c r="P143" s="60" t="s">
        <v>526</v>
      </c>
      <c r="Q143" s="60" t="s">
        <v>3793</v>
      </c>
      <c r="R143" s="60">
        <v>145</v>
      </c>
      <c r="S143" s="60">
        <v>-0.34</v>
      </c>
      <c r="T143" s="60">
        <v>82</v>
      </c>
      <c r="U143" s="60">
        <v>11.27</v>
      </c>
    </row>
    <row r="144" spans="1:21">
      <c r="A144" s="60" t="s">
        <v>192</v>
      </c>
      <c r="B144" s="60" t="s">
        <v>528</v>
      </c>
      <c r="C144" s="60" t="s">
        <v>3794</v>
      </c>
      <c r="D144" s="60">
        <v>87.7</v>
      </c>
      <c r="E144" s="60">
        <v>-3.63</v>
      </c>
      <c r="F144" s="60">
        <v>3661</v>
      </c>
      <c r="G144" s="60">
        <v>0.46</v>
      </c>
      <c r="H144" s="60">
        <v>16.45</v>
      </c>
      <c r="I144" s="60">
        <v>14.77</v>
      </c>
      <c r="J144" s="60">
        <v>1.1200000000000001</v>
      </c>
      <c r="O144" s="60" t="s">
        <v>192</v>
      </c>
      <c r="P144" s="60" t="s">
        <v>528</v>
      </c>
      <c r="Q144" s="60" t="s">
        <v>3794</v>
      </c>
      <c r="R144" s="60">
        <v>87.7</v>
      </c>
      <c r="S144" s="60">
        <v>-3.63</v>
      </c>
      <c r="T144" s="60">
        <v>3661</v>
      </c>
      <c r="U144" s="60">
        <v>47.64</v>
      </c>
    </row>
    <row r="145" spans="1:21">
      <c r="A145" s="60" t="s">
        <v>193</v>
      </c>
      <c r="B145" s="60" t="s">
        <v>530</v>
      </c>
      <c r="C145" s="60" t="s">
        <v>4573</v>
      </c>
      <c r="D145" s="60">
        <v>309</v>
      </c>
      <c r="E145" s="60">
        <v>1.48</v>
      </c>
      <c r="F145" s="60">
        <v>136</v>
      </c>
      <c r="G145" s="60">
        <v>0.04</v>
      </c>
      <c r="H145" s="60">
        <v>32.17</v>
      </c>
      <c r="I145" s="60">
        <v>7.98</v>
      </c>
      <c r="J145" s="60">
        <v>2.81</v>
      </c>
      <c r="O145" s="60" t="s">
        <v>193</v>
      </c>
      <c r="P145" s="60" t="s">
        <v>530</v>
      </c>
      <c r="Q145" s="60" t="s">
        <v>4573</v>
      </c>
      <c r="R145" s="60">
        <v>309</v>
      </c>
      <c r="S145" s="60">
        <v>1.48</v>
      </c>
      <c r="T145" s="60">
        <v>136</v>
      </c>
      <c r="U145" s="60">
        <v>19.329999999999998</v>
      </c>
    </row>
    <row r="146" spans="1:21">
      <c r="A146" s="60" t="s">
        <v>194</v>
      </c>
      <c r="B146" s="60" t="s">
        <v>532</v>
      </c>
      <c r="C146" s="60" t="s">
        <v>3920</v>
      </c>
      <c r="D146" s="60">
        <v>22.15</v>
      </c>
      <c r="E146" s="60">
        <v>0.91</v>
      </c>
      <c r="F146" s="60">
        <v>86</v>
      </c>
      <c r="G146" s="60">
        <v>0.02</v>
      </c>
      <c r="H146" s="60">
        <v>1.51</v>
      </c>
      <c r="I146" s="60">
        <v>6.08</v>
      </c>
      <c r="J146" s="60">
        <v>0</v>
      </c>
      <c r="O146" s="60" t="s">
        <v>194</v>
      </c>
      <c r="P146" s="60" t="s">
        <v>532</v>
      </c>
      <c r="Q146" s="60" t="s">
        <v>3920</v>
      </c>
      <c r="R146" s="60">
        <v>22.15</v>
      </c>
      <c r="S146" s="60">
        <v>0.91</v>
      </c>
      <c r="T146" s="60">
        <v>86</v>
      </c>
      <c r="U146" s="60">
        <v>54.15</v>
      </c>
    </row>
    <row r="147" spans="1:21">
      <c r="A147" s="60" t="s">
        <v>195</v>
      </c>
      <c r="B147" s="60" t="s">
        <v>534</v>
      </c>
      <c r="C147" s="60" t="s">
        <v>4729</v>
      </c>
      <c r="D147" s="60">
        <v>24.95</v>
      </c>
      <c r="E147" s="60">
        <v>-0.99</v>
      </c>
      <c r="F147" s="60">
        <v>194</v>
      </c>
      <c r="G147" s="60">
        <v>0</v>
      </c>
      <c r="H147" s="60">
        <v>2.11</v>
      </c>
      <c r="I147" s="60">
        <v>10.01</v>
      </c>
      <c r="J147" s="60">
        <v>0.01</v>
      </c>
      <c r="O147" s="60" t="s">
        <v>195</v>
      </c>
      <c r="P147" s="60" t="s">
        <v>534</v>
      </c>
      <c r="Q147" s="60" t="s">
        <v>4729</v>
      </c>
      <c r="R147" s="60">
        <v>24.95</v>
      </c>
      <c r="S147" s="60">
        <v>-0.99</v>
      </c>
      <c r="T147" s="60">
        <v>194</v>
      </c>
      <c r="U147" s="60">
        <v>39.89</v>
      </c>
    </row>
    <row r="148" spans="1:21">
      <c r="A148" s="60" t="s">
        <v>196</v>
      </c>
      <c r="B148" s="60" t="s">
        <v>536</v>
      </c>
      <c r="C148" s="60" t="s">
        <v>4519</v>
      </c>
      <c r="D148" s="60">
        <v>21.05</v>
      </c>
      <c r="E148" s="60">
        <v>4.47</v>
      </c>
      <c r="F148" s="60">
        <v>1933</v>
      </c>
      <c r="G148" s="60">
        <v>7.0000000000000007E-2</v>
      </c>
      <c r="H148" s="60">
        <v>4.82</v>
      </c>
      <c r="I148" s="60">
        <v>18.86</v>
      </c>
      <c r="J148" s="60">
        <v>0</v>
      </c>
      <c r="O148" s="60" t="s">
        <v>196</v>
      </c>
      <c r="P148" s="60" t="s">
        <v>536</v>
      </c>
      <c r="Q148" s="60" t="s">
        <v>4519</v>
      </c>
      <c r="R148" s="60">
        <v>21.05</v>
      </c>
      <c r="S148" s="60">
        <v>4.47</v>
      </c>
      <c r="T148" s="60">
        <v>1933</v>
      </c>
      <c r="U148" s="60">
        <v>23.13</v>
      </c>
    </row>
    <row r="149" spans="1:21">
      <c r="A149" s="60" t="s">
        <v>197</v>
      </c>
      <c r="B149" s="60" t="s">
        <v>538</v>
      </c>
      <c r="C149" s="60" t="s">
        <v>4520</v>
      </c>
      <c r="D149" s="60">
        <v>103.5</v>
      </c>
      <c r="E149" s="60">
        <v>0</v>
      </c>
      <c r="F149" s="60">
        <v>68</v>
      </c>
      <c r="G149" s="60">
        <v>0</v>
      </c>
      <c r="H149" s="60">
        <v>10.4</v>
      </c>
      <c r="I149" s="60">
        <v>7.84</v>
      </c>
      <c r="J149" s="60">
        <v>0.18</v>
      </c>
      <c r="O149" s="60" t="s">
        <v>197</v>
      </c>
      <c r="P149" s="60" t="s">
        <v>538</v>
      </c>
      <c r="Q149" s="60" t="s">
        <v>4520</v>
      </c>
      <c r="R149" s="60">
        <v>103.5</v>
      </c>
      <c r="S149" s="60">
        <v>0</v>
      </c>
      <c r="T149" s="60">
        <v>68</v>
      </c>
      <c r="U149" s="60">
        <v>36.83</v>
      </c>
    </row>
    <row r="150" spans="1:21">
      <c r="A150" s="60" t="s">
        <v>198</v>
      </c>
      <c r="B150" s="60" t="s">
        <v>540</v>
      </c>
      <c r="C150" s="60" t="s">
        <v>4145</v>
      </c>
      <c r="D150" s="60">
        <v>69.2</v>
      </c>
      <c r="E150" s="60">
        <v>0.44</v>
      </c>
      <c r="F150" s="60">
        <v>229</v>
      </c>
      <c r="G150" s="60">
        <v>0.31</v>
      </c>
      <c r="H150" s="60">
        <v>13.18</v>
      </c>
      <c r="I150" s="60">
        <v>4.92</v>
      </c>
      <c r="J150" s="60">
        <v>0.03</v>
      </c>
      <c r="O150" s="60" t="s">
        <v>198</v>
      </c>
      <c r="P150" s="60" t="s">
        <v>540</v>
      </c>
      <c r="Q150" s="60" t="s">
        <v>4145</v>
      </c>
      <c r="R150" s="60">
        <v>69.2</v>
      </c>
      <c r="S150" s="60">
        <v>0.44</v>
      </c>
      <c r="T150" s="60">
        <v>229</v>
      </c>
      <c r="U150" s="60">
        <v>30.48</v>
      </c>
    </row>
    <row r="151" spans="1:21">
      <c r="A151" s="60" t="s">
        <v>199</v>
      </c>
      <c r="B151" s="60" t="s">
        <v>542</v>
      </c>
      <c r="C151" s="60" t="s">
        <v>3795</v>
      </c>
      <c r="D151" s="60">
        <v>62.5</v>
      </c>
      <c r="E151" s="60">
        <v>0</v>
      </c>
      <c r="F151" s="60">
        <v>1</v>
      </c>
      <c r="G151" s="60">
        <v>0</v>
      </c>
      <c r="H151" s="60">
        <v>0.24</v>
      </c>
      <c r="I151" s="60">
        <v>0.12</v>
      </c>
      <c r="J151" s="60">
        <v>0.04</v>
      </c>
      <c r="O151" s="60" t="s">
        <v>199</v>
      </c>
      <c r="P151" s="60" t="s">
        <v>542</v>
      </c>
      <c r="Q151" s="60" t="s">
        <v>3795</v>
      </c>
      <c r="R151" s="60">
        <v>62.5</v>
      </c>
      <c r="S151" s="60">
        <v>0</v>
      </c>
      <c r="T151" s="60">
        <v>1</v>
      </c>
      <c r="U151" s="60">
        <v>90.1</v>
      </c>
    </row>
    <row r="152" spans="1:21">
      <c r="A152" s="60" t="s">
        <v>200</v>
      </c>
      <c r="B152" s="60" t="s">
        <v>544</v>
      </c>
      <c r="C152" s="60" t="s">
        <v>3589</v>
      </c>
      <c r="D152" s="60">
        <v>17.8</v>
      </c>
      <c r="E152" s="60">
        <v>0</v>
      </c>
      <c r="F152" s="60">
        <v>482</v>
      </c>
      <c r="G152" s="60">
        <v>0.08</v>
      </c>
      <c r="H152" s="60">
        <v>1.06</v>
      </c>
      <c r="I152" s="60">
        <v>8.06</v>
      </c>
      <c r="J152" s="60">
        <v>0</v>
      </c>
      <c r="O152" s="60" t="s">
        <v>200</v>
      </c>
      <c r="P152" s="60" t="s">
        <v>544</v>
      </c>
      <c r="Q152" s="60" t="s">
        <v>3589</v>
      </c>
      <c r="R152" s="60">
        <v>17.8</v>
      </c>
      <c r="S152" s="60">
        <v>0</v>
      </c>
      <c r="T152" s="60">
        <v>482</v>
      </c>
      <c r="U152" s="60">
        <v>65.349999999999994</v>
      </c>
    </row>
    <row r="153" spans="1:21">
      <c r="A153" s="60" t="s">
        <v>201</v>
      </c>
      <c r="B153" s="60" t="s">
        <v>546</v>
      </c>
      <c r="C153" s="60" t="s">
        <v>3670</v>
      </c>
      <c r="D153" s="60">
        <v>41.4</v>
      </c>
      <c r="E153" s="60">
        <v>0.12</v>
      </c>
      <c r="F153" s="60">
        <v>106</v>
      </c>
      <c r="G153" s="60">
        <v>0.02</v>
      </c>
      <c r="H153" s="60">
        <v>1.86</v>
      </c>
      <c r="I153" s="60">
        <v>64.75</v>
      </c>
      <c r="J153" s="60">
        <v>0</v>
      </c>
      <c r="O153" s="60" t="s">
        <v>201</v>
      </c>
      <c r="P153" s="60" t="s">
        <v>546</v>
      </c>
      <c r="Q153" s="60" t="s">
        <v>3670</v>
      </c>
      <c r="R153" s="60">
        <v>41.4</v>
      </c>
      <c r="S153" s="60">
        <v>0.12</v>
      </c>
      <c r="T153" s="60">
        <v>106</v>
      </c>
      <c r="U153" s="60">
        <v>46.26</v>
      </c>
    </row>
    <row r="154" spans="1:21">
      <c r="A154" s="60" t="s">
        <v>202</v>
      </c>
      <c r="B154" s="60" t="s">
        <v>548</v>
      </c>
      <c r="C154" s="60" t="s">
        <v>3921</v>
      </c>
      <c r="D154" s="60">
        <v>25.8</v>
      </c>
      <c r="E154" s="60">
        <v>-0.57999999999999996</v>
      </c>
      <c r="F154" s="60">
        <v>165</v>
      </c>
      <c r="G154" s="60">
        <v>7.0000000000000007E-2</v>
      </c>
      <c r="H154" s="60">
        <v>21.77</v>
      </c>
      <c r="I154" s="60">
        <v>6.42</v>
      </c>
      <c r="J154" s="60">
        <v>0</v>
      </c>
      <c r="O154" s="60" t="s">
        <v>202</v>
      </c>
      <c r="P154" s="60" t="s">
        <v>548</v>
      </c>
      <c r="Q154" s="60" t="s">
        <v>3921</v>
      </c>
      <c r="R154" s="60">
        <v>25.8</v>
      </c>
      <c r="S154" s="60">
        <v>-0.57999999999999996</v>
      </c>
      <c r="T154" s="60">
        <v>165</v>
      </c>
      <c r="U154" s="60">
        <v>39.590000000000003</v>
      </c>
    </row>
    <row r="155" spans="1:21">
      <c r="A155" s="60" t="s">
        <v>203</v>
      </c>
      <c r="B155" s="60" t="s">
        <v>550</v>
      </c>
      <c r="C155" s="60" t="s">
        <v>3796</v>
      </c>
      <c r="D155" s="60">
        <v>63.1</v>
      </c>
      <c r="E155" s="60">
        <v>0</v>
      </c>
      <c r="F155" s="60">
        <v>256</v>
      </c>
      <c r="G155" s="60">
        <v>0.05</v>
      </c>
      <c r="H155" s="60">
        <v>6.39</v>
      </c>
      <c r="I155" s="60">
        <v>23.43</v>
      </c>
      <c r="J155" s="60">
        <v>0</v>
      </c>
      <c r="O155" s="60" t="s">
        <v>203</v>
      </c>
      <c r="P155" s="60" t="s">
        <v>550</v>
      </c>
      <c r="Q155" s="60" t="s">
        <v>3796</v>
      </c>
      <c r="R155" s="60">
        <v>63.1</v>
      </c>
      <c r="S155" s="60">
        <v>0</v>
      </c>
      <c r="T155" s="60">
        <v>256</v>
      </c>
      <c r="U155" s="60">
        <v>35.44</v>
      </c>
    </row>
    <row r="156" spans="1:21">
      <c r="A156" s="60" t="s">
        <v>204</v>
      </c>
      <c r="B156" s="60" t="s">
        <v>552</v>
      </c>
      <c r="C156" s="60" t="s">
        <v>3662</v>
      </c>
      <c r="D156" s="60">
        <v>860</v>
      </c>
      <c r="E156" s="60">
        <v>2.63</v>
      </c>
      <c r="F156" s="60">
        <v>488</v>
      </c>
      <c r="G156" s="60">
        <v>0.06</v>
      </c>
      <c r="H156" s="60">
        <v>82</v>
      </c>
      <c r="I156" s="60">
        <v>1</v>
      </c>
      <c r="J156" s="60">
        <v>0.56000000000000005</v>
      </c>
      <c r="O156" s="60" t="s">
        <v>204</v>
      </c>
      <c r="P156" s="60" t="s">
        <v>552</v>
      </c>
      <c r="Q156" s="60" t="s">
        <v>3662</v>
      </c>
      <c r="R156" s="60">
        <v>860</v>
      </c>
      <c r="S156" s="60">
        <v>2.63</v>
      </c>
      <c r="T156" s="60">
        <v>488</v>
      </c>
      <c r="U156" s="60">
        <v>59.49</v>
      </c>
    </row>
    <row r="157" spans="1:21">
      <c r="A157" s="60" t="s">
        <v>205</v>
      </c>
      <c r="B157" s="60" t="s">
        <v>554</v>
      </c>
      <c r="C157" s="60" t="s">
        <v>4521</v>
      </c>
      <c r="D157" s="60">
        <v>14.8</v>
      </c>
      <c r="E157" s="60">
        <v>0</v>
      </c>
      <c r="F157" s="60">
        <v>9</v>
      </c>
      <c r="G157" s="60">
        <v>0.01</v>
      </c>
      <c r="H157" s="60">
        <v>15.9</v>
      </c>
      <c r="I157" s="60">
        <v>39.25</v>
      </c>
      <c r="J157" s="60">
        <v>0</v>
      </c>
      <c r="O157" s="60" t="s">
        <v>205</v>
      </c>
      <c r="P157" s="60" t="s">
        <v>554</v>
      </c>
      <c r="Q157" s="60" t="s">
        <v>4521</v>
      </c>
      <c r="R157" s="60">
        <v>14.8</v>
      </c>
      <c r="S157" s="60">
        <v>0</v>
      </c>
      <c r="T157" s="60">
        <v>9</v>
      </c>
      <c r="U157" s="60">
        <v>49.35</v>
      </c>
    </row>
    <row r="158" spans="1:21">
      <c r="A158" s="60" t="s">
        <v>206</v>
      </c>
      <c r="B158" s="60" t="s">
        <v>557</v>
      </c>
      <c r="C158" s="60" t="s">
        <v>4574</v>
      </c>
      <c r="D158" s="60">
        <v>85.4</v>
      </c>
      <c r="E158" s="60">
        <v>-0.12</v>
      </c>
      <c r="F158" s="60">
        <v>59</v>
      </c>
      <c r="G158" s="60">
        <v>0.01</v>
      </c>
      <c r="H158" s="60">
        <v>1.1399999999999999</v>
      </c>
      <c r="I158" s="60">
        <v>17.850000000000001</v>
      </c>
      <c r="J158" s="60">
        <v>0</v>
      </c>
      <c r="O158" s="60" t="s">
        <v>206</v>
      </c>
      <c r="P158" s="60" t="s">
        <v>557</v>
      </c>
      <c r="Q158" s="60" t="s">
        <v>4574</v>
      </c>
      <c r="R158" s="60">
        <v>85.4</v>
      </c>
      <c r="S158" s="60">
        <v>-0.12</v>
      </c>
      <c r="T158" s="60">
        <v>59</v>
      </c>
      <c r="U158" s="60">
        <v>19.079999999999998</v>
      </c>
    </row>
    <row r="159" spans="1:21">
      <c r="A159" s="60" t="s">
        <v>207</v>
      </c>
      <c r="B159" s="60" t="s">
        <v>559</v>
      </c>
      <c r="C159" s="60" t="s">
        <v>4866</v>
      </c>
      <c r="D159" s="60">
        <v>49.5</v>
      </c>
      <c r="E159" s="60">
        <v>6.45</v>
      </c>
      <c r="F159" s="60">
        <v>998</v>
      </c>
      <c r="G159" s="60">
        <v>0.12</v>
      </c>
      <c r="H159" s="60">
        <v>2.16</v>
      </c>
      <c r="I159" s="60">
        <v>6.63</v>
      </c>
      <c r="J159" s="60">
        <v>0</v>
      </c>
      <c r="O159" s="60" t="s">
        <v>207</v>
      </c>
      <c r="P159" s="60" t="s">
        <v>559</v>
      </c>
      <c r="Q159" s="60" t="s">
        <v>4866</v>
      </c>
      <c r="R159" s="60">
        <v>49.5</v>
      </c>
      <c r="S159" s="60">
        <v>6.45</v>
      </c>
      <c r="T159" s="60">
        <v>998</v>
      </c>
      <c r="U159" s="60">
        <v>47.48</v>
      </c>
    </row>
    <row r="160" spans="1:21">
      <c r="A160" s="60" t="s">
        <v>208</v>
      </c>
      <c r="B160" s="60" t="s">
        <v>561</v>
      </c>
      <c r="C160" s="60" t="s">
        <v>3797</v>
      </c>
      <c r="D160" s="60">
        <v>89.9</v>
      </c>
      <c r="E160" s="60">
        <v>0</v>
      </c>
      <c r="F160" s="60">
        <v>156</v>
      </c>
      <c r="G160" s="60">
        <v>0.03</v>
      </c>
      <c r="H160" s="60">
        <v>4.7699999999999996</v>
      </c>
      <c r="I160" s="60">
        <v>6.34</v>
      </c>
      <c r="J160" s="60">
        <v>0</v>
      </c>
      <c r="O160" s="60" t="s">
        <v>208</v>
      </c>
      <c r="P160" s="60" t="s">
        <v>561</v>
      </c>
      <c r="Q160" s="60" t="s">
        <v>3797</v>
      </c>
      <c r="R160" s="60">
        <v>89.9</v>
      </c>
      <c r="S160" s="60">
        <v>0</v>
      </c>
      <c r="T160" s="60">
        <v>156</v>
      </c>
      <c r="U160" s="60">
        <v>37.46</v>
      </c>
    </row>
    <row r="161" spans="1:21">
      <c r="A161" s="60" t="s">
        <v>209</v>
      </c>
      <c r="B161" s="60" t="s">
        <v>563</v>
      </c>
      <c r="C161" s="60" t="s">
        <v>33</v>
      </c>
      <c r="D161" s="60">
        <v>61.9</v>
      </c>
      <c r="E161" s="60">
        <v>-0.16</v>
      </c>
      <c r="F161" s="60">
        <v>226</v>
      </c>
      <c r="G161" s="60">
        <v>1.46</v>
      </c>
      <c r="H161" s="60">
        <v>6.93</v>
      </c>
      <c r="I161" s="60">
        <v>23.23</v>
      </c>
      <c r="J161" s="60">
        <v>0</v>
      </c>
      <c r="O161" s="60" t="s">
        <v>209</v>
      </c>
      <c r="P161" s="60" t="s">
        <v>563</v>
      </c>
      <c r="Q161" s="60" t="s">
        <v>33</v>
      </c>
      <c r="R161" s="60">
        <v>61.9</v>
      </c>
      <c r="S161" s="60">
        <v>-0.16</v>
      </c>
      <c r="T161" s="60">
        <v>226</v>
      </c>
      <c r="U161" s="60">
        <v>50.27</v>
      </c>
    </row>
    <row r="162" spans="1:21">
      <c r="A162" s="60" t="s">
        <v>210</v>
      </c>
      <c r="B162" s="60" t="s">
        <v>565</v>
      </c>
      <c r="C162" s="60" t="s">
        <v>4522</v>
      </c>
      <c r="D162" s="60">
        <v>44.3</v>
      </c>
      <c r="E162" s="60">
        <v>0</v>
      </c>
      <c r="F162" s="60">
        <v>97</v>
      </c>
      <c r="G162" s="60">
        <v>0</v>
      </c>
      <c r="H162" s="60">
        <v>12.25</v>
      </c>
      <c r="I162" s="60">
        <v>6.46</v>
      </c>
      <c r="J162" s="60">
        <v>0</v>
      </c>
      <c r="O162" s="60" t="s">
        <v>210</v>
      </c>
      <c r="P162" s="60" t="s">
        <v>565</v>
      </c>
      <c r="Q162" s="60" t="s">
        <v>4522</v>
      </c>
      <c r="R162" s="60">
        <v>44.3</v>
      </c>
      <c r="S162" s="60">
        <v>0</v>
      </c>
      <c r="T162" s="60">
        <v>97</v>
      </c>
      <c r="U162" s="60">
        <v>57.55</v>
      </c>
    </row>
    <row r="163" spans="1:21">
      <c r="A163" s="60" t="s">
        <v>211</v>
      </c>
      <c r="B163" s="60" t="s">
        <v>567</v>
      </c>
      <c r="C163" s="60" t="s">
        <v>3817</v>
      </c>
      <c r="D163" s="60">
        <v>27.15</v>
      </c>
      <c r="E163" s="60">
        <v>0.56000000000000005</v>
      </c>
      <c r="F163" s="60">
        <v>105</v>
      </c>
      <c r="G163" s="60">
        <v>0.09</v>
      </c>
      <c r="H163" s="60">
        <v>1.47</v>
      </c>
      <c r="I163" s="60">
        <v>2.96</v>
      </c>
      <c r="J163" s="60">
        <v>0</v>
      </c>
      <c r="O163" s="60" t="s">
        <v>211</v>
      </c>
      <c r="P163" s="60" t="s">
        <v>567</v>
      </c>
      <c r="Q163" s="60" t="s">
        <v>3817</v>
      </c>
      <c r="R163" s="60">
        <v>27.15</v>
      </c>
      <c r="S163" s="60">
        <v>0.56000000000000005</v>
      </c>
      <c r="T163" s="60">
        <v>105</v>
      </c>
      <c r="U163" s="60">
        <v>82.05</v>
      </c>
    </row>
    <row r="164" spans="1:21">
      <c r="A164" s="60" t="s">
        <v>212</v>
      </c>
      <c r="B164" s="60" t="s">
        <v>569</v>
      </c>
      <c r="C164" s="60" t="s">
        <v>3818</v>
      </c>
      <c r="D164" s="60">
        <v>29.6</v>
      </c>
      <c r="E164" s="60">
        <v>0</v>
      </c>
      <c r="F164" s="60">
        <v>393</v>
      </c>
      <c r="G164" s="60">
        <v>0.02</v>
      </c>
      <c r="H164" s="60">
        <v>10.74</v>
      </c>
      <c r="I164" s="60">
        <v>0.85</v>
      </c>
      <c r="J164" s="60">
        <v>0.05</v>
      </c>
      <c r="O164" s="60" t="s">
        <v>212</v>
      </c>
      <c r="P164" s="60" t="s">
        <v>569</v>
      </c>
      <c r="Q164" s="60" t="s">
        <v>3818</v>
      </c>
      <c r="R164" s="60">
        <v>29.6</v>
      </c>
      <c r="S164" s="60">
        <v>0</v>
      </c>
      <c r="T164" s="60">
        <v>393</v>
      </c>
      <c r="U164" s="60">
        <v>52.19</v>
      </c>
    </row>
    <row r="165" spans="1:21">
      <c r="A165" s="60" t="s">
        <v>213</v>
      </c>
      <c r="B165" s="60" t="s">
        <v>571</v>
      </c>
      <c r="C165" s="60" t="s">
        <v>3819</v>
      </c>
      <c r="D165" s="60">
        <v>27.8</v>
      </c>
      <c r="E165" s="60">
        <v>1.28</v>
      </c>
      <c r="F165" s="60">
        <v>12195</v>
      </c>
      <c r="G165" s="60">
        <v>0.11</v>
      </c>
      <c r="H165" s="60">
        <v>25.87</v>
      </c>
      <c r="I165" s="60">
        <v>3.86</v>
      </c>
      <c r="J165" s="60">
        <v>0.16</v>
      </c>
      <c r="O165" s="60" t="s">
        <v>213</v>
      </c>
      <c r="P165" s="60" t="s">
        <v>571</v>
      </c>
      <c r="Q165" s="60" t="s">
        <v>3819</v>
      </c>
      <c r="R165" s="60">
        <v>27.8</v>
      </c>
      <c r="S165" s="60">
        <v>1.28</v>
      </c>
      <c r="T165" s="60">
        <v>12195</v>
      </c>
      <c r="U165" s="60">
        <v>74.59</v>
      </c>
    </row>
    <row r="166" spans="1:21">
      <c r="A166" s="60" t="s">
        <v>214</v>
      </c>
      <c r="B166" s="60" t="s">
        <v>573</v>
      </c>
      <c r="C166" s="60" t="s">
        <v>3537</v>
      </c>
      <c r="D166" s="60">
        <v>22.8</v>
      </c>
      <c r="E166" s="60">
        <v>1.33</v>
      </c>
      <c r="F166" s="60">
        <v>3068</v>
      </c>
      <c r="G166" s="60">
        <v>0.06</v>
      </c>
      <c r="H166" s="60">
        <v>2.29</v>
      </c>
      <c r="I166" s="60">
        <v>9.1300000000000008</v>
      </c>
      <c r="J166" s="60">
        <v>0.01</v>
      </c>
      <c r="O166" s="60" t="s">
        <v>214</v>
      </c>
      <c r="P166" s="60" t="s">
        <v>573</v>
      </c>
      <c r="Q166" s="60" t="s">
        <v>3537</v>
      </c>
      <c r="R166" s="60">
        <v>22.8</v>
      </c>
      <c r="S166" s="60">
        <v>1.33</v>
      </c>
      <c r="T166" s="60">
        <v>3068</v>
      </c>
      <c r="U166" s="60">
        <v>61.63</v>
      </c>
    </row>
    <row r="167" spans="1:21">
      <c r="A167" s="60" t="s">
        <v>215</v>
      </c>
      <c r="B167" s="60" t="s">
        <v>575</v>
      </c>
      <c r="C167" s="60" t="s">
        <v>3820</v>
      </c>
      <c r="D167" s="60">
        <v>25.1</v>
      </c>
      <c r="E167" s="60">
        <v>0.2</v>
      </c>
      <c r="F167" s="60">
        <v>3155</v>
      </c>
      <c r="G167" s="60">
        <v>0.42</v>
      </c>
      <c r="H167" s="60">
        <v>8.11</v>
      </c>
      <c r="I167" s="60">
        <v>13.59</v>
      </c>
      <c r="J167" s="60">
        <v>0</v>
      </c>
      <c r="O167" s="60" t="s">
        <v>215</v>
      </c>
      <c r="P167" s="60" t="s">
        <v>575</v>
      </c>
      <c r="Q167" s="60" t="s">
        <v>3820</v>
      </c>
      <c r="R167" s="60">
        <v>25.1</v>
      </c>
      <c r="S167" s="60">
        <v>0.2</v>
      </c>
      <c r="T167" s="60">
        <v>3155</v>
      </c>
      <c r="U167" s="60">
        <v>28.46</v>
      </c>
    </row>
    <row r="168" spans="1:21">
      <c r="A168" s="60" t="s">
        <v>216</v>
      </c>
      <c r="B168" s="60" t="s">
        <v>577</v>
      </c>
      <c r="C168" s="60" t="s">
        <v>3821</v>
      </c>
      <c r="D168" s="60">
        <v>14.5</v>
      </c>
      <c r="E168" s="60">
        <v>-3.65</v>
      </c>
      <c r="F168" s="60">
        <v>6652</v>
      </c>
      <c r="G168" s="60">
        <v>0.36</v>
      </c>
      <c r="H168" s="60">
        <v>10.43</v>
      </c>
      <c r="I168" s="60">
        <v>9.09</v>
      </c>
      <c r="J168" s="60">
        <v>0</v>
      </c>
      <c r="O168" s="60" t="s">
        <v>216</v>
      </c>
      <c r="P168" s="60" t="s">
        <v>577</v>
      </c>
      <c r="Q168" s="60" t="s">
        <v>3821</v>
      </c>
      <c r="R168" s="60">
        <v>14.5</v>
      </c>
      <c r="S168" s="60">
        <v>-3.65</v>
      </c>
      <c r="T168" s="60">
        <v>6652</v>
      </c>
      <c r="U168" s="60">
        <v>56.73</v>
      </c>
    </row>
    <row r="169" spans="1:21">
      <c r="A169" s="60" t="s">
        <v>217</v>
      </c>
      <c r="B169" s="60" t="s">
        <v>579</v>
      </c>
      <c r="C169" s="60" t="s">
        <v>3822</v>
      </c>
      <c r="D169" s="60">
        <v>25.3</v>
      </c>
      <c r="E169" s="60">
        <v>-2.5</v>
      </c>
      <c r="F169" s="60">
        <v>3261</v>
      </c>
      <c r="G169" s="60">
        <v>0.06</v>
      </c>
      <c r="H169" s="60">
        <v>14.01</v>
      </c>
      <c r="I169" s="60">
        <v>8.4600000000000009</v>
      </c>
      <c r="J169" s="60">
        <v>7.0000000000000007E-2</v>
      </c>
      <c r="O169" s="60" t="s">
        <v>217</v>
      </c>
      <c r="P169" s="60" t="s">
        <v>579</v>
      </c>
      <c r="Q169" s="60" t="s">
        <v>3822</v>
      </c>
      <c r="R169" s="60">
        <v>25.3</v>
      </c>
      <c r="S169" s="60">
        <v>-2.5</v>
      </c>
      <c r="T169" s="60">
        <v>3261</v>
      </c>
      <c r="U169" s="60">
        <v>55.06</v>
      </c>
    </row>
    <row r="170" spans="1:21">
      <c r="A170" s="60" t="s">
        <v>218</v>
      </c>
      <c r="B170" s="60" t="s">
        <v>581</v>
      </c>
      <c r="C170" s="60" t="s">
        <v>3823</v>
      </c>
      <c r="D170" s="60">
        <v>36.5</v>
      </c>
      <c r="E170" s="60">
        <v>0.14000000000000001</v>
      </c>
      <c r="F170" s="60">
        <v>109</v>
      </c>
      <c r="G170" s="60">
        <v>0</v>
      </c>
      <c r="H170" s="60">
        <v>2.1</v>
      </c>
      <c r="I170" s="60">
        <v>0.59</v>
      </c>
      <c r="J170" s="60">
        <v>0</v>
      </c>
      <c r="O170" s="60" t="s">
        <v>218</v>
      </c>
      <c r="P170" s="60" t="s">
        <v>581</v>
      </c>
      <c r="Q170" s="60" t="s">
        <v>3823</v>
      </c>
      <c r="R170" s="60">
        <v>36.5</v>
      </c>
      <c r="S170" s="60">
        <v>0.14000000000000001</v>
      </c>
      <c r="T170" s="60">
        <v>109</v>
      </c>
      <c r="U170" s="60">
        <v>72.569999999999993</v>
      </c>
    </row>
    <row r="171" spans="1:21">
      <c r="A171" s="60" t="s">
        <v>219</v>
      </c>
      <c r="B171" s="60" t="s">
        <v>583</v>
      </c>
      <c r="C171" s="60" t="s">
        <v>3824</v>
      </c>
      <c r="D171" s="60">
        <v>32.35</v>
      </c>
      <c r="E171" s="60">
        <v>-0.31</v>
      </c>
      <c r="F171" s="60">
        <v>54</v>
      </c>
      <c r="G171" s="60">
        <v>0</v>
      </c>
      <c r="H171" s="60">
        <v>0.65</v>
      </c>
      <c r="I171" s="60">
        <v>1.82</v>
      </c>
      <c r="J171" s="60">
        <v>0</v>
      </c>
      <c r="O171" s="60" t="s">
        <v>219</v>
      </c>
      <c r="P171" s="60" t="s">
        <v>583</v>
      </c>
      <c r="Q171" s="60" t="s">
        <v>3824</v>
      </c>
      <c r="R171" s="60">
        <v>32.35</v>
      </c>
      <c r="S171" s="60">
        <v>-0.31</v>
      </c>
      <c r="T171" s="60">
        <v>54</v>
      </c>
      <c r="U171" s="60">
        <v>79.92</v>
      </c>
    </row>
    <row r="172" spans="1:21">
      <c r="A172" s="60" t="s">
        <v>220</v>
      </c>
      <c r="B172" s="60" t="s">
        <v>3138</v>
      </c>
      <c r="C172" s="60" t="s">
        <v>3558</v>
      </c>
      <c r="D172" s="60">
        <v>9</v>
      </c>
      <c r="E172" s="60">
        <v>1.69</v>
      </c>
      <c r="F172" s="60">
        <v>1015</v>
      </c>
      <c r="G172" s="60">
        <v>0</v>
      </c>
      <c r="H172" s="60">
        <v>0.34</v>
      </c>
      <c r="I172" s="60">
        <v>0</v>
      </c>
      <c r="J172" s="60">
        <v>0</v>
      </c>
      <c r="O172" s="60" t="s">
        <v>220</v>
      </c>
      <c r="P172" s="60" t="s">
        <v>3138</v>
      </c>
      <c r="Q172" s="60" t="s">
        <v>3558</v>
      </c>
      <c r="R172" s="60">
        <v>9</v>
      </c>
      <c r="S172" s="60">
        <v>1.69</v>
      </c>
      <c r="T172" s="60">
        <v>1015</v>
      </c>
      <c r="U172" s="60">
        <v>55.96</v>
      </c>
    </row>
    <row r="173" spans="1:21">
      <c r="A173" s="60" t="s">
        <v>221</v>
      </c>
      <c r="B173" s="60" t="s">
        <v>586</v>
      </c>
      <c r="C173" s="60" t="s">
        <v>3825</v>
      </c>
      <c r="D173" s="60">
        <v>16.7</v>
      </c>
      <c r="E173" s="60">
        <v>1.21</v>
      </c>
      <c r="F173" s="60">
        <v>139</v>
      </c>
      <c r="G173" s="60">
        <v>0</v>
      </c>
      <c r="H173" s="60">
        <v>21.47</v>
      </c>
      <c r="I173" s="60">
        <v>1.52</v>
      </c>
      <c r="J173" s="60">
        <v>0</v>
      </c>
      <c r="O173" s="60" t="s">
        <v>221</v>
      </c>
      <c r="P173" s="60" t="s">
        <v>586</v>
      </c>
      <c r="Q173" s="60" t="s">
        <v>3825</v>
      </c>
      <c r="R173" s="60">
        <v>16.7</v>
      </c>
      <c r="S173" s="60">
        <v>1.21</v>
      </c>
      <c r="T173" s="60">
        <v>139</v>
      </c>
      <c r="U173" s="60">
        <v>75.84</v>
      </c>
    </row>
    <row r="174" spans="1:21">
      <c r="A174" s="60" t="s">
        <v>222</v>
      </c>
      <c r="B174" s="60" t="s">
        <v>588</v>
      </c>
      <c r="C174" s="60" t="s">
        <v>3826</v>
      </c>
      <c r="D174" s="60">
        <v>14.65</v>
      </c>
      <c r="E174" s="60">
        <v>-1.01</v>
      </c>
      <c r="F174" s="60">
        <v>284</v>
      </c>
      <c r="G174" s="60">
        <v>7.0000000000000007E-2</v>
      </c>
      <c r="H174" s="60">
        <v>1.61</v>
      </c>
      <c r="I174" s="60">
        <v>12.93</v>
      </c>
      <c r="J174" s="60">
        <v>0</v>
      </c>
      <c r="O174" s="60" t="s">
        <v>222</v>
      </c>
      <c r="P174" s="60" t="s">
        <v>588</v>
      </c>
      <c r="Q174" s="60" t="s">
        <v>3826</v>
      </c>
      <c r="R174" s="60">
        <v>14.65</v>
      </c>
      <c r="S174" s="60">
        <v>-1.01</v>
      </c>
      <c r="T174" s="60">
        <v>284</v>
      </c>
      <c r="U174" s="60">
        <v>56.81</v>
      </c>
    </row>
    <row r="175" spans="1:21">
      <c r="A175" s="60" t="s">
        <v>223</v>
      </c>
      <c r="B175" s="60" t="s">
        <v>590</v>
      </c>
      <c r="C175" s="60" t="s">
        <v>3827</v>
      </c>
      <c r="D175" s="60">
        <v>19.3</v>
      </c>
      <c r="E175" s="60">
        <v>-0.52</v>
      </c>
      <c r="F175" s="60">
        <v>27</v>
      </c>
      <c r="G175" s="60">
        <v>0</v>
      </c>
      <c r="H175" s="60">
        <v>44.48</v>
      </c>
      <c r="I175" s="60">
        <v>9.8699999999999992</v>
      </c>
      <c r="J175" s="60">
        <v>0</v>
      </c>
      <c r="O175" s="60" t="s">
        <v>223</v>
      </c>
      <c r="P175" s="60" t="s">
        <v>590</v>
      </c>
      <c r="Q175" s="60" t="s">
        <v>3827</v>
      </c>
      <c r="R175" s="60">
        <v>19.3</v>
      </c>
      <c r="S175" s="60">
        <v>-0.52</v>
      </c>
      <c r="T175" s="60">
        <v>27</v>
      </c>
      <c r="U175" s="60">
        <v>59.46</v>
      </c>
    </row>
    <row r="176" spans="1:21">
      <c r="A176" s="60" t="s">
        <v>224</v>
      </c>
      <c r="B176" s="60" t="s">
        <v>592</v>
      </c>
      <c r="C176" s="60" t="s">
        <v>3856</v>
      </c>
      <c r="D176" s="60">
        <v>22.35</v>
      </c>
      <c r="E176" s="60">
        <v>-0.22</v>
      </c>
      <c r="F176" s="60">
        <v>330</v>
      </c>
      <c r="G176" s="60">
        <v>0</v>
      </c>
      <c r="H176" s="60">
        <v>10.78</v>
      </c>
      <c r="I176" s="60">
        <v>4.29</v>
      </c>
      <c r="J176" s="60">
        <v>0.04</v>
      </c>
      <c r="O176" s="60" t="s">
        <v>224</v>
      </c>
      <c r="P176" s="60" t="s">
        <v>592</v>
      </c>
      <c r="Q176" s="60" t="s">
        <v>3856</v>
      </c>
      <c r="R176" s="60">
        <v>22.35</v>
      </c>
      <c r="S176" s="60">
        <v>-0.22</v>
      </c>
      <c r="T176" s="60">
        <v>330</v>
      </c>
      <c r="U176" s="60">
        <v>52.16</v>
      </c>
    </row>
    <row r="177" spans="1:21">
      <c r="A177" s="60" t="s">
        <v>225</v>
      </c>
      <c r="B177" s="60" t="s">
        <v>594</v>
      </c>
      <c r="C177" s="60" t="s">
        <v>3719</v>
      </c>
      <c r="D177" s="60">
        <v>48.85</v>
      </c>
      <c r="E177" s="60">
        <v>-0.51</v>
      </c>
      <c r="F177" s="60">
        <v>293</v>
      </c>
      <c r="G177" s="60">
        <v>0</v>
      </c>
      <c r="H177" s="60">
        <v>15.92</v>
      </c>
      <c r="I177" s="60">
        <v>1.1399999999999999</v>
      </c>
      <c r="J177" s="60">
        <v>1.05</v>
      </c>
      <c r="O177" s="60" t="s">
        <v>225</v>
      </c>
      <c r="P177" s="60" t="s">
        <v>594</v>
      </c>
      <c r="Q177" s="60" t="s">
        <v>3719</v>
      </c>
      <c r="R177" s="60">
        <v>48.85</v>
      </c>
      <c r="S177" s="60">
        <v>-0.51</v>
      </c>
      <c r="T177" s="60">
        <v>293</v>
      </c>
      <c r="U177" s="60">
        <v>63.56</v>
      </c>
    </row>
    <row r="178" spans="1:21">
      <c r="A178" s="60" t="s">
        <v>226</v>
      </c>
      <c r="B178" s="60" t="s">
        <v>596</v>
      </c>
      <c r="C178" s="60" t="s">
        <v>3857</v>
      </c>
      <c r="D178" s="60">
        <v>165</v>
      </c>
      <c r="E178" s="60">
        <v>-0.3</v>
      </c>
      <c r="F178" s="60">
        <v>79</v>
      </c>
      <c r="G178" s="60">
        <v>0</v>
      </c>
      <c r="H178" s="60">
        <v>10.43</v>
      </c>
      <c r="I178" s="60">
        <v>1.6</v>
      </c>
      <c r="J178" s="60">
        <v>0</v>
      </c>
      <c r="O178" s="60" t="s">
        <v>226</v>
      </c>
      <c r="P178" s="60" t="s">
        <v>596</v>
      </c>
      <c r="Q178" s="60" t="s">
        <v>3857</v>
      </c>
      <c r="R178" s="60">
        <v>165</v>
      </c>
      <c r="S178" s="60">
        <v>-0.3</v>
      </c>
      <c r="T178" s="60">
        <v>79</v>
      </c>
      <c r="U178" s="60">
        <v>61.42</v>
      </c>
    </row>
    <row r="179" spans="1:21">
      <c r="A179" s="60" t="s">
        <v>227</v>
      </c>
      <c r="B179" s="60" t="s">
        <v>598</v>
      </c>
      <c r="C179" s="60" t="s">
        <v>3830</v>
      </c>
      <c r="D179" s="60">
        <v>33.049999999999997</v>
      </c>
      <c r="E179" s="60">
        <v>0.92</v>
      </c>
      <c r="F179" s="60">
        <v>2906</v>
      </c>
      <c r="G179" s="60">
        <v>0.11</v>
      </c>
      <c r="H179" s="60">
        <v>10.4</v>
      </c>
      <c r="I179" s="60">
        <v>12.89</v>
      </c>
      <c r="J179" s="60">
        <v>0.04</v>
      </c>
      <c r="O179" s="60" t="s">
        <v>227</v>
      </c>
      <c r="P179" s="60" t="s">
        <v>598</v>
      </c>
      <c r="Q179" s="60" t="s">
        <v>3830</v>
      </c>
      <c r="R179" s="60">
        <v>33.049999999999997</v>
      </c>
      <c r="S179" s="60">
        <v>0.92</v>
      </c>
      <c r="T179" s="60">
        <v>2906</v>
      </c>
      <c r="U179" s="60">
        <v>39.659999999999997</v>
      </c>
    </row>
    <row r="180" spans="1:21">
      <c r="A180" s="60" t="s">
        <v>228</v>
      </c>
      <c r="B180" s="60" t="s">
        <v>600</v>
      </c>
      <c r="C180" s="60" t="s">
        <v>3831</v>
      </c>
      <c r="D180" s="60">
        <v>23.95</v>
      </c>
      <c r="E180" s="60">
        <v>1.48</v>
      </c>
      <c r="F180" s="60">
        <v>2701</v>
      </c>
      <c r="G180" s="60">
        <v>0.08</v>
      </c>
      <c r="H180" s="60">
        <v>11.47</v>
      </c>
      <c r="I180" s="60">
        <v>4.47</v>
      </c>
      <c r="J180" s="60">
        <v>0.01</v>
      </c>
      <c r="O180" s="60" t="s">
        <v>228</v>
      </c>
      <c r="P180" s="60" t="s">
        <v>600</v>
      </c>
      <c r="Q180" s="60" t="s">
        <v>3831</v>
      </c>
      <c r="R180" s="60">
        <v>23.95</v>
      </c>
      <c r="S180" s="60">
        <v>1.48</v>
      </c>
      <c r="T180" s="60">
        <v>2701</v>
      </c>
      <c r="U180" s="60">
        <v>62.32</v>
      </c>
    </row>
    <row r="181" spans="1:21">
      <c r="A181" s="60" t="s">
        <v>229</v>
      </c>
      <c r="B181" s="60" t="s">
        <v>602</v>
      </c>
      <c r="C181" s="60" t="s">
        <v>3832</v>
      </c>
      <c r="D181" s="60">
        <v>22.95</v>
      </c>
      <c r="E181" s="60">
        <v>0.88</v>
      </c>
      <c r="F181" s="60">
        <v>6331</v>
      </c>
      <c r="G181" s="60">
        <v>0.13</v>
      </c>
      <c r="H181" s="60">
        <v>8.52</v>
      </c>
      <c r="I181" s="60">
        <v>9.4700000000000006</v>
      </c>
      <c r="J181" s="60">
        <v>0.09</v>
      </c>
      <c r="O181" s="60" t="s">
        <v>229</v>
      </c>
      <c r="P181" s="60" t="s">
        <v>602</v>
      </c>
      <c r="Q181" s="60" t="s">
        <v>3832</v>
      </c>
      <c r="R181" s="60">
        <v>22.95</v>
      </c>
      <c r="S181" s="60">
        <v>0.88</v>
      </c>
      <c r="T181" s="60">
        <v>6331</v>
      </c>
      <c r="U181" s="60">
        <v>58.6</v>
      </c>
    </row>
    <row r="182" spans="1:21">
      <c r="A182" s="60" t="s">
        <v>230</v>
      </c>
      <c r="B182" s="60" t="s">
        <v>604</v>
      </c>
      <c r="C182" s="60" t="s">
        <v>3833</v>
      </c>
      <c r="D182" s="60">
        <v>27.4</v>
      </c>
      <c r="E182" s="60">
        <v>-0.18</v>
      </c>
      <c r="F182" s="60">
        <v>12543</v>
      </c>
      <c r="G182" s="60">
        <v>3.99</v>
      </c>
      <c r="H182" s="60">
        <v>8.69</v>
      </c>
      <c r="I182" s="60">
        <v>14</v>
      </c>
      <c r="J182" s="60">
        <v>0</v>
      </c>
      <c r="O182" s="60" t="s">
        <v>230</v>
      </c>
      <c r="P182" s="60" t="s">
        <v>604</v>
      </c>
      <c r="Q182" s="60" t="s">
        <v>3833</v>
      </c>
      <c r="R182" s="60">
        <v>27.4</v>
      </c>
      <c r="S182" s="60">
        <v>-0.18</v>
      </c>
      <c r="T182" s="60">
        <v>12543</v>
      </c>
      <c r="U182" s="60">
        <v>43.21</v>
      </c>
    </row>
    <row r="183" spans="1:21">
      <c r="A183" s="60" t="s">
        <v>231</v>
      </c>
      <c r="B183" s="60" t="s">
        <v>606</v>
      </c>
      <c r="C183" s="60" t="s">
        <v>3834</v>
      </c>
      <c r="D183" s="60">
        <v>27.65</v>
      </c>
      <c r="E183" s="60">
        <v>4.34</v>
      </c>
      <c r="F183" s="60">
        <v>3435</v>
      </c>
      <c r="G183" s="60">
        <v>7.0000000000000007E-2</v>
      </c>
      <c r="H183" s="60">
        <v>11.72</v>
      </c>
      <c r="I183" s="60">
        <v>1.4</v>
      </c>
      <c r="J183" s="60">
        <v>0</v>
      </c>
      <c r="O183" s="60" t="s">
        <v>231</v>
      </c>
      <c r="P183" s="60" t="s">
        <v>606</v>
      </c>
      <c r="Q183" s="60" t="s">
        <v>3834</v>
      </c>
      <c r="R183" s="60">
        <v>27.65</v>
      </c>
      <c r="S183" s="60">
        <v>4.34</v>
      </c>
      <c r="T183" s="60">
        <v>3435</v>
      </c>
      <c r="U183" s="60">
        <v>41.23</v>
      </c>
    </row>
    <row r="184" spans="1:21">
      <c r="A184" s="60" t="s">
        <v>232</v>
      </c>
      <c r="B184" s="60" t="s">
        <v>608</v>
      </c>
      <c r="C184" s="60" t="s">
        <v>3835</v>
      </c>
      <c r="D184" s="60">
        <v>24.4</v>
      </c>
      <c r="E184" s="60">
        <v>0</v>
      </c>
      <c r="F184" s="60">
        <v>178</v>
      </c>
      <c r="G184" s="60">
        <v>0</v>
      </c>
      <c r="H184" s="60">
        <v>4.1399999999999997</v>
      </c>
      <c r="I184" s="60">
        <v>9.74</v>
      </c>
      <c r="J184" s="60">
        <v>0</v>
      </c>
      <c r="O184" s="60" t="s">
        <v>232</v>
      </c>
      <c r="P184" s="60" t="s">
        <v>608</v>
      </c>
      <c r="Q184" s="60" t="s">
        <v>3835</v>
      </c>
      <c r="R184" s="60">
        <v>24.4</v>
      </c>
      <c r="S184" s="60">
        <v>0</v>
      </c>
      <c r="T184" s="60">
        <v>178</v>
      </c>
      <c r="U184" s="60">
        <v>66.7</v>
      </c>
    </row>
    <row r="185" spans="1:21">
      <c r="A185" s="60" t="s">
        <v>233</v>
      </c>
      <c r="B185" s="60" t="s">
        <v>610</v>
      </c>
      <c r="C185" s="60" t="s">
        <v>3836</v>
      </c>
      <c r="D185" s="60">
        <v>11.2</v>
      </c>
      <c r="E185" s="60">
        <v>1.82</v>
      </c>
      <c r="F185" s="60">
        <v>3922</v>
      </c>
      <c r="G185" s="60">
        <v>0.01</v>
      </c>
      <c r="H185" s="60">
        <v>18.54</v>
      </c>
      <c r="I185" s="60">
        <v>7.94</v>
      </c>
      <c r="J185" s="60">
        <v>0</v>
      </c>
      <c r="O185" s="60" t="s">
        <v>233</v>
      </c>
      <c r="P185" s="60" t="s">
        <v>610</v>
      </c>
      <c r="Q185" s="60" t="s">
        <v>3836</v>
      </c>
      <c r="R185" s="60">
        <v>11.2</v>
      </c>
      <c r="S185" s="60">
        <v>1.82</v>
      </c>
      <c r="T185" s="60">
        <v>3922</v>
      </c>
      <c r="U185" s="60">
        <v>52.81</v>
      </c>
    </row>
    <row r="186" spans="1:21">
      <c r="A186" s="60" t="s">
        <v>234</v>
      </c>
      <c r="B186" s="60" t="s">
        <v>612</v>
      </c>
      <c r="C186" s="60" t="s">
        <v>3837</v>
      </c>
      <c r="D186" s="60">
        <v>36.700000000000003</v>
      </c>
      <c r="E186" s="60">
        <v>-0.68</v>
      </c>
      <c r="F186" s="60">
        <v>3664</v>
      </c>
      <c r="G186" s="60">
        <v>0.04</v>
      </c>
      <c r="H186" s="60">
        <v>12.57</v>
      </c>
      <c r="I186" s="60">
        <v>3.6</v>
      </c>
      <c r="J186" s="60">
        <v>7.0000000000000007E-2</v>
      </c>
      <c r="O186" s="60" t="s">
        <v>234</v>
      </c>
      <c r="P186" s="60" t="s">
        <v>612</v>
      </c>
      <c r="Q186" s="60" t="s">
        <v>3837</v>
      </c>
      <c r="R186" s="60">
        <v>36.700000000000003</v>
      </c>
      <c r="S186" s="60">
        <v>-0.68</v>
      </c>
      <c r="T186" s="60">
        <v>3664</v>
      </c>
      <c r="U186" s="60">
        <v>67.16</v>
      </c>
    </row>
    <row r="187" spans="1:21">
      <c r="A187" s="60" t="s">
        <v>235</v>
      </c>
      <c r="B187" s="60" t="s">
        <v>614</v>
      </c>
      <c r="C187" s="60" t="s">
        <v>3838</v>
      </c>
      <c r="D187" s="60">
        <v>10.199999999999999</v>
      </c>
      <c r="E187" s="60">
        <v>0</v>
      </c>
      <c r="F187" s="60">
        <v>5570</v>
      </c>
      <c r="G187" s="60">
        <v>0</v>
      </c>
      <c r="H187" s="60">
        <v>8.19</v>
      </c>
      <c r="I187" s="60">
        <v>10.59</v>
      </c>
      <c r="J187" s="60">
        <v>0</v>
      </c>
      <c r="O187" s="60" t="s">
        <v>235</v>
      </c>
      <c r="P187" s="60" t="s">
        <v>614</v>
      </c>
      <c r="Q187" s="60" t="s">
        <v>3838</v>
      </c>
      <c r="R187" s="60">
        <v>10.199999999999999</v>
      </c>
      <c r="S187" s="60">
        <v>0</v>
      </c>
      <c r="T187" s="60">
        <v>5570</v>
      </c>
      <c r="U187" s="60">
        <v>45</v>
      </c>
    </row>
    <row r="188" spans="1:21">
      <c r="A188" s="60" t="s">
        <v>236</v>
      </c>
      <c r="B188" s="60" t="s">
        <v>616</v>
      </c>
      <c r="C188" s="60" t="s">
        <v>3858</v>
      </c>
      <c r="D188" s="60">
        <v>40.299999999999997</v>
      </c>
      <c r="E188" s="60">
        <v>0.5</v>
      </c>
      <c r="F188" s="60">
        <v>275</v>
      </c>
      <c r="G188" s="60">
        <v>0</v>
      </c>
      <c r="H188" s="60">
        <v>2.79</v>
      </c>
      <c r="I188" s="60">
        <v>2.44</v>
      </c>
      <c r="J188" s="60">
        <v>0</v>
      </c>
      <c r="O188" s="60" t="s">
        <v>236</v>
      </c>
      <c r="P188" s="60" t="s">
        <v>616</v>
      </c>
      <c r="Q188" s="60" t="s">
        <v>3858</v>
      </c>
      <c r="R188" s="60">
        <v>40.299999999999997</v>
      </c>
      <c r="S188" s="60">
        <v>0.5</v>
      </c>
      <c r="T188" s="60">
        <v>275</v>
      </c>
      <c r="U188" s="60">
        <v>59.91</v>
      </c>
    </row>
    <row r="189" spans="1:21">
      <c r="A189" s="60" t="s">
        <v>237</v>
      </c>
      <c r="B189" s="60" t="s">
        <v>618</v>
      </c>
      <c r="C189" s="60" t="s">
        <v>3839</v>
      </c>
      <c r="D189" s="60">
        <v>23.65</v>
      </c>
      <c r="E189" s="60">
        <v>-1.25</v>
      </c>
      <c r="F189" s="60">
        <v>2487</v>
      </c>
      <c r="G189" s="60">
        <v>6.73</v>
      </c>
      <c r="H189" s="60">
        <v>4.0999999999999996</v>
      </c>
      <c r="I189" s="60">
        <v>19.03</v>
      </c>
      <c r="J189" s="60">
        <v>0</v>
      </c>
      <c r="O189" s="60" t="s">
        <v>237</v>
      </c>
      <c r="P189" s="60" t="s">
        <v>618</v>
      </c>
      <c r="Q189" s="60" t="s">
        <v>3839</v>
      </c>
      <c r="R189" s="60">
        <v>23.65</v>
      </c>
      <c r="S189" s="60">
        <v>-1.25</v>
      </c>
      <c r="T189" s="60">
        <v>2487</v>
      </c>
      <c r="U189" s="60">
        <v>38.22</v>
      </c>
    </row>
    <row r="190" spans="1:21">
      <c r="A190" s="60" t="s">
        <v>238</v>
      </c>
      <c r="B190" s="60" t="s">
        <v>620</v>
      </c>
      <c r="C190" s="60" t="s">
        <v>3840</v>
      </c>
      <c r="D190" s="60">
        <v>68.900000000000006</v>
      </c>
      <c r="E190" s="60">
        <v>0.28999999999999998</v>
      </c>
      <c r="F190" s="60">
        <v>1677</v>
      </c>
      <c r="G190" s="60">
        <v>0.15</v>
      </c>
      <c r="H190" s="60">
        <v>13.34</v>
      </c>
      <c r="I190" s="60">
        <v>1.77</v>
      </c>
      <c r="J190" s="60">
        <v>0</v>
      </c>
      <c r="O190" s="60" t="s">
        <v>238</v>
      </c>
      <c r="P190" s="60" t="s">
        <v>620</v>
      </c>
      <c r="Q190" s="60" t="s">
        <v>3840</v>
      </c>
      <c r="R190" s="60">
        <v>68.900000000000006</v>
      </c>
      <c r="S190" s="60">
        <v>0.28999999999999998</v>
      </c>
      <c r="T190" s="60">
        <v>1677</v>
      </c>
      <c r="U190" s="60">
        <v>61.63</v>
      </c>
    </row>
    <row r="191" spans="1:21">
      <c r="A191" s="60" t="s">
        <v>239</v>
      </c>
      <c r="B191" s="60" t="s">
        <v>622</v>
      </c>
      <c r="C191" s="60" t="s">
        <v>3841</v>
      </c>
      <c r="D191" s="60">
        <v>118</v>
      </c>
      <c r="E191" s="60">
        <v>3.06</v>
      </c>
      <c r="F191" s="60">
        <v>2238</v>
      </c>
      <c r="G191" s="60">
        <v>0.01</v>
      </c>
      <c r="H191" s="60">
        <v>8.34</v>
      </c>
      <c r="I191" s="60">
        <v>3.39</v>
      </c>
      <c r="J191" s="60">
        <v>0.17</v>
      </c>
      <c r="O191" s="60" t="s">
        <v>239</v>
      </c>
      <c r="P191" s="60" t="s">
        <v>622</v>
      </c>
      <c r="Q191" s="60" t="s">
        <v>3841</v>
      </c>
      <c r="R191" s="60">
        <v>118</v>
      </c>
      <c r="S191" s="60">
        <v>3.06</v>
      </c>
      <c r="T191" s="60">
        <v>2238</v>
      </c>
      <c r="U191" s="60">
        <v>52.51</v>
      </c>
    </row>
    <row r="192" spans="1:21">
      <c r="A192" s="60" t="s">
        <v>240</v>
      </c>
      <c r="B192" s="60" t="s">
        <v>625</v>
      </c>
      <c r="C192" s="60" t="s">
        <v>3516</v>
      </c>
      <c r="D192" s="60">
        <v>37.700000000000003</v>
      </c>
      <c r="E192" s="60">
        <v>4.1399999999999997</v>
      </c>
      <c r="F192" s="60">
        <v>990</v>
      </c>
      <c r="G192" s="60">
        <v>0.22</v>
      </c>
      <c r="H192" s="60">
        <v>0.93</v>
      </c>
      <c r="I192" s="60">
        <v>1.57</v>
      </c>
      <c r="J192" s="60">
        <v>0</v>
      </c>
      <c r="O192" s="60" t="s">
        <v>240</v>
      </c>
      <c r="P192" s="60" t="s">
        <v>625</v>
      </c>
      <c r="Q192" s="60" t="s">
        <v>3516</v>
      </c>
      <c r="R192" s="60">
        <v>37.700000000000003</v>
      </c>
      <c r="S192" s="60">
        <v>4.1399999999999997</v>
      </c>
      <c r="T192" s="60">
        <v>990</v>
      </c>
      <c r="U192" s="60">
        <v>93.12</v>
      </c>
    </row>
    <row r="193" spans="1:21">
      <c r="A193" s="60" t="s">
        <v>241</v>
      </c>
      <c r="B193" s="60" t="s">
        <v>627</v>
      </c>
      <c r="C193" s="60" t="s">
        <v>3842</v>
      </c>
      <c r="D193" s="60">
        <v>73.3</v>
      </c>
      <c r="E193" s="60">
        <v>0</v>
      </c>
      <c r="F193" s="60">
        <v>13</v>
      </c>
      <c r="G193" s="60">
        <v>0</v>
      </c>
      <c r="H193" s="60">
        <v>13.79</v>
      </c>
      <c r="I193" s="60">
        <v>0</v>
      </c>
      <c r="J193" s="60">
        <v>0</v>
      </c>
      <c r="O193" s="60" t="s">
        <v>241</v>
      </c>
      <c r="P193" s="60" t="s">
        <v>627</v>
      </c>
      <c r="Q193" s="60" t="s">
        <v>3842</v>
      </c>
      <c r="R193" s="60">
        <v>73.3</v>
      </c>
      <c r="S193" s="60">
        <v>0</v>
      </c>
      <c r="T193" s="60">
        <v>13</v>
      </c>
      <c r="U193" s="60">
        <v>85.16</v>
      </c>
    </row>
    <row r="194" spans="1:21">
      <c r="A194" s="60" t="s">
        <v>242</v>
      </c>
      <c r="B194" s="60" t="s">
        <v>629</v>
      </c>
      <c r="C194" s="60" t="s">
        <v>3843</v>
      </c>
      <c r="D194" s="60">
        <v>51.6</v>
      </c>
      <c r="E194" s="60">
        <v>-1.34</v>
      </c>
      <c r="F194" s="60">
        <v>6134</v>
      </c>
      <c r="G194" s="60">
        <v>12.74</v>
      </c>
      <c r="H194" s="60">
        <v>4.51</v>
      </c>
      <c r="I194" s="60">
        <v>21.95</v>
      </c>
      <c r="J194" s="60">
        <v>0.08</v>
      </c>
      <c r="O194" s="60" t="s">
        <v>242</v>
      </c>
      <c r="P194" s="60" t="s">
        <v>629</v>
      </c>
      <c r="Q194" s="60" t="s">
        <v>3843</v>
      </c>
      <c r="R194" s="60">
        <v>51.6</v>
      </c>
      <c r="S194" s="60">
        <v>-1.34</v>
      </c>
      <c r="T194" s="60">
        <v>6134</v>
      </c>
      <c r="U194" s="60">
        <v>53.87</v>
      </c>
    </row>
    <row r="195" spans="1:21">
      <c r="A195" s="60" t="s">
        <v>243</v>
      </c>
      <c r="B195" s="60" t="s">
        <v>631</v>
      </c>
      <c r="C195" s="60" t="s">
        <v>3844</v>
      </c>
      <c r="D195" s="60">
        <v>63.5</v>
      </c>
      <c r="E195" s="60">
        <v>-0.16</v>
      </c>
      <c r="F195" s="60">
        <v>44</v>
      </c>
      <c r="G195" s="60">
        <v>0</v>
      </c>
      <c r="H195" s="60">
        <v>7.66</v>
      </c>
      <c r="I195" s="60">
        <v>0.34</v>
      </c>
      <c r="J195" s="60">
        <v>0</v>
      </c>
      <c r="O195" s="60" t="s">
        <v>243</v>
      </c>
      <c r="P195" s="60" t="s">
        <v>631</v>
      </c>
      <c r="Q195" s="60" t="s">
        <v>3844</v>
      </c>
      <c r="R195" s="60">
        <v>63.5</v>
      </c>
      <c r="S195" s="60">
        <v>-0.16</v>
      </c>
      <c r="T195" s="60">
        <v>44</v>
      </c>
      <c r="U195" s="60">
        <v>53.02</v>
      </c>
    </row>
    <row r="196" spans="1:21">
      <c r="A196" s="60" t="s">
        <v>244</v>
      </c>
      <c r="B196" s="60" t="s">
        <v>633</v>
      </c>
      <c r="C196" s="60" t="s">
        <v>3553</v>
      </c>
      <c r="D196" s="60">
        <v>19.2</v>
      </c>
      <c r="E196" s="60">
        <v>0</v>
      </c>
      <c r="F196" s="60">
        <v>115</v>
      </c>
      <c r="G196" s="60">
        <v>0</v>
      </c>
      <c r="H196" s="60">
        <v>1.1100000000000001</v>
      </c>
      <c r="I196" s="60">
        <v>4.08</v>
      </c>
      <c r="J196" s="60">
        <v>0</v>
      </c>
      <c r="O196" s="60" t="s">
        <v>244</v>
      </c>
      <c r="P196" s="60" t="s">
        <v>633</v>
      </c>
      <c r="Q196" s="60" t="s">
        <v>3553</v>
      </c>
      <c r="R196" s="60">
        <v>19.2</v>
      </c>
      <c r="S196" s="60">
        <v>0</v>
      </c>
      <c r="T196" s="60">
        <v>115</v>
      </c>
      <c r="U196" s="60">
        <v>51.81</v>
      </c>
    </row>
    <row r="197" spans="1:21">
      <c r="A197" s="60" t="s">
        <v>245</v>
      </c>
      <c r="B197" s="60" t="s">
        <v>635</v>
      </c>
      <c r="C197" s="60" t="s">
        <v>3542</v>
      </c>
      <c r="D197" s="60">
        <v>26.6</v>
      </c>
      <c r="E197" s="60">
        <v>2.11</v>
      </c>
      <c r="F197" s="60">
        <v>771</v>
      </c>
      <c r="G197" s="60">
        <v>2.69</v>
      </c>
      <c r="H197" s="60">
        <v>2.83</v>
      </c>
      <c r="I197" s="60">
        <v>9.75</v>
      </c>
      <c r="J197" s="60">
        <v>0</v>
      </c>
      <c r="O197" s="60" t="s">
        <v>245</v>
      </c>
      <c r="P197" s="60" t="s">
        <v>635</v>
      </c>
      <c r="Q197" s="60" t="s">
        <v>3542</v>
      </c>
      <c r="R197" s="60">
        <v>26.6</v>
      </c>
      <c r="S197" s="60">
        <v>2.11</v>
      </c>
      <c r="T197" s="60">
        <v>771</v>
      </c>
      <c r="U197" s="60">
        <v>44.35</v>
      </c>
    </row>
    <row r="198" spans="1:21">
      <c r="A198" s="60" t="s">
        <v>246</v>
      </c>
      <c r="B198" s="60" t="s">
        <v>637</v>
      </c>
      <c r="C198" s="60" t="s">
        <v>3859</v>
      </c>
      <c r="D198" s="60">
        <v>24.05</v>
      </c>
      <c r="E198" s="60">
        <v>1.05</v>
      </c>
      <c r="F198" s="60">
        <v>210</v>
      </c>
      <c r="G198" s="60">
        <v>0</v>
      </c>
      <c r="H198" s="60">
        <v>4.41</v>
      </c>
      <c r="I198" s="60">
        <v>5.03</v>
      </c>
      <c r="J198" s="60">
        <v>0</v>
      </c>
      <c r="O198" s="60" t="s">
        <v>246</v>
      </c>
      <c r="P198" s="60" t="s">
        <v>637</v>
      </c>
      <c r="Q198" s="60" t="s">
        <v>3859</v>
      </c>
      <c r="R198" s="60">
        <v>24.05</v>
      </c>
      <c r="S198" s="60">
        <v>1.05</v>
      </c>
      <c r="T198" s="60">
        <v>210</v>
      </c>
      <c r="U198" s="60">
        <v>12.34</v>
      </c>
    </row>
    <row r="199" spans="1:21">
      <c r="A199" s="60" t="s">
        <v>247</v>
      </c>
      <c r="B199" s="60" t="s">
        <v>639</v>
      </c>
      <c r="C199" s="60" t="s">
        <v>3552</v>
      </c>
      <c r="D199" s="60">
        <v>28.9</v>
      </c>
      <c r="E199" s="60">
        <v>0</v>
      </c>
      <c r="F199" s="60">
        <v>695</v>
      </c>
      <c r="G199" s="60">
        <v>0.03</v>
      </c>
      <c r="H199" s="60">
        <v>3.11</v>
      </c>
      <c r="I199" s="60">
        <v>14.74</v>
      </c>
      <c r="J199" s="60">
        <v>0</v>
      </c>
      <c r="O199" s="60" t="s">
        <v>247</v>
      </c>
      <c r="P199" s="60" t="s">
        <v>639</v>
      </c>
      <c r="Q199" s="60" t="s">
        <v>3552</v>
      </c>
      <c r="R199" s="60">
        <v>28.9</v>
      </c>
      <c r="S199" s="60">
        <v>0</v>
      </c>
      <c r="T199" s="60">
        <v>695</v>
      </c>
      <c r="U199" s="60">
        <v>23.88</v>
      </c>
    </row>
    <row r="200" spans="1:21">
      <c r="A200" s="60" t="s">
        <v>248</v>
      </c>
      <c r="B200" s="60" t="s">
        <v>641</v>
      </c>
      <c r="C200" s="60" t="s">
        <v>3845</v>
      </c>
      <c r="D200" s="60">
        <v>18</v>
      </c>
      <c r="E200" s="60">
        <v>0.84</v>
      </c>
      <c r="F200" s="60">
        <v>10</v>
      </c>
      <c r="G200" s="60">
        <v>0</v>
      </c>
      <c r="H200" s="60">
        <v>50.44</v>
      </c>
      <c r="I200" s="60">
        <v>0.32</v>
      </c>
      <c r="J200" s="60">
        <v>0.12</v>
      </c>
      <c r="O200" s="60" t="s">
        <v>248</v>
      </c>
      <c r="P200" s="60" t="s">
        <v>641</v>
      </c>
      <c r="Q200" s="60" t="s">
        <v>3845</v>
      </c>
      <c r="R200" s="60">
        <v>18</v>
      </c>
      <c r="S200" s="60">
        <v>0.84</v>
      </c>
      <c r="T200" s="60">
        <v>10</v>
      </c>
      <c r="U200" s="60">
        <v>83.63</v>
      </c>
    </row>
    <row r="201" spans="1:21">
      <c r="A201" s="60" t="s">
        <v>249</v>
      </c>
      <c r="B201" s="60" t="s">
        <v>643</v>
      </c>
      <c r="C201" s="60" t="s">
        <v>3860</v>
      </c>
      <c r="D201" s="60">
        <v>60</v>
      </c>
      <c r="E201" s="60">
        <v>-0.5</v>
      </c>
      <c r="F201" s="60">
        <v>351</v>
      </c>
      <c r="G201" s="60">
        <v>0.31</v>
      </c>
      <c r="H201" s="60">
        <v>7.84</v>
      </c>
      <c r="I201" s="60">
        <v>2.77</v>
      </c>
      <c r="J201" s="60">
        <v>0.03</v>
      </c>
      <c r="O201" s="60" t="s">
        <v>249</v>
      </c>
      <c r="P201" s="60" t="s">
        <v>643</v>
      </c>
      <c r="Q201" s="60" t="s">
        <v>3860</v>
      </c>
      <c r="R201" s="60">
        <v>60</v>
      </c>
      <c r="S201" s="60">
        <v>-0.5</v>
      </c>
      <c r="T201" s="60">
        <v>351</v>
      </c>
      <c r="U201" s="60">
        <v>77.98</v>
      </c>
    </row>
    <row r="202" spans="1:21">
      <c r="A202" s="60" t="s">
        <v>250</v>
      </c>
      <c r="B202" s="60" t="s">
        <v>645</v>
      </c>
      <c r="C202" s="60" t="s">
        <v>3720</v>
      </c>
      <c r="D202" s="60">
        <v>33.25</v>
      </c>
      <c r="E202" s="60">
        <v>-0.3</v>
      </c>
      <c r="F202" s="60">
        <v>217</v>
      </c>
      <c r="G202" s="60">
        <v>0</v>
      </c>
      <c r="H202" s="60">
        <v>11.15</v>
      </c>
      <c r="I202" s="60">
        <v>1.5</v>
      </c>
      <c r="J202" s="60">
        <v>0</v>
      </c>
      <c r="O202" s="60" t="s">
        <v>250</v>
      </c>
      <c r="P202" s="60" t="s">
        <v>645</v>
      </c>
      <c r="Q202" s="60" t="s">
        <v>3720</v>
      </c>
      <c r="R202" s="60">
        <v>33.25</v>
      </c>
      <c r="S202" s="60">
        <v>-0.3</v>
      </c>
      <c r="T202" s="60">
        <v>217</v>
      </c>
      <c r="U202" s="60">
        <v>52.66</v>
      </c>
    </row>
    <row r="203" spans="1:21">
      <c r="A203" s="60" t="s">
        <v>251</v>
      </c>
      <c r="B203" s="60" t="s">
        <v>647</v>
      </c>
      <c r="C203" s="60" t="s">
        <v>4561</v>
      </c>
      <c r="D203" s="60">
        <v>19.55</v>
      </c>
      <c r="E203" s="60">
        <v>-1.01</v>
      </c>
      <c r="F203" s="60">
        <v>44</v>
      </c>
      <c r="G203" s="60">
        <v>0.91</v>
      </c>
      <c r="H203" s="60">
        <v>0.45</v>
      </c>
      <c r="I203" s="60">
        <v>42.39</v>
      </c>
      <c r="J203" s="60">
        <v>0</v>
      </c>
      <c r="O203" s="60" t="s">
        <v>251</v>
      </c>
      <c r="P203" s="60" t="s">
        <v>647</v>
      </c>
      <c r="Q203" s="60" t="s">
        <v>4561</v>
      </c>
      <c r="R203" s="60">
        <v>19.55</v>
      </c>
      <c r="S203" s="60">
        <v>-1.01</v>
      </c>
      <c r="T203" s="60">
        <v>44</v>
      </c>
      <c r="U203" s="60">
        <v>57.52</v>
      </c>
    </row>
    <row r="204" spans="1:21">
      <c r="A204" s="60" t="s">
        <v>252</v>
      </c>
      <c r="B204" s="60" t="s">
        <v>649</v>
      </c>
      <c r="C204" s="60" t="s">
        <v>4575</v>
      </c>
      <c r="D204" s="60">
        <v>36.75</v>
      </c>
      <c r="E204" s="60">
        <v>0.55000000000000004</v>
      </c>
      <c r="F204" s="60">
        <v>72</v>
      </c>
      <c r="G204" s="60">
        <v>0</v>
      </c>
      <c r="H204" s="60">
        <v>1.1299999999999999</v>
      </c>
      <c r="I204" s="60">
        <v>3.48</v>
      </c>
      <c r="J204" s="60">
        <v>0</v>
      </c>
      <c r="O204" s="60" t="s">
        <v>252</v>
      </c>
      <c r="P204" s="60" t="s">
        <v>649</v>
      </c>
      <c r="Q204" s="60" t="s">
        <v>4575</v>
      </c>
      <c r="R204" s="60">
        <v>36.75</v>
      </c>
      <c r="S204" s="60">
        <v>0.55000000000000004</v>
      </c>
      <c r="T204" s="60">
        <v>72</v>
      </c>
      <c r="U204" s="60">
        <v>59.03</v>
      </c>
    </row>
    <row r="205" spans="1:21">
      <c r="A205" s="60" t="s">
        <v>253</v>
      </c>
      <c r="B205" s="60" t="s">
        <v>651</v>
      </c>
      <c r="C205" s="60" t="s">
        <v>3551</v>
      </c>
      <c r="D205" s="60">
        <v>70.400000000000006</v>
      </c>
      <c r="E205" s="60">
        <v>2.4700000000000002</v>
      </c>
      <c r="F205" s="60">
        <v>724</v>
      </c>
      <c r="G205" s="60">
        <v>0.18</v>
      </c>
      <c r="H205" s="60">
        <v>2.2799999999999998</v>
      </c>
      <c r="I205" s="60">
        <v>18.690000000000001</v>
      </c>
      <c r="J205" s="60">
        <v>0</v>
      </c>
      <c r="O205" s="60" t="s">
        <v>253</v>
      </c>
      <c r="P205" s="60" t="s">
        <v>651</v>
      </c>
      <c r="Q205" s="60" t="s">
        <v>3551</v>
      </c>
      <c r="R205" s="60">
        <v>70.400000000000006</v>
      </c>
      <c r="S205" s="60">
        <v>2.4700000000000002</v>
      </c>
      <c r="T205" s="60">
        <v>724</v>
      </c>
      <c r="U205" s="60">
        <v>23.72</v>
      </c>
    </row>
    <row r="206" spans="1:21">
      <c r="A206" s="60" t="s">
        <v>254</v>
      </c>
      <c r="B206" s="60" t="s">
        <v>653</v>
      </c>
      <c r="C206" s="60" t="s">
        <v>3861</v>
      </c>
      <c r="D206" s="60">
        <v>62.5</v>
      </c>
      <c r="E206" s="60">
        <v>0.64</v>
      </c>
      <c r="F206" s="60">
        <v>479</v>
      </c>
      <c r="G206" s="60">
        <v>0.44</v>
      </c>
      <c r="H206" s="60">
        <v>6.96</v>
      </c>
      <c r="I206" s="60">
        <v>29.43</v>
      </c>
      <c r="J206" s="60">
        <v>0.97</v>
      </c>
      <c r="O206" s="60" t="s">
        <v>254</v>
      </c>
      <c r="P206" s="60" t="s">
        <v>653</v>
      </c>
      <c r="Q206" s="60" t="s">
        <v>3861</v>
      </c>
      <c r="R206" s="60">
        <v>62.5</v>
      </c>
      <c r="S206" s="60">
        <v>0.64</v>
      </c>
      <c r="T206" s="60">
        <v>479</v>
      </c>
      <c r="U206" s="60">
        <v>39.869999999999997</v>
      </c>
    </row>
    <row r="207" spans="1:21">
      <c r="A207" s="60" t="s">
        <v>255</v>
      </c>
      <c r="B207" s="60" t="s">
        <v>655</v>
      </c>
      <c r="C207" s="60" t="s">
        <v>3846</v>
      </c>
      <c r="D207" s="60">
        <v>136.5</v>
      </c>
      <c r="E207" s="60">
        <v>0.37</v>
      </c>
      <c r="F207" s="60">
        <v>95</v>
      </c>
      <c r="G207" s="60">
        <v>0.01</v>
      </c>
      <c r="H207" s="60">
        <v>3.71</v>
      </c>
      <c r="I207" s="60">
        <v>1.38</v>
      </c>
      <c r="J207" s="60">
        <v>0.08</v>
      </c>
      <c r="O207" s="60" t="s">
        <v>255</v>
      </c>
      <c r="P207" s="60" t="s">
        <v>655</v>
      </c>
      <c r="Q207" s="60" t="s">
        <v>3846</v>
      </c>
      <c r="R207" s="60">
        <v>136.5</v>
      </c>
      <c r="S207" s="60">
        <v>0.37</v>
      </c>
      <c r="T207" s="60">
        <v>95</v>
      </c>
      <c r="U207" s="60">
        <v>64.989999999999995</v>
      </c>
    </row>
    <row r="208" spans="1:21">
      <c r="A208" s="60" t="s">
        <v>256</v>
      </c>
      <c r="B208" s="60" t="s">
        <v>657</v>
      </c>
      <c r="C208" s="60" t="s">
        <v>3847</v>
      </c>
      <c r="D208" s="60">
        <v>23</v>
      </c>
      <c r="E208" s="60">
        <v>3.37</v>
      </c>
      <c r="F208" s="60">
        <v>223</v>
      </c>
      <c r="G208" s="60">
        <v>0.01</v>
      </c>
      <c r="H208" s="60">
        <v>1.9</v>
      </c>
      <c r="I208" s="60">
        <v>6.96</v>
      </c>
      <c r="J208" s="60">
        <v>0.08</v>
      </c>
      <c r="O208" s="60" t="s">
        <v>256</v>
      </c>
      <c r="P208" s="60" t="s">
        <v>657</v>
      </c>
      <c r="Q208" s="60" t="s">
        <v>3847</v>
      </c>
      <c r="R208" s="60">
        <v>23</v>
      </c>
      <c r="S208" s="60">
        <v>3.37</v>
      </c>
      <c r="T208" s="60">
        <v>223</v>
      </c>
      <c r="U208" s="60">
        <v>53.61</v>
      </c>
    </row>
    <row r="209" spans="1:21">
      <c r="A209" s="60" t="s">
        <v>257</v>
      </c>
      <c r="B209" s="60" t="s">
        <v>659</v>
      </c>
      <c r="C209" s="60" t="s">
        <v>4576</v>
      </c>
      <c r="D209" s="60">
        <v>68.900000000000006</v>
      </c>
      <c r="E209" s="60">
        <v>-0.28999999999999998</v>
      </c>
      <c r="F209" s="60">
        <v>38</v>
      </c>
      <c r="G209" s="60">
        <v>0</v>
      </c>
      <c r="H209" s="60">
        <v>0.19</v>
      </c>
      <c r="I209" s="60">
        <v>2.52</v>
      </c>
      <c r="J209" s="60">
        <v>0</v>
      </c>
      <c r="O209" s="60" t="s">
        <v>257</v>
      </c>
      <c r="P209" s="60" t="s">
        <v>659</v>
      </c>
      <c r="Q209" s="60" t="s">
        <v>4576</v>
      </c>
      <c r="R209" s="60">
        <v>68.900000000000006</v>
      </c>
      <c r="S209" s="60">
        <v>-0.28999999999999998</v>
      </c>
      <c r="T209" s="60">
        <v>38</v>
      </c>
      <c r="U209" s="60">
        <v>47.57</v>
      </c>
    </row>
    <row r="210" spans="1:21">
      <c r="A210" s="60" t="s">
        <v>258</v>
      </c>
      <c r="B210" s="60" t="s">
        <v>3139</v>
      </c>
      <c r="C210" s="60" t="s">
        <v>3521</v>
      </c>
      <c r="D210" s="60">
        <v>13.95</v>
      </c>
      <c r="E210" s="60">
        <v>-0.36</v>
      </c>
      <c r="F210" s="60">
        <v>37</v>
      </c>
      <c r="G210" s="60">
        <v>0</v>
      </c>
      <c r="H210" s="60">
        <v>0.3</v>
      </c>
      <c r="I210" s="60">
        <v>0</v>
      </c>
      <c r="J210" s="60">
        <v>0</v>
      </c>
      <c r="O210" s="60" t="s">
        <v>258</v>
      </c>
      <c r="P210" s="60" t="s">
        <v>3139</v>
      </c>
      <c r="Q210" s="60" t="s">
        <v>3521</v>
      </c>
      <c r="R210" s="60">
        <v>13.95</v>
      </c>
      <c r="S210" s="60">
        <v>-0.36</v>
      </c>
      <c r="T210" s="60">
        <v>37</v>
      </c>
      <c r="U210" s="60">
        <v>27.67</v>
      </c>
    </row>
    <row r="211" spans="1:21">
      <c r="A211" s="60" t="s">
        <v>259</v>
      </c>
      <c r="B211" s="60" t="s">
        <v>662</v>
      </c>
      <c r="C211" s="60" t="s">
        <v>3623</v>
      </c>
      <c r="D211" s="60">
        <v>57.6</v>
      </c>
      <c r="E211" s="60">
        <v>2.13</v>
      </c>
      <c r="F211" s="60">
        <v>833</v>
      </c>
      <c r="G211" s="60">
        <v>0.16</v>
      </c>
      <c r="H211" s="60">
        <v>9.51</v>
      </c>
      <c r="I211" s="60">
        <v>18.73</v>
      </c>
      <c r="J211" s="60">
        <v>0</v>
      </c>
      <c r="O211" s="60" t="s">
        <v>259</v>
      </c>
      <c r="P211" s="60" t="s">
        <v>662</v>
      </c>
      <c r="Q211" s="60" t="s">
        <v>3623</v>
      </c>
      <c r="R211" s="60">
        <v>57.6</v>
      </c>
      <c r="S211" s="60">
        <v>2.13</v>
      </c>
      <c r="T211" s="60">
        <v>833</v>
      </c>
      <c r="U211" s="60">
        <v>55.66</v>
      </c>
    </row>
    <row r="212" spans="1:21">
      <c r="A212" s="60" t="s">
        <v>260</v>
      </c>
      <c r="B212" s="60" t="s">
        <v>664</v>
      </c>
      <c r="C212" s="60" t="s">
        <v>4577</v>
      </c>
      <c r="D212" s="60">
        <v>43</v>
      </c>
      <c r="E212" s="60">
        <v>-1.1499999999999999</v>
      </c>
      <c r="F212" s="60">
        <v>3903</v>
      </c>
      <c r="G212" s="60">
        <v>0</v>
      </c>
      <c r="H212" s="60">
        <v>2.14</v>
      </c>
      <c r="I212" s="60">
        <v>20.54</v>
      </c>
      <c r="J212" s="60">
        <v>0</v>
      </c>
      <c r="O212" s="60" t="s">
        <v>260</v>
      </c>
      <c r="P212" s="60" t="s">
        <v>664</v>
      </c>
      <c r="Q212" s="60" t="s">
        <v>4577</v>
      </c>
      <c r="R212" s="60">
        <v>43</v>
      </c>
      <c r="S212" s="60">
        <v>-1.1499999999999999</v>
      </c>
      <c r="T212" s="60">
        <v>3903</v>
      </c>
      <c r="U212" s="60">
        <v>21.18</v>
      </c>
    </row>
    <row r="213" spans="1:21">
      <c r="A213" s="60" t="s">
        <v>261</v>
      </c>
      <c r="B213" s="60" t="s">
        <v>666</v>
      </c>
      <c r="C213" s="60" t="s">
        <v>5005</v>
      </c>
      <c r="D213" s="60">
        <v>53.8</v>
      </c>
      <c r="E213" s="60">
        <v>0.56000000000000005</v>
      </c>
      <c r="F213" s="60">
        <v>13297</v>
      </c>
      <c r="G213" s="60">
        <v>0.26</v>
      </c>
      <c r="H213" s="60">
        <v>8.59</v>
      </c>
      <c r="I213" s="60">
        <v>19.739999999999998</v>
      </c>
      <c r="J213" s="60">
        <v>1.0900000000000001</v>
      </c>
      <c r="O213" s="60" t="s">
        <v>261</v>
      </c>
      <c r="P213" s="60" t="s">
        <v>666</v>
      </c>
      <c r="Q213" s="60" t="s">
        <v>5005</v>
      </c>
      <c r="R213" s="60">
        <v>53.8</v>
      </c>
      <c r="S213" s="60">
        <v>0.56000000000000005</v>
      </c>
      <c r="T213" s="60">
        <v>13297</v>
      </c>
      <c r="U213" s="60">
        <v>41.49</v>
      </c>
    </row>
    <row r="214" spans="1:21">
      <c r="A214" s="60" t="s">
        <v>262</v>
      </c>
      <c r="B214" s="60" t="s">
        <v>668</v>
      </c>
      <c r="C214" s="60" t="s">
        <v>3862</v>
      </c>
      <c r="D214" s="60">
        <v>51.6</v>
      </c>
      <c r="E214" s="60">
        <v>0.19</v>
      </c>
      <c r="F214" s="60">
        <v>37</v>
      </c>
      <c r="G214" s="60">
        <v>0</v>
      </c>
      <c r="H214" s="60">
        <v>0.45</v>
      </c>
      <c r="I214" s="60">
        <v>5.83</v>
      </c>
      <c r="J214" s="60">
        <v>0</v>
      </c>
      <c r="O214" s="60" t="s">
        <v>262</v>
      </c>
      <c r="P214" s="60" t="s">
        <v>668</v>
      </c>
      <c r="Q214" s="60" t="s">
        <v>3862</v>
      </c>
      <c r="R214" s="60">
        <v>51.6</v>
      </c>
      <c r="S214" s="60">
        <v>0.19</v>
      </c>
      <c r="T214" s="60">
        <v>37</v>
      </c>
      <c r="U214" s="60">
        <v>43.71</v>
      </c>
    </row>
    <row r="215" spans="1:21">
      <c r="A215" s="60" t="s">
        <v>263</v>
      </c>
      <c r="B215" s="60" t="s">
        <v>670</v>
      </c>
      <c r="C215" s="60" t="s">
        <v>4578</v>
      </c>
      <c r="D215" s="60">
        <v>139.5</v>
      </c>
      <c r="E215" s="60">
        <v>0.72</v>
      </c>
      <c r="F215" s="60">
        <v>38</v>
      </c>
      <c r="G215" s="60">
        <v>0.01</v>
      </c>
      <c r="H215" s="60">
        <v>11.04</v>
      </c>
      <c r="I215" s="60">
        <v>0.08</v>
      </c>
      <c r="J215" s="60">
        <v>0</v>
      </c>
      <c r="O215" s="60" t="s">
        <v>263</v>
      </c>
      <c r="P215" s="60" t="s">
        <v>670</v>
      </c>
      <c r="Q215" s="60" t="s">
        <v>4578</v>
      </c>
      <c r="R215" s="60">
        <v>139.5</v>
      </c>
      <c r="S215" s="60">
        <v>0.72</v>
      </c>
      <c r="T215" s="60">
        <v>38</v>
      </c>
      <c r="U215" s="60">
        <v>42.35</v>
      </c>
    </row>
    <row r="216" spans="1:21">
      <c r="A216" s="60" t="s">
        <v>264</v>
      </c>
      <c r="B216" s="60" t="s">
        <v>672</v>
      </c>
      <c r="C216" s="60" t="s">
        <v>3863</v>
      </c>
      <c r="D216" s="60">
        <v>24.25</v>
      </c>
      <c r="E216" s="60">
        <v>-0.82</v>
      </c>
      <c r="F216" s="60">
        <v>586</v>
      </c>
      <c r="G216" s="60">
        <v>0</v>
      </c>
      <c r="H216" s="60">
        <v>3.97</v>
      </c>
      <c r="I216" s="60">
        <v>2.25</v>
      </c>
      <c r="J216" s="60">
        <v>0</v>
      </c>
      <c r="O216" s="60" t="s">
        <v>264</v>
      </c>
      <c r="P216" s="60" t="s">
        <v>672</v>
      </c>
      <c r="Q216" s="60" t="s">
        <v>3863</v>
      </c>
      <c r="R216" s="60">
        <v>24.25</v>
      </c>
      <c r="S216" s="60">
        <v>-0.82</v>
      </c>
      <c r="T216" s="60">
        <v>586</v>
      </c>
      <c r="U216" s="60">
        <v>76.08</v>
      </c>
    </row>
    <row r="217" spans="1:21">
      <c r="A217" s="60" t="s">
        <v>265</v>
      </c>
      <c r="B217" s="60" t="s">
        <v>674</v>
      </c>
      <c r="C217" s="60" t="s">
        <v>3637</v>
      </c>
      <c r="D217" s="60">
        <v>111.5</v>
      </c>
      <c r="E217" s="60">
        <v>-2.62</v>
      </c>
      <c r="F217" s="60">
        <v>4652</v>
      </c>
      <c r="G217" s="60">
        <v>0.19</v>
      </c>
      <c r="H217" s="60">
        <v>73.98</v>
      </c>
      <c r="I217" s="60">
        <v>17.3</v>
      </c>
      <c r="J217" s="60">
        <v>1.0900000000000001</v>
      </c>
      <c r="O217" s="60" t="s">
        <v>265</v>
      </c>
      <c r="P217" s="60" t="s">
        <v>674</v>
      </c>
      <c r="Q217" s="60" t="s">
        <v>3637</v>
      </c>
      <c r="R217" s="60">
        <v>111.5</v>
      </c>
      <c r="S217" s="60">
        <v>-2.62</v>
      </c>
      <c r="T217" s="60">
        <v>4652</v>
      </c>
      <c r="U217" s="60">
        <v>73.069999999999993</v>
      </c>
    </row>
    <row r="218" spans="1:21">
      <c r="A218" s="60" t="s">
        <v>266</v>
      </c>
      <c r="B218" s="60" t="s">
        <v>3140</v>
      </c>
      <c r="C218" s="60" t="s">
        <v>4502</v>
      </c>
      <c r="D218" s="60">
        <v>37.5</v>
      </c>
      <c r="E218" s="60">
        <v>0.13</v>
      </c>
      <c r="F218" s="60">
        <v>12</v>
      </c>
      <c r="G218" s="60">
        <v>0</v>
      </c>
      <c r="H218" s="60">
        <v>0.53</v>
      </c>
      <c r="I218" s="60">
        <v>0</v>
      </c>
      <c r="J218" s="60">
        <v>0</v>
      </c>
      <c r="O218" s="60" t="s">
        <v>266</v>
      </c>
      <c r="P218" s="60" t="s">
        <v>3140</v>
      </c>
      <c r="Q218" s="60" t="s">
        <v>4502</v>
      </c>
      <c r="R218" s="60">
        <v>37.5</v>
      </c>
      <c r="S218" s="60">
        <v>0.13</v>
      </c>
      <c r="T218" s="60">
        <v>12</v>
      </c>
      <c r="U218" s="60">
        <v>50.43</v>
      </c>
    </row>
    <row r="219" spans="1:21">
      <c r="A219" s="60" t="s">
        <v>267</v>
      </c>
      <c r="B219" s="60" t="s">
        <v>3141</v>
      </c>
      <c r="C219" s="60" t="s">
        <v>3526</v>
      </c>
      <c r="D219" s="60">
        <v>15.4</v>
      </c>
      <c r="E219" s="60">
        <v>1.32</v>
      </c>
      <c r="F219" s="60">
        <v>54</v>
      </c>
      <c r="G219" s="60">
        <v>0</v>
      </c>
      <c r="H219" s="60">
        <v>14.53</v>
      </c>
      <c r="I219" s="60">
        <v>0</v>
      </c>
      <c r="J219" s="60">
        <v>0</v>
      </c>
      <c r="O219" s="60" t="s">
        <v>267</v>
      </c>
      <c r="P219" s="60" t="s">
        <v>3141</v>
      </c>
      <c r="Q219" s="60" t="s">
        <v>3526</v>
      </c>
      <c r="R219" s="60">
        <v>15.4</v>
      </c>
      <c r="S219" s="60">
        <v>1.32</v>
      </c>
      <c r="T219" s="60">
        <v>54</v>
      </c>
      <c r="U219" s="60">
        <v>71.41</v>
      </c>
    </row>
    <row r="220" spans="1:21">
      <c r="A220" s="60" t="s">
        <v>268</v>
      </c>
      <c r="B220" s="60" t="s">
        <v>677</v>
      </c>
      <c r="C220" s="60" t="s">
        <v>3532</v>
      </c>
      <c r="D220" s="60">
        <v>27.35</v>
      </c>
      <c r="E220" s="60">
        <v>3.21</v>
      </c>
      <c r="F220" s="60">
        <v>12504</v>
      </c>
      <c r="G220" s="60">
        <v>0.15</v>
      </c>
      <c r="H220" s="60">
        <v>10.58</v>
      </c>
      <c r="I220" s="60">
        <v>3.47</v>
      </c>
      <c r="J220" s="60">
        <v>0.85</v>
      </c>
      <c r="O220" s="60" t="s">
        <v>268</v>
      </c>
      <c r="P220" s="60" t="s">
        <v>677</v>
      </c>
      <c r="Q220" s="60" t="s">
        <v>3532</v>
      </c>
      <c r="R220" s="60">
        <v>27.35</v>
      </c>
      <c r="S220" s="60">
        <v>3.21</v>
      </c>
      <c r="T220" s="60">
        <v>12504</v>
      </c>
      <c r="U220" s="60">
        <v>83.23</v>
      </c>
    </row>
    <row r="221" spans="1:21">
      <c r="A221" s="60" t="s">
        <v>269</v>
      </c>
      <c r="B221" s="60" t="s">
        <v>3142</v>
      </c>
      <c r="C221" s="60" t="s">
        <v>3634</v>
      </c>
      <c r="D221" s="60">
        <v>13.65</v>
      </c>
      <c r="E221" s="60">
        <v>0.37</v>
      </c>
      <c r="F221" s="60">
        <v>16</v>
      </c>
      <c r="G221" s="60">
        <v>0</v>
      </c>
      <c r="H221" s="60">
        <v>0.17</v>
      </c>
      <c r="I221" s="60">
        <v>0</v>
      </c>
      <c r="J221" s="60">
        <v>0</v>
      </c>
      <c r="O221" s="60" t="s">
        <v>269</v>
      </c>
      <c r="P221" s="60" t="s">
        <v>3142</v>
      </c>
      <c r="Q221" s="60" t="s">
        <v>3634</v>
      </c>
      <c r="R221" s="60">
        <v>13.65</v>
      </c>
      <c r="S221" s="60">
        <v>0.37</v>
      </c>
      <c r="T221" s="60">
        <v>16</v>
      </c>
      <c r="U221" s="60">
        <v>72.78</v>
      </c>
    </row>
    <row r="222" spans="1:21">
      <c r="A222" s="60" t="s">
        <v>270</v>
      </c>
      <c r="B222" s="60" t="s">
        <v>680</v>
      </c>
      <c r="C222" s="60" t="s">
        <v>3877</v>
      </c>
      <c r="D222" s="60">
        <v>12.05</v>
      </c>
      <c r="E222" s="60">
        <v>2.12</v>
      </c>
      <c r="F222" s="60">
        <v>1528</v>
      </c>
      <c r="G222" s="60">
        <v>0.03</v>
      </c>
      <c r="H222" s="60">
        <v>10.39</v>
      </c>
      <c r="I222" s="60">
        <v>8.41</v>
      </c>
      <c r="J222" s="60">
        <v>0</v>
      </c>
      <c r="O222" s="60" t="s">
        <v>270</v>
      </c>
      <c r="P222" s="60" t="s">
        <v>680</v>
      </c>
      <c r="Q222" s="60" t="s">
        <v>3877</v>
      </c>
      <c r="R222" s="60">
        <v>12.05</v>
      </c>
      <c r="S222" s="60">
        <v>2.12</v>
      </c>
      <c r="T222" s="60">
        <v>1528</v>
      </c>
      <c r="U222" s="60">
        <v>69.41</v>
      </c>
    </row>
    <row r="223" spans="1:21">
      <c r="A223" s="60" t="s">
        <v>271</v>
      </c>
      <c r="B223" s="60" t="s">
        <v>682</v>
      </c>
      <c r="C223" s="60" t="s">
        <v>4302</v>
      </c>
      <c r="D223" s="60">
        <v>59.8</v>
      </c>
      <c r="E223" s="60">
        <v>0.67</v>
      </c>
      <c r="F223" s="60">
        <v>60</v>
      </c>
      <c r="G223" s="60">
        <v>0</v>
      </c>
      <c r="H223" s="60">
        <v>5.0999999999999996</v>
      </c>
      <c r="I223" s="60">
        <v>4.54</v>
      </c>
      <c r="J223" s="60">
        <v>0</v>
      </c>
      <c r="O223" s="60" t="s">
        <v>271</v>
      </c>
      <c r="P223" s="60" t="s">
        <v>682</v>
      </c>
      <c r="Q223" s="60" t="s">
        <v>4302</v>
      </c>
      <c r="R223" s="60">
        <v>59.8</v>
      </c>
      <c r="S223" s="60">
        <v>0.67</v>
      </c>
      <c r="T223" s="60">
        <v>60</v>
      </c>
      <c r="U223" s="60">
        <v>85.06</v>
      </c>
    </row>
    <row r="224" spans="1:21">
      <c r="A224" s="60" t="s">
        <v>273</v>
      </c>
      <c r="B224" s="60" t="s">
        <v>684</v>
      </c>
      <c r="C224" s="60" t="s">
        <v>3878</v>
      </c>
      <c r="D224" s="60">
        <v>14.3</v>
      </c>
      <c r="E224" s="60">
        <v>1.06</v>
      </c>
      <c r="F224" s="60">
        <v>691</v>
      </c>
      <c r="G224" s="60">
        <v>0.04</v>
      </c>
      <c r="H224" s="60">
        <v>1.87</v>
      </c>
      <c r="I224" s="60">
        <v>12.61</v>
      </c>
      <c r="J224" s="60">
        <v>0.09</v>
      </c>
      <c r="O224" s="60" t="s">
        <v>273</v>
      </c>
      <c r="P224" s="60" t="s">
        <v>684</v>
      </c>
      <c r="Q224" s="60" t="s">
        <v>3878</v>
      </c>
      <c r="R224" s="60">
        <v>14.3</v>
      </c>
      <c r="S224" s="60">
        <v>1.06</v>
      </c>
      <c r="T224" s="60">
        <v>691</v>
      </c>
      <c r="U224" s="60">
        <v>48.31</v>
      </c>
    </row>
    <row r="225" spans="1:21">
      <c r="A225" s="60" t="s">
        <v>275</v>
      </c>
      <c r="B225" s="60" t="s">
        <v>686</v>
      </c>
      <c r="C225" s="60" t="s">
        <v>3879</v>
      </c>
      <c r="D225" s="60">
        <v>17.399999999999999</v>
      </c>
      <c r="E225" s="60">
        <v>4.82</v>
      </c>
      <c r="F225" s="60">
        <v>5130</v>
      </c>
      <c r="G225" s="60">
        <v>0.46</v>
      </c>
      <c r="H225" s="60">
        <v>6.24</v>
      </c>
      <c r="I225" s="60">
        <v>35.44</v>
      </c>
      <c r="J225" s="60">
        <v>0.1</v>
      </c>
      <c r="O225" s="60" t="s">
        <v>275</v>
      </c>
      <c r="P225" s="60" t="s">
        <v>686</v>
      </c>
      <c r="Q225" s="60" t="s">
        <v>3879</v>
      </c>
      <c r="R225" s="60">
        <v>17.399999999999999</v>
      </c>
      <c r="S225" s="60">
        <v>4.82</v>
      </c>
      <c r="T225" s="60">
        <v>5130</v>
      </c>
      <c r="U225" s="60">
        <v>69.34</v>
      </c>
    </row>
    <row r="226" spans="1:21">
      <c r="A226" s="60" t="s">
        <v>277</v>
      </c>
      <c r="B226" s="60" t="s">
        <v>688</v>
      </c>
      <c r="C226" s="60" t="s">
        <v>4579</v>
      </c>
      <c r="D226" s="60">
        <v>18.149999999999999</v>
      </c>
      <c r="E226" s="60">
        <v>-0.27</v>
      </c>
      <c r="F226" s="60">
        <v>92</v>
      </c>
      <c r="G226" s="60">
        <v>0</v>
      </c>
      <c r="H226" s="60">
        <v>10.220000000000001</v>
      </c>
      <c r="I226" s="60">
        <v>1.58</v>
      </c>
      <c r="J226" s="60">
        <v>0</v>
      </c>
      <c r="O226" s="60" t="s">
        <v>277</v>
      </c>
      <c r="P226" s="60" t="s">
        <v>688</v>
      </c>
      <c r="Q226" s="60" t="s">
        <v>4579</v>
      </c>
      <c r="R226" s="60">
        <v>18.149999999999999</v>
      </c>
      <c r="S226" s="60">
        <v>-0.27</v>
      </c>
      <c r="T226" s="60">
        <v>92</v>
      </c>
      <c r="U226" s="60">
        <v>27.21</v>
      </c>
    </row>
    <row r="227" spans="1:21">
      <c r="A227" s="60" t="s">
        <v>279</v>
      </c>
      <c r="B227" s="60" t="s">
        <v>690</v>
      </c>
      <c r="C227" s="60" t="s">
        <v>4867</v>
      </c>
      <c r="D227" s="60">
        <v>17.350000000000001</v>
      </c>
      <c r="E227" s="60">
        <v>1.76</v>
      </c>
      <c r="F227" s="60">
        <v>2004</v>
      </c>
      <c r="G227" s="60">
        <v>3.5</v>
      </c>
      <c r="H227" s="60">
        <v>5.7</v>
      </c>
      <c r="I227" s="60">
        <v>19.28</v>
      </c>
      <c r="J227" s="60">
        <v>0</v>
      </c>
      <c r="O227" s="60" t="s">
        <v>279</v>
      </c>
      <c r="P227" s="60" t="s">
        <v>690</v>
      </c>
      <c r="Q227" s="60" t="s">
        <v>4867</v>
      </c>
      <c r="R227" s="60">
        <v>17.350000000000001</v>
      </c>
      <c r="S227" s="60">
        <v>1.76</v>
      </c>
      <c r="T227" s="60">
        <v>2004</v>
      </c>
      <c r="U227" s="60">
        <v>29.37</v>
      </c>
    </row>
    <row r="228" spans="1:21">
      <c r="A228" s="60" t="s">
        <v>281</v>
      </c>
      <c r="B228" s="60" t="s">
        <v>692</v>
      </c>
      <c r="C228" s="60" t="s">
        <v>3880</v>
      </c>
      <c r="D228" s="60">
        <v>37</v>
      </c>
      <c r="E228" s="60">
        <v>1.0900000000000001</v>
      </c>
      <c r="F228" s="60">
        <v>70</v>
      </c>
      <c r="G228" s="60">
        <v>0</v>
      </c>
      <c r="H228" s="60">
        <v>2.77</v>
      </c>
      <c r="I228" s="60">
        <v>10.94</v>
      </c>
      <c r="J228" s="60">
        <v>0.41</v>
      </c>
      <c r="O228" s="60" t="s">
        <v>281</v>
      </c>
      <c r="P228" s="60" t="s">
        <v>692</v>
      </c>
      <c r="Q228" s="60" t="s">
        <v>3880</v>
      </c>
      <c r="R228" s="60">
        <v>37</v>
      </c>
      <c r="S228" s="60">
        <v>1.0900000000000001</v>
      </c>
      <c r="T228" s="60">
        <v>70</v>
      </c>
      <c r="U228" s="60">
        <v>48.82</v>
      </c>
    </row>
    <row r="229" spans="1:21">
      <c r="A229" s="60" t="s">
        <v>283</v>
      </c>
      <c r="B229" s="60" t="s">
        <v>694</v>
      </c>
      <c r="C229" s="60" t="s">
        <v>3881</v>
      </c>
      <c r="D229" s="60">
        <v>71.7</v>
      </c>
      <c r="E229" s="60">
        <v>-1.1000000000000001</v>
      </c>
      <c r="F229" s="60">
        <v>202</v>
      </c>
      <c r="G229" s="60">
        <v>0.05</v>
      </c>
      <c r="H229" s="60">
        <v>19.510000000000002</v>
      </c>
      <c r="I229" s="60">
        <v>3.37</v>
      </c>
      <c r="J229" s="60">
        <v>0.01</v>
      </c>
      <c r="O229" s="60" t="s">
        <v>283</v>
      </c>
      <c r="P229" s="60" t="s">
        <v>694</v>
      </c>
      <c r="Q229" s="60" t="s">
        <v>3881</v>
      </c>
      <c r="R229" s="60">
        <v>71.7</v>
      </c>
      <c r="S229" s="60">
        <v>-1.1000000000000001</v>
      </c>
      <c r="T229" s="60">
        <v>202</v>
      </c>
      <c r="U229" s="60">
        <v>79.180000000000007</v>
      </c>
    </row>
    <row r="230" spans="1:21">
      <c r="A230" s="60" t="s">
        <v>285</v>
      </c>
      <c r="B230" s="60" t="s">
        <v>696</v>
      </c>
      <c r="C230" s="60" t="s">
        <v>3882</v>
      </c>
      <c r="D230" s="60">
        <v>35.35</v>
      </c>
      <c r="E230" s="60">
        <v>-0.42</v>
      </c>
      <c r="F230" s="60">
        <v>1690</v>
      </c>
      <c r="G230" s="60">
        <v>0.02</v>
      </c>
      <c r="H230" s="60">
        <v>9.8000000000000007</v>
      </c>
      <c r="I230" s="60">
        <v>2.0699999999999998</v>
      </c>
      <c r="J230" s="60">
        <v>1.06</v>
      </c>
      <c r="O230" s="60" t="s">
        <v>285</v>
      </c>
      <c r="P230" s="60" t="s">
        <v>696</v>
      </c>
      <c r="Q230" s="60" t="s">
        <v>3882</v>
      </c>
      <c r="R230" s="60">
        <v>35.35</v>
      </c>
      <c r="S230" s="60">
        <v>-0.42</v>
      </c>
      <c r="T230" s="60">
        <v>1690</v>
      </c>
      <c r="U230" s="60">
        <v>65.540000000000006</v>
      </c>
    </row>
    <row r="231" spans="1:21">
      <c r="A231" s="60" t="s">
        <v>287</v>
      </c>
      <c r="B231" s="60" t="s">
        <v>698</v>
      </c>
      <c r="C231" s="60" t="s">
        <v>3539</v>
      </c>
      <c r="D231" s="60">
        <v>22.55</v>
      </c>
      <c r="E231" s="60">
        <v>-0.88</v>
      </c>
      <c r="F231" s="60">
        <v>1923</v>
      </c>
      <c r="G231" s="60">
        <v>0.46</v>
      </c>
      <c r="H231" s="60">
        <v>3.17</v>
      </c>
      <c r="I231" s="60">
        <v>4.97</v>
      </c>
      <c r="J231" s="60">
        <v>0.01</v>
      </c>
      <c r="O231" s="60" t="s">
        <v>287</v>
      </c>
      <c r="P231" s="60" t="s">
        <v>698</v>
      </c>
      <c r="Q231" s="60" t="s">
        <v>3539</v>
      </c>
      <c r="R231" s="60">
        <v>22.55</v>
      </c>
      <c r="S231" s="60">
        <v>-0.88</v>
      </c>
      <c r="T231" s="60">
        <v>1923</v>
      </c>
      <c r="U231" s="60">
        <v>71.88</v>
      </c>
    </row>
    <row r="232" spans="1:21">
      <c r="A232" s="60" t="s">
        <v>289</v>
      </c>
      <c r="B232" s="60" t="s">
        <v>700</v>
      </c>
      <c r="C232" s="60" t="s">
        <v>3883</v>
      </c>
      <c r="D232" s="60">
        <v>20.100000000000001</v>
      </c>
      <c r="E232" s="60">
        <v>0.25</v>
      </c>
      <c r="F232" s="60">
        <v>236</v>
      </c>
      <c r="G232" s="60">
        <v>0.05</v>
      </c>
      <c r="H232" s="60">
        <v>1.83</v>
      </c>
      <c r="I232" s="60">
        <v>14.18</v>
      </c>
      <c r="J232" s="60">
        <v>0</v>
      </c>
      <c r="O232" s="60" t="s">
        <v>289</v>
      </c>
      <c r="P232" s="60" t="s">
        <v>700</v>
      </c>
      <c r="Q232" s="60" t="s">
        <v>3883</v>
      </c>
      <c r="R232" s="60">
        <v>20.100000000000001</v>
      </c>
      <c r="S232" s="60">
        <v>0.25</v>
      </c>
      <c r="T232" s="60">
        <v>236</v>
      </c>
      <c r="U232" s="60">
        <v>66.63</v>
      </c>
    </row>
    <row r="233" spans="1:21">
      <c r="A233" s="60" t="s">
        <v>291</v>
      </c>
      <c r="B233" s="60" t="s">
        <v>702</v>
      </c>
      <c r="C233" s="60" t="s">
        <v>3884</v>
      </c>
      <c r="D233" s="60">
        <v>33.799999999999997</v>
      </c>
      <c r="E233" s="60">
        <v>0</v>
      </c>
      <c r="F233" s="60">
        <v>4103</v>
      </c>
      <c r="G233" s="60">
        <v>0.04</v>
      </c>
      <c r="H233" s="60">
        <v>16.59</v>
      </c>
      <c r="I233" s="60">
        <v>4.38</v>
      </c>
      <c r="J233" s="60">
        <v>0.15</v>
      </c>
      <c r="O233" s="60" t="s">
        <v>291</v>
      </c>
      <c r="P233" s="60" t="s">
        <v>702</v>
      </c>
      <c r="Q233" s="60" t="s">
        <v>3884</v>
      </c>
      <c r="R233" s="60">
        <v>33.799999999999997</v>
      </c>
      <c r="S233" s="60">
        <v>0</v>
      </c>
      <c r="T233" s="60">
        <v>4103</v>
      </c>
      <c r="U233" s="60">
        <v>77.89</v>
      </c>
    </row>
    <row r="234" spans="1:21">
      <c r="A234" s="60" t="s">
        <v>292</v>
      </c>
      <c r="B234" s="60" t="s">
        <v>704</v>
      </c>
      <c r="C234" s="60" t="s">
        <v>3885</v>
      </c>
      <c r="D234" s="60">
        <v>24.95</v>
      </c>
      <c r="E234" s="60">
        <v>-0.2</v>
      </c>
      <c r="F234" s="60">
        <v>2489</v>
      </c>
      <c r="G234" s="60">
        <v>0.02</v>
      </c>
      <c r="H234" s="60">
        <v>11.31</v>
      </c>
      <c r="I234" s="60">
        <v>8.3699999999999992</v>
      </c>
      <c r="J234" s="60">
        <v>0.99</v>
      </c>
      <c r="O234" s="60" t="s">
        <v>292</v>
      </c>
      <c r="P234" s="60" t="s">
        <v>704</v>
      </c>
      <c r="Q234" s="60" t="s">
        <v>3885</v>
      </c>
      <c r="R234" s="60">
        <v>24.95</v>
      </c>
      <c r="S234" s="60">
        <v>-0.2</v>
      </c>
      <c r="T234" s="60">
        <v>2489</v>
      </c>
      <c r="U234" s="60">
        <v>69.27</v>
      </c>
    </row>
    <row r="235" spans="1:21">
      <c r="A235" s="60" t="s">
        <v>294</v>
      </c>
      <c r="B235" s="60" t="s">
        <v>706</v>
      </c>
      <c r="C235" s="60" t="s">
        <v>3633</v>
      </c>
      <c r="D235" s="60">
        <v>32.6</v>
      </c>
      <c r="E235" s="60">
        <v>0</v>
      </c>
      <c r="F235" s="60">
        <v>50389</v>
      </c>
      <c r="G235" s="60">
        <v>0.02</v>
      </c>
      <c r="H235" s="60">
        <v>21.14</v>
      </c>
      <c r="I235" s="60">
        <v>2.2999999999999998</v>
      </c>
      <c r="J235" s="60">
        <v>0.9</v>
      </c>
      <c r="O235" s="60" t="s">
        <v>294</v>
      </c>
      <c r="P235" s="60" t="s">
        <v>706</v>
      </c>
      <c r="Q235" s="60" t="s">
        <v>3633</v>
      </c>
      <c r="R235" s="60">
        <v>32.6</v>
      </c>
      <c r="S235" s="60">
        <v>0</v>
      </c>
      <c r="T235" s="60">
        <v>50389</v>
      </c>
      <c r="U235" s="60">
        <v>60.33</v>
      </c>
    </row>
    <row r="236" spans="1:21">
      <c r="A236" s="60" t="s">
        <v>296</v>
      </c>
      <c r="B236" s="60" t="s">
        <v>708</v>
      </c>
      <c r="C236" s="60" t="s">
        <v>3886</v>
      </c>
      <c r="D236" s="60">
        <v>42.45</v>
      </c>
      <c r="E236" s="60">
        <v>1.43</v>
      </c>
      <c r="F236" s="60">
        <v>3715</v>
      </c>
      <c r="G236" s="60">
        <v>0</v>
      </c>
      <c r="H236" s="60">
        <v>14.9</v>
      </c>
      <c r="I236" s="60">
        <v>6.21</v>
      </c>
      <c r="J236" s="60">
        <v>0.88</v>
      </c>
      <c r="O236" s="60" t="s">
        <v>296</v>
      </c>
      <c r="P236" s="60" t="s">
        <v>708</v>
      </c>
      <c r="Q236" s="60" t="s">
        <v>3886</v>
      </c>
      <c r="R236" s="60">
        <v>42.45</v>
      </c>
      <c r="S236" s="60">
        <v>1.43</v>
      </c>
      <c r="T236" s="60">
        <v>3715</v>
      </c>
      <c r="U236" s="60">
        <v>63.99</v>
      </c>
    </row>
    <row r="237" spans="1:21">
      <c r="A237" s="60" t="s">
        <v>298</v>
      </c>
      <c r="B237" s="60" t="s">
        <v>710</v>
      </c>
      <c r="C237" s="60" t="s">
        <v>3572</v>
      </c>
      <c r="D237" s="60">
        <v>21.1</v>
      </c>
      <c r="E237" s="60">
        <v>1.44</v>
      </c>
      <c r="F237" s="60">
        <v>3048</v>
      </c>
      <c r="G237" s="60">
        <v>4.42</v>
      </c>
      <c r="H237" s="60">
        <v>0.24</v>
      </c>
      <c r="I237" s="60">
        <v>19.7</v>
      </c>
      <c r="J237" s="60">
        <v>0</v>
      </c>
      <c r="O237" s="60" t="s">
        <v>298</v>
      </c>
      <c r="P237" s="60" t="s">
        <v>710</v>
      </c>
      <c r="Q237" s="60" t="s">
        <v>3572</v>
      </c>
      <c r="R237" s="60">
        <v>21.1</v>
      </c>
      <c r="S237" s="60">
        <v>1.44</v>
      </c>
      <c r="T237" s="60">
        <v>3048</v>
      </c>
      <c r="U237" s="60">
        <v>75.88</v>
      </c>
    </row>
    <row r="238" spans="1:21">
      <c r="A238" s="60" t="s">
        <v>300</v>
      </c>
      <c r="B238" s="60" t="s">
        <v>712</v>
      </c>
      <c r="C238" s="60" t="s">
        <v>3591</v>
      </c>
      <c r="D238" s="60">
        <v>19.100000000000001</v>
      </c>
      <c r="E238" s="60">
        <v>1.06</v>
      </c>
      <c r="F238" s="60">
        <v>150</v>
      </c>
      <c r="G238" s="60">
        <v>0.03</v>
      </c>
      <c r="H238" s="60">
        <v>7.57</v>
      </c>
      <c r="I238" s="60">
        <v>1.82</v>
      </c>
      <c r="J238" s="60">
        <v>0</v>
      </c>
      <c r="O238" s="60" t="s">
        <v>300</v>
      </c>
      <c r="P238" s="60" t="s">
        <v>712</v>
      </c>
      <c r="Q238" s="60" t="s">
        <v>3591</v>
      </c>
      <c r="R238" s="60">
        <v>19.100000000000001</v>
      </c>
      <c r="S238" s="60">
        <v>1.06</v>
      </c>
      <c r="T238" s="60">
        <v>150</v>
      </c>
      <c r="U238" s="60">
        <v>84.76</v>
      </c>
    </row>
    <row r="239" spans="1:21">
      <c r="A239" s="60" t="s">
        <v>302</v>
      </c>
      <c r="B239" s="60" t="s">
        <v>714</v>
      </c>
      <c r="C239" s="60" t="s">
        <v>3615</v>
      </c>
      <c r="D239" s="60">
        <v>44.2</v>
      </c>
      <c r="E239" s="60">
        <v>0.34</v>
      </c>
      <c r="F239" s="60">
        <v>1323</v>
      </c>
      <c r="G239" s="60">
        <v>5.15</v>
      </c>
      <c r="H239" s="60">
        <v>1.96</v>
      </c>
      <c r="I239" s="60">
        <v>13.58</v>
      </c>
      <c r="J239" s="60">
        <v>0</v>
      </c>
      <c r="O239" s="60" t="s">
        <v>302</v>
      </c>
      <c r="P239" s="60" t="s">
        <v>714</v>
      </c>
      <c r="Q239" s="60" t="s">
        <v>3615</v>
      </c>
      <c r="R239" s="60">
        <v>44.2</v>
      </c>
      <c r="S239" s="60">
        <v>0.34</v>
      </c>
      <c r="T239" s="60">
        <v>1323</v>
      </c>
      <c r="U239" s="60">
        <v>56.33</v>
      </c>
    </row>
    <row r="240" spans="1:21">
      <c r="A240" s="60" t="s">
        <v>304</v>
      </c>
      <c r="B240" s="60" t="s">
        <v>716</v>
      </c>
      <c r="C240" s="60" t="s">
        <v>3887</v>
      </c>
      <c r="D240" s="60">
        <v>22</v>
      </c>
      <c r="E240" s="60">
        <v>0.69</v>
      </c>
      <c r="F240" s="60">
        <v>2231</v>
      </c>
      <c r="G240" s="60">
        <v>0.05</v>
      </c>
      <c r="H240" s="60">
        <v>5.52</v>
      </c>
      <c r="I240" s="60">
        <v>6.25</v>
      </c>
      <c r="J240" s="60">
        <v>0.01</v>
      </c>
      <c r="O240" s="60" t="s">
        <v>304</v>
      </c>
      <c r="P240" s="60" t="s">
        <v>716</v>
      </c>
      <c r="Q240" s="60" t="s">
        <v>3887</v>
      </c>
      <c r="R240" s="60">
        <v>22</v>
      </c>
      <c r="S240" s="60">
        <v>0.69</v>
      </c>
      <c r="T240" s="60">
        <v>2231</v>
      </c>
      <c r="U240" s="60">
        <v>61.35</v>
      </c>
    </row>
    <row r="241" spans="1:21">
      <c r="A241" s="60" t="s">
        <v>306</v>
      </c>
      <c r="B241" s="60" t="s">
        <v>718</v>
      </c>
      <c r="C241" s="60" t="s">
        <v>3888</v>
      </c>
      <c r="D241" s="60">
        <v>29.6</v>
      </c>
      <c r="E241" s="60">
        <v>-0.67</v>
      </c>
      <c r="F241" s="60">
        <v>419</v>
      </c>
      <c r="G241" s="60">
        <v>0.01</v>
      </c>
      <c r="H241" s="60">
        <v>1.94</v>
      </c>
      <c r="I241" s="60">
        <v>3.58</v>
      </c>
      <c r="J241" s="60">
        <v>0</v>
      </c>
      <c r="O241" s="60" t="s">
        <v>306</v>
      </c>
      <c r="P241" s="60" t="s">
        <v>718</v>
      </c>
      <c r="Q241" s="60" t="s">
        <v>3888</v>
      </c>
      <c r="R241" s="60">
        <v>29.6</v>
      </c>
      <c r="S241" s="60">
        <v>-0.67</v>
      </c>
      <c r="T241" s="60">
        <v>419</v>
      </c>
      <c r="U241" s="60">
        <v>71.319999999999993</v>
      </c>
    </row>
    <row r="242" spans="1:21">
      <c r="A242" s="60" t="s">
        <v>308</v>
      </c>
      <c r="B242" s="60" t="s">
        <v>720</v>
      </c>
      <c r="C242" s="60" t="s">
        <v>3889</v>
      </c>
      <c r="D242" s="60">
        <v>51.3</v>
      </c>
      <c r="E242" s="60">
        <v>1.38</v>
      </c>
      <c r="F242" s="60">
        <v>1112</v>
      </c>
      <c r="G242" s="60">
        <v>4.3</v>
      </c>
      <c r="H242" s="60">
        <v>9.94</v>
      </c>
      <c r="I242" s="60">
        <v>18.559999999999999</v>
      </c>
      <c r="J242" s="60">
        <v>0</v>
      </c>
      <c r="O242" s="60" t="s">
        <v>308</v>
      </c>
      <c r="P242" s="60" t="s">
        <v>720</v>
      </c>
      <c r="Q242" s="60" t="s">
        <v>3889</v>
      </c>
      <c r="R242" s="60">
        <v>51.3</v>
      </c>
      <c r="S242" s="60">
        <v>1.38</v>
      </c>
      <c r="T242" s="60">
        <v>1112</v>
      </c>
      <c r="U242" s="60">
        <v>67.819999999999993</v>
      </c>
    </row>
    <row r="243" spans="1:21">
      <c r="A243" s="60" t="s">
        <v>310</v>
      </c>
      <c r="B243" s="60" t="s">
        <v>722</v>
      </c>
      <c r="C243" s="60" t="s">
        <v>3569</v>
      </c>
      <c r="D243" s="60">
        <v>33.4</v>
      </c>
      <c r="E243" s="60">
        <v>1.67</v>
      </c>
      <c r="F243" s="60">
        <v>15366</v>
      </c>
      <c r="G243" s="60">
        <v>0.66</v>
      </c>
      <c r="H243" s="60">
        <v>5.56</v>
      </c>
      <c r="I243" s="60">
        <v>15.7</v>
      </c>
      <c r="J243" s="60">
        <v>0</v>
      </c>
      <c r="O243" s="60" t="s">
        <v>310</v>
      </c>
      <c r="P243" s="60" t="s">
        <v>722</v>
      </c>
      <c r="Q243" s="60" t="s">
        <v>3569</v>
      </c>
      <c r="R243" s="60">
        <v>33.4</v>
      </c>
      <c r="S243" s="60">
        <v>1.67</v>
      </c>
      <c r="T243" s="60">
        <v>15366</v>
      </c>
      <c r="U243" s="60">
        <v>52.5</v>
      </c>
    </row>
    <row r="244" spans="1:21">
      <c r="A244" s="60" t="s">
        <v>312</v>
      </c>
      <c r="B244" s="60" t="s">
        <v>724</v>
      </c>
      <c r="C244" s="60" t="s">
        <v>3890</v>
      </c>
      <c r="D244" s="60">
        <v>78.8</v>
      </c>
      <c r="E244" s="60">
        <v>0.64</v>
      </c>
      <c r="F244" s="60">
        <v>92</v>
      </c>
      <c r="G244" s="60">
        <v>0.03</v>
      </c>
      <c r="H244" s="60">
        <v>12.02</v>
      </c>
      <c r="I244" s="60">
        <v>0.28000000000000003</v>
      </c>
      <c r="J244" s="60">
        <v>0.06</v>
      </c>
      <c r="O244" s="60" t="s">
        <v>312</v>
      </c>
      <c r="P244" s="60" t="s">
        <v>724</v>
      </c>
      <c r="Q244" s="60" t="s">
        <v>3890</v>
      </c>
      <c r="R244" s="60">
        <v>78.8</v>
      </c>
      <c r="S244" s="60">
        <v>0.64</v>
      </c>
      <c r="T244" s="60">
        <v>92</v>
      </c>
      <c r="U244" s="60">
        <v>81.06</v>
      </c>
    </row>
    <row r="245" spans="1:21">
      <c r="A245" s="60" t="s">
        <v>314</v>
      </c>
      <c r="B245" s="60" t="s">
        <v>726</v>
      </c>
      <c r="C245" s="60" t="s">
        <v>3578</v>
      </c>
      <c r="D245" s="60">
        <v>19.45</v>
      </c>
      <c r="E245" s="60">
        <v>1.57</v>
      </c>
      <c r="F245" s="60">
        <v>1239</v>
      </c>
      <c r="G245" s="60">
        <v>0.13</v>
      </c>
      <c r="H245" s="60">
        <v>15.45</v>
      </c>
      <c r="I245" s="60">
        <v>7.14</v>
      </c>
      <c r="J245" s="60">
        <v>0</v>
      </c>
      <c r="O245" s="60" t="s">
        <v>314</v>
      </c>
      <c r="P245" s="60" t="s">
        <v>726</v>
      </c>
      <c r="Q245" s="60" t="s">
        <v>3578</v>
      </c>
      <c r="R245" s="60">
        <v>19.45</v>
      </c>
      <c r="S245" s="60">
        <v>1.57</v>
      </c>
      <c r="T245" s="60">
        <v>1239</v>
      </c>
      <c r="U245" s="60">
        <v>64.17</v>
      </c>
    </row>
    <row r="246" spans="1:21">
      <c r="A246" s="60" t="s">
        <v>316</v>
      </c>
      <c r="B246" s="60" t="s">
        <v>728</v>
      </c>
      <c r="C246" s="60" t="s">
        <v>3562</v>
      </c>
      <c r="D246" s="60">
        <v>30.65</v>
      </c>
      <c r="E246" s="60">
        <v>0.49</v>
      </c>
      <c r="F246" s="60">
        <v>443</v>
      </c>
      <c r="G246" s="60">
        <v>0.04</v>
      </c>
      <c r="H246" s="60">
        <v>2.4</v>
      </c>
      <c r="I246" s="60">
        <v>7.62</v>
      </c>
      <c r="J246" s="60">
        <v>0</v>
      </c>
      <c r="O246" s="60" t="s">
        <v>316</v>
      </c>
      <c r="P246" s="60" t="s">
        <v>728</v>
      </c>
      <c r="Q246" s="60" t="s">
        <v>3562</v>
      </c>
      <c r="R246" s="60">
        <v>30.65</v>
      </c>
      <c r="S246" s="60">
        <v>0.49</v>
      </c>
      <c r="T246" s="60">
        <v>443</v>
      </c>
      <c r="U246" s="60">
        <v>50.39</v>
      </c>
    </row>
    <row r="247" spans="1:21">
      <c r="A247" s="60" t="s">
        <v>318</v>
      </c>
      <c r="B247" s="60" t="s">
        <v>3143</v>
      </c>
      <c r="C247" s="60" t="s">
        <v>3560</v>
      </c>
      <c r="D247" s="60">
        <v>13.85</v>
      </c>
      <c r="E247" s="60">
        <v>0</v>
      </c>
      <c r="F247" s="60">
        <v>4039</v>
      </c>
      <c r="G247" s="60">
        <v>0</v>
      </c>
      <c r="H247" s="60">
        <v>3.79</v>
      </c>
      <c r="I247" s="60">
        <v>0</v>
      </c>
      <c r="J247" s="60">
        <v>0</v>
      </c>
      <c r="O247" s="60" t="s">
        <v>318</v>
      </c>
      <c r="P247" s="60" t="s">
        <v>3143</v>
      </c>
      <c r="Q247" s="60" t="s">
        <v>3560</v>
      </c>
      <c r="R247" s="60">
        <v>13.85</v>
      </c>
      <c r="S247" s="60">
        <v>0</v>
      </c>
      <c r="T247" s="60">
        <v>4039</v>
      </c>
      <c r="U247" s="60">
        <v>25.5</v>
      </c>
    </row>
    <row r="248" spans="1:21">
      <c r="A248" s="60" t="s">
        <v>320</v>
      </c>
      <c r="B248" s="60" t="s">
        <v>731</v>
      </c>
      <c r="C248" s="60" t="s">
        <v>3535</v>
      </c>
      <c r="D248" s="60">
        <v>23.65</v>
      </c>
      <c r="E248" s="60">
        <v>0.42</v>
      </c>
      <c r="F248" s="60">
        <v>10249</v>
      </c>
      <c r="G248" s="60">
        <v>0.49</v>
      </c>
      <c r="H248" s="60">
        <v>5.73</v>
      </c>
      <c r="I248" s="60">
        <v>8.16</v>
      </c>
      <c r="J248" s="60">
        <v>0</v>
      </c>
      <c r="O248" s="60" t="s">
        <v>320</v>
      </c>
      <c r="P248" s="60" t="s">
        <v>731</v>
      </c>
      <c r="Q248" s="60" t="s">
        <v>3535</v>
      </c>
      <c r="R248" s="60">
        <v>23.65</v>
      </c>
      <c r="S248" s="60">
        <v>0.42</v>
      </c>
      <c r="T248" s="60">
        <v>10249</v>
      </c>
      <c r="U248" s="60">
        <v>68.92</v>
      </c>
    </row>
    <row r="249" spans="1:21">
      <c r="A249" s="60" t="s">
        <v>322</v>
      </c>
      <c r="B249" s="60" t="s">
        <v>733</v>
      </c>
      <c r="C249" s="60" t="s">
        <v>3891</v>
      </c>
      <c r="D249" s="60">
        <v>20.100000000000001</v>
      </c>
      <c r="E249" s="60">
        <v>1.01</v>
      </c>
      <c r="F249" s="60">
        <v>146</v>
      </c>
      <c r="G249" s="60">
        <v>0.12</v>
      </c>
      <c r="H249" s="60">
        <v>1.53</v>
      </c>
      <c r="I249" s="60">
        <v>4.8</v>
      </c>
      <c r="J249" s="60">
        <v>0</v>
      </c>
      <c r="O249" s="60" t="s">
        <v>322</v>
      </c>
      <c r="P249" s="60" t="s">
        <v>733</v>
      </c>
      <c r="Q249" s="60" t="s">
        <v>3891</v>
      </c>
      <c r="R249" s="60">
        <v>20.100000000000001</v>
      </c>
      <c r="S249" s="60">
        <v>1.01</v>
      </c>
      <c r="T249" s="60">
        <v>146</v>
      </c>
      <c r="U249" s="60">
        <v>70.099999999999994</v>
      </c>
    </row>
    <row r="250" spans="1:21">
      <c r="A250" s="60" t="s">
        <v>324</v>
      </c>
      <c r="B250" s="60" t="s">
        <v>3144</v>
      </c>
      <c r="C250" s="60" t="s">
        <v>3892</v>
      </c>
      <c r="D250" s="60">
        <v>5.2</v>
      </c>
      <c r="E250" s="60">
        <v>0.57999999999999996</v>
      </c>
      <c r="F250" s="60">
        <v>595</v>
      </c>
      <c r="G250" s="60">
        <v>0</v>
      </c>
      <c r="H250" s="60">
        <v>0.17</v>
      </c>
      <c r="I250" s="60">
        <v>0</v>
      </c>
      <c r="J250" s="60">
        <v>0</v>
      </c>
      <c r="O250" s="60" t="s">
        <v>324</v>
      </c>
      <c r="P250" s="60" t="s">
        <v>3144</v>
      </c>
      <c r="Q250" s="60" t="s">
        <v>3892</v>
      </c>
      <c r="R250" s="60">
        <v>5.2</v>
      </c>
      <c r="S250" s="60">
        <v>0.57999999999999996</v>
      </c>
      <c r="T250" s="60">
        <v>595</v>
      </c>
      <c r="U250" s="60">
        <v>29.71</v>
      </c>
    </row>
    <row r="251" spans="1:21">
      <c r="A251" s="60" t="s">
        <v>326</v>
      </c>
      <c r="B251" s="60" t="s">
        <v>736</v>
      </c>
      <c r="C251" s="60" t="s">
        <v>46</v>
      </c>
      <c r="D251" s="60">
        <v>44.65</v>
      </c>
      <c r="E251" s="60">
        <v>2.17</v>
      </c>
      <c r="F251" s="60">
        <v>14049</v>
      </c>
      <c r="G251" s="60">
        <v>0.66</v>
      </c>
      <c r="H251" s="60">
        <v>16.510000000000002</v>
      </c>
      <c r="I251" s="60">
        <v>13.2</v>
      </c>
      <c r="J251" s="60">
        <v>0.49</v>
      </c>
      <c r="O251" s="60" t="s">
        <v>326</v>
      </c>
      <c r="P251" s="60" t="s">
        <v>736</v>
      </c>
      <c r="Q251" s="60" t="s">
        <v>46</v>
      </c>
      <c r="R251" s="60">
        <v>44.65</v>
      </c>
      <c r="S251" s="60">
        <v>2.17</v>
      </c>
      <c r="T251" s="60">
        <v>14049</v>
      </c>
      <c r="U251" s="60">
        <v>55.21</v>
      </c>
    </row>
    <row r="252" spans="1:21">
      <c r="A252" s="60" t="s">
        <v>328</v>
      </c>
      <c r="B252" s="60" t="s">
        <v>3145</v>
      </c>
      <c r="C252" s="60" t="s">
        <v>3555</v>
      </c>
      <c r="D252" s="60">
        <v>38.200000000000003</v>
      </c>
      <c r="E252" s="60">
        <v>-0.26</v>
      </c>
      <c r="F252" s="60">
        <v>1787</v>
      </c>
      <c r="G252" s="60">
        <v>1.98</v>
      </c>
      <c r="H252" s="60">
        <v>0.8</v>
      </c>
      <c r="I252" s="60">
        <v>14.48</v>
      </c>
      <c r="J252" s="60">
        <v>0</v>
      </c>
      <c r="O252" s="60" t="s">
        <v>328</v>
      </c>
      <c r="P252" s="60" t="s">
        <v>3145</v>
      </c>
      <c r="Q252" s="60" t="s">
        <v>3555</v>
      </c>
      <c r="R252" s="60">
        <v>38.200000000000003</v>
      </c>
      <c r="S252" s="60">
        <v>-0.26</v>
      </c>
      <c r="T252" s="60">
        <v>1787</v>
      </c>
      <c r="U252" s="60">
        <v>78.13</v>
      </c>
    </row>
    <row r="253" spans="1:21">
      <c r="A253" s="60" t="s">
        <v>330</v>
      </c>
      <c r="B253" s="60" t="s">
        <v>739</v>
      </c>
      <c r="C253" s="60" t="s">
        <v>3568</v>
      </c>
      <c r="D253" s="60">
        <v>32.299999999999997</v>
      </c>
      <c r="E253" s="60">
        <v>1.41</v>
      </c>
      <c r="F253" s="60">
        <v>1230</v>
      </c>
      <c r="G253" s="60">
        <v>0.14000000000000001</v>
      </c>
      <c r="H253" s="60">
        <v>69.14</v>
      </c>
      <c r="I253" s="60">
        <v>11.83</v>
      </c>
      <c r="J253" s="60">
        <v>0</v>
      </c>
      <c r="O253" s="60" t="s">
        <v>330</v>
      </c>
      <c r="P253" s="60" t="s">
        <v>739</v>
      </c>
      <c r="Q253" s="60" t="s">
        <v>3568</v>
      </c>
      <c r="R253" s="60">
        <v>32.299999999999997</v>
      </c>
      <c r="S253" s="60">
        <v>1.41</v>
      </c>
      <c r="T253" s="60">
        <v>1230</v>
      </c>
      <c r="U253" s="60">
        <v>68.97</v>
      </c>
    </row>
    <row r="254" spans="1:21">
      <c r="A254" s="60" t="s">
        <v>332</v>
      </c>
      <c r="B254" s="60" t="s">
        <v>741</v>
      </c>
      <c r="C254" s="60" t="s">
        <v>3893</v>
      </c>
      <c r="D254" s="60">
        <v>29.2</v>
      </c>
      <c r="E254" s="60">
        <v>1.39</v>
      </c>
      <c r="F254" s="60">
        <v>3790</v>
      </c>
      <c r="G254" s="60">
        <v>1.21</v>
      </c>
      <c r="H254" s="60">
        <v>2.76</v>
      </c>
      <c r="I254" s="60">
        <v>24.77</v>
      </c>
      <c r="J254" s="60">
        <v>0</v>
      </c>
      <c r="O254" s="60" t="s">
        <v>332</v>
      </c>
      <c r="P254" s="60" t="s">
        <v>741</v>
      </c>
      <c r="Q254" s="60" t="s">
        <v>3893</v>
      </c>
      <c r="R254" s="60">
        <v>29.2</v>
      </c>
      <c r="S254" s="60">
        <v>1.39</v>
      </c>
      <c r="T254" s="60">
        <v>3790</v>
      </c>
      <c r="U254" s="60">
        <v>32.549999999999997</v>
      </c>
    </row>
    <row r="255" spans="1:21">
      <c r="A255" s="60" t="s">
        <v>334</v>
      </c>
      <c r="B255" s="60" t="s">
        <v>743</v>
      </c>
      <c r="C255" s="60" t="s">
        <v>3540</v>
      </c>
      <c r="D255" s="60">
        <v>56.6</v>
      </c>
      <c r="E255" s="60">
        <v>0.89</v>
      </c>
      <c r="F255" s="60">
        <v>1611</v>
      </c>
      <c r="G255" s="60">
        <v>0.32</v>
      </c>
      <c r="H255" s="60">
        <v>8.5</v>
      </c>
      <c r="I255" s="60">
        <v>19.8</v>
      </c>
      <c r="J255" s="60">
        <v>0.05</v>
      </c>
      <c r="O255" s="60" t="s">
        <v>334</v>
      </c>
      <c r="P255" s="60" t="s">
        <v>743</v>
      </c>
      <c r="Q255" s="60" t="s">
        <v>3540</v>
      </c>
      <c r="R255" s="60">
        <v>56.6</v>
      </c>
      <c r="S255" s="60">
        <v>0.89</v>
      </c>
      <c r="T255" s="60">
        <v>1611</v>
      </c>
      <c r="U255" s="60">
        <v>43.46</v>
      </c>
    </row>
    <row r="256" spans="1:21">
      <c r="A256" s="60" t="s">
        <v>336</v>
      </c>
      <c r="B256" s="60" t="s">
        <v>745</v>
      </c>
      <c r="C256" s="60" t="s">
        <v>3566</v>
      </c>
      <c r="D256" s="60">
        <v>23.25</v>
      </c>
      <c r="E256" s="60">
        <v>1.0900000000000001</v>
      </c>
      <c r="F256" s="60">
        <v>508</v>
      </c>
      <c r="G256" s="60">
        <v>0.67</v>
      </c>
      <c r="H256" s="60">
        <v>1.18</v>
      </c>
      <c r="I256" s="60">
        <v>13.05</v>
      </c>
      <c r="J256" s="60">
        <v>0</v>
      </c>
      <c r="O256" s="60" t="s">
        <v>336</v>
      </c>
      <c r="P256" s="60" t="s">
        <v>745</v>
      </c>
      <c r="Q256" s="60" t="s">
        <v>3566</v>
      </c>
      <c r="R256" s="60">
        <v>23.25</v>
      </c>
      <c r="S256" s="60">
        <v>1.0900000000000001</v>
      </c>
      <c r="T256" s="60">
        <v>508</v>
      </c>
      <c r="U256" s="60">
        <v>46.02</v>
      </c>
    </row>
    <row r="257" spans="1:21">
      <c r="A257" s="60" t="s">
        <v>338</v>
      </c>
      <c r="B257" s="60" t="s">
        <v>747</v>
      </c>
      <c r="C257" s="60" t="s">
        <v>3559</v>
      </c>
      <c r="D257" s="60">
        <v>17.3</v>
      </c>
      <c r="E257" s="60">
        <v>1.17</v>
      </c>
      <c r="F257" s="60">
        <v>252</v>
      </c>
      <c r="G257" s="60">
        <v>0.03</v>
      </c>
      <c r="H257" s="60">
        <v>0.34</v>
      </c>
      <c r="I257" s="60">
        <v>8.25</v>
      </c>
      <c r="J257" s="60">
        <v>0</v>
      </c>
      <c r="O257" s="60" t="s">
        <v>338</v>
      </c>
      <c r="P257" s="60" t="s">
        <v>747</v>
      </c>
      <c r="Q257" s="60" t="s">
        <v>3559</v>
      </c>
      <c r="R257" s="60">
        <v>17.3</v>
      </c>
      <c r="S257" s="60">
        <v>1.17</v>
      </c>
      <c r="T257" s="60">
        <v>252</v>
      </c>
      <c r="U257" s="60">
        <v>54.05</v>
      </c>
    </row>
    <row r="258" spans="1:21">
      <c r="A258" s="60" t="s">
        <v>340</v>
      </c>
      <c r="B258" s="60" t="s">
        <v>749</v>
      </c>
      <c r="C258" s="60" t="s">
        <v>3894</v>
      </c>
      <c r="D258" s="60">
        <v>31.4</v>
      </c>
      <c r="E258" s="60">
        <v>0.96</v>
      </c>
      <c r="F258" s="60">
        <v>1065</v>
      </c>
      <c r="G258" s="60">
        <v>7.0000000000000007E-2</v>
      </c>
      <c r="H258" s="60">
        <v>8.02</v>
      </c>
      <c r="I258" s="60">
        <v>9.57</v>
      </c>
      <c r="J258" s="60">
        <v>0.08</v>
      </c>
      <c r="O258" s="60" t="s">
        <v>340</v>
      </c>
      <c r="P258" s="60" t="s">
        <v>749</v>
      </c>
      <c r="Q258" s="60" t="s">
        <v>3894</v>
      </c>
      <c r="R258" s="60">
        <v>31.4</v>
      </c>
      <c r="S258" s="60">
        <v>0.96</v>
      </c>
      <c r="T258" s="60">
        <v>1065</v>
      </c>
      <c r="U258" s="60">
        <v>42.43</v>
      </c>
    </row>
    <row r="259" spans="1:21">
      <c r="A259" s="60" t="s">
        <v>342</v>
      </c>
      <c r="B259" s="60" t="s">
        <v>751</v>
      </c>
      <c r="C259" s="60" t="s">
        <v>4648</v>
      </c>
      <c r="D259" s="60">
        <v>36.799999999999997</v>
      </c>
      <c r="E259" s="60">
        <v>1.24</v>
      </c>
      <c r="F259" s="60">
        <v>36</v>
      </c>
      <c r="G259" s="60">
        <v>0</v>
      </c>
      <c r="H259" s="60">
        <v>0.02</v>
      </c>
      <c r="I259" s="60">
        <v>0.47</v>
      </c>
      <c r="J259" s="60">
        <v>0</v>
      </c>
      <c r="O259" s="60" t="s">
        <v>342</v>
      </c>
      <c r="P259" s="60" t="s">
        <v>751</v>
      </c>
      <c r="Q259" s="60" t="s">
        <v>4648</v>
      </c>
      <c r="R259" s="60">
        <v>36.799999999999997</v>
      </c>
      <c r="S259" s="60">
        <v>1.24</v>
      </c>
      <c r="T259" s="60">
        <v>36</v>
      </c>
      <c r="U259" s="60">
        <v>96.49</v>
      </c>
    </row>
    <row r="260" spans="1:21">
      <c r="A260" s="60" t="s">
        <v>344</v>
      </c>
      <c r="B260" s="60" t="s">
        <v>753</v>
      </c>
      <c r="C260" s="60" t="s">
        <v>3561</v>
      </c>
      <c r="D260" s="60">
        <v>33.200000000000003</v>
      </c>
      <c r="E260" s="60">
        <v>0.45</v>
      </c>
      <c r="F260" s="60">
        <v>3071</v>
      </c>
      <c r="G260" s="60">
        <v>1.92</v>
      </c>
      <c r="H260" s="60">
        <v>1.48</v>
      </c>
      <c r="I260" s="60">
        <v>23.61</v>
      </c>
      <c r="J260" s="60">
        <v>0</v>
      </c>
      <c r="O260" s="60" t="s">
        <v>344</v>
      </c>
      <c r="P260" s="60" t="s">
        <v>753</v>
      </c>
      <c r="Q260" s="60" t="s">
        <v>3561</v>
      </c>
      <c r="R260" s="60">
        <v>33.200000000000003</v>
      </c>
      <c r="S260" s="60">
        <v>0.45</v>
      </c>
      <c r="T260" s="60">
        <v>3071</v>
      </c>
      <c r="U260" s="60">
        <v>48.23</v>
      </c>
    </row>
    <row r="261" spans="1:21">
      <c r="A261" s="60" t="s">
        <v>346</v>
      </c>
      <c r="B261" s="60" t="s">
        <v>755</v>
      </c>
      <c r="C261" s="60" t="s">
        <v>40</v>
      </c>
      <c r="D261" s="60">
        <v>288.5</v>
      </c>
      <c r="E261" s="60">
        <v>0.87</v>
      </c>
      <c r="F261" s="60">
        <v>746</v>
      </c>
      <c r="G261" s="60">
        <v>0.06</v>
      </c>
      <c r="H261" s="60">
        <v>48.04</v>
      </c>
      <c r="I261" s="60">
        <v>3.06</v>
      </c>
      <c r="J261" s="60">
        <v>0.28000000000000003</v>
      </c>
      <c r="O261" s="60" t="s">
        <v>346</v>
      </c>
      <c r="P261" s="60" t="s">
        <v>755</v>
      </c>
      <c r="Q261" s="60" t="s">
        <v>40</v>
      </c>
      <c r="R261" s="60">
        <v>288.5</v>
      </c>
      <c r="S261" s="60">
        <v>0.87</v>
      </c>
      <c r="T261" s="60">
        <v>746</v>
      </c>
      <c r="U261" s="60">
        <v>58.6</v>
      </c>
    </row>
    <row r="262" spans="1:21">
      <c r="A262" s="60" t="s">
        <v>348</v>
      </c>
      <c r="B262" s="60" t="s">
        <v>757</v>
      </c>
      <c r="C262" s="60" t="s">
        <v>4146</v>
      </c>
      <c r="D262" s="60">
        <v>487.5</v>
      </c>
      <c r="E262" s="60">
        <v>2.42</v>
      </c>
      <c r="F262" s="60">
        <v>336</v>
      </c>
      <c r="G262" s="60">
        <v>0.03</v>
      </c>
      <c r="H262" s="60">
        <v>18.22</v>
      </c>
      <c r="I262" s="60">
        <v>2.71</v>
      </c>
      <c r="J262" s="60">
        <v>0.78</v>
      </c>
      <c r="O262" s="60" t="s">
        <v>348</v>
      </c>
      <c r="P262" s="60" t="s">
        <v>757</v>
      </c>
      <c r="Q262" s="60" t="s">
        <v>4146</v>
      </c>
      <c r="R262" s="60">
        <v>487.5</v>
      </c>
      <c r="S262" s="60">
        <v>2.42</v>
      </c>
      <c r="T262" s="60">
        <v>336</v>
      </c>
      <c r="U262" s="60">
        <v>69.17</v>
      </c>
    </row>
    <row r="263" spans="1:21">
      <c r="A263" s="60" t="s">
        <v>350</v>
      </c>
      <c r="B263" s="60" t="s">
        <v>3146</v>
      </c>
      <c r="C263" s="60" t="s">
        <v>4559</v>
      </c>
      <c r="D263" s="60">
        <v>21.7</v>
      </c>
      <c r="E263" s="60">
        <v>2.36</v>
      </c>
      <c r="F263" s="60">
        <v>555</v>
      </c>
      <c r="G263" s="60">
        <v>0</v>
      </c>
      <c r="H263" s="60">
        <v>0.04</v>
      </c>
      <c r="I263" s="60">
        <v>0</v>
      </c>
      <c r="J263" s="60">
        <v>0</v>
      </c>
      <c r="O263" s="60" t="s">
        <v>350</v>
      </c>
      <c r="P263" s="60" t="s">
        <v>3146</v>
      </c>
      <c r="Q263" s="60" t="s">
        <v>4559</v>
      </c>
      <c r="R263" s="60">
        <v>21.7</v>
      </c>
      <c r="S263" s="60">
        <v>2.36</v>
      </c>
      <c r="T263" s="60">
        <v>555</v>
      </c>
      <c r="U263" s="60">
        <v>46.25</v>
      </c>
    </row>
    <row r="264" spans="1:21">
      <c r="A264" s="60" t="s">
        <v>352</v>
      </c>
      <c r="B264" s="60" t="s">
        <v>759</v>
      </c>
      <c r="C264" s="60" t="s">
        <v>3515</v>
      </c>
      <c r="D264" s="60">
        <v>28.1</v>
      </c>
      <c r="E264" s="60">
        <v>0.36</v>
      </c>
      <c r="F264" s="60">
        <v>213</v>
      </c>
      <c r="G264" s="60">
        <v>0</v>
      </c>
      <c r="H264" s="60">
        <v>10.84</v>
      </c>
      <c r="I264" s="60">
        <v>7.67</v>
      </c>
      <c r="J264" s="60">
        <v>0.44</v>
      </c>
      <c r="O264" s="60" t="s">
        <v>352</v>
      </c>
      <c r="P264" s="60" t="s">
        <v>759</v>
      </c>
      <c r="Q264" s="60" t="s">
        <v>3515</v>
      </c>
      <c r="R264" s="60">
        <v>28.1</v>
      </c>
      <c r="S264" s="60">
        <v>0.36</v>
      </c>
      <c r="T264" s="60">
        <v>213</v>
      </c>
      <c r="U264" s="60">
        <v>60.14</v>
      </c>
    </row>
    <row r="265" spans="1:21">
      <c r="A265" s="60" t="s">
        <v>354</v>
      </c>
      <c r="B265" s="60" t="s">
        <v>761</v>
      </c>
      <c r="C265" s="60" t="s">
        <v>4649</v>
      </c>
      <c r="D265" s="60">
        <v>36.85</v>
      </c>
      <c r="E265" s="60">
        <v>0.14000000000000001</v>
      </c>
      <c r="F265" s="60">
        <v>62</v>
      </c>
      <c r="G265" s="60">
        <v>0.04</v>
      </c>
      <c r="H265" s="60">
        <v>1.23</v>
      </c>
      <c r="I265" s="60">
        <v>2.58</v>
      </c>
      <c r="J265" s="60">
        <v>0</v>
      </c>
      <c r="O265" s="60" t="s">
        <v>354</v>
      </c>
      <c r="P265" s="60" t="s">
        <v>761</v>
      </c>
      <c r="Q265" s="60" t="s">
        <v>4649</v>
      </c>
      <c r="R265" s="60">
        <v>36.85</v>
      </c>
      <c r="S265" s="60">
        <v>0.14000000000000001</v>
      </c>
      <c r="T265" s="60">
        <v>62</v>
      </c>
      <c r="U265" s="60">
        <v>32.83</v>
      </c>
    </row>
    <row r="266" spans="1:21">
      <c r="A266" s="60" t="s">
        <v>356</v>
      </c>
      <c r="B266" s="60" t="s">
        <v>763</v>
      </c>
      <c r="C266" s="60" t="s">
        <v>4650</v>
      </c>
      <c r="D266" s="60">
        <v>18.25</v>
      </c>
      <c r="E266" s="60">
        <v>-0.27</v>
      </c>
      <c r="F266" s="60">
        <v>39</v>
      </c>
      <c r="G266" s="60">
        <v>0</v>
      </c>
      <c r="H266" s="60">
        <v>0.26</v>
      </c>
      <c r="I266" s="60">
        <v>2.19</v>
      </c>
      <c r="J266" s="60">
        <v>0</v>
      </c>
      <c r="O266" s="60" t="s">
        <v>356</v>
      </c>
      <c r="P266" s="60" t="s">
        <v>763</v>
      </c>
      <c r="Q266" s="60" t="s">
        <v>4650</v>
      </c>
      <c r="R266" s="60">
        <v>18.25</v>
      </c>
      <c r="S266" s="60">
        <v>-0.27</v>
      </c>
      <c r="T266" s="60">
        <v>39</v>
      </c>
      <c r="U266" s="60">
        <v>75.56</v>
      </c>
    </row>
    <row r="267" spans="1:21">
      <c r="A267" s="60" t="s">
        <v>358</v>
      </c>
      <c r="B267" s="60" t="s">
        <v>765</v>
      </c>
      <c r="C267" s="60" t="s">
        <v>4651</v>
      </c>
      <c r="D267" s="60">
        <v>47.7</v>
      </c>
      <c r="E267" s="60">
        <v>0.42</v>
      </c>
      <c r="F267" s="60">
        <v>76</v>
      </c>
      <c r="G267" s="60">
        <v>0.3</v>
      </c>
      <c r="H267" s="60">
        <v>1.68</v>
      </c>
      <c r="I267" s="60">
        <v>2.21</v>
      </c>
      <c r="J267" s="60">
        <v>0</v>
      </c>
      <c r="O267" s="60" t="s">
        <v>358</v>
      </c>
      <c r="P267" s="60" t="s">
        <v>765</v>
      </c>
      <c r="Q267" s="60" t="s">
        <v>4651</v>
      </c>
      <c r="R267" s="60">
        <v>47.7</v>
      </c>
      <c r="S267" s="60">
        <v>0.42</v>
      </c>
      <c r="T267" s="60">
        <v>76</v>
      </c>
      <c r="U267" s="60">
        <v>33.58</v>
      </c>
    </row>
    <row r="268" spans="1:21">
      <c r="A268" s="60" t="s">
        <v>360</v>
      </c>
      <c r="B268" s="60" t="s">
        <v>767</v>
      </c>
      <c r="C268" s="60" t="s">
        <v>4523</v>
      </c>
      <c r="D268" s="60">
        <v>61.9</v>
      </c>
      <c r="E268" s="60">
        <v>0.81</v>
      </c>
      <c r="F268" s="60">
        <v>214</v>
      </c>
      <c r="G268" s="60">
        <v>0</v>
      </c>
      <c r="H268" s="60">
        <v>10.39</v>
      </c>
      <c r="I268" s="60">
        <v>2.65</v>
      </c>
      <c r="J268" s="60">
        <v>0</v>
      </c>
      <c r="O268" s="60" t="s">
        <v>360</v>
      </c>
      <c r="P268" s="60" t="s">
        <v>767</v>
      </c>
      <c r="Q268" s="60" t="s">
        <v>4523</v>
      </c>
      <c r="R268" s="60">
        <v>61.9</v>
      </c>
      <c r="S268" s="60">
        <v>0.81</v>
      </c>
      <c r="T268" s="60">
        <v>214</v>
      </c>
      <c r="U268" s="60">
        <v>68.03</v>
      </c>
    </row>
    <row r="269" spans="1:21">
      <c r="A269" s="60" t="s">
        <v>362</v>
      </c>
      <c r="B269" s="60" t="s">
        <v>3147</v>
      </c>
      <c r="C269" s="60" t="s">
        <v>4524</v>
      </c>
      <c r="D269" s="60">
        <v>12.95</v>
      </c>
      <c r="E269" s="60">
        <v>-0.77</v>
      </c>
      <c r="F269" s="60">
        <v>27</v>
      </c>
      <c r="G269" s="60">
        <v>0</v>
      </c>
      <c r="H269" s="60">
        <v>11.64</v>
      </c>
      <c r="I269" s="60">
        <v>0</v>
      </c>
      <c r="J269" s="60">
        <v>0</v>
      </c>
      <c r="O269" s="60" t="s">
        <v>362</v>
      </c>
      <c r="P269" s="60" t="s">
        <v>3147</v>
      </c>
      <c r="Q269" s="60" t="s">
        <v>4524</v>
      </c>
      <c r="R269" s="60">
        <v>12.95</v>
      </c>
      <c r="S269" s="60">
        <v>-0.77</v>
      </c>
      <c r="T269" s="60">
        <v>27</v>
      </c>
      <c r="U269" s="60">
        <v>47.58</v>
      </c>
    </row>
    <row r="270" spans="1:21">
      <c r="A270" s="60" t="s">
        <v>364</v>
      </c>
      <c r="B270" s="60" t="s">
        <v>770</v>
      </c>
      <c r="C270" s="60" t="s">
        <v>3895</v>
      </c>
      <c r="D270" s="60">
        <v>37.4</v>
      </c>
      <c r="E270" s="60">
        <v>1.08</v>
      </c>
      <c r="F270" s="60">
        <v>7481</v>
      </c>
      <c r="G270" s="60">
        <v>2.8</v>
      </c>
      <c r="H270" s="60">
        <v>1.75</v>
      </c>
      <c r="I270" s="60">
        <v>23.25</v>
      </c>
      <c r="J270" s="60">
        <v>0</v>
      </c>
      <c r="O270" s="60" t="s">
        <v>364</v>
      </c>
      <c r="P270" s="60" t="s">
        <v>770</v>
      </c>
      <c r="Q270" s="60" t="s">
        <v>3895</v>
      </c>
      <c r="R270" s="60">
        <v>37.4</v>
      </c>
      <c r="S270" s="60">
        <v>1.08</v>
      </c>
      <c r="T270" s="60">
        <v>7481</v>
      </c>
      <c r="U270" s="60">
        <v>51.41</v>
      </c>
    </row>
    <row r="271" spans="1:21">
      <c r="A271" s="60" t="s">
        <v>366</v>
      </c>
      <c r="B271" s="60" t="s">
        <v>772</v>
      </c>
      <c r="C271" s="60" t="s">
        <v>4525</v>
      </c>
      <c r="D271" s="60">
        <v>32.6</v>
      </c>
      <c r="E271" s="60">
        <v>0.31</v>
      </c>
      <c r="F271" s="60">
        <v>25</v>
      </c>
      <c r="G271" s="60">
        <v>0</v>
      </c>
      <c r="H271" s="60">
        <v>0.8</v>
      </c>
      <c r="I271" s="60">
        <v>2.93</v>
      </c>
      <c r="J271" s="60">
        <v>0</v>
      </c>
      <c r="O271" s="60" t="s">
        <v>366</v>
      </c>
      <c r="P271" s="60" t="s">
        <v>772</v>
      </c>
      <c r="Q271" s="60" t="s">
        <v>4525</v>
      </c>
      <c r="R271" s="60">
        <v>32.6</v>
      </c>
      <c r="S271" s="60">
        <v>0.31</v>
      </c>
      <c r="T271" s="60">
        <v>25</v>
      </c>
      <c r="U271" s="60">
        <v>62.48</v>
      </c>
    </row>
    <row r="272" spans="1:21">
      <c r="A272" s="60" t="s">
        <v>368</v>
      </c>
      <c r="B272" s="60" t="s">
        <v>774</v>
      </c>
      <c r="C272" s="60" t="s">
        <v>3901</v>
      </c>
      <c r="D272" s="60">
        <v>40</v>
      </c>
      <c r="E272" s="60">
        <v>-1.84</v>
      </c>
      <c r="F272" s="60">
        <v>3806</v>
      </c>
      <c r="G272" s="60">
        <v>0.03</v>
      </c>
      <c r="H272" s="60">
        <v>6.1</v>
      </c>
      <c r="I272" s="60">
        <v>19.899999999999999</v>
      </c>
      <c r="J272" s="60">
        <v>0.01</v>
      </c>
      <c r="O272" s="60" t="s">
        <v>368</v>
      </c>
      <c r="P272" s="60" t="s">
        <v>774</v>
      </c>
      <c r="Q272" s="60" t="s">
        <v>3901</v>
      </c>
      <c r="R272" s="60">
        <v>40</v>
      </c>
      <c r="S272" s="60">
        <v>-1.84</v>
      </c>
      <c r="T272" s="60">
        <v>3806</v>
      </c>
      <c r="U272" s="60">
        <v>70.3</v>
      </c>
    </row>
    <row r="273" spans="1:21">
      <c r="A273" s="60" t="s">
        <v>370</v>
      </c>
      <c r="B273" s="60" t="s">
        <v>776</v>
      </c>
      <c r="C273" s="60" t="s">
        <v>3902</v>
      </c>
      <c r="D273" s="60">
        <v>25.8</v>
      </c>
      <c r="E273" s="60">
        <v>-1.9</v>
      </c>
      <c r="F273" s="60">
        <v>1146</v>
      </c>
      <c r="G273" s="60">
        <v>0.01</v>
      </c>
      <c r="H273" s="60">
        <v>5.5</v>
      </c>
      <c r="I273" s="60">
        <v>4.76</v>
      </c>
      <c r="J273" s="60">
        <v>0.01</v>
      </c>
      <c r="O273" s="60" t="s">
        <v>370</v>
      </c>
      <c r="P273" s="60" t="s">
        <v>776</v>
      </c>
      <c r="Q273" s="60" t="s">
        <v>3902</v>
      </c>
      <c r="R273" s="60">
        <v>25.8</v>
      </c>
      <c r="S273" s="60">
        <v>-1.9</v>
      </c>
      <c r="T273" s="60">
        <v>1146</v>
      </c>
      <c r="U273" s="60">
        <v>73.819999999999993</v>
      </c>
    </row>
    <row r="274" spans="1:21">
      <c r="A274" s="60" t="s">
        <v>372</v>
      </c>
      <c r="B274" s="60" t="s">
        <v>778</v>
      </c>
      <c r="C274" s="60" t="s">
        <v>3903</v>
      </c>
      <c r="D274" s="60">
        <v>32.5</v>
      </c>
      <c r="E274" s="60">
        <v>0.93</v>
      </c>
      <c r="F274" s="60">
        <v>1174</v>
      </c>
      <c r="G274" s="60">
        <v>0.04</v>
      </c>
      <c r="H274" s="60">
        <v>30.3</v>
      </c>
      <c r="I274" s="60">
        <v>3.94</v>
      </c>
      <c r="J274" s="60">
        <v>0</v>
      </c>
      <c r="O274" s="60" t="s">
        <v>372</v>
      </c>
      <c r="P274" s="60" t="s">
        <v>778</v>
      </c>
      <c r="Q274" s="60" t="s">
        <v>3903</v>
      </c>
      <c r="R274" s="60">
        <v>32.5</v>
      </c>
      <c r="S274" s="60">
        <v>0.93</v>
      </c>
      <c r="T274" s="60">
        <v>1174</v>
      </c>
      <c r="U274" s="60">
        <v>62.88</v>
      </c>
    </row>
    <row r="275" spans="1:21">
      <c r="A275" s="60" t="s">
        <v>374</v>
      </c>
      <c r="B275" s="60" t="s">
        <v>780</v>
      </c>
      <c r="C275" s="60" t="s">
        <v>3904</v>
      </c>
      <c r="D275" s="60">
        <v>26.75</v>
      </c>
      <c r="E275" s="60">
        <v>0.56000000000000005</v>
      </c>
      <c r="F275" s="60">
        <v>4100</v>
      </c>
      <c r="G275" s="60">
        <v>0.01</v>
      </c>
      <c r="H275" s="60">
        <v>11.47</v>
      </c>
      <c r="I275" s="60">
        <v>4.26</v>
      </c>
      <c r="J275" s="60">
        <v>0.01</v>
      </c>
      <c r="O275" s="60" t="s">
        <v>374</v>
      </c>
      <c r="P275" s="60" t="s">
        <v>780</v>
      </c>
      <c r="Q275" s="60" t="s">
        <v>3904</v>
      </c>
      <c r="R275" s="60">
        <v>26.75</v>
      </c>
      <c r="S275" s="60">
        <v>0.56000000000000005</v>
      </c>
      <c r="T275" s="60">
        <v>4100</v>
      </c>
      <c r="U275" s="60">
        <v>45.74</v>
      </c>
    </row>
    <row r="276" spans="1:21">
      <c r="A276" s="60" t="s">
        <v>376</v>
      </c>
      <c r="B276" s="60" t="s">
        <v>782</v>
      </c>
      <c r="C276" s="60" t="s">
        <v>3905</v>
      </c>
      <c r="D276" s="60">
        <v>34.799999999999997</v>
      </c>
      <c r="E276" s="60">
        <v>1.46</v>
      </c>
      <c r="F276" s="60">
        <v>3799</v>
      </c>
      <c r="G276" s="60">
        <v>0.01</v>
      </c>
      <c r="H276" s="60">
        <v>15.52</v>
      </c>
      <c r="I276" s="60">
        <v>1.1299999999999999</v>
      </c>
      <c r="J276" s="60">
        <v>0.1</v>
      </c>
      <c r="O276" s="60" t="s">
        <v>376</v>
      </c>
      <c r="P276" s="60" t="s">
        <v>782</v>
      </c>
      <c r="Q276" s="60" t="s">
        <v>3905</v>
      </c>
      <c r="R276" s="60">
        <v>34.799999999999997</v>
      </c>
      <c r="S276" s="60">
        <v>1.46</v>
      </c>
      <c r="T276" s="60">
        <v>3799</v>
      </c>
      <c r="U276" s="60">
        <v>76.87</v>
      </c>
    </row>
    <row r="277" spans="1:21">
      <c r="A277" s="60" t="s">
        <v>378</v>
      </c>
      <c r="B277" s="60" t="s">
        <v>784</v>
      </c>
      <c r="C277" s="60" t="s">
        <v>3906</v>
      </c>
      <c r="D277" s="60">
        <v>30.3</v>
      </c>
      <c r="E277" s="60">
        <v>0.33</v>
      </c>
      <c r="F277" s="60">
        <v>1249</v>
      </c>
      <c r="G277" s="60">
        <v>0</v>
      </c>
      <c r="H277" s="60">
        <v>7.32</v>
      </c>
      <c r="I277" s="60">
        <v>1.24</v>
      </c>
      <c r="J277" s="60">
        <v>0</v>
      </c>
      <c r="O277" s="60" t="s">
        <v>378</v>
      </c>
      <c r="P277" s="60" t="s">
        <v>784</v>
      </c>
      <c r="Q277" s="60" t="s">
        <v>3906</v>
      </c>
      <c r="R277" s="60">
        <v>30.3</v>
      </c>
      <c r="S277" s="60">
        <v>0.33</v>
      </c>
      <c r="T277" s="60">
        <v>1249</v>
      </c>
      <c r="U277" s="60">
        <v>78.77</v>
      </c>
    </row>
    <row r="278" spans="1:21">
      <c r="A278" s="60" t="s">
        <v>380</v>
      </c>
      <c r="B278" s="60" t="s">
        <v>786</v>
      </c>
      <c r="C278" s="60" t="s">
        <v>3907</v>
      </c>
      <c r="D278" s="60">
        <v>23</v>
      </c>
      <c r="E278" s="60">
        <v>-0.65</v>
      </c>
      <c r="F278" s="60">
        <v>310</v>
      </c>
      <c r="G278" s="60">
        <v>0</v>
      </c>
      <c r="H278" s="60">
        <v>10.86</v>
      </c>
      <c r="I278" s="60">
        <v>2.52</v>
      </c>
      <c r="J278" s="60">
        <v>0.02</v>
      </c>
      <c r="O278" s="60" t="s">
        <v>380</v>
      </c>
      <c r="P278" s="60" t="s">
        <v>786</v>
      </c>
      <c r="Q278" s="60" t="s">
        <v>3907</v>
      </c>
      <c r="R278" s="60">
        <v>23</v>
      </c>
      <c r="S278" s="60">
        <v>-0.65</v>
      </c>
      <c r="T278" s="60">
        <v>310</v>
      </c>
      <c r="U278" s="60">
        <v>48.69</v>
      </c>
    </row>
    <row r="279" spans="1:21">
      <c r="A279" s="60" t="s">
        <v>382</v>
      </c>
      <c r="B279" s="60" t="s">
        <v>788</v>
      </c>
      <c r="C279" s="60" t="s">
        <v>3613</v>
      </c>
      <c r="D279" s="60">
        <v>82.1</v>
      </c>
      <c r="E279" s="60">
        <v>2.11</v>
      </c>
      <c r="F279" s="60">
        <v>2326</v>
      </c>
      <c r="G279" s="60">
        <v>1.37</v>
      </c>
      <c r="H279" s="60">
        <v>16.670000000000002</v>
      </c>
      <c r="I279" s="60">
        <v>4.7699999999999996</v>
      </c>
      <c r="J279" s="60">
        <v>4.18</v>
      </c>
      <c r="O279" s="60" t="s">
        <v>382</v>
      </c>
      <c r="P279" s="60" t="s">
        <v>788</v>
      </c>
      <c r="Q279" s="60" t="s">
        <v>3613</v>
      </c>
      <c r="R279" s="60">
        <v>82.1</v>
      </c>
      <c r="S279" s="60">
        <v>2.11</v>
      </c>
      <c r="T279" s="60">
        <v>2326</v>
      </c>
      <c r="U279" s="60">
        <v>70.599999999999994</v>
      </c>
    </row>
    <row r="280" spans="1:21">
      <c r="A280" s="60" t="s">
        <v>384</v>
      </c>
      <c r="B280" s="60" t="s">
        <v>3148</v>
      </c>
      <c r="C280" s="60" t="s">
        <v>3908</v>
      </c>
      <c r="D280" s="60">
        <v>16.45</v>
      </c>
      <c r="E280" s="60">
        <v>-1.2</v>
      </c>
      <c r="F280" s="60">
        <v>192</v>
      </c>
      <c r="G280" s="60">
        <v>0</v>
      </c>
      <c r="H280" s="60">
        <v>14.64</v>
      </c>
      <c r="I280" s="60">
        <v>2.14</v>
      </c>
      <c r="J280" s="60">
        <v>0</v>
      </c>
      <c r="O280" s="60" t="s">
        <v>384</v>
      </c>
      <c r="P280" s="60" t="s">
        <v>3148</v>
      </c>
      <c r="Q280" s="60" t="s">
        <v>3908</v>
      </c>
      <c r="R280" s="60">
        <v>16.45</v>
      </c>
      <c r="S280" s="60">
        <v>-1.2</v>
      </c>
      <c r="T280" s="60">
        <v>192</v>
      </c>
      <c r="U280" s="60">
        <v>63.47</v>
      </c>
    </row>
    <row r="281" spans="1:21">
      <c r="A281" s="60" t="s">
        <v>386</v>
      </c>
      <c r="B281" s="60" t="s">
        <v>791</v>
      </c>
      <c r="C281" s="60" t="s">
        <v>3909</v>
      </c>
      <c r="D281" s="60">
        <v>120</v>
      </c>
      <c r="E281" s="60">
        <v>0.84</v>
      </c>
      <c r="F281" s="60">
        <v>32</v>
      </c>
      <c r="G281" s="60">
        <v>0</v>
      </c>
      <c r="H281" s="60">
        <v>2.38</v>
      </c>
      <c r="I281" s="60">
        <v>3</v>
      </c>
      <c r="J281" s="60">
        <v>0.03</v>
      </c>
      <c r="O281" s="60" t="s">
        <v>386</v>
      </c>
      <c r="P281" s="60" t="s">
        <v>791</v>
      </c>
      <c r="Q281" s="60" t="s">
        <v>3909</v>
      </c>
      <c r="R281" s="60">
        <v>120</v>
      </c>
      <c r="S281" s="60">
        <v>0.84</v>
      </c>
      <c r="T281" s="60">
        <v>32</v>
      </c>
      <c r="U281" s="60">
        <v>59.63</v>
      </c>
    </row>
    <row r="282" spans="1:21">
      <c r="A282" s="60" t="s">
        <v>388</v>
      </c>
      <c r="B282" s="60" t="s">
        <v>793</v>
      </c>
      <c r="C282" s="60" t="s">
        <v>3922</v>
      </c>
      <c r="D282" s="60">
        <v>40</v>
      </c>
      <c r="E282" s="60">
        <v>-0.5</v>
      </c>
      <c r="F282" s="60">
        <v>19</v>
      </c>
      <c r="G282" s="60">
        <v>0</v>
      </c>
      <c r="H282" s="60">
        <v>44.25</v>
      </c>
      <c r="I282" s="60">
        <v>0.47</v>
      </c>
      <c r="J282" s="60">
        <v>0</v>
      </c>
      <c r="O282" s="60" t="s">
        <v>388</v>
      </c>
      <c r="P282" s="60" t="s">
        <v>793</v>
      </c>
      <c r="Q282" s="60" t="s">
        <v>3922</v>
      </c>
      <c r="R282" s="60">
        <v>40</v>
      </c>
      <c r="S282" s="60">
        <v>-0.5</v>
      </c>
      <c r="T282" s="60">
        <v>19</v>
      </c>
      <c r="U282" s="60">
        <v>68.33</v>
      </c>
    </row>
    <row r="283" spans="1:21">
      <c r="A283" s="60" t="s">
        <v>389</v>
      </c>
      <c r="B283" s="60" t="s">
        <v>795</v>
      </c>
      <c r="C283" s="60" t="s">
        <v>3923</v>
      </c>
      <c r="D283" s="60">
        <v>44.05</v>
      </c>
      <c r="E283" s="60">
        <v>1.73</v>
      </c>
      <c r="F283" s="60">
        <v>11902</v>
      </c>
      <c r="G283" s="60">
        <v>0.05</v>
      </c>
      <c r="H283" s="60">
        <v>9.64</v>
      </c>
      <c r="I283" s="60">
        <v>6.28</v>
      </c>
      <c r="J283" s="60">
        <v>0.71</v>
      </c>
      <c r="O283" s="60" t="s">
        <v>389</v>
      </c>
      <c r="P283" s="60" t="s">
        <v>795</v>
      </c>
      <c r="Q283" s="60" t="s">
        <v>3923</v>
      </c>
      <c r="R283" s="60">
        <v>44.05</v>
      </c>
      <c r="S283" s="60">
        <v>1.73</v>
      </c>
      <c r="T283" s="60">
        <v>11902</v>
      </c>
      <c r="U283" s="60">
        <v>63.89</v>
      </c>
    </row>
    <row r="284" spans="1:21">
      <c r="A284" s="60" t="s">
        <v>391</v>
      </c>
      <c r="B284" s="60" t="s">
        <v>797</v>
      </c>
      <c r="C284" s="60" t="s">
        <v>3924</v>
      </c>
      <c r="D284" s="60">
        <v>66</v>
      </c>
      <c r="E284" s="60">
        <v>0</v>
      </c>
      <c r="F284" s="60">
        <v>867</v>
      </c>
      <c r="G284" s="60">
        <v>0.08</v>
      </c>
      <c r="H284" s="60">
        <v>30.16</v>
      </c>
      <c r="I284" s="60">
        <v>1.1100000000000001</v>
      </c>
      <c r="J284" s="60">
        <v>0.18</v>
      </c>
      <c r="O284" s="60" t="s">
        <v>391</v>
      </c>
      <c r="P284" s="60" t="s">
        <v>797</v>
      </c>
      <c r="Q284" s="60" t="s">
        <v>3924</v>
      </c>
      <c r="R284" s="60">
        <v>66</v>
      </c>
      <c r="S284" s="60">
        <v>0</v>
      </c>
      <c r="T284" s="60">
        <v>867</v>
      </c>
      <c r="U284" s="60">
        <v>74.599999999999994</v>
      </c>
    </row>
    <row r="285" spans="1:21">
      <c r="A285" s="60" t="s">
        <v>393</v>
      </c>
      <c r="B285" s="60" t="s">
        <v>799</v>
      </c>
      <c r="C285" s="60" t="s">
        <v>3651</v>
      </c>
      <c r="D285" s="60">
        <v>26.9</v>
      </c>
      <c r="E285" s="60">
        <v>0.75</v>
      </c>
      <c r="F285" s="60">
        <v>650</v>
      </c>
      <c r="G285" s="60">
        <v>0</v>
      </c>
      <c r="H285" s="60">
        <v>9.5</v>
      </c>
      <c r="I285" s="60">
        <v>4.58</v>
      </c>
      <c r="J285" s="60">
        <v>0.01</v>
      </c>
      <c r="O285" s="60" t="s">
        <v>393</v>
      </c>
      <c r="P285" s="60" t="s">
        <v>799</v>
      </c>
      <c r="Q285" s="60" t="s">
        <v>3651</v>
      </c>
      <c r="R285" s="60">
        <v>26.9</v>
      </c>
      <c r="S285" s="60">
        <v>0.75</v>
      </c>
      <c r="T285" s="60">
        <v>650</v>
      </c>
      <c r="U285" s="60">
        <v>73.44</v>
      </c>
    </row>
    <row r="286" spans="1:21">
      <c r="A286" s="60" t="s">
        <v>395</v>
      </c>
      <c r="B286" s="60" t="s">
        <v>801</v>
      </c>
      <c r="C286" s="60" t="s">
        <v>3925</v>
      </c>
      <c r="D286" s="60">
        <v>665</v>
      </c>
      <c r="E286" s="60">
        <v>1.06</v>
      </c>
      <c r="F286" s="60">
        <v>157</v>
      </c>
      <c r="G286" s="60">
        <v>0</v>
      </c>
      <c r="H286" s="60">
        <v>24.36</v>
      </c>
      <c r="I286" s="60">
        <v>0.04</v>
      </c>
      <c r="J286" s="60">
        <v>0.42</v>
      </c>
      <c r="O286" s="60" t="s">
        <v>395</v>
      </c>
      <c r="P286" s="60" t="s">
        <v>801</v>
      </c>
      <c r="Q286" s="60" t="s">
        <v>3925</v>
      </c>
      <c r="R286" s="60">
        <v>665</v>
      </c>
      <c r="S286" s="60">
        <v>1.06</v>
      </c>
      <c r="T286" s="60">
        <v>157</v>
      </c>
      <c r="U286" s="60">
        <v>83.96</v>
      </c>
    </row>
    <row r="287" spans="1:21">
      <c r="A287" s="60" t="s">
        <v>396</v>
      </c>
      <c r="B287" s="60" t="s">
        <v>803</v>
      </c>
      <c r="C287" s="60" t="s">
        <v>4346</v>
      </c>
      <c r="D287" s="60">
        <v>22.35</v>
      </c>
      <c r="E287" s="60">
        <v>0.9</v>
      </c>
      <c r="F287" s="60">
        <v>1780</v>
      </c>
      <c r="G287" s="60">
        <v>0.49</v>
      </c>
      <c r="H287" s="60">
        <v>4.88</v>
      </c>
      <c r="I287" s="60">
        <v>8.0299999999999994</v>
      </c>
      <c r="J287" s="60">
        <v>0.02</v>
      </c>
      <c r="O287" s="60" t="s">
        <v>396</v>
      </c>
      <c r="P287" s="60" t="s">
        <v>803</v>
      </c>
      <c r="Q287" s="60" t="s">
        <v>4346</v>
      </c>
      <c r="R287" s="60">
        <v>22.35</v>
      </c>
      <c r="S287" s="60">
        <v>0.9</v>
      </c>
      <c r="T287" s="60">
        <v>1780</v>
      </c>
      <c r="U287" s="60">
        <v>50.22</v>
      </c>
    </row>
    <row r="288" spans="1:21">
      <c r="A288" s="60" t="s">
        <v>398</v>
      </c>
      <c r="B288" s="60" t="s">
        <v>3149</v>
      </c>
      <c r="C288" s="60" t="s">
        <v>3896</v>
      </c>
      <c r="D288" s="60">
        <v>50.9</v>
      </c>
      <c r="E288" s="60">
        <v>0.2</v>
      </c>
      <c r="F288" s="60">
        <v>242</v>
      </c>
      <c r="G288" s="60">
        <v>0</v>
      </c>
      <c r="H288" s="60">
        <v>0.87</v>
      </c>
      <c r="I288" s="60">
        <v>0.3</v>
      </c>
      <c r="J288" s="60">
        <v>0</v>
      </c>
      <c r="O288" s="60" t="s">
        <v>398</v>
      </c>
      <c r="P288" s="60" t="s">
        <v>3149</v>
      </c>
      <c r="Q288" s="60" t="s">
        <v>3896</v>
      </c>
      <c r="R288" s="60">
        <v>50.9</v>
      </c>
      <c r="S288" s="60">
        <v>0.2</v>
      </c>
      <c r="T288" s="60">
        <v>242</v>
      </c>
      <c r="U288" s="60">
        <v>77.319999999999993</v>
      </c>
    </row>
    <row r="289" spans="1:21">
      <c r="A289" s="60" t="s">
        <v>400</v>
      </c>
      <c r="B289" s="60" t="s">
        <v>805</v>
      </c>
      <c r="C289" s="60" t="s">
        <v>5127</v>
      </c>
      <c r="D289" s="60">
        <v>41.95</v>
      </c>
      <c r="E289" s="60">
        <v>1.82</v>
      </c>
      <c r="F289" s="60">
        <v>514</v>
      </c>
      <c r="G289" s="60">
        <v>0.39</v>
      </c>
      <c r="H289" s="60">
        <v>2.64</v>
      </c>
      <c r="I289" s="60">
        <v>13.85</v>
      </c>
      <c r="J289" s="60">
        <v>0</v>
      </c>
      <c r="O289" s="60" t="s">
        <v>400</v>
      </c>
      <c r="P289" s="60" t="s">
        <v>805</v>
      </c>
      <c r="Q289" s="60" t="s">
        <v>5127</v>
      </c>
      <c r="R289" s="60">
        <v>41.95</v>
      </c>
      <c r="S289" s="60">
        <v>1.82</v>
      </c>
      <c r="T289" s="60">
        <v>514</v>
      </c>
      <c r="U289" s="60">
        <v>64.36</v>
      </c>
    </row>
    <row r="290" spans="1:21">
      <c r="A290" s="60" t="s">
        <v>402</v>
      </c>
      <c r="B290" s="60" t="s">
        <v>3150</v>
      </c>
      <c r="C290" s="60" t="s">
        <v>3926</v>
      </c>
      <c r="D290" s="60">
        <v>249.5</v>
      </c>
      <c r="E290" s="60">
        <v>-0.2</v>
      </c>
      <c r="F290" s="60">
        <v>118</v>
      </c>
      <c r="G290" s="60">
        <v>0</v>
      </c>
      <c r="H290" s="60">
        <v>41.17</v>
      </c>
      <c r="I290" s="60">
        <v>0</v>
      </c>
      <c r="J290" s="60">
        <v>0.17</v>
      </c>
      <c r="O290" s="60" t="s">
        <v>402</v>
      </c>
      <c r="P290" s="60" t="s">
        <v>3150</v>
      </c>
      <c r="Q290" s="60" t="s">
        <v>3926</v>
      </c>
      <c r="R290" s="60">
        <v>249.5</v>
      </c>
      <c r="S290" s="60">
        <v>-0.2</v>
      </c>
      <c r="T290" s="60">
        <v>118</v>
      </c>
      <c r="U290" s="60">
        <v>93.54</v>
      </c>
    </row>
    <row r="291" spans="1:21">
      <c r="A291" s="60" t="s">
        <v>404</v>
      </c>
      <c r="B291" s="60" t="s">
        <v>807</v>
      </c>
      <c r="C291" s="60" t="s">
        <v>3927</v>
      </c>
      <c r="D291" s="60">
        <v>69.3</v>
      </c>
      <c r="E291" s="60">
        <v>1.17</v>
      </c>
      <c r="F291" s="60">
        <v>93</v>
      </c>
      <c r="G291" s="60">
        <v>0</v>
      </c>
      <c r="H291" s="60">
        <v>5.86</v>
      </c>
      <c r="I291" s="60">
        <v>4.58</v>
      </c>
      <c r="J291" s="60">
        <v>0</v>
      </c>
      <c r="O291" s="60" t="s">
        <v>404</v>
      </c>
      <c r="P291" s="60" t="s">
        <v>807</v>
      </c>
      <c r="Q291" s="60" t="s">
        <v>3927</v>
      </c>
      <c r="R291" s="60">
        <v>69.3</v>
      </c>
      <c r="S291" s="60">
        <v>1.17</v>
      </c>
      <c r="T291" s="60">
        <v>93</v>
      </c>
      <c r="U291" s="60">
        <v>53.32</v>
      </c>
    </row>
    <row r="292" spans="1:21">
      <c r="A292" s="60" t="s">
        <v>405</v>
      </c>
      <c r="B292" s="60" t="s">
        <v>809</v>
      </c>
      <c r="C292" s="60" t="s">
        <v>4526</v>
      </c>
      <c r="D292" s="60">
        <v>13.25</v>
      </c>
      <c r="E292" s="60">
        <v>-1.49</v>
      </c>
      <c r="F292" s="60">
        <v>38</v>
      </c>
      <c r="G292" s="60">
        <v>0.01</v>
      </c>
      <c r="H292" s="60">
        <v>0.21</v>
      </c>
      <c r="I292" s="60">
        <v>13.97</v>
      </c>
      <c r="J292" s="60">
        <v>0</v>
      </c>
      <c r="O292" s="60" t="s">
        <v>405</v>
      </c>
      <c r="P292" s="60" t="s">
        <v>809</v>
      </c>
      <c r="Q292" s="60" t="s">
        <v>4526</v>
      </c>
      <c r="R292" s="60">
        <v>13.25</v>
      </c>
      <c r="S292" s="60">
        <v>-1.49</v>
      </c>
      <c r="T292" s="60">
        <v>38</v>
      </c>
      <c r="U292" s="60">
        <v>45.62</v>
      </c>
    </row>
    <row r="293" spans="1:21">
      <c r="A293" s="60" t="s">
        <v>407</v>
      </c>
      <c r="B293" s="60" t="s">
        <v>811</v>
      </c>
      <c r="C293" s="60" t="s">
        <v>3928</v>
      </c>
      <c r="D293" s="60">
        <v>175.5</v>
      </c>
      <c r="E293" s="60">
        <v>-0.28000000000000003</v>
      </c>
      <c r="F293" s="60">
        <v>448</v>
      </c>
      <c r="G293" s="60">
        <v>0.52</v>
      </c>
      <c r="H293" s="60">
        <v>7.24</v>
      </c>
      <c r="I293" s="60">
        <v>19.350000000000001</v>
      </c>
      <c r="J293" s="60">
        <v>0.03</v>
      </c>
      <c r="O293" s="60" t="s">
        <v>407</v>
      </c>
      <c r="P293" s="60" t="s">
        <v>811</v>
      </c>
      <c r="Q293" s="60" t="s">
        <v>3928</v>
      </c>
      <c r="R293" s="60">
        <v>175.5</v>
      </c>
      <c r="S293" s="60">
        <v>-0.28000000000000003</v>
      </c>
      <c r="T293" s="60">
        <v>448</v>
      </c>
      <c r="U293" s="60">
        <v>58.9</v>
      </c>
    </row>
    <row r="294" spans="1:21">
      <c r="A294" s="60" t="s">
        <v>409</v>
      </c>
      <c r="B294" s="60" t="s">
        <v>813</v>
      </c>
      <c r="C294" s="60" t="s">
        <v>3929</v>
      </c>
      <c r="D294" s="60">
        <v>98.5</v>
      </c>
      <c r="E294" s="60">
        <v>0.2</v>
      </c>
      <c r="F294" s="60">
        <v>357</v>
      </c>
      <c r="G294" s="60">
        <v>0.06</v>
      </c>
      <c r="H294" s="60">
        <v>22.76</v>
      </c>
      <c r="I294" s="60">
        <v>14.95</v>
      </c>
      <c r="J294" s="60">
        <v>2.09</v>
      </c>
      <c r="O294" s="60" t="s">
        <v>409</v>
      </c>
      <c r="P294" s="60" t="s">
        <v>813</v>
      </c>
      <c r="Q294" s="60" t="s">
        <v>3929</v>
      </c>
      <c r="R294" s="60">
        <v>98.5</v>
      </c>
      <c r="S294" s="60">
        <v>0.2</v>
      </c>
      <c r="T294" s="60">
        <v>357</v>
      </c>
      <c r="U294" s="60">
        <v>25.99</v>
      </c>
    </row>
    <row r="295" spans="1:21">
      <c r="A295" s="60" t="s">
        <v>410</v>
      </c>
      <c r="B295" s="60" t="s">
        <v>815</v>
      </c>
      <c r="C295" s="60" t="s">
        <v>4527</v>
      </c>
      <c r="D295" s="60">
        <v>39.049999999999997</v>
      </c>
      <c r="E295" s="60">
        <v>-0.26</v>
      </c>
      <c r="F295" s="60">
        <v>9</v>
      </c>
      <c r="G295" s="60">
        <v>0</v>
      </c>
      <c r="H295" s="60">
        <v>0.06</v>
      </c>
      <c r="I295" s="60">
        <v>0.26</v>
      </c>
      <c r="J295" s="60">
        <v>0</v>
      </c>
      <c r="O295" s="60" t="s">
        <v>410</v>
      </c>
      <c r="P295" s="60" t="s">
        <v>815</v>
      </c>
      <c r="Q295" s="60" t="s">
        <v>4527</v>
      </c>
      <c r="R295" s="60">
        <v>39.049999999999997</v>
      </c>
      <c r="S295" s="60">
        <v>-0.26</v>
      </c>
      <c r="T295" s="60">
        <v>9</v>
      </c>
      <c r="U295" s="60">
        <v>75.95</v>
      </c>
    </row>
    <row r="296" spans="1:21">
      <c r="A296" s="60" t="s">
        <v>412</v>
      </c>
      <c r="B296" s="60" t="s">
        <v>817</v>
      </c>
      <c r="C296" s="60" t="s">
        <v>3930</v>
      </c>
      <c r="D296" s="60">
        <v>26.2</v>
      </c>
      <c r="E296" s="60">
        <v>0.38</v>
      </c>
      <c r="F296" s="60">
        <v>22</v>
      </c>
      <c r="G296" s="60">
        <v>0</v>
      </c>
      <c r="H296" s="60">
        <v>35</v>
      </c>
      <c r="I296" s="60">
        <v>0.93</v>
      </c>
      <c r="J296" s="60">
        <v>0.88</v>
      </c>
      <c r="O296" s="60" t="s">
        <v>412</v>
      </c>
      <c r="P296" s="60" t="s">
        <v>817</v>
      </c>
      <c r="Q296" s="60" t="s">
        <v>3930</v>
      </c>
      <c r="R296" s="60">
        <v>26.2</v>
      </c>
      <c r="S296" s="60">
        <v>0.38</v>
      </c>
      <c r="T296" s="60">
        <v>22</v>
      </c>
      <c r="U296" s="60">
        <v>76.37</v>
      </c>
    </row>
    <row r="297" spans="1:21">
      <c r="A297" s="60" t="s">
        <v>414</v>
      </c>
      <c r="B297" s="60" t="s">
        <v>819</v>
      </c>
      <c r="C297" s="60" t="s">
        <v>3931</v>
      </c>
      <c r="D297" s="60">
        <v>76.3</v>
      </c>
      <c r="E297" s="60">
        <v>2.97</v>
      </c>
      <c r="F297" s="60">
        <v>334</v>
      </c>
      <c r="G297" s="60">
        <v>0.23</v>
      </c>
      <c r="H297" s="60">
        <v>76.430000000000007</v>
      </c>
      <c r="I297" s="60">
        <v>5.14</v>
      </c>
      <c r="J297" s="60">
        <v>0.15</v>
      </c>
      <c r="O297" s="60" t="s">
        <v>414</v>
      </c>
      <c r="P297" s="60" t="s">
        <v>819</v>
      </c>
      <c r="Q297" s="60" t="s">
        <v>3931</v>
      </c>
      <c r="R297" s="60">
        <v>76.3</v>
      </c>
      <c r="S297" s="60">
        <v>2.97</v>
      </c>
      <c r="T297" s="60">
        <v>334</v>
      </c>
      <c r="U297" s="60">
        <v>76.930000000000007</v>
      </c>
    </row>
    <row r="298" spans="1:21">
      <c r="A298" s="60" t="s">
        <v>415</v>
      </c>
      <c r="B298" s="60" t="s">
        <v>821</v>
      </c>
      <c r="C298" s="60" t="s">
        <v>3798</v>
      </c>
      <c r="D298" s="60">
        <v>54</v>
      </c>
      <c r="E298" s="60">
        <v>0</v>
      </c>
      <c r="F298" s="60">
        <v>154</v>
      </c>
      <c r="G298" s="60">
        <v>0.03</v>
      </c>
      <c r="H298" s="60">
        <v>22.54</v>
      </c>
      <c r="I298" s="60">
        <v>9.11</v>
      </c>
      <c r="J298" s="60">
        <v>0.03</v>
      </c>
      <c r="O298" s="60" t="s">
        <v>415</v>
      </c>
      <c r="P298" s="60" t="s">
        <v>821</v>
      </c>
      <c r="Q298" s="60" t="s">
        <v>3798</v>
      </c>
      <c r="R298" s="60">
        <v>54</v>
      </c>
      <c r="S298" s="60">
        <v>0</v>
      </c>
      <c r="T298" s="60">
        <v>154</v>
      </c>
      <c r="U298" s="60">
        <v>47.4</v>
      </c>
    </row>
    <row r="299" spans="1:21">
      <c r="A299" s="60" t="s">
        <v>417</v>
      </c>
      <c r="B299" s="60" t="s">
        <v>823</v>
      </c>
      <c r="C299" s="60" t="s">
        <v>3932</v>
      </c>
      <c r="D299" s="60">
        <v>17.8</v>
      </c>
      <c r="E299" s="60">
        <v>0</v>
      </c>
      <c r="F299" s="60">
        <v>125</v>
      </c>
      <c r="G299" s="60">
        <v>0.86</v>
      </c>
      <c r="H299" s="60">
        <v>44.19</v>
      </c>
      <c r="I299" s="60">
        <v>3.87</v>
      </c>
      <c r="J299" s="60">
        <v>0</v>
      </c>
      <c r="O299" s="60" t="s">
        <v>417</v>
      </c>
      <c r="P299" s="60" t="s">
        <v>823</v>
      </c>
      <c r="Q299" s="60" t="s">
        <v>3932</v>
      </c>
      <c r="R299" s="60">
        <v>17.8</v>
      </c>
      <c r="S299" s="60">
        <v>0</v>
      </c>
      <c r="T299" s="60">
        <v>125</v>
      </c>
      <c r="U299" s="60">
        <v>63.48</v>
      </c>
    </row>
    <row r="300" spans="1:21">
      <c r="A300" s="60" t="s">
        <v>418</v>
      </c>
      <c r="B300" s="60" t="s">
        <v>825</v>
      </c>
      <c r="C300" s="60" t="s">
        <v>3933</v>
      </c>
      <c r="D300" s="60">
        <v>215</v>
      </c>
      <c r="E300" s="60">
        <v>-0.23</v>
      </c>
      <c r="F300" s="60">
        <v>19</v>
      </c>
      <c r="G300" s="60">
        <v>0</v>
      </c>
      <c r="H300" s="60">
        <v>0.7</v>
      </c>
      <c r="I300" s="60">
        <v>0.4</v>
      </c>
      <c r="J300" s="60">
        <v>0</v>
      </c>
      <c r="O300" s="60" t="s">
        <v>418</v>
      </c>
      <c r="P300" s="60" t="s">
        <v>825</v>
      </c>
      <c r="Q300" s="60" t="s">
        <v>3933</v>
      </c>
      <c r="R300" s="60">
        <v>215</v>
      </c>
      <c r="S300" s="60">
        <v>-0.23</v>
      </c>
      <c r="T300" s="60">
        <v>19</v>
      </c>
      <c r="U300" s="60">
        <v>74.11</v>
      </c>
    </row>
    <row r="301" spans="1:21">
      <c r="A301" s="60" t="s">
        <v>420</v>
      </c>
      <c r="B301" s="60" t="s">
        <v>5516</v>
      </c>
      <c r="C301" s="60" t="s">
        <v>5517</v>
      </c>
      <c r="D301" s="60">
        <v>102.5</v>
      </c>
      <c r="E301" s="60">
        <v>-1.44</v>
      </c>
      <c r="F301" s="60">
        <v>66</v>
      </c>
      <c r="G301" s="60">
        <v>0</v>
      </c>
      <c r="H301" s="60">
        <v>5.78</v>
      </c>
      <c r="I301" s="60">
        <v>0</v>
      </c>
      <c r="J301" s="60">
        <v>0.05</v>
      </c>
      <c r="O301" s="60" t="s">
        <v>420</v>
      </c>
      <c r="P301" s="60" t="s">
        <v>5516</v>
      </c>
      <c r="Q301" s="60" t="s">
        <v>5517</v>
      </c>
      <c r="R301" s="60">
        <v>102.5</v>
      </c>
      <c r="S301" s="60">
        <v>-1.44</v>
      </c>
      <c r="T301" s="60">
        <v>66</v>
      </c>
      <c r="U301" s="60">
        <v>60.04</v>
      </c>
    </row>
    <row r="302" spans="1:21">
      <c r="A302" s="60" t="s">
        <v>422</v>
      </c>
      <c r="B302" s="60" t="s">
        <v>827</v>
      </c>
      <c r="C302" s="60" t="s">
        <v>4000</v>
      </c>
      <c r="D302" s="60">
        <v>61.3</v>
      </c>
      <c r="E302" s="60">
        <v>-0.49</v>
      </c>
      <c r="F302" s="60">
        <v>2407</v>
      </c>
      <c r="G302" s="60">
        <v>0.03</v>
      </c>
      <c r="H302" s="60">
        <v>56.86</v>
      </c>
      <c r="I302" s="60">
        <v>0.46</v>
      </c>
      <c r="J302" s="60">
        <v>3.81</v>
      </c>
      <c r="O302" s="60" t="s">
        <v>422</v>
      </c>
      <c r="P302" s="60" t="s">
        <v>827</v>
      </c>
      <c r="Q302" s="60" t="s">
        <v>4000</v>
      </c>
      <c r="R302" s="60">
        <v>61.3</v>
      </c>
      <c r="S302" s="60">
        <v>-0.49</v>
      </c>
      <c r="T302" s="60">
        <v>2407</v>
      </c>
      <c r="U302" s="60">
        <v>78.25</v>
      </c>
    </row>
    <row r="303" spans="1:21">
      <c r="A303" s="60" t="s">
        <v>424</v>
      </c>
      <c r="B303" s="60" t="s">
        <v>829</v>
      </c>
      <c r="C303" s="60" t="s">
        <v>3941</v>
      </c>
      <c r="D303" s="60">
        <v>17.75</v>
      </c>
      <c r="E303" s="60">
        <v>-0.28000000000000003</v>
      </c>
      <c r="F303" s="60">
        <v>173</v>
      </c>
      <c r="G303" s="60">
        <v>0.03</v>
      </c>
      <c r="H303" s="60">
        <v>4.38</v>
      </c>
      <c r="I303" s="60">
        <v>6.6</v>
      </c>
      <c r="J303" s="60">
        <v>0</v>
      </c>
      <c r="O303" s="60" t="s">
        <v>424</v>
      </c>
      <c r="P303" s="60" t="s">
        <v>829</v>
      </c>
      <c r="Q303" s="60" t="s">
        <v>3941</v>
      </c>
      <c r="R303" s="60">
        <v>17.75</v>
      </c>
      <c r="S303" s="60">
        <v>-0.28000000000000003</v>
      </c>
      <c r="T303" s="60">
        <v>173</v>
      </c>
      <c r="U303" s="60">
        <v>65.260000000000005</v>
      </c>
    </row>
    <row r="304" spans="1:21">
      <c r="A304" s="60" t="s">
        <v>426</v>
      </c>
      <c r="B304" s="60" t="s">
        <v>831</v>
      </c>
      <c r="C304" s="60" t="s">
        <v>3942</v>
      </c>
      <c r="D304" s="60">
        <v>64.7</v>
      </c>
      <c r="E304" s="60">
        <v>-0.61</v>
      </c>
      <c r="F304" s="60">
        <v>152277</v>
      </c>
      <c r="G304" s="60">
        <v>0.21</v>
      </c>
      <c r="H304" s="60">
        <v>44.58</v>
      </c>
      <c r="I304" s="60">
        <v>8.49</v>
      </c>
      <c r="J304" s="60">
        <v>3.84</v>
      </c>
      <c r="O304" s="60" t="s">
        <v>426</v>
      </c>
      <c r="P304" s="60" t="s">
        <v>831</v>
      </c>
      <c r="Q304" s="60" t="s">
        <v>3942</v>
      </c>
      <c r="R304" s="60">
        <v>64.7</v>
      </c>
      <c r="S304" s="60">
        <v>-0.61</v>
      </c>
      <c r="T304" s="60">
        <v>152277</v>
      </c>
      <c r="U304" s="60">
        <v>67.87</v>
      </c>
    </row>
    <row r="305" spans="1:21">
      <c r="A305" s="60" t="s">
        <v>428</v>
      </c>
      <c r="B305" s="60" t="s">
        <v>833</v>
      </c>
      <c r="C305" s="60" t="s">
        <v>4001</v>
      </c>
      <c r="D305" s="60">
        <v>8.34</v>
      </c>
      <c r="E305" s="60">
        <v>1.0900000000000001</v>
      </c>
      <c r="F305" s="60">
        <v>565</v>
      </c>
      <c r="G305" s="60">
        <v>0.01</v>
      </c>
      <c r="H305" s="60">
        <v>5.44</v>
      </c>
      <c r="I305" s="60">
        <v>5.41</v>
      </c>
      <c r="J305" s="60">
        <v>0</v>
      </c>
      <c r="O305" s="60" t="s">
        <v>428</v>
      </c>
      <c r="P305" s="60" t="s">
        <v>833</v>
      </c>
      <c r="Q305" s="60" t="s">
        <v>4001</v>
      </c>
      <c r="R305" s="60">
        <v>8.34</v>
      </c>
      <c r="S305" s="60">
        <v>1.0900000000000001</v>
      </c>
      <c r="T305" s="60">
        <v>565</v>
      </c>
      <c r="U305" s="60">
        <v>57.66</v>
      </c>
    </row>
    <row r="306" spans="1:21">
      <c r="A306" s="60" t="s">
        <v>430</v>
      </c>
      <c r="B306" s="60" t="s">
        <v>835</v>
      </c>
      <c r="C306" s="60" t="s">
        <v>4147</v>
      </c>
      <c r="D306" s="60">
        <v>259</v>
      </c>
      <c r="E306" s="60">
        <v>-0.77</v>
      </c>
      <c r="F306" s="60">
        <v>2318</v>
      </c>
      <c r="G306" s="60">
        <v>0.11</v>
      </c>
      <c r="H306" s="60">
        <v>68.900000000000006</v>
      </c>
      <c r="I306" s="60">
        <v>0.56999999999999995</v>
      </c>
      <c r="J306" s="60">
        <v>1.17</v>
      </c>
      <c r="O306" s="60" t="s">
        <v>430</v>
      </c>
      <c r="P306" s="60" t="s">
        <v>835</v>
      </c>
      <c r="Q306" s="60" t="s">
        <v>4147</v>
      </c>
      <c r="R306" s="60">
        <v>259</v>
      </c>
      <c r="S306" s="60">
        <v>-0.77</v>
      </c>
      <c r="T306" s="60">
        <v>2318</v>
      </c>
      <c r="U306" s="60">
        <v>80.75</v>
      </c>
    </row>
    <row r="307" spans="1:21">
      <c r="A307" s="60" t="s">
        <v>432</v>
      </c>
      <c r="B307" s="60" t="s">
        <v>837</v>
      </c>
      <c r="C307" s="60" t="s">
        <v>4263</v>
      </c>
      <c r="D307" s="60">
        <v>14</v>
      </c>
      <c r="E307" s="60">
        <v>2.56</v>
      </c>
      <c r="F307" s="60">
        <v>10760</v>
      </c>
      <c r="G307" s="60">
        <v>0.06</v>
      </c>
      <c r="H307" s="60">
        <v>8.98</v>
      </c>
      <c r="I307" s="60">
        <v>12.42</v>
      </c>
      <c r="J307" s="60">
        <v>0.01</v>
      </c>
      <c r="O307" s="60" t="s">
        <v>432</v>
      </c>
      <c r="P307" s="60" t="s">
        <v>837</v>
      </c>
      <c r="Q307" s="60" t="s">
        <v>4263</v>
      </c>
      <c r="R307" s="60">
        <v>14</v>
      </c>
      <c r="S307" s="60">
        <v>2.56</v>
      </c>
      <c r="T307" s="60">
        <v>10760</v>
      </c>
      <c r="U307" s="60">
        <v>51.29</v>
      </c>
    </row>
    <row r="308" spans="1:21">
      <c r="A308" s="60" t="s">
        <v>434</v>
      </c>
      <c r="B308" s="60" t="s">
        <v>839</v>
      </c>
      <c r="C308" s="60" t="s">
        <v>4148</v>
      </c>
      <c r="D308" s="60">
        <v>43.3</v>
      </c>
      <c r="E308" s="60">
        <v>0.7</v>
      </c>
      <c r="F308" s="60">
        <v>15274</v>
      </c>
      <c r="G308" s="60">
        <v>0.46</v>
      </c>
      <c r="H308" s="60">
        <v>15.72</v>
      </c>
      <c r="I308" s="60">
        <v>12.63</v>
      </c>
      <c r="J308" s="60">
        <v>0.84</v>
      </c>
      <c r="O308" s="60" t="s">
        <v>434</v>
      </c>
      <c r="P308" s="60" t="s">
        <v>839</v>
      </c>
      <c r="Q308" s="60" t="s">
        <v>4148</v>
      </c>
      <c r="R308" s="60">
        <v>43.3</v>
      </c>
      <c r="S308" s="60">
        <v>0.7</v>
      </c>
      <c r="T308" s="60">
        <v>15274</v>
      </c>
      <c r="U308" s="60">
        <v>60.15</v>
      </c>
    </row>
    <row r="309" spans="1:21">
      <c r="A309" s="60" t="s">
        <v>436</v>
      </c>
      <c r="B309" s="60" t="s">
        <v>841</v>
      </c>
      <c r="C309" s="60" t="s">
        <v>4108</v>
      </c>
      <c r="D309" s="60">
        <v>86.8</v>
      </c>
      <c r="E309" s="60">
        <v>0</v>
      </c>
      <c r="F309" s="60">
        <v>3587</v>
      </c>
      <c r="G309" s="60">
        <v>0</v>
      </c>
      <c r="H309" s="60">
        <v>9.7899999999999991</v>
      </c>
      <c r="I309" s="60">
        <v>0</v>
      </c>
      <c r="J309" s="60">
        <v>0.02</v>
      </c>
      <c r="O309" s="60" t="s">
        <v>436</v>
      </c>
      <c r="P309" s="60" t="s">
        <v>841</v>
      </c>
      <c r="Q309" s="60" t="s">
        <v>4108</v>
      </c>
      <c r="R309" s="60">
        <v>86.8</v>
      </c>
      <c r="S309" s="60">
        <v>0</v>
      </c>
      <c r="T309" s="60">
        <v>3587</v>
      </c>
      <c r="U309" s="60">
        <v>35.33</v>
      </c>
    </row>
    <row r="310" spans="1:21">
      <c r="A310" s="60" t="s">
        <v>438</v>
      </c>
      <c r="B310" s="60" t="s">
        <v>843</v>
      </c>
      <c r="C310" s="60" t="s">
        <v>4149</v>
      </c>
      <c r="D310" s="60">
        <v>29.5</v>
      </c>
      <c r="E310" s="60">
        <v>0.68</v>
      </c>
      <c r="F310" s="60">
        <v>288</v>
      </c>
      <c r="G310" s="60">
        <v>0.02</v>
      </c>
      <c r="H310" s="60">
        <v>26.36</v>
      </c>
      <c r="I310" s="60">
        <v>5.52</v>
      </c>
      <c r="J310" s="60">
        <v>0</v>
      </c>
      <c r="O310" s="60" t="s">
        <v>438</v>
      </c>
      <c r="P310" s="60" t="s">
        <v>843</v>
      </c>
      <c r="Q310" s="60" t="s">
        <v>4149</v>
      </c>
      <c r="R310" s="60">
        <v>29.5</v>
      </c>
      <c r="S310" s="60">
        <v>0.68</v>
      </c>
      <c r="T310" s="60">
        <v>288</v>
      </c>
      <c r="U310" s="60">
        <v>46.05</v>
      </c>
    </row>
    <row r="311" spans="1:21">
      <c r="A311" s="60" t="s">
        <v>440</v>
      </c>
      <c r="B311" s="60" t="s">
        <v>845</v>
      </c>
      <c r="C311" s="60" t="s">
        <v>4264</v>
      </c>
      <c r="D311" s="60">
        <v>106.5</v>
      </c>
      <c r="E311" s="60">
        <v>0</v>
      </c>
      <c r="F311" s="60">
        <v>17930</v>
      </c>
      <c r="G311" s="60">
        <v>0.01</v>
      </c>
      <c r="H311" s="60">
        <v>48.85</v>
      </c>
      <c r="I311" s="60">
        <v>1.53</v>
      </c>
      <c r="J311" s="60">
        <v>1.05</v>
      </c>
      <c r="O311" s="60" t="s">
        <v>440</v>
      </c>
      <c r="P311" s="60" t="s">
        <v>845</v>
      </c>
      <c r="Q311" s="60" t="s">
        <v>4264</v>
      </c>
      <c r="R311" s="60">
        <v>106.5</v>
      </c>
      <c r="S311" s="60">
        <v>0</v>
      </c>
      <c r="T311" s="60">
        <v>17930</v>
      </c>
      <c r="U311" s="60">
        <v>71.349999999999994</v>
      </c>
    </row>
    <row r="312" spans="1:21">
      <c r="A312" s="60" t="s">
        <v>442</v>
      </c>
      <c r="B312" s="60" t="s">
        <v>3151</v>
      </c>
      <c r="C312" s="60" t="s">
        <v>4109</v>
      </c>
      <c r="D312" s="60">
        <v>6.4</v>
      </c>
      <c r="E312" s="60">
        <v>-3.9</v>
      </c>
      <c r="F312" s="60">
        <v>4</v>
      </c>
      <c r="G312" s="60">
        <v>0</v>
      </c>
      <c r="H312" s="60">
        <v>0.02</v>
      </c>
      <c r="I312" s="60">
        <v>0</v>
      </c>
      <c r="J312" s="60">
        <v>0</v>
      </c>
      <c r="O312" s="60" t="s">
        <v>442</v>
      </c>
      <c r="P312" s="60" t="s">
        <v>3151</v>
      </c>
      <c r="Q312" s="60" t="s">
        <v>4109</v>
      </c>
      <c r="R312" s="60">
        <v>6.4</v>
      </c>
      <c r="S312" s="60">
        <v>-3.9</v>
      </c>
      <c r="T312" s="60">
        <v>4</v>
      </c>
      <c r="U312" s="60">
        <v>35.270000000000003</v>
      </c>
    </row>
    <row r="313" spans="1:21">
      <c r="A313" s="60" t="s">
        <v>443</v>
      </c>
      <c r="B313" s="60" t="s">
        <v>848</v>
      </c>
      <c r="C313" s="60" t="s">
        <v>4051</v>
      </c>
      <c r="D313" s="60">
        <v>9.0399999999999991</v>
      </c>
      <c r="E313" s="60">
        <v>-0.33</v>
      </c>
      <c r="F313" s="60">
        <v>4019</v>
      </c>
      <c r="G313" s="60">
        <v>0.27</v>
      </c>
      <c r="H313" s="60">
        <v>14.57</v>
      </c>
      <c r="I313" s="60">
        <v>12.03</v>
      </c>
      <c r="J313" s="60">
        <v>0.01</v>
      </c>
      <c r="O313" s="60" t="s">
        <v>443</v>
      </c>
      <c r="P313" s="60" t="s">
        <v>848</v>
      </c>
      <c r="Q313" s="60" t="s">
        <v>4051</v>
      </c>
      <c r="R313" s="60">
        <v>9.0399999999999991</v>
      </c>
      <c r="S313" s="60">
        <v>-0.33</v>
      </c>
      <c r="T313" s="60">
        <v>4019</v>
      </c>
      <c r="U313" s="60">
        <v>34.76</v>
      </c>
    </row>
    <row r="314" spans="1:21">
      <c r="A314" s="60" t="s">
        <v>444</v>
      </c>
      <c r="B314" s="60" t="s">
        <v>850</v>
      </c>
      <c r="C314" s="60" t="s">
        <v>4002</v>
      </c>
      <c r="D314" s="60">
        <v>23.55</v>
      </c>
      <c r="E314" s="60">
        <v>0</v>
      </c>
      <c r="F314" s="60">
        <v>12243</v>
      </c>
      <c r="G314" s="60">
        <v>0.02</v>
      </c>
      <c r="H314" s="60">
        <v>57.16</v>
      </c>
      <c r="I314" s="60">
        <v>0.62</v>
      </c>
      <c r="J314" s="60">
        <v>5.91</v>
      </c>
      <c r="O314" s="60" t="s">
        <v>444</v>
      </c>
      <c r="P314" s="60" t="s">
        <v>850</v>
      </c>
      <c r="Q314" s="60" t="s">
        <v>4002</v>
      </c>
      <c r="R314" s="60">
        <v>23.55</v>
      </c>
      <c r="S314" s="60">
        <v>0</v>
      </c>
      <c r="T314" s="60">
        <v>12243</v>
      </c>
      <c r="U314" s="60">
        <v>67.7</v>
      </c>
    </row>
    <row r="315" spans="1:21">
      <c r="A315" s="60" t="s">
        <v>446</v>
      </c>
      <c r="B315" s="60" t="s">
        <v>852</v>
      </c>
      <c r="C315" s="60" t="s">
        <v>3645</v>
      </c>
      <c r="D315" s="60">
        <v>466</v>
      </c>
      <c r="E315" s="60">
        <v>0.65</v>
      </c>
      <c r="F315" s="60">
        <v>3452</v>
      </c>
      <c r="G315" s="60">
        <v>1.29</v>
      </c>
      <c r="H315" s="60">
        <v>51.91</v>
      </c>
      <c r="I315" s="60">
        <v>11.12</v>
      </c>
      <c r="J315" s="60">
        <v>1.19</v>
      </c>
      <c r="O315" s="60" t="s">
        <v>446</v>
      </c>
      <c r="P315" s="60" t="s">
        <v>852</v>
      </c>
      <c r="Q315" s="60" t="s">
        <v>3645</v>
      </c>
      <c r="R315" s="60">
        <v>466</v>
      </c>
      <c r="S315" s="60">
        <v>0.65</v>
      </c>
      <c r="T315" s="60">
        <v>3452</v>
      </c>
      <c r="U315" s="60">
        <v>46.93</v>
      </c>
    </row>
    <row r="316" spans="1:21">
      <c r="A316" s="60" t="s">
        <v>448</v>
      </c>
      <c r="B316" s="60" t="s">
        <v>854</v>
      </c>
      <c r="C316" s="60" t="s">
        <v>4150</v>
      </c>
      <c r="D316" s="60">
        <v>40.1</v>
      </c>
      <c r="E316" s="60">
        <v>-0.37</v>
      </c>
      <c r="F316" s="60">
        <v>3609</v>
      </c>
      <c r="G316" s="60">
        <v>0.16</v>
      </c>
      <c r="H316" s="60">
        <v>9.5399999999999991</v>
      </c>
      <c r="I316" s="60">
        <v>18.79</v>
      </c>
      <c r="J316" s="60">
        <v>0</v>
      </c>
      <c r="O316" s="60" t="s">
        <v>448</v>
      </c>
      <c r="P316" s="60" t="s">
        <v>854</v>
      </c>
      <c r="Q316" s="60" t="s">
        <v>4150</v>
      </c>
      <c r="R316" s="60">
        <v>40.1</v>
      </c>
      <c r="S316" s="60">
        <v>-0.37</v>
      </c>
      <c r="T316" s="60">
        <v>3609</v>
      </c>
      <c r="U316" s="60">
        <v>35.479999999999997</v>
      </c>
    </row>
    <row r="317" spans="1:21">
      <c r="A317" s="60" t="s">
        <v>450</v>
      </c>
      <c r="B317" s="60" t="s">
        <v>856</v>
      </c>
      <c r="C317" s="60" t="s">
        <v>3943</v>
      </c>
      <c r="D317" s="60">
        <v>25.7</v>
      </c>
      <c r="E317" s="60">
        <v>1.58</v>
      </c>
      <c r="F317" s="60">
        <v>13059</v>
      </c>
      <c r="G317" s="60">
        <v>1.25</v>
      </c>
      <c r="H317" s="60">
        <v>11.26</v>
      </c>
      <c r="I317" s="60">
        <v>21.31</v>
      </c>
      <c r="J317" s="60">
        <v>0</v>
      </c>
      <c r="O317" s="60" t="s">
        <v>450</v>
      </c>
      <c r="P317" s="60" t="s">
        <v>856</v>
      </c>
      <c r="Q317" s="60" t="s">
        <v>3943</v>
      </c>
      <c r="R317" s="60">
        <v>25.7</v>
      </c>
      <c r="S317" s="60">
        <v>1.58</v>
      </c>
      <c r="T317" s="60">
        <v>13059</v>
      </c>
      <c r="U317" s="60">
        <v>44.85</v>
      </c>
    </row>
    <row r="318" spans="1:21">
      <c r="A318" s="60" t="s">
        <v>452</v>
      </c>
      <c r="B318" s="60" t="s">
        <v>858</v>
      </c>
      <c r="C318" s="60" t="s">
        <v>3944</v>
      </c>
      <c r="D318" s="60">
        <v>615</v>
      </c>
      <c r="E318" s="60">
        <v>-0.49</v>
      </c>
      <c r="F318" s="60">
        <v>23297</v>
      </c>
      <c r="G318" s="60">
        <v>0.01</v>
      </c>
      <c r="H318" s="60">
        <v>76.569999999999993</v>
      </c>
      <c r="I318" s="60">
        <v>0.35</v>
      </c>
      <c r="J318" s="60">
        <v>0.99</v>
      </c>
      <c r="O318" s="60" t="s">
        <v>452</v>
      </c>
      <c r="P318" s="60" t="s">
        <v>858</v>
      </c>
      <c r="Q318" s="60" t="s">
        <v>3944</v>
      </c>
      <c r="R318" s="60">
        <v>615</v>
      </c>
      <c r="S318" s="60">
        <v>-0.49</v>
      </c>
      <c r="T318" s="60">
        <v>23297</v>
      </c>
      <c r="U318" s="60">
        <v>88.54</v>
      </c>
    </row>
    <row r="319" spans="1:21">
      <c r="A319" s="60" t="s">
        <v>454</v>
      </c>
      <c r="B319" s="60" t="s">
        <v>860</v>
      </c>
      <c r="C319" s="60" t="s">
        <v>4003</v>
      </c>
      <c r="D319" s="60">
        <v>22.75</v>
      </c>
      <c r="E319" s="60">
        <v>-0.66</v>
      </c>
      <c r="F319" s="60">
        <v>3634</v>
      </c>
      <c r="G319" s="60">
        <v>0.1</v>
      </c>
      <c r="H319" s="60">
        <v>6.77</v>
      </c>
      <c r="I319" s="60">
        <v>24.81</v>
      </c>
      <c r="J319" s="60">
        <v>0.01</v>
      </c>
      <c r="O319" s="60" t="s">
        <v>454</v>
      </c>
      <c r="P319" s="60" t="s">
        <v>860</v>
      </c>
      <c r="Q319" s="60" t="s">
        <v>4003</v>
      </c>
      <c r="R319" s="60">
        <v>22.75</v>
      </c>
      <c r="S319" s="60">
        <v>-0.66</v>
      </c>
      <c r="T319" s="60">
        <v>3634</v>
      </c>
      <c r="U319" s="60">
        <v>56.33</v>
      </c>
    </row>
    <row r="320" spans="1:21">
      <c r="A320" s="60" t="s">
        <v>455</v>
      </c>
      <c r="B320" s="60" t="s">
        <v>863</v>
      </c>
      <c r="C320" s="60" t="s">
        <v>3945</v>
      </c>
      <c r="D320" s="60">
        <v>43.65</v>
      </c>
      <c r="E320" s="60">
        <v>3.07</v>
      </c>
      <c r="F320" s="60">
        <v>49814</v>
      </c>
      <c r="G320" s="60">
        <v>0.71</v>
      </c>
      <c r="H320" s="60">
        <v>23.1</v>
      </c>
      <c r="I320" s="60">
        <v>12.88</v>
      </c>
      <c r="J320" s="60">
        <v>2.46</v>
      </c>
      <c r="O320" s="60" t="s">
        <v>455</v>
      </c>
      <c r="P320" s="60" t="s">
        <v>863</v>
      </c>
      <c r="Q320" s="60" t="s">
        <v>3945</v>
      </c>
      <c r="R320" s="60">
        <v>43.65</v>
      </c>
      <c r="S320" s="60">
        <v>3.07</v>
      </c>
      <c r="T320" s="60">
        <v>49814</v>
      </c>
      <c r="U320" s="60">
        <v>35.630000000000003</v>
      </c>
    </row>
    <row r="321" spans="1:21">
      <c r="A321" s="60" t="s">
        <v>457</v>
      </c>
      <c r="B321" s="60" t="s">
        <v>865</v>
      </c>
      <c r="C321" s="60" t="s">
        <v>3946</v>
      </c>
      <c r="D321" s="60">
        <v>106</v>
      </c>
      <c r="E321" s="60">
        <v>-4.07</v>
      </c>
      <c r="F321" s="60">
        <v>32476</v>
      </c>
      <c r="G321" s="60">
        <v>7.87</v>
      </c>
      <c r="H321" s="60">
        <v>15.45</v>
      </c>
      <c r="I321" s="60">
        <v>42.81</v>
      </c>
      <c r="J321" s="60">
        <v>6.22</v>
      </c>
      <c r="O321" s="60" t="s">
        <v>457</v>
      </c>
      <c r="P321" s="60" t="s">
        <v>865</v>
      </c>
      <c r="Q321" s="60" t="s">
        <v>3946</v>
      </c>
      <c r="R321" s="60">
        <v>106</v>
      </c>
      <c r="S321" s="60">
        <v>-4.07</v>
      </c>
      <c r="T321" s="60">
        <v>32476</v>
      </c>
      <c r="U321" s="60">
        <v>43.76</v>
      </c>
    </row>
    <row r="322" spans="1:21">
      <c r="A322" s="60" t="s">
        <v>458</v>
      </c>
      <c r="B322" s="60" t="s">
        <v>867</v>
      </c>
      <c r="C322" s="60" t="s">
        <v>4052</v>
      </c>
      <c r="D322" s="60">
        <v>60.2</v>
      </c>
      <c r="E322" s="60">
        <v>7.69</v>
      </c>
      <c r="F322" s="60">
        <v>145039</v>
      </c>
      <c r="G322" s="60">
        <v>5</v>
      </c>
      <c r="H322" s="60">
        <v>16.53</v>
      </c>
      <c r="I322" s="60">
        <v>38.35</v>
      </c>
      <c r="J322" s="60">
        <v>0.04</v>
      </c>
      <c r="O322" s="60" t="s">
        <v>458</v>
      </c>
      <c r="P322" s="60" t="s">
        <v>867</v>
      </c>
      <c r="Q322" s="60" t="s">
        <v>4052</v>
      </c>
      <c r="R322" s="60">
        <v>60.2</v>
      </c>
      <c r="S322" s="60">
        <v>7.69</v>
      </c>
      <c r="T322" s="60">
        <v>145039</v>
      </c>
      <c r="U322" s="60">
        <v>41.89</v>
      </c>
    </row>
    <row r="323" spans="1:21">
      <c r="A323" s="60" t="s">
        <v>459</v>
      </c>
      <c r="B323" s="60" t="s">
        <v>869</v>
      </c>
      <c r="C323" s="60" t="s">
        <v>3947</v>
      </c>
      <c r="D323" s="60">
        <v>48.9</v>
      </c>
      <c r="E323" s="60">
        <v>1.56</v>
      </c>
      <c r="F323" s="60">
        <v>13834</v>
      </c>
      <c r="G323" s="60">
        <v>1.37</v>
      </c>
      <c r="H323" s="60">
        <v>7.06</v>
      </c>
      <c r="I323" s="60">
        <v>41.35</v>
      </c>
      <c r="J323" s="60">
        <v>0</v>
      </c>
      <c r="O323" s="60" t="s">
        <v>459</v>
      </c>
      <c r="P323" s="60" t="s">
        <v>869</v>
      </c>
      <c r="Q323" s="60" t="s">
        <v>3947</v>
      </c>
      <c r="R323" s="60">
        <v>48.9</v>
      </c>
      <c r="S323" s="60">
        <v>1.56</v>
      </c>
      <c r="T323" s="60">
        <v>13834</v>
      </c>
      <c r="U323" s="60">
        <v>42.7</v>
      </c>
    </row>
    <row r="324" spans="1:21">
      <c r="A324" s="60" t="s">
        <v>461</v>
      </c>
      <c r="B324" s="60" t="s">
        <v>871</v>
      </c>
      <c r="C324" s="60" t="s">
        <v>3948</v>
      </c>
      <c r="D324" s="60">
        <v>31.75</v>
      </c>
      <c r="E324" s="60">
        <v>6.9</v>
      </c>
      <c r="F324" s="60">
        <v>144489</v>
      </c>
      <c r="G324" s="60">
        <v>0.53</v>
      </c>
      <c r="H324" s="60">
        <v>22.78</v>
      </c>
      <c r="I324" s="60">
        <v>7.61</v>
      </c>
      <c r="J324" s="60">
        <v>2.0299999999999998</v>
      </c>
      <c r="O324" s="60" t="s">
        <v>461</v>
      </c>
      <c r="P324" s="60" t="s">
        <v>871</v>
      </c>
      <c r="Q324" s="60" t="s">
        <v>3948</v>
      </c>
      <c r="R324" s="60">
        <v>31.75</v>
      </c>
      <c r="S324" s="60">
        <v>6.9</v>
      </c>
      <c r="T324" s="60">
        <v>144489</v>
      </c>
      <c r="U324" s="60">
        <v>59.87</v>
      </c>
    </row>
    <row r="325" spans="1:21">
      <c r="A325" s="60" t="s">
        <v>463</v>
      </c>
      <c r="B325" s="60" t="s">
        <v>873</v>
      </c>
      <c r="C325" s="60" t="s">
        <v>4111</v>
      </c>
      <c r="D325" s="60">
        <v>292</v>
      </c>
      <c r="E325" s="60">
        <v>0</v>
      </c>
      <c r="F325" s="60">
        <v>932</v>
      </c>
      <c r="G325" s="60">
        <v>0.11</v>
      </c>
      <c r="H325" s="60">
        <v>73.64</v>
      </c>
      <c r="I325" s="60">
        <v>0.38</v>
      </c>
      <c r="J325" s="60">
        <v>1.33</v>
      </c>
      <c r="O325" s="60" t="s">
        <v>463</v>
      </c>
      <c r="P325" s="60" t="s">
        <v>873</v>
      </c>
      <c r="Q325" s="60" t="s">
        <v>4111</v>
      </c>
      <c r="R325" s="60">
        <v>292</v>
      </c>
      <c r="S325" s="60">
        <v>0</v>
      </c>
      <c r="T325" s="60">
        <v>932</v>
      </c>
      <c r="U325" s="60">
        <v>68.12</v>
      </c>
    </row>
    <row r="326" spans="1:21">
      <c r="A326" s="60" t="s">
        <v>464</v>
      </c>
      <c r="B326" s="60" t="s">
        <v>875</v>
      </c>
      <c r="C326" s="60" t="s">
        <v>4230</v>
      </c>
      <c r="D326" s="60">
        <v>57.4</v>
      </c>
      <c r="E326" s="60">
        <v>1.06</v>
      </c>
      <c r="F326" s="60">
        <v>1857</v>
      </c>
      <c r="G326" s="60">
        <v>0.05</v>
      </c>
      <c r="H326" s="60">
        <v>39.9</v>
      </c>
      <c r="I326" s="60">
        <v>0.81</v>
      </c>
      <c r="J326" s="60">
        <v>1.96</v>
      </c>
      <c r="O326" s="60" t="s">
        <v>464</v>
      </c>
      <c r="P326" s="60" t="s">
        <v>875</v>
      </c>
      <c r="Q326" s="60" t="s">
        <v>4230</v>
      </c>
      <c r="R326" s="60">
        <v>57.4</v>
      </c>
      <c r="S326" s="60">
        <v>1.06</v>
      </c>
      <c r="T326" s="60">
        <v>1857</v>
      </c>
      <c r="U326" s="60">
        <v>77.37</v>
      </c>
    </row>
    <row r="327" spans="1:21">
      <c r="A327" s="60" t="s">
        <v>466</v>
      </c>
      <c r="B327" s="60" t="s">
        <v>877</v>
      </c>
      <c r="C327" s="60" t="s">
        <v>4441</v>
      </c>
      <c r="D327" s="60">
        <v>103</v>
      </c>
      <c r="E327" s="60">
        <v>-0.48</v>
      </c>
      <c r="F327" s="60">
        <v>233</v>
      </c>
      <c r="G327" s="60">
        <v>0</v>
      </c>
      <c r="H327" s="60">
        <v>2.2000000000000002</v>
      </c>
      <c r="I327" s="60">
        <v>7.37</v>
      </c>
      <c r="J327" s="60">
        <v>0</v>
      </c>
      <c r="O327" s="60" t="s">
        <v>466</v>
      </c>
      <c r="P327" s="60" t="s">
        <v>877</v>
      </c>
      <c r="Q327" s="60" t="s">
        <v>4441</v>
      </c>
      <c r="R327" s="60">
        <v>103</v>
      </c>
      <c r="S327" s="60">
        <v>-0.48</v>
      </c>
      <c r="T327" s="60">
        <v>233</v>
      </c>
      <c r="U327" s="60">
        <v>71.45</v>
      </c>
    </row>
    <row r="328" spans="1:21">
      <c r="A328" s="60" t="s">
        <v>468</v>
      </c>
      <c r="B328" s="60" t="s">
        <v>3152</v>
      </c>
      <c r="C328" s="60" t="s">
        <v>4053</v>
      </c>
      <c r="D328" s="60">
        <v>9.66</v>
      </c>
      <c r="E328" s="60">
        <v>1.05</v>
      </c>
      <c r="F328" s="60">
        <v>1937</v>
      </c>
      <c r="G328" s="60">
        <v>0</v>
      </c>
      <c r="H328" s="60">
        <v>11.58</v>
      </c>
      <c r="I328" s="60">
        <v>0</v>
      </c>
      <c r="J328" s="60">
        <v>0.01</v>
      </c>
      <c r="O328" s="60" t="s">
        <v>468</v>
      </c>
      <c r="P328" s="60" t="s">
        <v>3152</v>
      </c>
      <c r="Q328" s="60" t="s">
        <v>4053</v>
      </c>
      <c r="R328" s="60">
        <v>9.66</v>
      </c>
      <c r="S328" s="60">
        <v>1.05</v>
      </c>
      <c r="T328" s="60">
        <v>1937</v>
      </c>
      <c r="U328" s="60">
        <v>18.86</v>
      </c>
    </row>
    <row r="329" spans="1:21">
      <c r="A329" s="60" t="s">
        <v>470</v>
      </c>
      <c r="B329" s="60" t="s">
        <v>880</v>
      </c>
      <c r="C329" s="60" t="s">
        <v>3642</v>
      </c>
      <c r="D329" s="60">
        <v>168.5</v>
      </c>
      <c r="E329" s="60">
        <v>-3.99</v>
      </c>
      <c r="F329" s="60">
        <v>5697</v>
      </c>
      <c r="G329" s="60">
        <v>2.56</v>
      </c>
      <c r="H329" s="60">
        <v>28.58</v>
      </c>
      <c r="I329" s="60">
        <v>6.63</v>
      </c>
      <c r="J329" s="60">
        <v>10.63</v>
      </c>
      <c r="O329" s="60" t="s">
        <v>470</v>
      </c>
      <c r="P329" s="60" t="s">
        <v>880</v>
      </c>
      <c r="Q329" s="60" t="s">
        <v>3642</v>
      </c>
      <c r="R329" s="60">
        <v>168.5</v>
      </c>
      <c r="S329" s="60">
        <v>-3.99</v>
      </c>
      <c r="T329" s="60">
        <v>5697</v>
      </c>
      <c r="U329" s="60">
        <v>71.849999999999994</v>
      </c>
    </row>
    <row r="330" spans="1:21">
      <c r="A330" s="60" t="s">
        <v>472</v>
      </c>
      <c r="B330" s="60" t="s">
        <v>882</v>
      </c>
      <c r="C330" s="60" t="s">
        <v>4004</v>
      </c>
      <c r="D330" s="60">
        <v>30.15</v>
      </c>
      <c r="E330" s="60">
        <v>0.17</v>
      </c>
      <c r="F330" s="60">
        <v>7322</v>
      </c>
      <c r="G330" s="60">
        <v>0.04</v>
      </c>
      <c r="H330" s="60">
        <v>23.77</v>
      </c>
      <c r="I330" s="60">
        <v>3.26</v>
      </c>
      <c r="J330" s="60">
        <v>0.35</v>
      </c>
      <c r="O330" s="60" t="s">
        <v>472</v>
      </c>
      <c r="P330" s="60" t="s">
        <v>882</v>
      </c>
      <c r="Q330" s="60" t="s">
        <v>4004</v>
      </c>
      <c r="R330" s="60">
        <v>30.15</v>
      </c>
      <c r="S330" s="60">
        <v>0.17</v>
      </c>
      <c r="T330" s="60">
        <v>7322</v>
      </c>
      <c r="U330" s="60">
        <v>56.87</v>
      </c>
    </row>
    <row r="331" spans="1:21">
      <c r="A331" s="60" t="s">
        <v>473</v>
      </c>
      <c r="B331" s="60" t="s">
        <v>884</v>
      </c>
      <c r="C331" s="60" t="s">
        <v>4005</v>
      </c>
      <c r="D331" s="60">
        <v>27</v>
      </c>
      <c r="E331" s="60">
        <v>-2.35</v>
      </c>
      <c r="F331" s="60">
        <v>20960</v>
      </c>
      <c r="G331" s="60">
        <v>0.4</v>
      </c>
      <c r="H331" s="60">
        <v>35.21</v>
      </c>
      <c r="I331" s="60">
        <v>5.36</v>
      </c>
      <c r="J331" s="60">
        <v>0.14000000000000001</v>
      </c>
      <c r="O331" s="60" t="s">
        <v>473</v>
      </c>
      <c r="P331" s="60" t="s">
        <v>884</v>
      </c>
      <c r="Q331" s="60" t="s">
        <v>4005</v>
      </c>
      <c r="R331" s="60">
        <v>27</v>
      </c>
      <c r="S331" s="60">
        <v>-2.35</v>
      </c>
      <c r="T331" s="60">
        <v>20960</v>
      </c>
      <c r="U331" s="60">
        <v>44.55</v>
      </c>
    </row>
    <row r="332" spans="1:21">
      <c r="A332" s="60" t="s">
        <v>475</v>
      </c>
      <c r="B332" s="60" t="s">
        <v>886</v>
      </c>
      <c r="C332" s="60" t="s">
        <v>4265</v>
      </c>
      <c r="D332" s="60">
        <v>67.099999999999994</v>
      </c>
      <c r="E332" s="60">
        <v>0.6</v>
      </c>
      <c r="F332" s="60">
        <v>3234</v>
      </c>
      <c r="G332" s="60">
        <v>0.01</v>
      </c>
      <c r="H332" s="60">
        <v>23.78</v>
      </c>
      <c r="I332" s="60">
        <v>5.42</v>
      </c>
      <c r="J332" s="60">
        <v>1.1499999999999999</v>
      </c>
      <c r="O332" s="60" t="s">
        <v>475</v>
      </c>
      <c r="P332" s="60" t="s">
        <v>886</v>
      </c>
      <c r="Q332" s="60" t="s">
        <v>4265</v>
      </c>
      <c r="R332" s="60">
        <v>67.099999999999994</v>
      </c>
      <c r="S332" s="60">
        <v>0.6</v>
      </c>
      <c r="T332" s="60">
        <v>3234</v>
      </c>
      <c r="U332" s="60">
        <v>56.26</v>
      </c>
    </row>
    <row r="333" spans="1:21">
      <c r="A333" s="60" t="s">
        <v>476</v>
      </c>
      <c r="B333" s="60" t="s">
        <v>888</v>
      </c>
      <c r="C333" s="60" t="s">
        <v>3657</v>
      </c>
      <c r="D333" s="60">
        <v>32.450000000000003</v>
      </c>
      <c r="E333" s="60">
        <v>-2.2599999999999998</v>
      </c>
      <c r="F333" s="60">
        <v>4369</v>
      </c>
      <c r="G333" s="60">
        <v>0.08</v>
      </c>
      <c r="H333" s="60">
        <v>16.34</v>
      </c>
      <c r="I333" s="60">
        <v>6.22</v>
      </c>
      <c r="J333" s="60">
        <v>0.02</v>
      </c>
      <c r="O333" s="60" t="s">
        <v>476</v>
      </c>
      <c r="P333" s="60" t="s">
        <v>888</v>
      </c>
      <c r="Q333" s="60" t="s">
        <v>3657</v>
      </c>
      <c r="R333" s="60">
        <v>32.450000000000003</v>
      </c>
      <c r="S333" s="60">
        <v>-2.2599999999999998</v>
      </c>
      <c r="T333" s="60">
        <v>4369</v>
      </c>
      <c r="U333" s="60">
        <v>43.8</v>
      </c>
    </row>
    <row r="334" spans="1:21">
      <c r="A334" s="60" t="s">
        <v>478</v>
      </c>
      <c r="B334" s="60" t="s">
        <v>890</v>
      </c>
      <c r="C334" s="60" t="s">
        <v>4006</v>
      </c>
      <c r="D334" s="60">
        <v>26.1</v>
      </c>
      <c r="E334" s="60">
        <v>0</v>
      </c>
      <c r="F334" s="60">
        <v>4077</v>
      </c>
      <c r="G334" s="60">
        <v>0.04</v>
      </c>
      <c r="H334" s="60">
        <v>36.6</v>
      </c>
      <c r="I334" s="60">
        <v>0.37</v>
      </c>
      <c r="J334" s="60">
        <v>5.53</v>
      </c>
      <c r="O334" s="60" t="s">
        <v>478</v>
      </c>
      <c r="P334" s="60" t="s">
        <v>890</v>
      </c>
      <c r="Q334" s="60" t="s">
        <v>4006</v>
      </c>
      <c r="R334" s="60">
        <v>26.1</v>
      </c>
      <c r="S334" s="60">
        <v>0</v>
      </c>
      <c r="T334" s="60">
        <v>4077</v>
      </c>
      <c r="U334" s="60">
        <v>78.069999999999993</v>
      </c>
    </row>
    <row r="335" spans="1:21">
      <c r="A335" s="60" t="s">
        <v>480</v>
      </c>
      <c r="B335" s="60" t="s">
        <v>892</v>
      </c>
      <c r="C335" s="60" t="s">
        <v>4007</v>
      </c>
      <c r="D335" s="60">
        <v>356</v>
      </c>
      <c r="E335" s="60">
        <v>-1.25</v>
      </c>
      <c r="F335" s="60">
        <v>2247</v>
      </c>
      <c r="G335" s="60">
        <v>0.03</v>
      </c>
      <c r="H335" s="60">
        <v>59.04</v>
      </c>
      <c r="I335" s="60">
        <v>1.71</v>
      </c>
      <c r="J335" s="60">
        <v>3.14</v>
      </c>
      <c r="O335" s="60" t="s">
        <v>480</v>
      </c>
      <c r="P335" s="60" t="s">
        <v>892</v>
      </c>
      <c r="Q335" s="60" t="s">
        <v>4007</v>
      </c>
      <c r="R335" s="60">
        <v>356</v>
      </c>
      <c r="S335" s="60">
        <v>-1.25</v>
      </c>
      <c r="T335" s="60">
        <v>2247</v>
      </c>
      <c r="U335" s="60">
        <v>59.28</v>
      </c>
    </row>
    <row r="336" spans="1:21">
      <c r="A336" s="60" t="s">
        <v>482</v>
      </c>
      <c r="B336" s="60" t="s">
        <v>894</v>
      </c>
      <c r="C336" s="60" t="s">
        <v>4442</v>
      </c>
      <c r="D336" s="60">
        <v>22.7</v>
      </c>
      <c r="E336" s="60">
        <v>1.1100000000000001</v>
      </c>
      <c r="F336" s="60">
        <v>1030</v>
      </c>
      <c r="G336" s="60">
        <v>0.4</v>
      </c>
      <c r="H336" s="60">
        <v>2.0099999999999998</v>
      </c>
      <c r="I336" s="60">
        <v>43.29</v>
      </c>
      <c r="J336" s="60">
        <v>7.0000000000000007E-2</v>
      </c>
      <c r="O336" s="60" t="s">
        <v>482</v>
      </c>
      <c r="P336" s="60" t="s">
        <v>894</v>
      </c>
      <c r="Q336" s="60" t="s">
        <v>4442</v>
      </c>
      <c r="R336" s="60">
        <v>22.7</v>
      </c>
      <c r="S336" s="60">
        <v>1.1100000000000001</v>
      </c>
      <c r="T336" s="60">
        <v>1030</v>
      </c>
      <c r="U336" s="60">
        <v>28.73</v>
      </c>
    </row>
    <row r="337" spans="1:21">
      <c r="A337" s="60" t="s">
        <v>484</v>
      </c>
      <c r="B337" s="60" t="s">
        <v>896</v>
      </c>
      <c r="C337" s="60" t="s">
        <v>4266</v>
      </c>
      <c r="D337" s="60">
        <v>17.5</v>
      </c>
      <c r="E337" s="60">
        <v>0</v>
      </c>
      <c r="F337" s="60">
        <v>94</v>
      </c>
      <c r="G337" s="60">
        <v>0</v>
      </c>
      <c r="H337" s="60">
        <v>2</v>
      </c>
      <c r="I337" s="60">
        <v>11.22</v>
      </c>
      <c r="J337" s="60">
        <v>0</v>
      </c>
      <c r="O337" s="60" t="s">
        <v>484</v>
      </c>
      <c r="P337" s="60" t="s">
        <v>896</v>
      </c>
      <c r="Q337" s="60" t="s">
        <v>4266</v>
      </c>
      <c r="R337" s="60">
        <v>17.5</v>
      </c>
      <c r="S337" s="60">
        <v>0</v>
      </c>
      <c r="T337" s="60">
        <v>94</v>
      </c>
      <c r="U337" s="60">
        <v>42.86</v>
      </c>
    </row>
    <row r="338" spans="1:21">
      <c r="A338" s="60" t="s">
        <v>486</v>
      </c>
      <c r="B338" s="60" t="s">
        <v>898</v>
      </c>
      <c r="C338" s="60" t="s">
        <v>3604</v>
      </c>
      <c r="D338" s="60">
        <v>185</v>
      </c>
      <c r="E338" s="60">
        <v>1.93</v>
      </c>
      <c r="F338" s="60">
        <v>420</v>
      </c>
      <c r="G338" s="60">
        <v>0.01</v>
      </c>
      <c r="H338" s="60">
        <v>69.94</v>
      </c>
      <c r="I338" s="60">
        <v>0.56999999999999995</v>
      </c>
      <c r="J338" s="60">
        <v>0.57999999999999996</v>
      </c>
      <c r="O338" s="60" t="s">
        <v>486</v>
      </c>
      <c r="P338" s="60" t="s">
        <v>898</v>
      </c>
      <c r="Q338" s="60" t="s">
        <v>3604</v>
      </c>
      <c r="R338" s="60">
        <v>185</v>
      </c>
      <c r="S338" s="60">
        <v>1.93</v>
      </c>
      <c r="T338" s="60">
        <v>420</v>
      </c>
      <c r="U338" s="60">
        <v>76.2</v>
      </c>
    </row>
    <row r="339" spans="1:21">
      <c r="A339" s="60" t="s">
        <v>488</v>
      </c>
      <c r="B339" s="60" t="s">
        <v>900</v>
      </c>
      <c r="C339" s="60" t="s">
        <v>4008</v>
      </c>
      <c r="D339" s="60">
        <v>32.799999999999997</v>
      </c>
      <c r="E339" s="60">
        <v>-0.91</v>
      </c>
      <c r="F339" s="60">
        <v>263</v>
      </c>
      <c r="G339" s="60">
        <v>0.01</v>
      </c>
      <c r="H339" s="60">
        <v>10.68</v>
      </c>
      <c r="I339" s="60">
        <v>4.66</v>
      </c>
      <c r="J339" s="60">
        <v>0</v>
      </c>
      <c r="O339" s="60" t="s">
        <v>488</v>
      </c>
      <c r="P339" s="60" t="s">
        <v>900</v>
      </c>
      <c r="Q339" s="60" t="s">
        <v>4008</v>
      </c>
      <c r="R339" s="60">
        <v>32.799999999999997</v>
      </c>
      <c r="S339" s="60">
        <v>-0.91</v>
      </c>
      <c r="T339" s="60">
        <v>263</v>
      </c>
      <c r="U339" s="60">
        <v>80.86</v>
      </c>
    </row>
    <row r="340" spans="1:21">
      <c r="A340" s="60" t="s">
        <v>490</v>
      </c>
      <c r="B340" s="60" t="s">
        <v>902</v>
      </c>
      <c r="C340" s="60" t="s">
        <v>3949</v>
      </c>
      <c r="D340" s="60">
        <v>26</v>
      </c>
      <c r="E340" s="60">
        <v>-2.2599999999999998</v>
      </c>
      <c r="F340" s="60">
        <v>29017</v>
      </c>
      <c r="G340" s="60">
        <v>0.32</v>
      </c>
      <c r="H340" s="60">
        <v>8.24</v>
      </c>
      <c r="I340" s="60">
        <v>15.74</v>
      </c>
      <c r="J340" s="60">
        <v>0.01</v>
      </c>
      <c r="O340" s="60" t="s">
        <v>490</v>
      </c>
      <c r="P340" s="60" t="s">
        <v>902</v>
      </c>
      <c r="Q340" s="60" t="s">
        <v>3949</v>
      </c>
      <c r="R340" s="60">
        <v>26</v>
      </c>
      <c r="S340" s="60">
        <v>-2.2599999999999998</v>
      </c>
      <c r="T340" s="60">
        <v>29017</v>
      </c>
      <c r="U340" s="60">
        <v>34.049999999999997</v>
      </c>
    </row>
    <row r="341" spans="1:21">
      <c r="A341" s="60" t="s">
        <v>492</v>
      </c>
      <c r="B341" s="60" t="s">
        <v>3153</v>
      </c>
      <c r="C341" s="60" t="s">
        <v>4009</v>
      </c>
      <c r="D341" s="60">
        <v>20.5</v>
      </c>
      <c r="E341" s="60">
        <v>-2.61</v>
      </c>
      <c r="F341" s="60">
        <v>25</v>
      </c>
      <c r="G341" s="60">
        <v>0</v>
      </c>
      <c r="H341" s="60">
        <v>15.33</v>
      </c>
      <c r="I341" s="60">
        <v>0</v>
      </c>
      <c r="J341" s="60">
        <v>0</v>
      </c>
      <c r="O341" s="60" t="s">
        <v>492</v>
      </c>
      <c r="P341" s="60" t="s">
        <v>3153</v>
      </c>
      <c r="Q341" s="60" t="s">
        <v>4009</v>
      </c>
      <c r="R341" s="60">
        <v>20.5</v>
      </c>
      <c r="S341" s="60">
        <v>-2.61</v>
      </c>
      <c r="T341" s="60">
        <v>25</v>
      </c>
      <c r="U341" s="60">
        <v>53.91</v>
      </c>
    </row>
    <row r="342" spans="1:21">
      <c r="A342" s="60" t="s">
        <v>494</v>
      </c>
      <c r="B342" s="60" t="s">
        <v>905</v>
      </c>
      <c r="C342" s="60" t="s">
        <v>4010</v>
      </c>
      <c r="D342" s="60">
        <v>10.95</v>
      </c>
      <c r="E342" s="60">
        <v>1.86</v>
      </c>
      <c r="F342" s="60">
        <v>609</v>
      </c>
      <c r="G342" s="60">
        <v>0.01</v>
      </c>
      <c r="H342" s="60">
        <v>6.52</v>
      </c>
      <c r="I342" s="60">
        <v>8.2799999999999994</v>
      </c>
      <c r="J342" s="60">
        <v>0</v>
      </c>
      <c r="O342" s="60" t="s">
        <v>494</v>
      </c>
      <c r="P342" s="60" t="s">
        <v>905</v>
      </c>
      <c r="Q342" s="60" t="s">
        <v>4010</v>
      </c>
      <c r="R342" s="60">
        <v>10.95</v>
      </c>
      <c r="S342" s="60">
        <v>1.86</v>
      </c>
      <c r="T342" s="60">
        <v>609</v>
      </c>
      <c r="U342" s="60">
        <v>30.76</v>
      </c>
    </row>
    <row r="343" spans="1:21">
      <c r="A343" s="60" t="s">
        <v>496</v>
      </c>
      <c r="B343" s="60" t="s">
        <v>907</v>
      </c>
      <c r="C343" s="60" t="s">
        <v>4151</v>
      </c>
      <c r="D343" s="60">
        <v>20.2</v>
      </c>
      <c r="E343" s="60">
        <v>-2.88</v>
      </c>
      <c r="F343" s="60">
        <v>8952</v>
      </c>
      <c r="G343" s="60">
        <v>0.46</v>
      </c>
      <c r="H343" s="60">
        <v>9.4499999999999993</v>
      </c>
      <c r="I343" s="60">
        <v>17.03</v>
      </c>
      <c r="J343" s="60">
        <v>0.02</v>
      </c>
      <c r="O343" s="60" t="s">
        <v>496</v>
      </c>
      <c r="P343" s="60" t="s">
        <v>907</v>
      </c>
      <c r="Q343" s="60" t="s">
        <v>4151</v>
      </c>
      <c r="R343" s="60">
        <v>20.2</v>
      </c>
      <c r="S343" s="60">
        <v>-2.88</v>
      </c>
      <c r="T343" s="60">
        <v>8952</v>
      </c>
      <c r="U343" s="60">
        <v>27.04</v>
      </c>
    </row>
    <row r="344" spans="1:21">
      <c r="A344" s="60" t="s">
        <v>498</v>
      </c>
      <c r="B344" s="60" t="s">
        <v>909</v>
      </c>
      <c r="C344" s="60" t="s">
        <v>3564</v>
      </c>
      <c r="D344" s="60">
        <v>71.2</v>
      </c>
      <c r="E344" s="60">
        <v>-1.1100000000000001</v>
      </c>
      <c r="F344" s="60">
        <v>14823</v>
      </c>
      <c r="G344" s="60">
        <v>1.04</v>
      </c>
      <c r="H344" s="60">
        <v>19.989999999999998</v>
      </c>
      <c r="I344" s="60">
        <v>14.52</v>
      </c>
      <c r="J344" s="60">
        <v>6.41</v>
      </c>
      <c r="O344" s="60" t="s">
        <v>498</v>
      </c>
      <c r="P344" s="60" t="s">
        <v>909</v>
      </c>
      <c r="Q344" s="60" t="s">
        <v>3564</v>
      </c>
      <c r="R344" s="60">
        <v>71.2</v>
      </c>
      <c r="S344" s="60">
        <v>-1.1100000000000001</v>
      </c>
      <c r="T344" s="60">
        <v>14823</v>
      </c>
      <c r="U344" s="60">
        <v>73.11</v>
      </c>
    </row>
    <row r="345" spans="1:21">
      <c r="A345" s="60" t="s">
        <v>500</v>
      </c>
      <c r="B345" s="60" t="s">
        <v>911</v>
      </c>
      <c r="C345" s="60" t="s">
        <v>3950</v>
      </c>
      <c r="D345" s="60">
        <v>27.3</v>
      </c>
      <c r="E345" s="60">
        <v>1.68</v>
      </c>
      <c r="F345" s="60">
        <v>24775</v>
      </c>
      <c r="G345" s="60">
        <v>1.34</v>
      </c>
      <c r="H345" s="60">
        <v>17.61</v>
      </c>
      <c r="I345" s="60">
        <v>21.12</v>
      </c>
      <c r="J345" s="60">
        <v>0</v>
      </c>
      <c r="O345" s="60" t="s">
        <v>500</v>
      </c>
      <c r="P345" s="60" t="s">
        <v>911</v>
      </c>
      <c r="Q345" s="60" t="s">
        <v>3950</v>
      </c>
      <c r="R345" s="60">
        <v>27.3</v>
      </c>
      <c r="S345" s="60">
        <v>1.68</v>
      </c>
      <c r="T345" s="60">
        <v>24775</v>
      </c>
      <c r="U345" s="60">
        <v>32.42</v>
      </c>
    </row>
    <row r="346" spans="1:21">
      <c r="A346" s="60" t="s">
        <v>502</v>
      </c>
      <c r="B346" s="60" t="s">
        <v>913</v>
      </c>
      <c r="C346" s="60" t="s">
        <v>3799</v>
      </c>
      <c r="D346" s="60">
        <v>38.5</v>
      </c>
      <c r="E346" s="60">
        <v>-0.9</v>
      </c>
      <c r="F346" s="60">
        <v>101620</v>
      </c>
      <c r="G346" s="60">
        <v>1.08</v>
      </c>
      <c r="H346" s="60">
        <v>24.42</v>
      </c>
      <c r="I346" s="60">
        <v>23.25</v>
      </c>
      <c r="J346" s="60">
        <v>1.31</v>
      </c>
      <c r="O346" s="60" t="s">
        <v>502</v>
      </c>
      <c r="P346" s="60" t="s">
        <v>913</v>
      </c>
      <c r="Q346" s="60" t="s">
        <v>3799</v>
      </c>
      <c r="R346" s="60">
        <v>38.5</v>
      </c>
      <c r="S346" s="60">
        <v>-0.9</v>
      </c>
      <c r="T346" s="60">
        <v>101620</v>
      </c>
      <c r="U346" s="60">
        <v>72.53</v>
      </c>
    </row>
    <row r="347" spans="1:21">
      <c r="A347" s="60" t="s">
        <v>504</v>
      </c>
      <c r="B347" s="60" t="s">
        <v>915</v>
      </c>
      <c r="C347" s="60" t="s">
        <v>4267</v>
      </c>
      <c r="D347" s="60">
        <v>89.5</v>
      </c>
      <c r="E347" s="60">
        <v>0.11</v>
      </c>
      <c r="F347" s="60">
        <v>15</v>
      </c>
      <c r="G347" s="60">
        <v>0</v>
      </c>
      <c r="H347" s="60">
        <v>1.92</v>
      </c>
      <c r="I347" s="60">
        <v>0.04</v>
      </c>
      <c r="J347" s="60">
        <v>0</v>
      </c>
      <c r="O347" s="60" t="s">
        <v>504</v>
      </c>
      <c r="P347" s="60" t="s">
        <v>915</v>
      </c>
      <c r="Q347" s="60" t="s">
        <v>4267</v>
      </c>
      <c r="R347" s="60">
        <v>89.5</v>
      </c>
      <c r="S347" s="60">
        <v>0.11</v>
      </c>
      <c r="T347" s="60">
        <v>15</v>
      </c>
      <c r="U347" s="60">
        <v>88.38</v>
      </c>
    </row>
    <row r="348" spans="1:21">
      <c r="A348" s="60" t="s">
        <v>506</v>
      </c>
      <c r="B348" s="60" t="s">
        <v>917</v>
      </c>
      <c r="C348" s="60" t="s">
        <v>4054</v>
      </c>
      <c r="D348" s="60">
        <v>20.8</v>
      </c>
      <c r="E348" s="60">
        <v>-5.0199999999999996</v>
      </c>
      <c r="F348" s="60">
        <v>12593</v>
      </c>
      <c r="G348" s="60">
        <v>0.12</v>
      </c>
      <c r="H348" s="60">
        <v>6.8</v>
      </c>
      <c r="I348" s="60">
        <v>16.100000000000001</v>
      </c>
      <c r="J348" s="60">
        <v>0</v>
      </c>
      <c r="O348" s="60" t="s">
        <v>506</v>
      </c>
      <c r="P348" s="60" t="s">
        <v>917</v>
      </c>
      <c r="Q348" s="60" t="s">
        <v>4054</v>
      </c>
      <c r="R348" s="60">
        <v>20.8</v>
      </c>
      <c r="S348" s="60">
        <v>-5.0199999999999996</v>
      </c>
      <c r="T348" s="60">
        <v>12593</v>
      </c>
      <c r="U348" s="60">
        <v>41.42</v>
      </c>
    </row>
    <row r="349" spans="1:21">
      <c r="A349" s="60" t="s">
        <v>508</v>
      </c>
      <c r="B349" s="60" t="s">
        <v>919</v>
      </c>
      <c r="C349" s="60" t="s">
        <v>4152</v>
      </c>
      <c r="D349" s="60">
        <v>93.6</v>
      </c>
      <c r="E349" s="60">
        <v>1.3</v>
      </c>
      <c r="F349" s="60">
        <v>2105</v>
      </c>
      <c r="G349" s="60">
        <v>0.28999999999999998</v>
      </c>
      <c r="H349" s="60">
        <v>7.36</v>
      </c>
      <c r="I349" s="60">
        <v>31.74</v>
      </c>
      <c r="J349" s="60">
        <v>0</v>
      </c>
      <c r="O349" s="60" t="s">
        <v>508</v>
      </c>
      <c r="P349" s="60" t="s">
        <v>919</v>
      </c>
      <c r="Q349" s="60" t="s">
        <v>4152</v>
      </c>
      <c r="R349" s="60">
        <v>93.6</v>
      </c>
      <c r="S349" s="60">
        <v>1.3</v>
      </c>
      <c r="T349" s="60">
        <v>2105</v>
      </c>
      <c r="U349" s="60">
        <v>17.37</v>
      </c>
    </row>
    <row r="350" spans="1:21">
      <c r="A350" s="60" t="s">
        <v>510</v>
      </c>
      <c r="B350" s="60" t="s">
        <v>921</v>
      </c>
      <c r="C350" s="60" t="s">
        <v>3690</v>
      </c>
      <c r="D350" s="60">
        <v>138</v>
      </c>
      <c r="E350" s="60">
        <v>-2.13</v>
      </c>
      <c r="F350" s="60">
        <v>15062</v>
      </c>
      <c r="G350" s="60">
        <v>1.25</v>
      </c>
      <c r="H350" s="60">
        <v>41.8</v>
      </c>
      <c r="I350" s="60">
        <v>12.33</v>
      </c>
      <c r="J350" s="60">
        <v>7.8</v>
      </c>
      <c r="O350" s="60" t="s">
        <v>510</v>
      </c>
      <c r="P350" s="60" t="s">
        <v>921</v>
      </c>
      <c r="Q350" s="60" t="s">
        <v>3690</v>
      </c>
      <c r="R350" s="60">
        <v>138</v>
      </c>
      <c r="S350" s="60">
        <v>-2.13</v>
      </c>
      <c r="T350" s="60">
        <v>15062</v>
      </c>
      <c r="U350" s="60">
        <v>64.09</v>
      </c>
    </row>
    <row r="351" spans="1:21">
      <c r="A351" s="60" t="s">
        <v>512</v>
      </c>
      <c r="B351" s="60" t="s">
        <v>923</v>
      </c>
      <c r="C351" s="60" t="s">
        <v>4011</v>
      </c>
      <c r="D351" s="60">
        <v>165</v>
      </c>
      <c r="E351" s="60">
        <v>-0.6</v>
      </c>
      <c r="F351" s="60">
        <v>4307</v>
      </c>
      <c r="G351" s="60">
        <v>0.09</v>
      </c>
      <c r="H351" s="60">
        <v>49.14</v>
      </c>
      <c r="I351" s="60">
        <v>2.82</v>
      </c>
      <c r="J351" s="60">
        <v>4.5999999999999996</v>
      </c>
      <c r="O351" s="60" t="s">
        <v>512</v>
      </c>
      <c r="P351" s="60" t="s">
        <v>923</v>
      </c>
      <c r="Q351" s="60" t="s">
        <v>4011</v>
      </c>
      <c r="R351" s="60">
        <v>165</v>
      </c>
      <c r="S351" s="60">
        <v>-0.6</v>
      </c>
      <c r="T351" s="60">
        <v>4307</v>
      </c>
      <c r="U351" s="60">
        <v>71.569999999999993</v>
      </c>
    </row>
    <row r="352" spans="1:21">
      <c r="A352" s="60" t="s">
        <v>514</v>
      </c>
      <c r="B352" s="60" t="s">
        <v>925</v>
      </c>
      <c r="C352" s="60" t="s">
        <v>3951</v>
      </c>
      <c r="D352" s="60">
        <v>548</v>
      </c>
      <c r="E352" s="60">
        <v>0.18</v>
      </c>
      <c r="F352" s="60">
        <v>734</v>
      </c>
      <c r="G352" s="60">
        <v>0.06</v>
      </c>
      <c r="H352" s="60">
        <v>60.21</v>
      </c>
      <c r="I352" s="60">
        <v>2.2400000000000002</v>
      </c>
      <c r="J352" s="60">
        <v>3</v>
      </c>
      <c r="O352" s="60" t="s">
        <v>514</v>
      </c>
      <c r="P352" s="60" t="s">
        <v>925</v>
      </c>
      <c r="Q352" s="60" t="s">
        <v>3951</v>
      </c>
      <c r="R352" s="60">
        <v>548</v>
      </c>
      <c r="S352" s="60">
        <v>0.18</v>
      </c>
      <c r="T352" s="60">
        <v>734</v>
      </c>
      <c r="U352" s="60">
        <v>59.77</v>
      </c>
    </row>
    <row r="353" spans="1:21">
      <c r="A353" s="60" t="s">
        <v>516</v>
      </c>
      <c r="B353" s="60" t="s">
        <v>3154</v>
      </c>
      <c r="C353" s="60" t="s">
        <v>3635</v>
      </c>
      <c r="D353" s="60">
        <v>10.95</v>
      </c>
      <c r="E353" s="60">
        <v>9.61</v>
      </c>
      <c r="F353" s="60">
        <v>2135</v>
      </c>
      <c r="G353" s="60">
        <v>0</v>
      </c>
      <c r="H353" s="60">
        <v>1.23</v>
      </c>
      <c r="I353" s="60">
        <v>0</v>
      </c>
      <c r="J353" s="60">
        <v>0</v>
      </c>
      <c r="O353" s="60" t="s">
        <v>516</v>
      </c>
      <c r="P353" s="60" t="s">
        <v>3154</v>
      </c>
      <c r="Q353" s="60" t="s">
        <v>3635</v>
      </c>
      <c r="R353" s="60">
        <v>10.95</v>
      </c>
      <c r="S353" s="60">
        <v>9.61</v>
      </c>
      <c r="T353" s="60">
        <v>2135</v>
      </c>
      <c r="U353" s="60">
        <v>42.24</v>
      </c>
    </row>
    <row r="354" spans="1:21">
      <c r="A354" s="60" t="s">
        <v>518</v>
      </c>
      <c r="B354" s="60" t="s">
        <v>928</v>
      </c>
      <c r="C354" s="60" t="s">
        <v>4012</v>
      </c>
      <c r="D354" s="60">
        <v>86.5</v>
      </c>
      <c r="E354" s="60">
        <v>-0.46</v>
      </c>
      <c r="F354" s="60">
        <v>6334</v>
      </c>
      <c r="G354" s="60">
        <v>0.01</v>
      </c>
      <c r="H354" s="60">
        <v>32.17</v>
      </c>
      <c r="I354" s="60">
        <v>0.33</v>
      </c>
      <c r="J354" s="60">
        <v>2.62</v>
      </c>
      <c r="O354" s="60" t="s">
        <v>518</v>
      </c>
      <c r="P354" s="60" t="s">
        <v>928</v>
      </c>
      <c r="Q354" s="60" t="s">
        <v>4012</v>
      </c>
      <c r="R354" s="60">
        <v>86.5</v>
      </c>
      <c r="S354" s="60">
        <v>-0.46</v>
      </c>
      <c r="T354" s="60">
        <v>6334</v>
      </c>
      <c r="U354" s="60">
        <v>86.44</v>
      </c>
    </row>
    <row r="355" spans="1:21">
      <c r="A355" s="60" t="s">
        <v>519</v>
      </c>
      <c r="B355" s="60" t="s">
        <v>930</v>
      </c>
      <c r="C355" s="60" t="s">
        <v>3673</v>
      </c>
      <c r="D355" s="60">
        <v>233</v>
      </c>
      <c r="E355" s="60">
        <v>2.42</v>
      </c>
      <c r="F355" s="60">
        <v>1422</v>
      </c>
      <c r="G355" s="60">
        <v>0.15</v>
      </c>
      <c r="H355" s="60">
        <v>39.85</v>
      </c>
      <c r="I355" s="60">
        <v>2.93</v>
      </c>
      <c r="J355" s="60">
        <v>5.59</v>
      </c>
      <c r="O355" s="60" t="s">
        <v>519</v>
      </c>
      <c r="P355" s="60" t="s">
        <v>930</v>
      </c>
      <c r="Q355" s="60" t="s">
        <v>3673</v>
      </c>
      <c r="R355" s="60">
        <v>233</v>
      </c>
      <c r="S355" s="60">
        <v>2.42</v>
      </c>
      <c r="T355" s="60">
        <v>1422</v>
      </c>
      <c r="U355" s="60">
        <v>66.62</v>
      </c>
    </row>
    <row r="356" spans="1:21">
      <c r="A356" s="60" t="s">
        <v>521</v>
      </c>
      <c r="B356" s="60" t="s">
        <v>932</v>
      </c>
      <c r="C356" s="60" t="s">
        <v>4153</v>
      </c>
      <c r="D356" s="60">
        <v>81.599999999999994</v>
      </c>
      <c r="E356" s="60">
        <v>0.25</v>
      </c>
      <c r="F356" s="60">
        <v>1151</v>
      </c>
      <c r="G356" s="60">
        <v>0.03</v>
      </c>
      <c r="H356" s="60">
        <v>43.12</v>
      </c>
      <c r="I356" s="60">
        <v>2.11</v>
      </c>
      <c r="J356" s="60">
        <v>4.32</v>
      </c>
      <c r="O356" s="60" t="s">
        <v>521</v>
      </c>
      <c r="P356" s="60" t="s">
        <v>932</v>
      </c>
      <c r="Q356" s="60" t="s">
        <v>4153</v>
      </c>
      <c r="R356" s="60">
        <v>81.599999999999994</v>
      </c>
      <c r="S356" s="60">
        <v>0.25</v>
      </c>
      <c r="T356" s="60">
        <v>1151</v>
      </c>
      <c r="U356" s="60">
        <v>68.459999999999994</v>
      </c>
    </row>
    <row r="357" spans="1:21">
      <c r="A357" s="60" t="s">
        <v>523</v>
      </c>
      <c r="B357" s="60" t="s">
        <v>934</v>
      </c>
      <c r="C357" s="60" t="s">
        <v>4013</v>
      </c>
      <c r="D357" s="60">
        <v>43.7</v>
      </c>
      <c r="E357" s="60">
        <v>-0.34</v>
      </c>
      <c r="F357" s="60">
        <v>321</v>
      </c>
      <c r="G357" s="60">
        <v>0.01</v>
      </c>
      <c r="H357" s="60">
        <v>4.6100000000000003</v>
      </c>
      <c r="I357" s="60">
        <v>12.74</v>
      </c>
      <c r="J357" s="60">
        <v>2.4300000000000002</v>
      </c>
      <c r="O357" s="60" t="s">
        <v>523</v>
      </c>
      <c r="P357" s="60" t="s">
        <v>934</v>
      </c>
      <c r="Q357" s="60" t="s">
        <v>4013</v>
      </c>
      <c r="R357" s="60">
        <v>43.7</v>
      </c>
      <c r="S357" s="60">
        <v>-0.34</v>
      </c>
      <c r="T357" s="60">
        <v>321</v>
      </c>
      <c r="U357" s="60">
        <v>68.63</v>
      </c>
    </row>
    <row r="358" spans="1:21">
      <c r="A358" s="60" t="s">
        <v>525</v>
      </c>
      <c r="B358" s="60" t="s">
        <v>936</v>
      </c>
      <c r="C358" s="60" t="s">
        <v>3952</v>
      </c>
      <c r="D358" s="60">
        <v>90.5</v>
      </c>
      <c r="E358" s="60">
        <v>0</v>
      </c>
      <c r="F358" s="60">
        <v>17846</v>
      </c>
      <c r="G358" s="60">
        <v>3.82</v>
      </c>
      <c r="H358" s="60">
        <v>9.49</v>
      </c>
      <c r="I358" s="60">
        <v>12.44</v>
      </c>
      <c r="J358" s="60">
        <v>0.01</v>
      </c>
      <c r="O358" s="60" t="s">
        <v>525</v>
      </c>
      <c r="P358" s="60" t="s">
        <v>936</v>
      </c>
      <c r="Q358" s="60" t="s">
        <v>3952</v>
      </c>
      <c r="R358" s="60">
        <v>90.5</v>
      </c>
      <c r="S358" s="60">
        <v>0</v>
      </c>
      <c r="T358" s="60">
        <v>17846</v>
      </c>
      <c r="U358" s="60">
        <v>71.36</v>
      </c>
    </row>
    <row r="359" spans="1:21">
      <c r="A359" s="60" t="s">
        <v>527</v>
      </c>
      <c r="B359" s="60" t="s">
        <v>938</v>
      </c>
      <c r="C359" s="60" t="s">
        <v>3545</v>
      </c>
      <c r="D359" s="60">
        <v>21.95</v>
      </c>
      <c r="E359" s="60">
        <v>3.54</v>
      </c>
      <c r="F359" s="60">
        <v>4479</v>
      </c>
      <c r="G359" s="60">
        <v>0.56000000000000005</v>
      </c>
      <c r="H359" s="60">
        <v>2.0299999999999998</v>
      </c>
      <c r="I359" s="60">
        <v>23.32</v>
      </c>
      <c r="J359" s="60">
        <v>0</v>
      </c>
      <c r="O359" s="60" t="s">
        <v>527</v>
      </c>
      <c r="P359" s="60" t="s">
        <v>938</v>
      </c>
      <c r="Q359" s="60" t="s">
        <v>3545</v>
      </c>
      <c r="R359" s="60">
        <v>21.95</v>
      </c>
      <c r="S359" s="60">
        <v>3.54</v>
      </c>
      <c r="T359" s="60">
        <v>4479</v>
      </c>
      <c r="U359" s="60">
        <v>34.18</v>
      </c>
    </row>
    <row r="360" spans="1:21">
      <c r="A360" s="60" t="s">
        <v>529</v>
      </c>
      <c r="B360" s="60" t="s">
        <v>940</v>
      </c>
      <c r="C360" s="60" t="s">
        <v>4154</v>
      </c>
      <c r="D360" s="60">
        <v>39.700000000000003</v>
      </c>
      <c r="E360" s="60">
        <v>1.53</v>
      </c>
      <c r="F360" s="60">
        <v>1123</v>
      </c>
      <c r="G360" s="60">
        <v>0.01</v>
      </c>
      <c r="H360" s="60">
        <v>12.08</v>
      </c>
      <c r="I360" s="60">
        <v>4.25</v>
      </c>
      <c r="J360" s="60">
        <v>0</v>
      </c>
      <c r="O360" s="60" t="s">
        <v>529</v>
      </c>
      <c r="P360" s="60" t="s">
        <v>940</v>
      </c>
      <c r="Q360" s="60" t="s">
        <v>4154</v>
      </c>
      <c r="R360" s="60">
        <v>39.700000000000003</v>
      </c>
      <c r="S360" s="60">
        <v>1.53</v>
      </c>
      <c r="T360" s="60">
        <v>1123</v>
      </c>
      <c r="U360" s="60">
        <v>44.23</v>
      </c>
    </row>
    <row r="361" spans="1:21">
      <c r="A361" s="60" t="s">
        <v>531</v>
      </c>
      <c r="B361" s="60" t="s">
        <v>942</v>
      </c>
      <c r="C361" s="60" t="s">
        <v>3660</v>
      </c>
      <c r="D361" s="60">
        <v>52.1</v>
      </c>
      <c r="E361" s="60">
        <v>2.16</v>
      </c>
      <c r="F361" s="60">
        <v>3545</v>
      </c>
      <c r="G361" s="60">
        <v>0.06</v>
      </c>
      <c r="H361" s="60">
        <v>41.26</v>
      </c>
      <c r="I361" s="60">
        <v>4.5599999999999996</v>
      </c>
      <c r="J361" s="60">
        <v>7.0000000000000007E-2</v>
      </c>
      <c r="O361" s="60" t="s">
        <v>531</v>
      </c>
      <c r="P361" s="60" t="s">
        <v>942</v>
      </c>
      <c r="Q361" s="60" t="s">
        <v>3660</v>
      </c>
      <c r="R361" s="60">
        <v>52.1</v>
      </c>
      <c r="S361" s="60">
        <v>2.16</v>
      </c>
      <c r="T361" s="60">
        <v>3545</v>
      </c>
      <c r="U361" s="60">
        <v>53.36</v>
      </c>
    </row>
    <row r="362" spans="1:21">
      <c r="A362" s="60" t="s">
        <v>533</v>
      </c>
      <c r="B362" s="60" t="s">
        <v>944</v>
      </c>
      <c r="C362" s="60" t="s">
        <v>3664</v>
      </c>
      <c r="D362" s="60">
        <v>389</v>
      </c>
      <c r="E362" s="60">
        <v>1.7</v>
      </c>
      <c r="F362" s="60">
        <v>271</v>
      </c>
      <c r="G362" s="60">
        <v>0</v>
      </c>
      <c r="H362" s="60">
        <v>43.3</v>
      </c>
      <c r="I362" s="60">
        <v>0.04</v>
      </c>
      <c r="J362" s="60">
        <v>0.6</v>
      </c>
      <c r="O362" s="60" t="s">
        <v>533</v>
      </c>
      <c r="P362" s="60" t="s">
        <v>944</v>
      </c>
      <c r="Q362" s="60" t="s">
        <v>3664</v>
      </c>
      <c r="R362" s="60">
        <v>389</v>
      </c>
      <c r="S362" s="60">
        <v>1.7</v>
      </c>
      <c r="T362" s="60">
        <v>271</v>
      </c>
      <c r="U362" s="60">
        <v>79.86</v>
      </c>
    </row>
    <row r="363" spans="1:21">
      <c r="A363" s="60" t="s">
        <v>535</v>
      </c>
      <c r="B363" s="60" t="s">
        <v>946</v>
      </c>
      <c r="C363" s="60" t="s">
        <v>4014</v>
      </c>
      <c r="D363" s="60">
        <v>57.3</v>
      </c>
      <c r="E363" s="60">
        <v>1.06</v>
      </c>
      <c r="F363" s="60">
        <v>30</v>
      </c>
      <c r="G363" s="60">
        <v>0</v>
      </c>
      <c r="H363" s="60">
        <v>23.87</v>
      </c>
      <c r="I363" s="60">
        <v>2.9</v>
      </c>
      <c r="J363" s="60">
        <v>0</v>
      </c>
      <c r="O363" s="60" t="s">
        <v>535</v>
      </c>
      <c r="P363" s="60" t="s">
        <v>946</v>
      </c>
      <c r="Q363" s="60" t="s">
        <v>4014</v>
      </c>
      <c r="R363" s="60">
        <v>57.3</v>
      </c>
      <c r="S363" s="60">
        <v>1.06</v>
      </c>
      <c r="T363" s="60">
        <v>30</v>
      </c>
      <c r="U363" s="60">
        <v>81.52</v>
      </c>
    </row>
    <row r="364" spans="1:21">
      <c r="A364" s="60" t="s">
        <v>537</v>
      </c>
      <c r="B364" s="60" t="s">
        <v>948</v>
      </c>
      <c r="C364" s="60" t="s">
        <v>3570</v>
      </c>
      <c r="D364" s="60">
        <v>23.55</v>
      </c>
      <c r="E364" s="60">
        <v>-1.87</v>
      </c>
      <c r="F364" s="60">
        <v>7672</v>
      </c>
      <c r="G364" s="60">
        <v>0.9</v>
      </c>
      <c r="H364" s="60">
        <v>10.1</v>
      </c>
      <c r="I364" s="60">
        <v>25.79</v>
      </c>
      <c r="J364" s="60">
        <v>0</v>
      </c>
      <c r="O364" s="60" t="s">
        <v>537</v>
      </c>
      <c r="P364" s="60" t="s">
        <v>948</v>
      </c>
      <c r="Q364" s="60" t="s">
        <v>3570</v>
      </c>
      <c r="R364" s="60">
        <v>23.55</v>
      </c>
      <c r="S364" s="60">
        <v>-1.87</v>
      </c>
      <c r="T364" s="60">
        <v>7672</v>
      </c>
      <c r="U364" s="60">
        <v>23.99</v>
      </c>
    </row>
    <row r="365" spans="1:21">
      <c r="A365" s="60" t="s">
        <v>539</v>
      </c>
      <c r="B365" s="60" t="s">
        <v>950</v>
      </c>
      <c r="C365" s="60" t="s">
        <v>3953</v>
      </c>
      <c r="D365" s="60">
        <v>41.15</v>
      </c>
      <c r="E365" s="60">
        <v>0.86</v>
      </c>
      <c r="F365" s="60">
        <v>9995</v>
      </c>
      <c r="G365" s="60">
        <v>1.3</v>
      </c>
      <c r="H365" s="60">
        <v>13.7</v>
      </c>
      <c r="I365" s="60">
        <v>19.09</v>
      </c>
      <c r="J365" s="60">
        <v>0.01</v>
      </c>
      <c r="O365" s="60" t="s">
        <v>539</v>
      </c>
      <c r="P365" s="60" t="s">
        <v>950</v>
      </c>
      <c r="Q365" s="60" t="s">
        <v>3953</v>
      </c>
      <c r="R365" s="60">
        <v>41.15</v>
      </c>
      <c r="S365" s="60">
        <v>0.86</v>
      </c>
      <c r="T365" s="60">
        <v>9995</v>
      </c>
      <c r="U365" s="60">
        <v>36.619999999999997</v>
      </c>
    </row>
    <row r="366" spans="1:21">
      <c r="A366" s="60" t="s">
        <v>541</v>
      </c>
      <c r="B366" s="60" t="s">
        <v>952</v>
      </c>
      <c r="C366" s="60" t="s">
        <v>4155</v>
      </c>
      <c r="D366" s="60">
        <v>17.149999999999999</v>
      </c>
      <c r="E366" s="60">
        <v>1.48</v>
      </c>
      <c r="F366" s="60">
        <v>806</v>
      </c>
      <c r="G366" s="60">
        <v>0.01</v>
      </c>
      <c r="H366" s="60">
        <v>12.37</v>
      </c>
      <c r="I366" s="60">
        <v>11.01</v>
      </c>
      <c r="J366" s="60">
        <v>0.01</v>
      </c>
      <c r="O366" s="60" t="s">
        <v>541</v>
      </c>
      <c r="P366" s="60" t="s">
        <v>952</v>
      </c>
      <c r="Q366" s="60" t="s">
        <v>4155</v>
      </c>
      <c r="R366" s="60">
        <v>17.149999999999999</v>
      </c>
      <c r="S366" s="60">
        <v>1.48</v>
      </c>
      <c r="T366" s="60">
        <v>806</v>
      </c>
      <c r="U366" s="60">
        <v>37.340000000000003</v>
      </c>
    </row>
    <row r="367" spans="1:21">
      <c r="A367" s="60" t="s">
        <v>543</v>
      </c>
      <c r="B367" s="60" t="s">
        <v>954</v>
      </c>
      <c r="C367" s="60" t="s">
        <v>4268</v>
      </c>
      <c r="D367" s="60">
        <v>189</v>
      </c>
      <c r="E367" s="60">
        <v>-0.53</v>
      </c>
      <c r="F367" s="60">
        <v>252</v>
      </c>
      <c r="G367" s="60">
        <v>0.04</v>
      </c>
      <c r="H367" s="60">
        <v>30.27</v>
      </c>
      <c r="I367" s="60">
        <v>4.4000000000000004</v>
      </c>
      <c r="J367" s="60">
        <v>4.25</v>
      </c>
      <c r="O367" s="60" t="s">
        <v>543</v>
      </c>
      <c r="P367" s="60" t="s">
        <v>954</v>
      </c>
      <c r="Q367" s="60" t="s">
        <v>4268</v>
      </c>
      <c r="R367" s="60">
        <v>189</v>
      </c>
      <c r="S367" s="60">
        <v>-0.53</v>
      </c>
      <c r="T367" s="60">
        <v>252</v>
      </c>
      <c r="U367" s="60">
        <v>37.729999999999997</v>
      </c>
    </row>
    <row r="368" spans="1:21">
      <c r="A368" s="60" t="s">
        <v>545</v>
      </c>
      <c r="B368" s="60" t="s">
        <v>3155</v>
      </c>
      <c r="C368" s="60" t="s">
        <v>4015</v>
      </c>
      <c r="D368" s="60">
        <v>12.2</v>
      </c>
      <c r="E368" s="60">
        <v>-0.41</v>
      </c>
      <c r="F368" s="60">
        <v>672</v>
      </c>
      <c r="G368" s="60">
        <v>0</v>
      </c>
      <c r="H368" s="60">
        <v>9.32</v>
      </c>
      <c r="I368" s="60">
        <v>0</v>
      </c>
      <c r="J368" s="60">
        <v>0</v>
      </c>
      <c r="O368" s="60" t="s">
        <v>545</v>
      </c>
      <c r="P368" s="60" t="s">
        <v>3155</v>
      </c>
      <c r="Q368" s="60" t="s">
        <v>4015</v>
      </c>
      <c r="R368" s="60">
        <v>12.2</v>
      </c>
      <c r="S368" s="60">
        <v>-0.41</v>
      </c>
      <c r="T368" s="60">
        <v>672</v>
      </c>
      <c r="U368" s="60">
        <v>19.54</v>
      </c>
    </row>
    <row r="369" spans="1:21">
      <c r="A369" s="60" t="s">
        <v>547</v>
      </c>
      <c r="B369" s="60" t="s">
        <v>3156</v>
      </c>
      <c r="C369" s="60" t="s">
        <v>49</v>
      </c>
      <c r="D369" s="60">
        <v>23.1</v>
      </c>
      <c r="E369" s="60">
        <v>2.21</v>
      </c>
      <c r="F369" s="60">
        <v>4404</v>
      </c>
      <c r="G369" s="60">
        <v>1.01</v>
      </c>
      <c r="H369" s="60">
        <v>5.45</v>
      </c>
      <c r="I369" s="60">
        <v>22.32</v>
      </c>
      <c r="J369" s="60">
        <v>0</v>
      </c>
      <c r="O369" s="60" t="s">
        <v>547</v>
      </c>
      <c r="P369" s="60" t="s">
        <v>3156</v>
      </c>
      <c r="Q369" s="60" t="s">
        <v>49</v>
      </c>
      <c r="R369" s="60">
        <v>23.1</v>
      </c>
      <c r="S369" s="60">
        <v>2.21</v>
      </c>
      <c r="T369" s="60">
        <v>4404</v>
      </c>
      <c r="U369" s="60">
        <v>14.53</v>
      </c>
    </row>
    <row r="370" spans="1:21">
      <c r="A370" s="60" t="s">
        <v>549</v>
      </c>
      <c r="B370" s="60" t="s">
        <v>958</v>
      </c>
      <c r="C370" s="60" t="s">
        <v>3954</v>
      </c>
      <c r="D370" s="60">
        <v>75.400000000000006</v>
      </c>
      <c r="E370" s="60">
        <v>8.33</v>
      </c>
      <c r="F370" s="60">
        <v>50485</v>
      </c>
      <c r="G370" s="60">
        <v>0.47</v>
      </c>
      <c r="H370" s="60">
        <v>19.63</v>
      </c>
      <c r="I370" s="60">
        <v>2.67</v>
      </c>
      <c r="J370" s="60">
        <v>1.37</v>
      </c>
      <c r="O370" s="60" t="s">
        <v>549</v>
      </c>
      <c r="P370" s="60" t="s">
        <v>958</v>
      </c>
      <c r="Q370" s="60" t="s">
        <v>3954</v>
      </c>
      <c r="R370" s="60">
        <v>75.400000000000006</v>
      </c>
      <c r="S370" s="60">
        <v>8.33</v>
      </c>
      <c r="T370" s="60">
        <v>50485</v>
      </c>
      <c r="U370" s="60">
        <v>82.39</v>
      </c>
    </row>
    <row r="371" spans="1:21">
      <c r="A371" s="60" t="s">
        <v>551</v>
      </c>
      <c r="B371" s="60" t="s">
        <v>960</v>
      </c>
      <c r="C371" s="60" t="s">
        <v>4055</v>
      </c>
      <c r="D371" s="60">
        <v>21.85</v>
      </c>
      <c r="E371" s="60">
        <v>0</v>
      </c>
      <c r="F371" s="60">
        <v>140626</v>
      </c>
      <c r="G371" s="60">
        <v>1.04</v>
      </c>
      <c r="H371" s="60">
        <v>33.32</v>
      </c>
      <c r="I371" s="60">
        <v>12.44</v>
      </c>
      <c r="J371" s="60">
        <v>4.24</v>
      </c>
      <c r="O371" s="60" t="s">
        <v>551</v>
      </c>
      <c r="P371" s="60" t="s">
        <v>960</v>
      </c>
      <c r="Q371" s="60" t="s">
        <v>4055</v>
      </c>
      <c r="R371" s="60">
        <v>21.85</v>
      </c>
      <c r="S371" s="60">
        <v>0</v>
      </c>
      <c r="T371" s="60">
        <v>140626</v>
      </c>
      <c r="U371" s="60">
        <v>56.08</v>
      </c>
    </row>
    <row r="372" spans="1:21">
      <c r="A372" s="60" t="s">
        <v>553</v>
      </c>
      <c r="B372" s="60" t="s">
        <v>962</v>
      </c>
      <c r="C372" s="60" t="s">
        <v>4112</v>
      </c>
      <c r="D372" s="60">
        <v>112.5</v>
      </c>
      <c r="E372" s="60">
        <v>-0.44</v>
      </c>
      <c r="F372" s="60">
        <v>5631</v>
      </c>
      <c r="G372" s="60">
        <v>0</v>
      </c>
      <c r="H372" s="60">
        <v>17.309999999999999</v>
      </c>
      <c r="I372" s="60">
        <v>0.05</v>
      </c>
      <c r="J372" s="60">
        <v>0.57999999999999996</v>
      </c>
      <c r="O372" s="60" t="s">
        <v>553</v>
      </c>
      <c r="P372" s="60" t="s">
        <v>962</v>
      </c>
      <c r="Q372" s="60" t="s">
        <v>4112</v>
      </c>
      <c r="R372" s="60">
        <v>112.5</v>
      </c>
      <c r="S372" s="60">
        <v>-0.44</v>
      </c>
      <c r="T372" s="60">
        <v>5631</v>
      </c>
      <c r="U372" s="60">
        <v>78.53</v>
      </c>
    </row>
    <row r="373" spans="1:21">
      <c r="A373" s="60" t="s">
        <v>555</v>
      </c>
      <c r="B373" s="60" t="s">
        <v>964</v>
      </c>
      <c r="C373" s="60" t="s">
        <v>4156</v>
      </c>
      <c r="D373" s="60">
        <v>20.05</v>
      </c>
      <c r="E373" s="60">
        <v>5.25</v>
      </c>
      <c r="F373" s="60">
        <v>1094</v>
      </c>
      <c r="G373" s="60">
        <v>0.01</v>
      </c>
      <c r="H373" s="60">
        <v>1.1399999999999999</v>
      </c>
      <c r="I373" s="60">
        <v>9.9499999999999993</v>
      </c>
      <c r="J373" s="60">
        <v>0</v>
      </c>
      <c r="O373" s="60" t="s">
        <v>555</v>
      </c>
      <c r="P373" s="60" t="s">
        <v>964</v>
      </c>
      <c r="Q373" s="60" t="s">
        <v>4156</v>
      </c>
      <c r="R373" s="60">
        <v>20.05</v>
      </c>
      <c r="S373" s="60">
        <v>5.25</v>
      </c>
      <c r="T373" s="60">
        <v>1094</v>
      </c>
      <c r="U373" s="60">
        <v>52.74</v>
      </c>
    </row>
    <row r="374" spans="1:21">
      <c r="A374" s="60" t="s">
        <v>556</v>
      </c>
      <c r="B374" s="60" t="s">
        <v>966</v>
      </c>
      <c r="C374" s="60" t="s">
        <v>4231</v>
      </c>
      <c r="D374" s="60">
        <v>40.049999999999997</v>
      </c>
      <c r="E374" s="60">
        <v>-0.62</v>
      </c>
      <c r="F374" s="60">
        <v>363</v>
      </c>
      <c r="G374" s="60">
        <v>0.03</v>
      </c>
      <c r="H374" s="60">
        <v>9.39</v>
      </c>
      <c r="I374" s="60">
        <v>1.39</v>
      </c>
      <c r="J374" s="60">
        <v>7.0000000000000007E-2</v>
      </c>
      <c r="O374" s="60" t="s">
        <v>556</v>
      </c>
      <c r="P374" s="60" t="s">
        <v>966</v>
      </c>
      <c r="Q374" s="60" t="s">
        <v>4231</v>
      </c>
      <c r="R374" s="60">
        <v>40.049999999999997</v>
      </c>
      <c r="S374" s="60">
        <v>-0.62</v>
      </c>
      <c r="T374" s="60">
        <v>363</v>
      </c>
      <c r="U374" s="60">
        <v>50.27</v>
      </c>
    </row>
    <row r="375" spans="1:21">
      <c r="A375" s="60" t="s">
        <v>558</v>
      </c>
      <c r="B375" s="60" t="s">
        <v>968</v>
      </c>
      <c r="C375" s="60" t="s">
        <v>4157</v>
      </c>
      <c r="D375" s="60">
        <v>47.25</v>
      </c>
      <c r="E375" s="60">
        <v>1.83</v>
      </c>
      <c r="F375" s="60">
        <v>866</v>
      </c>
      <c r="G375" s="60">
        <v>1.1100000000000001</v>
      </c>
      <c r="H375" s="60">
        <v>3.36</v>
      </c>
      <c r="I375" s="60">
        <v>15.36</v>
      </c>
      <c r="J375" s="60">
        <v>0</v>
      </c>
      <c r="O375" s="60" t="s">
        <v>558</v>
      </c>
      <c r="P375" s="60" t="s">
        <v>968</v>
      </c>
      <c r="Q375" s="60" t="s">
        <v>4157</v>
      </c>
      <c r="R375" s="60">
        <v>47.25</v>
      </c>
      <c r="S375" s="60">
        <v>1.83</v>
      </c>
      <c r="T375" s="60">
        <v>866</v>
      </c>
      <c r="U375" s="60">
        <v>51.63</v>
      </c>
    </row>
    <row r="376" spans="1:21">
      <c r="A376" s="60" t="s">
        <v>560</v>
      </c>
      <c r="B376" s="60" t="s">
        <v>970</v>
      </c>
      <c r="C376" s="60" t="s">
        <v>3595</v>
      </c>
      <c r="D376" s="60">
        <v>25.55</v>
      </c>
      <c r="E376" s="60">
        <v>0.59</v>
      </c>
      <c r="F376" s="60">
        <v>2748</v>
      </c>
      <c r="G376" s="60">
        <v>2.57</v>
      </c>
      <c r="H376" s="60">
        <v>3.89</v>
      </c>
      <c r="I376" s="60">
        <v>18.77</v>
      </c>
      <c r="J376" s="60">
        <v>0</v>
      </c>
      <c r="O376" s="60" t="s">
        <v>560</v>
      </c>
      <c r="P376" s="60" t="s">
        <v>970</v>
      </c>
      <c r="Q376" s="60" t="s">
        <v>3595</v>
      </c>
      <c r="R376" s="60">
        <v>25.55</v>
      </c>
      <c r="S376" s="60">
        <v>0.59</v>
      </c>
      <c r="T376" s="60">
        <v>2748</v>
      </c>
      <c r="U376" s="60">
        <v>31.23</v>
      </c>
    </row>
    <row r="377" spans="1:21">
      <c r="A377" s="60" t="s">
        <v>562</v>
      </c>
      <c r="B377" s="60" t="s">
        <v>972</v>
      </c>
      <c r="C377" s="60" t="s">
        <v>4113</v>
      </c>
      <c r="D377" s="60">
        <v>24.2</v>
      </c>
      <c r="E377" s="60">
        <v>3.42</v>
      </c>
      <c r="F377" s="60">
        <v>4574</v>
      </c>
      <c r="G377" s="60">
        <v>0.24</v>
      </c>
      <c r="H377" s="60">
        <v>3.57</v>
      </c>
      <c r="I377" s="60">
        <v>9</v>
      </c>
      <c r="J377" s="60">
        <v>0</v>
      </c>
      <c r="O377" s="60" t="s">
        <v>562</v>
      </c>
      <c r="P377" s="60" t="s">
        <v>972</v>
      </c>
      <c r="Q377" s="60" t="s">
        <v>4113</v>
      </c>
      <c r="R377" s="60">
        <v>24.2</v>
      </c>
      <c r="S377" s="60">
        <v>3.42</v>
      </c>
      <c r="T377" s="60">
        <v>4574</v>
      </c>
      <c r="U377" s="60">
        <v>67.13</v>
      </c>
    </row>
    <row r="378" spans="1:21">
      <c r="A378" s="60" t="s">
        <v>564</v>
      </c>
      <c r="B378" s="60" t="s">
        <v>974</v>
      </c>
      <c r="C378" s="60" t="s">
        <v>4158</v>
      </c>
      <c r="D378" s="60">
        <v>45.2</v>
      </c>
      <c r="E378" s="60">
        <v>0.11</v>
      </c>
      <c r="F378" s="60">
        <v>899</v>
      </c>
      <c r="G378" s="60">
        <v>0</v>
      </c>
      <c r="H378" s="60">
        <v>7.87</v>
      </c>
      <c r="I378" s="60">
        <v>3.61</v>
      </c>
      <c r="J378" s="60">
        <v>0.02</v>
      </c>
      <c r="O378" s="60" t="s">
        <v>564</v>
      </c>
      <c r="P378" s="60" t="s">
        <v>974</v>
      </c>
      <c r="Q378" s="60" t="s">
        <v>4158</v>
      </c>
      <c r="R378" s="60">
        <v>45.2</v>
      </c>
      <c r="S378" s="60">
        <v>0.11</v>
      </c>
      <c r="T378" s="60">
        <v>899</v>
      </c>
      <c r="U378" s="60">
        <v>42.9</v>
      </c>
    </row>
    <row r="379" spans="1:21">
      <c r="A379" s="60" t="s">
        <v>566</v>
      </c>
      <c r="B379" s="60" t="s">
        <v>976</v>
      </c>
      <c r="C379" s="60" t="s">
        <v>4159</v>
      </c>
      <c r="D379" s="60">
        <v>44.5</v>
      </c>
      <c r="E379" s="60">
        <v>4.58</v>
      </c>
      <c r="F379" s="60">
        <v>11717</v>
      </c>
      <c r="G379" s="60">
        <v>0.09</v>
      </c>
      <c r="H379" s="60">
        <v>19.97</v>
      </c>
      <c r="I379" s="60">
        <v>7.16</v>
      </c>
      <c r="J379" s="60">
        <v>0.02</v>
      </c>
      <c r="O379" s="60" t="s">
        <v>566</v>
      </c>
      <c r="P379" s="60" t="s">
        <v>976</v>
      </c>
      <c r="Q379" s="60" t="s">
        <v>4159</v>
      </c>
      <c r="R379" s="60">
        <v>44.5</v>
      </c>
      <c r="S379" s="60">
        <v>4.58</v>
      </c>
      <c r="T379" s="60">
        <v>11717</v>
      </c>
      <c r="U379" s="60">
        <v>48.89</v>
      </c>
    </row>
    <row r="380" spans="1:21">
      <c r="A380" s="60" t="s">
        <v>568</v>
      </c>
      <c r="B380" s="60" t="s">
        <v>978</v>
      </c>
      <c r="C380" s="60" t="s">
        <v>4269</v>
      </c>
      <c r="D380" s="60">
        <v>29.7</v>
      </c>
      <c r="E380" s="60">
        <v>1.71</v>
      </c>
      <c r="F380" s="60">
        <v>561</v>
      </c>
      <c r="G380" s="60">
        <v>0.02</v>
      </c>
      <c r="H380" s="60">
        <v>3.78</v>
      </c>
      <c r="I380" s="60">
        <v>2.97</v>
      </c>
      <c r="J380" s="60">
        <v>0.02</v>
      </c>
      <c r="O380" s="60" t="s">
        <v>568</v>
      </c>
      <c r="P380" s="60" t="s">
        <v>978</v>
      </c>
      <c r="Q380" s="60" t="s">
        <v>4269</v>
      </c>
      <c r="R380" s="60">
        <v>29.7</v>
      </c>
      <c r="S380" s="60">
        <v>1.71</v>
      </c>
      <c r="T380" s="60">
        <v>561</v>
      </c>
      <c r="U380" s="60">
        <v>63.36</v>
      </c>
    </row>
    <row r="381" spans="1:21">
      <c r="A381" s="60" t="s">
        <v>570</v>
      </c>
      <c r="B381" s="60" t="s">
        <v>3157</v>
      </c>
      <c r="C381" s="60" t="s">
        <v>4016</v>
      </c>
      <c r="D381" s="60">
        <v>22.2</v>
      </c>
      <c r="E381" s="60">
        <v>-5.33</v>
      </c>
      <c r="F381" s="60">
        <v>12</v>
      </c>
      <c r="G381" s="60">
        <v>0</v>
      </c>
      <c r="H381" s="60">
        <v>0.22</v>
      </c>
      <c r="I381" s="60">
        <v>0</v>
      </c>
      <c r="J381" s="60">
        <v>0</v>
      </c>
      <c r="O381" s="60" t="s">
        <v>570</v>
      </c>
      <c r="P381" s="60" t="s">
        <v>3157</v>
      </c>
      <c r="Q381" s="60" t="s">
        <v>4016</v>
      </c>
      <c r="R381" s="60">
        <v>22.2</v>
      </c>
      <c r="S381" s="60">
        <v>-5.33</v>
      </c>
      <c r="T381" s="60">
        <v>12</v>
      </c>
      <c r="U381" s="60">
        <v>77.989999999999995</v>
      </c>
    </row>
    <row r="382" spans="1:21">
      <c r="A382" s="60" t="s">
        <v>572</v>
      </c>
      <c r="B382" s="60" t="s">
        <v>981</v>
      </c>
      <c r="C382" s="60" t="s">
        <v>4017</v>
      </c>
      <c r="D382" s="60">
        <v>26.9</v>
      </c>
      <c r="E382" s="60">
        <v>-0.37</v>
      </c>
      <c r="F382" s="60">
        <v>594</v>
      </c>
      <c r="G382" s="60">
        <v>0</v>
      </c>
      <c r="H382" s="60">
        <v>19.489999999999998</v>
      </c>
      <c r="I382" s="60">
        <v>16.559999999999999</v>
      </c>
      <c r="J382" s="60">
        <v>0</v>
      </c>
      <c r="O382" s="60" t="s">
        <v>572</v>
      </c>
      <c r="P382" s="60" t="s">
        <v>981</v>
      </c>
      <c r="Q382" s="60" t="s">
        <v>4017</v>
      </c>
      <c r="R382" s="60">
        <v>26.9</v>
      </c>
      <c r="S382" s="60">
        <v>-0.37</v>
      </c>
      <c r="T382" s="60">
        <v>594</v>
      </c>
      <c r="U382" s="60">
        <v>66.75</v>
      </c>
    </row>
    <row r="383" spans="1:21">
      <c r="A383" s="60" t="s">
        <v>574</v>
      </c>
      <c r="B383" s="60" t="s">
        <v>983</v>
      </c>
      <c r="C383" s="60" t="s">
        <v>4056</v>
      </c>
      <c r="D383" s="60">
        <v>28.1</v>
      </c>
      <c r="E383" s="60">
        <v>-2.77</v>
      </c>
      <c r="F383" s="60">
        <v>19423</v>
      </c>
      <c r="G383" s="60">
        <v>0.37</v>
      </c>
      <c r="H383" s="60">
        <v>9.65</v>
      </c>
      <c r="I383" s="60">
        <v>18.66</v>
      </c>
      <c r="J383" s="60">
        <v>0</v>
      </c>
      <c r="O383" s="60" t="s">
        <v>574</v>
      </c>
      <c r="P383" s="60" t="s">
        <v>983</v>
      </c>
      <c r="Q383" s="60" t="s">
        <v>4056</v>
      </c>
      <c r="R383" s="60">
        <v>28.1</v>
      </c>
      <c r="S383" s="60">
        <v>-2.77</v>
      </c>
      <c r="T383" s="60">
        <v>19423</v>
      </c>
      <c r="U383" s="60">
        <v>33.78</v>
      </c>
    </row>
    <row r="384" spans="1:21">
      <c r="A384" s="60" t="s">
        <v>576</v>
      </c>
      <c r="B384" s="60" t="s">
        <v>985</v>
      </c>
      <c r="C384" s="60" t="s">
        <v>4251</v>
      </c>
      <c r="D384" s="60">
        <v>11</v>
      </c>
      <c r="E384" s="60">
        <v>0.46</v>
      </c>
      <c r="F384" s="60">
        <v>207</v>
      </c>
      <c r="G384" s="60">
        <v>0</v>
      </c>
      <c r="H384" s="60">
        <v>2.4900000000000002</v>
      </c>
      <c r="I384" s="60">
        <v>10.38</v>
      </c>
      <c r="J384" s="60">
        <v>0</v>
      </c>
      <c r="O384" s="60" t="s">
        <v>576</v>
      </c>
      <c r="P384" s="60" t="s">
        <v>985</v>
      </c>
      <c r="Q384" s="60" t="s">
        <v>4251</v>
      </c>
      <c r="R384" s="60">
        <v>11</v>
      </c>
      <c r="S384" s="60">
        <v>0.46</v>
      </c>
      <c r="T384" s="60">
        <v>207</v>
      </c>
      <c r="U384" s="60">
        <v>66.900000000000006</v>
      </c>
    </row>
    <row r="385" spans="1:21">
      <c r="A385" s="60" t="s">
        <v>578</v>
      </c>
      <c r="B385" s="60" t="s">
        <v>987</v>
      </c>
      <c r="C385" s="60" t="s">
        <v>4160</v>
      </c>
      <c r="D385" s="60">
        <v>169</v>
      </c>
      <c r="E385" s="60">
        <v>-9.8699999999999992</v>
      </c>
      <c r="F385" s="60">
        <v>4387</v>
      </c>
      <c r="G385" s="60">
        <v>0.02</v>
      </c>
      <c r="H385" s="60">
        <v>15.44</v>
      </c>
      <c r="I385" s="60">
        <v>7.64</v>
      </c>
      <c r="J385" s="60">
        <v>0.1</v>
      </c>
      <c r="O385" s="60" t="s">
        <v>578</v>
      </c>
      <c r="P385" s="60" t="s">
        <v>987</v>
      </c>
      <c r="Q385" s="60" t="s">
        <v>4160</v>
      </c>
      <c r="R385" s="60">
        <v>169</v>
      </c>
      <c r="S385" s="60">
        <v>-9.8699999999999992</v>
      </c>
      <c r="T385" s="60">
        <v>4387</v>
      </c>
      <c r="U385" s="60">
        <v>60.82</v>
      </c>
    </row>
    <row r="386" spans="1:21">
      <c r="A386" s="60" t="s">
        <v>580</v>
      </c>
      <c r="B386" s="60" t="s">
        <v>3158</v>
      </c>
      <c r="C386" s="60" t="s">
        <v>4161</v>
      </c>
      <c r="D386" s="60">
        <v>18.55</v>
      </c>
      <c r="E386" s="60">
        <v>-2.62</v>
      </c>
      <c r="F386" s="60">
        <v>109</v>
      </c>
      <c r="G386" s="60">
        <v>0</v>
      </c>
      <c r="H386" s="60">
        <v>2.5</v>
      </c>
      <c r="I386" s="60">
        <v>0</v>
      </c>
      <c r="J386" s="60">
        <v>0</v>
      </c>
      <c r="O386" s="60" t="s">
        <v>580</v>
      </c>
      <c r="P386" s="60" t="s">
        <v>3158</v>
      </c>
      <c r="Q386" s="60" t="s">
        <v>4161</v>
      </c>
      <c r="R386" s="60">
        <v>18.55</v>
      </c>
      <c r="S386" s="60">
        <v>-2.62</v>
      </c>
      <c r="T386" s="60">
        <v>109</v>
      </c>
      <c r="U386" s="60">
        <v>67.63</v>
      </c>
    </row>
    <row r="387" spans="1:21">
      <c r="A387" s="60" t="s">
        <v>582</v>
      </c>
      <c r="B387" s="60" t="s">
        <v>990</v>
      </c>
      <c r="C387" s="60" t="s">
        <v>4232</v>
      </c>
      <c r="D387" s="60">
        <v>40.4</v>
      </c>
      <c r="E387" s="60">
        <v>-0.25</v>
      </c>
      <c r="F387" s="60">
        <v>484</v>
      </c>
      <c r="G387" s="60">
        <v>0.21</v>
      </c>
      <c r="H387" s="60">
        <v>9.23</v>
      </c>
      <c r="I387" s="60">
        <v>5.13</v>
      </c>
      <c r="J387" s="60">
        <v>0.02</v>
      </c>
      <c r="O387" s="60" t="s">
        <v>582</v>
      </c>
      <c r="P387" s="60" t="s">
        <v>990</v>
      </c>
      <c r="Q387" s="60" t="s">
        <v>4232</v>
      </c>
      <c r="R387" s="60">
        <v>40.4</v>
      </c>
      <c r="S387" s="60">
        <v>-0.25</v>
      </c>
      <c r="T387" s="60">
        <v>484</v>
      </c>
      <c r="U387" s="60">
        <v>62.37</v>
      </c>
    </row>
    <row r="388" spans="1:21">
      <c r="A388" s="60" t="s">
        <v>584</v>
      </c>
      <c r="B388" s="60" t="s">
        <v>992</v>
      </c>
      <c r="C388" s="60" t="s">
        <v>4162</v>
      </c>
      <c r="D388" s="60">
        <v>12.25</v>
      </c>
      <c r="E388" s="60">
        <v>0</v>
      </c>
      <c r="F388" s="60">
        <v>178</v>
      </c>
      <c r="G388" s="60">
        <v>0.09</v>
      </c>
      <c r="H388" s="60">
        <v>1.84</v>
      </c>
      <c r="I388" s="60">
        <v>14.48</v>
      </c>
      <c r="J388" s="60">
        <v>0</v>
      </c>
      <c r="O388" s="60" t="s">
        <v>584</v>
      </c>
      <c r="P388" s="60" t="s">
        <v>992</v>
      </c>
      <c r="Q388" s="60" t="s">
        <v>4162</v>
      </c>
      <c r="R388" s="60">
        <v>12.25</v>
      </c>
      <c r="S388" s="60">
        <v>0</v>
      </c>
      <c r="T388" s="60">
        <v>178</v>
      </c>
      <c r="U388" s="60">
        <v>36.82</v>
      </c>
    </row>
    <row r="389" spans="1:21">
      <c r="A389" s="60" t="s">
        <v>585</v>
      </c>
      <c r="B389" s="60" t="s">
        <v>994</v>
      </c>
      <c r="C389" s="60" t="s">
        <v>4270</v>
      </c>
      <c r="D389" s="60">
        <v>51.8</v>
      </c>
      <c r="E389" s="60">
        <v>0.19</v>
      </c>
      <c r="F389" s="60">
        <v>25</v>
      </c>
      <c r="G389" s="60">
        <v>0</v>
      </c>
      <c r="H389" s="60">
        <v>0.84</v>
      </c>
      <c r="I389" s="60">
        <v>0.11</v>
      </c>
      <c r="J389" s="60">
        <v>0</v>
      </c>
      <c r="O389" s="60" t="s">
        <v>585</v>
      </c>
      <c r="P389" s="60" t="s">
        <v>994</v>
      </c>
      <c r="Q389" s="60" t="s">
        <v>4270</v>
      </c>
      <c r="R389" s="60">
        <v>51.8</v>
      </c>
      <c r="S389" s="60">
        <v>0.19</v>
      </c>
      <c r="T389" s="60">
        <v>25</v>
      </c>
      <c r="U389" s="60">
        <v>79.59</v>
      </c>
    </row>
    <row r="390" spans="1:21">
      <c r="A390" s="60" t="s">
        <v>587</v>
      </c>
      <c r="B390" s="60" t="s">
        <v>3159</v>
      </c>
      <c r="C390" s="60" t="s">
        <v>3955</v>
      </c>
      <c r="D390" s="60">
        <v>41.6</v>
      </c>
      <c r="E390" s="60">
        <v>1.46</v>
      </c>
      <c r="F390" s="60">
        <v>19</v>
      </c>
      <c r="G390" s="60">
        <v>0</v>
      </c>
      <c r="H390" s="60">
        <v>1.0900000000000001</v>
      </c>
      <c r="I390" s="60">
        <v>11.7</v>
      </c>
      <c r="J390" s="60">
        <v>0</v>
      </c>
      <c r="O390" s="60" t="s">
        <v>587</v>
      </c>
      <c r="P390" s="60" t="s">
        <v>3159</v>
      </c>
      <c r="Q390" s="60" t="s">
        <v>3955</v>
      </c>
      <c r="R390" s="60">
        <v>41.6</v>
      </c>
      <c r="S390" s="60">
        <v>1.46</v>
      </c>
      <c r="T390" s="60">
        <v>19</v>
      </c>
      <c r="U390" s="60">
        <v>74.400000000000006</v>
      </c>
    </row>
    <row r="391" spans="1:21">
      <c r="A391" s="60" t="s">
        <v>589</v>
      </c>
      <c r="B391" s="60" t="s">
        <v>997</v>
      </c>
      <c r="C391" s="60" t="s">
        <v>3956</v>
      </c>
      <c r="D391" s="60">
        <v>101</v>
      </c>
      <c r="E391" s="60">
        <v>-5.16</v>
      </c>
      <c r="F391" s="60">
        <v>26794</v>
      </c>
      <c r="G391" s="60">
        <v>4.53</v>
      </c>
      <c r="H391" s="60">
        <v>24.17</v>
      </c>
      <c r="I391" s="60">
        <v>41.06</v>
      </c>
      <c r="J391" s="60">
        <v>4.4800000000000004</v>
      </c>
      <c r="O391" s="60" t="s">
        <v>589</v>
      </c>
      <c r="P391" s="60" t="s">
        <v>997</v>
      </c>
      <c r="Q391" s="60" t="s">
        <v>3956</v>
      </c>
      <c r="R391" s="60">
        <v>101</v>
      </c>
      <c r="S391" s="60">
        <v>-5.16</v>
      </c>
      <c r="T391" s="60">
        <v>26794</v>
      </c>
      <c r="U391" s="60">
        <v>34.67</v>
      </c>
    </row>
    <row r="392" spans="1:21">
      <c r="A392" s="60" t="s">
        <v>591</v>
      </c>
      <c r="B392" s="60" t="s">
        <v>3160</v>
      </c>
      <c r="C392" s="60" t="s">
        <v>4057</v>
      </c>
      <c r="D392" s="60">
        <v>14.75</v>
      </c>
      <c r="E392" s="60">
        <v>0.34</v>
      </c>
      <c r="F392" s="60">
        <v>24</v>
      </c>
      <c r="G392" s="60">
        <v>0</v>
      </c>
      <c r="H392" s="60">
        <v>0.64</v>
      </c>
      <c r="I392" s="60">
        <v>0</v>
      </c>
      <c r="J392" s="60">
        <v>0</v>
      </c>
      <c r="O392" s="60" t="s">
        <v>591</v>
      </c>
      <c r="P392" s="60" t="s">
        <v>3160</v>
      </c>
      <c r="Q392" s="60" t="s">
        <v>4057</v>
      </c>
      <c r="R392" s="60">
        <v>14.75</v>
      </c>
      <c r="S392" s="60">
        <v>0.34</v>
      </c>
      <c r="T392" s="60">
        <v>24</v>
      </c>
      <c r="U392" s="60">
        <v>57.77</v>
      </c>
    </row>
    <row r="393" spans="1:21">
      <c r="A393" s="60" t="s">
        <v>593</v>
      </c>
      <c r="B393" s="60" t="s">
        <v>1000</v>
      </c>
      <c r="C393" s="60" t="s">
        <v>4114</v>
      </c>
      <c r="D393" s="60">
        <v>94.3</v>
      </c>
      <c r="E393" s="60">
        <v>2.39</v>
      </c>
      <c r="F393" s="60">
        <v>1408</v>
      </c>
      <c r="G393" s="60">
        <v>0.37</v>
      </c>
      <c r="H393" s="60">
        <v>17.649999999999999</v>
      </c>
      <c r="I393" s="60">
        <v>12.73</v>
      </c>
      <c r="J393" s="60">
        <v>0</v>
      </c>
      <c r="O393" s="60" t="s">
        <v>593</v>
      </c>
      <c r="P393" s="60" t="s">
        <v>1000</v>
      </c>
      <c r="Q393" s="60" t="s">
        <v>4114</v>
      </c>
      <c r="R393" s="60">
        <v>94.3</v>
      </c>
      <c r="S393" s="60">
        <v>2.39</v>
      </c>
      <c r="T393" s="60">
        <v>1408</v>
      </c>
      <c r="U393" s="60">
        <v>27.26</v>
      </c>
    </row>
    <row r="394" spans="1:21">
      <c r="A394" s="60" t="s">
        <v>595</v>
      </c>
      <c r="B394" s="60" t="s">
        <v>3161</v>
      </c>
      <c r="C394" s="60" t="s">
        <v>4163</v>
      </c>
      <c r="D394" s="60">
        <v>18.75</v>
      </c>
      <c r="E394" s="60">
        <v>4.75</v>
      </c>
      <c r="F394" s="60">
        <v>1018</v>
      </c>
      <c r="G394" s="60">
        <v>0</v>
      </c>
      <c r="H394" s="60">
        <v>0.18</v>
      </c>
      <c r="I394" s="60">
        <v>0</v>
      </c>
      <c r="J394" s="60">
        <v>0</v>
      </c>
      <c r="O394" s="60" t="s">
        <v>595</v>
      </c>
      <c r="P394" s="60" t="s">
        <v>3161</v>
      </c>
      <c r="Q394" s="60" t="s">
        <v>4163</v>
      </c>
      <c r="R394" s="60">
        <v>18.75</v>
      </c>
      <c r="S394" s="60">
        <v>4.75</v>
      </c>
      <c r="T394" s="60">
        <v>1018</v>
      </c>
      <c r="U394" s="60">
        <v>63.43</v>
      </c>
    </row>
    <row r="395" spans="1:21">
      <c r="A395" s="60" t="s">
        <v>597</v>
      </c>
      <c r="B395" s="60" t="s">
        <v>1003</v>
      </c>
      <c r="C395" s="60" t="s">
        <v>3957</v>
      </c>
      <c r="D395" s="60">
        <v>79.599999999999994</v>
      </c>
      <c r="E395" s="60">
        <v>-0.5</v>
      </c>
      <c r="F395" s="60">
        <v>2909</v>
      </c>
      <c r="G395" s="60">
        <v>0.01</v>
      </c>
      <c r="H395" s="60">
        <v>25.98</v>
      </c>
      <c r="I395" s="60">
        <v>1.65</v>
      </c>
      <c r="J395" s="60">
        <v>4.8499999999999996</v>
      </c>
      <c r="O395" s="60" t="s">
        <v>597</v>
      </c>
      <c r="P395" s="60" t="s">
        <v>1003</v>
      </c>
      <c r="Q395" s="60" t="s">
        <v>3957</v>
      </c>
      <c r="R395" s="60">
        <v>79.599999999999994</v>
      </c>
      <c r="S395" s="60">
        <v>-0.5</v>
      </c>
      <c r="T395" s="60">
        <v>2909</v>
      </c>
      <c r="U395" s="60">
        <v>72.290000000000006</v>
      </c>
    </row>
    <row r="396" spans="1:21">
      <c r="A396" s="60" t="s">
        <v>599</v>
      </c>
      <c r="B396" s="60" t="s">
        <v>1005</v>
      </c>
      <c r="C396" s="60" t="s">
        <v>4018</v>
      </c>
      <c r="D396" s="60">
        <v>11.8</v>
      </c>
      <c r="E396" s="60">
        <v>-0.42</v>
      </c>
      <c r="F396" s="60">
        <v>712</v>
      </c>
      <c r="G396" s="60">
        <v>0</v>
      </c>
      <c r="H396" s="60">
        <v>4.6399999999999997</v>
      </c>
      <c r="I396" s="60">
        <v>15.23</v>
      </c>
      <c r="J396" s="60">
        <v>0</v>
      </c>
      <c r="O396" s="60" t="s">
        <v>599</v>
      </c>
      <c r="P396" s="60" t="s">
        <v>1005</v>
      </c>
      <c r="Q396" s="60" t="s">
        <v>4018</v>
      </c>
      <c r="R396" s="60">
        <v>11.8</v>
      </c>
      <c r="S396" s="60">
        <v>-0.42</v>
      </c>
      <c r="T396" s="60">
        <v>712</v>
      </c>
      <c r="U396" s="60">
        <v>55.53</v>
      </c>
    </row>
    <row r="397" spans="1:21">
      <c r="A397" s="60" t="s">
        <v>601</v>
      </c>
      <c r="B397" s="60" t="s">
        <v>3162</v>
      </c>
      <c r="C397" s="60" t="s">
        <v>4443</v>
      </c>
      <c r="D397" s="60">
        <v>3</v>
      </c>
      <c r="E397" s="60">
        <v>0</v>
      </c>
      <c r="F397" s="60">
        <v>47</v>
      </c>
      <c r="G397" s="60">
        <v>0</v>
      </c>
      <c r="H397" s="60">
        <v>0.22</v>
      </c>
      <c r="I397" s="60">
        <v>0</v>
      </c>
      <c r="J397" s="60">
        <v>0</v>
      </c>
      <c r="O397" s="60" t="s">
        <v>601</v>
      </c>
      <c r="P397" s="60" t="s">
        <v>3162</v>
      </c>
      <c r="Q397" s="60" t="s">
        <v>4443</v>
      </c>
      <c r="R397" s="60">
        <v>3</v>
      </c>
      <c r="S397" s="60">
        <v>0</v>
      </c>
      <c r="T397" s="60">
        <v>47</v>
      </c>
      <c r="U397" s="60">
        <v>45.45</v>
      </c>
    </row>
    <row r="398" spans="1:21">
      <c r="A398" s="60" t="s">
        <v>603</v>
      </c>
      <c r="B398" s="60" t="s">
        <v>3163</v>
      </c>
      <c r="C398" s="60" t="s">
        <v>4115</v>
      </c>
      <c r="D398" s="60">
        <v>12.15</v>
      </c>
      <c r="E398" s="60">
        <v>-0.41</v>
      </c>
      <c r="F398" s="60">
        <v>331</v>
      </c>
      <c r="G398" s="60">
        <v>0</v>
      </c>
      <c r="H398" s="60">
        <v>0.4</v>
      </c>
      <c r="I398" s="60">
        <v>0</v>
      </c>
      <c r="J398" s="60">
        <v>0</v>
      </c>
      <c r="O398" s="60" t="s">
        <v>603</v>
      </c>
      <c r="P398" s="60" t="s">
        <v>3163</v>
      </c>
      <c r="Q398" s="60" t="s">
        <v>4115</v>
      </c>
      <c r="R398" s="60">
        <v>12.15</v>
      </c>
      <c r="S398" s="60">
        <v>-0.41</v>
      </c>
      <c r="T398" s="60">
        <v>331</v>
      </c>
      <c r="U398" s="60">
        <v>21.38</v>
      </c>
    </row>
    <row r="399" spans="1:21">
      <c r="A399" s="60" t="s">
        <v>605</v>
      </c>
      <c r="B399" s="60" t="s">
        <v>1009</v>
      </c>
      <c r="C399" s="60" t="s">
        <v>3958</v>
      </c>
      <c r="D399" s="60">
        <v>43.35</v>
      </c>
      <c r="E399" s="60">
        <v>-1.25</v>
      </c>
      <c r="F399" s="60">
        <v>10611</v>
      </c>
      <c r="G399" s="60">
        <v>0.1</v>
      </c>
      <c r="H399" s="60">
        <v>45.17</v>
      </c>
      <c r="I399" s="60">
        <v>4.9400000000000004</v>
      </c>
      <c r="J399" s="60">
        <v>4.37</v>
      </c>
      <c r="O399" s="60" t="s">
        <v>605</v>
      </c>
      <c r="P399" s="60" t="s">
        <v>1009</v>
      </c>
      <c r="Q399" s="60" t="s">
        <v>3958</v>
      </c>
      <c r="R399" s="60">
        <v>43.35</v>
      </c>
      <c r="S399" s="60">
        <v>-1.25</v>
      </c>
      <c r="T399" s="60">
        <v>10611</v>
      </c>
      <c r="U399" s="60">
        <v>65.75</v>
      </c>
    </row>
    <row r="400" spans="1:21">
      <c r="A400" s="60" t="s">
        <v>607</v>
      </c>
      <c r="B400" s="60" t="s">
        <v>1011</v>
      </c>
      <c r="C400" s="60" t="s">
        <v>4116</v>
      </c>
      <c r="D400" s="60">
        <v>33.25</v>
      </c>
      <c r="E400" s="60">
        <v>0.15</v>
      </c>
      <c r="F400" s="60">
        <v>76</v>
      </c>
      <c r="G400" s="60">
        <v>0</v>
      </c>
      <c r="H400" s="60">
        <v>3.71</v>
      </c>
      <c r="I400" s="60">
        <v>0.75</v>
      </c>
      <c r="J400" s="60">
        <v>0</v>
      </c>
      <c r="O400" s="60" t="s">
        <v>607</v>
      </c>
      <c r="P400" s="60" t="s">
        <v>1011</v>
      </c>
      <c r="Q400" s="60" t="s">
        <v>4116</v>
      </c>
      <c r="R400" s="60">
        <v>33.25</v>
      </c>
      <c r="S400" s="60">
        <v>0.15</v>
      </c>
      <c r="T400" s="60">
        <v>76</v>
      </c>
      <c r="U400" s="60">
        <v>77.55</v>
      </c>
    </row>
    <row r="401" spans="1:21">
      <c r="A401" s="60" t="s">
        <v>609</v>
      </c>
      <c r="B401" s="60" t="s">
        <v>1013</v>
      </c>
      <c r="C401" s="60" t="s">
        <v>3959</v>
      </c>
      <c r="D401" s="60">
        <v>71.8</v>
      </c>
      <c r="E401" s="60">
        <v>0.98</v>
      </c>
      <c r="F401" s="60">
        <v>2898</v>
      </c>
      <c r="G401" s="60">
        <v>0.08</v>
      </c>
      <c r="H401" s="60">
        <v>14.75</v>
      </c>
      <c r="I401" s="60">
        <v>3.56</v>
      </c>
      <c r="J401" s="60">
        <v>0.03</v>
      </c>
      <c r="O401" s="60" t="s">
        <v>609</v>
      </c>
      <c r="P401" s="60" t="s">
        <v>1013</v>
      </c>
      <c r="Q401" s="60" t="s">
        <v>3959</v>
      </c>
      <c r="R401" s="60">
        <v>71.8</v>
      </c>
      <c r="S401" s="60">
        <v>0.98</v>
      </c>
      <c r="T401" s="60">
        <v>2898</v>
      </c>
      <c r="U401" s="60">
        <v>66.98</v>
      </c>
    </row>
    <row r="402" spans="1:21">
      <c r="A402" s="60" t="s">
        <v>611</v>
      </c>
      <c r="B402" s="60" t="s">
        <v>1015</v>
      </c>
      <c r="C402" s="60" t="s">
        <v>4252</v>
      </c>
      <c r="D402" s="60">
        <v>26.05</v>
      </c>
      <c r="E402" s="60">
        <v>2.36</v>
      </c>
      <c r="F402" s="60">
        <v>1619</v>
      </c>
      <c r="G402" s="60">
        <v>0.01</v>
      </c>
      <c r="H402" s="60">
        <v>4.4000000000000004</v>
      </c>
      <c r="I402" s="60">
        <v>7.7</v>
      </c>
      <c r="J402" s="60">
        <v>0</v>
      </c>
      <c r="O402" s="60" t="s">
        <v>611</v>
      </c>
      <c r="P402" s="60" t="s">
        <v>1015</v>
      </c>
      <c r="Q402" s="60" t="s">
        <v>4252</v>
      </c>
      <c r="R402" s="60">
        <v>26.05</v>
      </c>
      <c r="S402" s="60">
        <v>2.36</v>
      </c>
      <c r="T402" s="60">
        <v>1619</v>
      </c>
      <c r="U402" s="60">
        <v>57.39</v>
      </c>
    </row>
    <row r="403" spans="1:21">
      <c r="A403" s="60" t="s">
        <v>613</v>
      </c>
      <c r="B403" s="60" t="s">
        <v>1017</v>
      </c>
      <c r="C403" s="60" t="s">
        <v>3960</v>
      </c>
      <c r="D403" s="60">
        <v>1080</v>
      </c>
      <c r="E403" s="60">
        <v>-0.92</v>
      </c>
      <c r="F403" s="60">
        <v>5357</v>
      </c>
      <c r="G403" s="60">
        <v>0.15</v>
      </c>
      <c r="H403" s="60">
        <v>71.03</v>
      </c>
      <c r="I403" s="60">
        <v>1.67</v>
      </c>
      <c r="J403" s="60">
        <v>1.7</v>
      </c>
      <c r="O403" s="60" t="s">
        <v>613</v>
      </c>
      <c r="P403" s="60" t="s">
        <v>1017</v>
      </c>
      <c r="Q403" s="60" t="s">
        <v>3960</v>
      </c>
      <c r="R403" s="60">
        <v>1080</v>
      </c>
      <c r="S403" s="60">
        <v>-0.92</v>
      </c>
      <c r="T403" s="60">
        <v>5357</v>
      </c>
      <c r="U403" s="60">
        <v>69.290000000000006</v>
      </c>
    </row>
    <row r="404" spans="1:21">
      <c r="A404" s="60" t="s">
        <v>615</v>
      </c>
      <c r="B404" s="60" t="s">
        <v>1019</v>
      </c>
      <c r="C404" s="60" t="s">
        <v>4117</v>
      </c>
      <c r="D404" s="60">
        <v>146</v>
      </c>
      <c r="E404" s="60">
        <v>3.55</v>
      </c>
      <c r="F404" s="60">
        <v>8674</v>
      </c>
      <c r="G404" s="60">
        <v>0.61</v>
      </c>
      <c r="H404" s="60">
        <v>42.36</v>
      </c>
      <c r="I404" s="60">
        <v>24.21</v>
      </c>
      <c r="J404" s="60">
        <v>11.65</v>
      </c>
      <c r="O404" s="60" t="s">
        <v>615</v>
      </c>
      <c r="P404" s="60" t="s">
        <v>1019</v>
      </c>
      <c r="Q404" s="60" t="s">
        <v>4117</v>
      </c>
      <c r="R404" s="60">
        <v>146</v>
      </c>
      <c r="S404" s="60">
        <v>3.55</v>
      </c>
      <c r="T404" s="60">
        <v>8674</v>
      </c>
      <c r="U404" s="60">
        <v>47.4</v>
      </c>
    </row>
    <row r="405" spans="1:21">
      <c r="A405" s="60" t="s">
        <v>617</v>
      </c>
      <c r="B405" s="60" t="s">
        <v>1021</v>
      </c>
      <c r="C405" s="60" t="s">
        <v>4164</v>
      </c>
      <c r="D405" s="60">
        <v>91.4</v>
      </c>
      <c r="E405" s="60">
        <v>1.1100000000000001</v>
      </c>
      <c r="F405" s="60">
        <v>1553</v>
      </c>
      <c r="G405" s="60">
        <v>0.08</v>
      </c>
      <c r="H405" s="60">
        <v>14.25</v>
      </c>
      <c r="I405" s="60">
        <v>11.96</v>
      </c>
      <c r="J405" s="60">
        <v>0.03</v>
      </c>
      <c r="O405" s="60" t="s">
        <v>617</v>
      </c>
      <c r="P405" s="60" t="s">
        <v>1021</v>
      </c>
      <c r="Q405" s="60" t="s">
        <v>4164</v>
      </c>
      <c r="R405" s="60">
        <v>91.4</v>
      </c>
      <c r="S405" s="60">
        <v>1.1100000000000001</v>
      </c>
      <c r="T405" s="60">
        <v>1553</v>
      </c>
      <c r="U405" s="60">
        <v>32.64</v>
      </c>
    </row>
    <row r="406" spans="1:21">
      <c r="A406" s="60" t="s">
        <v>619</v>
      </c>
      <c r="B406" s="60" t="s">
        <v>1023</v>
      </c>
      <c r="C406" s="60" t="s">
        <v>3632</v>
      </c>
      <c r="D406" s="60">
        <v>37.700000000000003</v>
      </c>
      <c r="E406" s="60">
        <v>0.94</v>
      </c>
      <c r="F406" s="60">
        <v>6192</v>
      </c>
      <c r="G406" s="60">
        <v>2.74</v>
      </c>
      <c r="H406" s="60">
        <v>8.07</v>
      </c>
      <c r="I406" s="60">
        <v>27.27</v>
      </c>
      <c r="J406" s="60">
        <v>0.01</v>
      </c>
      <c r="O406" s="60" t="s">
        <v>619</v>
      </c>
      <c r="P406" s="60" t="s">
        <v>1023</v>
      </c>
      <c r="Q406" s="60" t="s">
        <v>3632</v>
      </c>
      <c r="R406" s="60">
        <v>37.700000000000003</v>
      </c>
      <c r="S406" s="60">
        <v>0.94</v>
      </c>
      <c r="T406" s="60">
        <v>6192</v>
      </c>
      <c r="U406" s="60">
        <v>28.62</v>
      </c>
    </row>
    <row r="407" spans="1:21">
      <c r="A407" s="60" t="s">
        <v>621</v>
      </c>
      <c r="B407" s="60" t="s">
        <v>1025</v>
      </c>
      <c r="C407" s="60" t="s">
        <v>3961</v>
      </c>
      <c r="D407" s="60">
        <v>170</v>
      </c>
      <c r="E407" s="60">
        <v>0.89</v>
      </c>
      <c r="F407" s="60">
        <v>1508</v>
      </c>
      <c r="G407" s="60">
        <v>1.45</v>
      </c>
      <c r="H407" s="60">
        <v>34.229999999999997</v>
      </c>
      <c r="I407" s="60">
        <v>8.92</v>
      </c>
      <c r="J407" s="60">
        <v>6.97</v>
      </c>
      <c r="O407" s="60" t="s">
        <v>621</v>
      </c>
      <c r="P407" s="60" t="s">
        <v>1025</v>
      </c>
      <c r="Q407" s="60" t="s">
        <v>3961</v>
      </c>
      <c r="R407" s="60">
        <v>170</v>
      </c>
      <c r="S407" s="60">
        <v>0.89</v>
      </c>
      <c r="T407" s="60">
        <v>1508</v>
      </c>
      <c r="U407" s="60">
        <v>44.84</v>
      </c>
    </row>
    <row r="408" spans="1:21">
      <c r="A408" s="60" t="s">
        <v>623</v>
      </c>
      <c r="B408" s="60" t="s">
        <v>1027</v>
      </c>
      <c r="C408" s="60" t="s">
        <v>4233</v>
      </c>
      <c r="D408" s="60">
        <v>60.3</v>
      </c>
      <c r="E408" s="60">
        <v>0.17</v>
      </c>
      <c r="F408" s="60">
        <v>107</v>
      </c>
      <c r="G408" s="60">
        <v>0</v>
      </c>
      <c r="H408" s="60">
        <v>18.100000000000001</v>
      </c>
      <c r="I408" s="60">
        <v>1.44</v>
      </c>
      <c r="J408" s="60">
        <v>0.01</v>
      </c>
      <c r="O408" s="60" t="s">
        <v>623</v>
      </c>
      <c r="P408" s="60" t="s">
        <v>1027</v>
      </c>
      <c r="Q408" s="60" t="s">
        <v>4233</v>
      </c>
      <c r="R408" s="60">
        <v>60.3</v>
      </c>
      <c r="S408" s="60">
        <v>0.17</v>
      </c>
      <c r="T408" s="60">
        <v>107</v>
      </c>
      <c r="U408" s="60">
        <v>41.54</v>
      </c>
    </row>
    <row r="409" spans="1:21">
      <c r="A409" s="60" t="s">
        <v>624</v>
      </c>
      <c r="B409" s="60" t="s">
        <v>1029</v>
      </c>
      <c r="C409" s="60" t="s">
        <v>3575</v>
      </c>
      <c r="D409" s="60">
        <v>28.65</v>
      </c>
      <c r="E409" s="60">
        <v>9.98</v>
      </c>
      <c r="F409" s="60">
        <v>1897</v>
      </c>
      <c r="G409" s="60">
        <v>0.16</v>
      </c>
      <c r="H409" s="60">
        <v>1.34</v>
      </c>
      <c r="I409" s="60">
        <v>12.07</v>
      </c>
      <c r="J409" s="60">
        <v>0</v>
      </c>
      <c r="O409" s="60" t="s">
        <v>624</v>
      </c>
      <c r="P409" s="60" t="s">
        <v>1029</v>
      </c>
      <c r="Q409" s="60" t="s">
        <v>3575</v>
      </c>
      <c r="R409" s="60">
        <v>28.65</v>
      </c>
      <c r="S409" s="60">
        <v>9.98</v>
      </c>
      <c r="T409" s="60">
        <v>1897</v>
      </c>
      <c r="U409" s="60">
        <v>58.9</v>
      </c>
    </row>
    <row r="410" spans="1:21">
      <c r="A410" s="60" t="s">
        <v>626</v>
      </c>
      <c r="B410" s="60" t="s">
        <v>1031</v>
      </c>
      <c r="C410" s="60" t="s">
        <v>3691</v>
      </c>
      <c r="D410" s="60">
        <v>23.4</v>
      </c>
      <c r="E410" s="60">
        <v>2.41</v>
      </c>
      <c r="F410" s="60">
        <v>1887</v>
      </c>
      <c r="G410" s="60">
        <v>2.04</v>
      </c>
      <c r="H410" s="60">
        <v>8.59</v>
      </c>
      <c r="I410" s="60">
        <v>21.86</v>
      </c>
      <c r="J410" s="60">
        <v>0</v>
      </c>
      <c r="O410" s="60" t="s">
        <v>626</v>
      </c>
      <c r="P410" s="60" t="s">
        <v>1031</v>
      </c>
      <c r="Q410" s="60" t="s">
        <v>3691</v>
      </c>
      <c r="R410" s="60">
        <v>23.4</v>
      </c>
      <c r="S410" s="60">
        <v>2.41</v>
      </c>
      <c r="T410" s="60">
        <v>1887</v>
      </c>
      <c r="U410" s="60">
        <v>30.5</v>
      </c>
    </row>
    <row r="411" spans="1:21">
      <c r="A411" s="60" t="s">
        <v>628</v>
      </c>
      <c r="B411" s="60" t="s">
        <v>1033</v>
      </c>
      <c r="C411" s="60" t="s">
        <v>4165</v>
      </c>
      <c r="D411" s="60">
        <v>30.95</v>
      </c>
      <c r="E411" s="60">
        <v>7.65</v>
      </c>
      <c r="F411" s="60">
        <v>1431</v>
      </c>
      <c r="G411" s="60">
        <v>0.01</v>
      </c>
      <c r="H411" s="60">
        <v>1.02</v>
      </c>
      <c r="I411" s="60">
        <v>38.869999999999997</v>
      </c>
      <c r="J411" s="60">
        <v>0</v>
      </c>
      <c r="O411" s="60" t="s">
        <v>628</v>
      </c>
      <c r="P411" s="60" t="s">
        <v>1033</v>
      </c>
      <c r="Q411" s="60" t="s">
        <v>4165</v>
      </c>
      <c r="R411" s="60">
        <v>30.95</v>
      </c>
      <c r="S411" s="60">
        <v>7.65</v>
      </c>
      <c r="T411" s="60">
        <v>1431</v>
      </c>
      <c r="U411" s="60">
        <v>58.17</v>
      </c>
    </row>
    <row r="412" spans="1:21">
      <c r="A412" s="60" t="s">
        <v>630</v>
      </c>
      <c r="B412" s="60" t="s">
        <v>1035</v>
      </c>
      <c r="C412" s="60" t="s">
        <v>4271</v>
      </c>
      <c r="D412" s="60">
        <v>43.45</v>
      </c>
      <c r="E412" s="60">
        <v>0.35</v>
      </c>
      <c r="F412" s="60">
        <v>464</v>
      </c>
      <c r="G412" s="60">
        <v>0</v>
      </c>
      <c r="H412" s="60">
        <v>5.23</v>
      </c>
      <c r="I412" s="60">
        <v>12.63</v>
      </c>
      <c r="J412" s="60">
        <v>0.02</v>
      </c>
      <c r="O412" s="60" t="s">
        <v>630</v>
      </c>
      <c r="P412" s="60" t="s">
        <v>1035</v>
      </c>
      <c r="Q412" s="60" t="s">
        <v>4271</v>
      </c>
      <c r="R412" s="60">
        <v>43.45</v>
      </c>
      <c r="S412" s="60">
        <v>0.35</v>
      </c>
      <c r="T412" s="60">
        <v>464</v>
      </c>
      <c r="U412" s="60">
        <v>27.12</v>
      </c>
    </row>
    <row r="413" spans="1:21">
      <c r="A413" s="60" t="s">
        <v>632</v>
      </c>
      <c r="B413" s="60" t="s">
        <v>3164</v>
      </c>
      <c r="C413" s="60" t="s">
        <v>3538</v>
      </c>
      <c r="D413" s="60">
        <v>71.099999999999994</v>
      </c>
      <c r="E413" s="60">
        <v>-2.0699999999999998</v>
      </c>
      <c r="F413" s="60">
        <v>2213</v>
      </c>
      <c r="G413" s="60">
        <v>1.85</v>
      </c>
      <c r="H413" s="60">
        <v>1.51</v>
      </c>
      <c r="I413" s="60">
        <v>33.39</v>
      </c>
      <c r="J413" s="60">
        <v>0</v>
      </c>
      <c r="O413" s="60" t="s">
        <v>632</v>
      </c>
      <c r="P413" s="60" t="s">
        <v>3164</v>
      </c>
      <c r="Q413" s="60" t="s">
        <v>3538</v>
      </c>
      <c r="R413" s="60">
        <v>71.099999999999994</v>
      </c>
      <c r="S413" s="60">
        <v>-2.0699999999999998</v>
      </c>
      <c r="T413" s="60">
        <v>2213</v>
      </c>
      <c r="U413" s="60">
        <v>2.56</v>
      </c>
    </row>
    <row r="414" spans="1:21">
      <c r="A414" s="60" t="s">
        <v>634</v>
      </c>
      <c r="B414" s="60" t="s">
        <v>1038</v>
      </c>
      <c r="C414" s="60" t="s">
        <v>4058</v>
      </c>
      <c r="D414" s="60">
        <v>37.200000000000003</v>
      </c>
      <c r="E414" s="60">
        <v>-0.67</v>
      </c>
      <c r="F414" s="60">
        <v>80</v>
      </c>
      <c r="G414" s="60">
        <v>0.09</v>
      </c>
      <c r="H414" s="60">
        <v>10.34</v>
      </c>
      <c r="I414" s="60">
        <v>6.9</v>
      </c>
      <c r="J414" s="60">
        <v>0</v>
      </c>
      <c r="O414" s="60" t="s">
        <v>634</v>
      </c>
      <c r="P414" s="60" t="s">
        <v>1038</v>
      </c>
      <c r="Q414" s="60" t="s">
        <v>4058</v>
      </c>
      <c r="R414" s="60">
        <v>37.200000000000003</v>
      </c>
      <c r="S414" s="60">
        <v>-0.67</v>
      </c>
      <c r="T414" s="60">
        <v>80</v>
      </c>
      <c r="U414" s="60">
        <v>90.98</v>
      </c>
    </row>
    <row r="415" spans="1:21">
      <c r="A415" s="60" t="s">
        <v>636</v>
      </c>
      <c r="B415" s="60" t="s">
        <v>1040</v>
      </c>
      <c r="C415" s="60" t="s">
        <v>4166</v>
      </c>
      <c r="D415" s="60">
        <v>49.8</v>
      </c>
      <c r="E415" s="60">
        <v>2.4700000000000002</v>
      </c>
      <c r="F415" s="60">
        <v>422</v>
      </c>
      <c r="G415" s="60">
        <v>0.01</v>
      </c>
      <c r="H415" s="60">
        <v>11.25</v>
      </c>
      <c r="I415" s="60">
        <v>4.43</v>
      </c>
      <c r="J415" s="60">
        <v>0.02</v>
      </c>
      <c r="O415" s="60" t="s">
        <v>636</v>
      </c>
      <c r="P415" s="60" t="s">
        <v>1040</v>
      </c>
      <c r="Q415" s="60" t="s">
        <v>4166</v>
      </c>
      <c r="R415" s="60">
        <v>49.8</v>
      </c>
      <c r="S415" s="60">
        <v>2.4700000000000002</v>
      </c>
      <c r="T415" s="60">
        <v>422</v>
      </c>
      <c r="U415" s="60">
        <v>43.1</v>
      </c>
    </row>
    <row r="416" spans="1:21">
      <c r="A416" s="60" t="s">
        <v>638</v>
      </c>
      <c r="B416" s="60" t="s">
        <v>1042</v>
      </c>
      <c r="C416" s="60" t="s">
        <v>4253</v>
      </c>
      <c r="D416" s="60">
        <v>13.5</v>
      </c>
      <c r="E416" s="60">
        <v>0</v>
      </c>
      <c r="F416" s="60">
        <v>104</v>
      </c>
      <c r="G416" s="60">
        <v>0</v>
      </c>
      <c r="H416" s="60">
        <v>0.43</v>
      </c>
      <c r="I416" s="60">
        <v>15.25</v>
      </c>
      <c r="J416" s="60">
        <v>0</v>
      </c>
      <c r="O416" s="60" t="s">
        <v>638</v>
      </c>
      <c r="P416" s="60" t="s">
        <v>1042</v>
      </c>
      <c r="Q416" s="60" t="s">
        <v>4253</v>
      </c>
      <c r="R416" s="60">
        <v>13.5</v>
      </c>
      <c r="S416" s="60">
        <v>0</v>
      </c>
      <c r="T416" s="60">
        <v>104</v>
      </c>
      <c r="U416" s="60">
        <v>69.17</v>
      </c>
    </row>
    <row r="417" spans="1:21">
      <c r="A417" s="60" t="s">
        <v>640</v>
      </c>
      <c r="B417" s="60" t="s">
        <v>1044</v>
      </c>
      <c r="C417" s="60" t="s">
        <v>4254</v>
      </c>
      <c r="D417" s="60">
        <v>25.05</v>
      </c>
      <c r="E417" s="60">
        <v>-0.6</v>
      </c>
      <c r="F417" s="60">
        <v>180</v>
      </c>
      <c r="G417" s="60">
        <v>0</v>
      </c>
      <c r="H417" s="60">
        <v>1.48</v>
      </c>
      <c r="I417" s="60">
        <v>5.05</v>
      </c>
      <c r="J417" s="60">
        <v>0</v>
      </c>
      <c r="O417" s="60" t="s">
        <v>640</v>
      </c>
      <c r="P417" s="60" t="s">
        <v>1044</v>
      </c>
      <c r="Q417" s="60" t="s">
        <v>4254</v>
      </c>
      <c r="R417" s="60">
        <v>25.05</v>
      </c>
      <c r="S417" s="60">
        <v>-0.6</v>
      </c>
      <c r="T417" s="60">
        <v>180</v>
      </c>
      <c r="U417" s="60">
        <v>14.87</v>
      </c>
    </row>
    <row r="418" spans="1:21">
      <c r="A418" s="60" t="s">
        <v>642</v>
      </c>
      <c r="B418" s="60" t="s">
        <v>1046</v>
      </c>
      <c r="C418" s="60" t="s">
        <v>4167</v>
      </c>
      <c r="D418" s="60">
        <v>66.7</v>
      </c>
      <c r="E418" s="60">
        <v>1.21</v>
      </c>
      <c r="F418" s="60">
        <v>1146</v>
      </c>
      <c r="G418" s="60">
        <v>0.43</v>
      </c>
      <c r="H418" s="60">
        <v>1.48</v>
      </c>
      <c r="I418" s="60">
        <v>18.170000000000002</v>
      </c>
      <c r="J418" s="60">
        <v>0</v>
      </c>
      <c r="O418" s="60" t="s">
        <v>642</v>
      </c>
      <c r="P418" s="60" t="s">
        <v>1046</v>
      </c>
      <c r="Q418" s="60" t="s">
        <v>4167</v>
      </c>
      <c r="R418" s="60">
        <v>66.7</v>
      </c>
      <c r="S418" s="60">
        <v>1.21</v>
      </c>
      <c r="T418" s="60">
        <v>1146</v>
      </c>
      <c r="U418" s="60">
        <v>47.66</v>
      </c>
    </row>
    <row r="419" spans="1:21">
      <c r="A419" s="60" t="s">
        <v>644</v>
      </c>
      <c r="B419" s="60" t="s">
        <v>1048</v>
      </c>
      <c r="C419" s="60" t="s">
        <v>4272</v>
      </c>
      <c r="D419" s="60">
        <v>160</v>
      </c>
      <c r="E419" s="60">
        <v>-0.62</v>
      </c>
      <c r="F419" s="60">
        <v>2466</v>
      </c>
      <c r="G419" s="60">
        <v>0.08</v>
      </c>
      <c r="H419" s="60">
        <v>48.83</v>
      </c>
      <c r="I419" s="60">
        <v>4.55</v>
      </c>
      <c r="J419" s="60">
        <v>1.06</v>
      </c>
      <c r="O419" s="60" t="s">
        <v>644</v>
      </c>
      <c r="P419" s="60" t="s">
        <v>1048</v>
      </c>
      <c r="Q419" s="60" t="s">
        <v>4272</v>
      </c>
      <c r="R419" s="60">
        <v>160</v>
      </c>
      <c r="S419" s="60">
        <v>-0.62</v>
      </c>
      <c r="T419" s="60">
        <v>2466</v>
      </c>
      <c r="U419" s="60">
        <v>59.85</v>
      </c>
    </row>
    <row r="420" spans="1:21">
      <c r="A420" s="60" t="s">
        <v>646</v>
      </c>
      <c r="B420" s="60" t="s">
        <v>1050</v>
      </c>
      <c r="C420" s="60" t="s">
        <v>4168</v>
      </c>
      <c r="D420" s="60">
        <v>60.9</v>
      </c>
      <c r="E420" s="60">
        <v>-2.56</v>
      </c>
      <c r="F420" s="60">
        <v>5719</v>
      </c>
      <c r="G420" s="60">
        <v>1.53</v>
      </c>
      <c r="H420" s="60">
        <v>4.75</v>
      </c>
      <c r="I420" s="60">
        <v>25.71</v>
      </c>
      <c r="J420" s="60">
        <v>0.32</v>
      </c>
      <c r="O420" s="60" t="s">
        <v>646</v>
      </c>
      <c r="P420" s="60" t="s">
        <v>1050</v>
      </c>
      <c r="Q420" s="60" t="s">
        <v>4168</v>
      </c>
      <c r="R420" s="60">
        <v>60.9</v>
      </c>
      <c r="S420" s="60">
        <v>-2.56</v>
      </c>
      <c r="T420" s="60">
        <v>5719</v>
      </c>
      <c r="U420" s="60">
        <v>42.28</v>
      </c>
    </row>
    <row r="421" spans="1:21">
      <c r="A421" s="60" t="s">
        <v>648</v>
      </c>
      <c r="B421" s="60" t="s">
        <v>1052</v>
      </c>
      <c r="C421" s="60" t="s">
        <v>4273</v>
      </c>
      <c r="D421" s="60">
        <v>31.35</v>
      </c>
      <c r="E421" s="60">
        <v>5.73</v>
      </c>
      <c r="F421" s="60">
        <v>1020</v>
      </c>
      <c r="G421" s="60">
        <v>0.01</v>
      </c>
      <c r="H421" s="60">
        <v>22.37</v>
      </c>
      <c r="I421" s="60">
        <v>5.4</v>
      </c>
      <c r="J421" s="60">
        <v>0</v>
      </c>
      <c r="O421" s="60" t="s">
        <v>648</v>
      </c>
      <c r="P421" s="60" t="s">
        <v>1052</v>
      </c>
      <c r="Q421" s="60" t="s">
        <v>4273</v>
      </c>
      <c r="R421" s="60">
        <v>31.35</v>
      </c>
      <c r="S421" s="60">
        <v>5.73</v>
      </c>
      <c r="T421" s="60">
        <v>1020</v>
      </c>
      <c r="U421" s="60">
        <v>68.260000000000005</v>
      </c>
    </row>
    <row r="422" spans="1:21">
      <c r="A422" s="60" t="s">
        <v>650</v>
      </c>
      <c r="B422" s="60" t="s">
        <v>1054</v>
      </c>
      <c r="C422" s="60" t="s">
        <v>4169</v>
      </c>
      <c r="D422" s="60">
        <v>67.099999999999994</v>
      </c>
      <c r="E422" s="60">
        <v>1.21</v>
      </c>
      <c r="F422" s="60">
        <v>462</v>
      </c>
      <c r="G422" s="60">
        <v>0.11</v>
      </c>
      <c r="H422" s="60">
        <v>5.43</v>
      </c>
      <c r="I422" s="60">
        <v>17.100000000000001</v>
      </c>
      <c r="J422" s="60">
        <v>0</v>
      </c>
      <c r="O422" s="60" t="s">
        <v>650</v>
      </c>
      <c r="P422" s="60" t="s">
        <v>1054</v>
      </c>
      <c r="Q422" s="60" t="s">
        <v>4169</v>
      </c>
      <c r="R422" s="60">
        <v>67.099999999999994</v>
      </c>
      <c r="S422" s="60">
        <v>1.21</v>
      </c>
      <c r="T422" s="60">
        <v>462</v>
      </c>
      <c r="U422" s="60">
        <v>42.28</v>
      </c>
    </row>
    <row r="423" spans="1:21">
      <c r="A423" s="60" t="s">
        <v>652</v>
      </c>
      <c r="B423" s="60" t="s">
        <v>1056</v>
      </c>
      <c r="C423" s="60" t="s">
        <v>4255</v>
      </c>
      <c r="D423" s="60">
        <v>72.099999999999994</v>
      </c>
      <c r="E423" s="60">
        <v>-0.14000000000000001</v>
      </c>
      <c r="F423" s="60">
        <v>67</v>
      </c>
      <c r="G423" s="60">
        <v>0</v>
      </c>
      <c r="H423" s="60">
        <v>6.28</v>
      </c>
      <c r="I423" s="60">
        <v>2.2799999999999998</v>
      </c>
      <c r="J423" s="60">
        <v>0</v>
      </c>
      <c r="O423" s="60" t="s">
        <v>652</v>
      </c>
      <c r="P423" s="60" t="s">
        <v>1056</v>
      </c>
      <c r="Q423" s="60" t="s">
        <v>4255</v>
      </c>
      <c r="R423" s="60">
        <v>72.099999999999994</v>
      </c>
      <c r="S423" s="60">
        <v>-0.14000000000000001</v>
      </c>
      <c r="T423" s="60">
        <v>67</v>
      </c>
      <c r="U423" s="60">
        <v>20.07</v>
      </c>
    </row>
    <row r="424" spans="1:21">
      <c r="A424" s="60" t="s">
        <v>654</v>
      </c>
      <c r="B424" s="60" t="s">
        <v>1058</v>
      </c>
      <c r="C424" s="60" t="s">
        <v>3962</v>
      </c>
      <c r="D424" s="60">
        <v>108.5</v>
      </c>
      <c r="E424" s="60">
        <v>-2.69</v>
      </c>
      <c r="F424" s="60">
        <v>34805</v>
      </c>
      <c r="G424" s="60">
        <v>2.12</v>
      </c>
      <c r="H424" s="60">
        <v>28.38</v>
      </c>
      <c r="I424" s="60">
        <v>23.31</v>
      </c>
      <c r="J424" s="60">
        <v>12.01</v>
      </c>
      <c r="O424" s="60" t="s">
        <v>654</v>
      </c>
      <c r="P424" s="60" t="s">
        <v>1058</v>
      </c>
      <c r="Q424" s="60" t="s">
        <v>3962</v>
      </c>
      <c r="R424" s="60">
        <v>108.5</v>
      </c>
      <c r="S424" s="60">
        <v>-2.69</v>
      </c>
      <c r="T424" s="60">
        <v>34805</v>
      </c>
      <c r="U424" s="60">
        <v>51.6</v>
      </c>
    </row>
    <row r="425" spans="1:21">
      <c r="A425" s="60" t="s">
        <v>656</v>
      </c>
      <c r="B425" s="60" t="s">
        <v>1060</v>
      </c>
      <c r="C425" s="60" t="s">
        <v>4274</v>
      </c>
      <c r="D425" s="60">
        <v>15.65</v>
      </c>
      <c r="E425" s="60">
        <v>0.64</v>
      </c>
      <c r="F425" s="60">
        <v>2201</v>
      </c>
      <c r="G425" s="60">
        <v>4.3499999999999996</v>
      </c>
      <c r="H425" s="60">
        <v>2.73</v>
      </c>
      <c r="I425" s="60">
        <v>14.73</v>
      </c>
      <c r="J425" s="60">
        <v>0</v>
      </c>
      <c r="O425" s="60" t="s">
        <v>656</v>
      </c>
      <c r="P425" s="60" t="s">
        <v>1060</v>
      </c>
      <c r="Q425" s="60" t="s">
        <v>4274</v>
      </c>
      <c r="R425" s="60">
        <v>15.65</v>
      </c>
      <c r="S425" s="60">
        <v>0.64</v>
      </c>
      <c r="T425" s="60">
        <v>2201</v>
      </c>
      <c r="U425" s="60">
        <v>47.65</v>
      </c>
    </row>
    <row r="426" spans="1:21">
      <c r="A426" s="60" t="s">
        <v>658</v>
      </c>
      <c r="B426" s="60" t="s">
        <v>1062</v>
      </c>
      <c r="C426" s="60" t="s">
        <v>4170</v>
      </c>
      <c r="D426" s="60">
        <v>25.05</v>
      </c>
      <c r="E426" s="60">
        <v>1.21</v>
      </c>
      <c r="F426" s="60">
        <v>1055</v>
      </c>
      <c r="G426" s="60">
        <v>0</v>
      </c>
      <c r="H426" s="60">
        <v>1.39</v>
      </c>
      <c r="I426" s="60">
        <v>4.54</v>
      </c>
      <c r="J426" s="60">
        <v>0</v>
      </c>
      <c r="O426" s="60" t="s">
        <v>658</v>
      </c>
      <c r="P426" s="60" t="s">
        <v>1062</v>
      </c>
      <c r="Q426" s="60" t="s">
        <v>4170</v>
      </c>
      <c r="R426" s="60">
        <v>25.05</v>
      </c>
      <c r="S426" s="60">
        <v>1.21</v>
      </c>
      <c r="T426" s="60">
        <v>1055</v>
      </c>
      <c r="U426" s="60">
        <v>54.91</v>
      </c>
    </row>
    <row r="427" spans="1:21">
      <c r="A427" s="60" t="s">
        <v>660</v>
      </c>
      <c r="B427" s="60" t="s">
        <v>1064</v>
      </c>
      <c r="C427" s="60" t="s">
        <v>4171</v>
      </c>
      <c r="D427" s="60">
        <v>43.9</v>
      </c>
      <c r="E427" s="60">
        <v>2.09</v>
      </c>
      <c r="F427" s="60">
        <v>21940</v>
      </c>
      <c r="G427" s="60">
        <v>0.63</v>
      </c>
      <c r="H427" s="60">
        <v>10.93</v>
      </c>
      <c r="I427" s="60">
        <v>25.13</v>
      </c>
      <c r="J427" s="60">
        <v>0</v>
      </c>
      <c r="O427" s="60" t="s">
        <v>660</v>
      </c>
      <c r="P427" s="60" t="s">
        <v>1064</v>
      </c>
      <c r="Q427" s="60" t="s">
        <v>4171</v>
      </c>
      <c r="R427" s="60">
        <v>43.9</v>
      </c>
      <c r="S427" s="60">
        <v>2.09</v>
      </c>
      <c r="T427" s="60">
        <v>21940</v>
      </c>
      <c r="U427" s="60">
        <v>17.66</v>
      </c>
    </row>
    <row r="428" spans="1:21">
      <c r="A428" s="60" t="s">
        <v>661</v>
      </c>
      <c r="B428" s="60" t="s">
        <v>1066</v>
      </c>
      <c r="C428" s="60" t="s">
        <v>3624</v>
      </c>
      <c r="D428" s="60">
        <v>21.9</v>
      </c>
      <c r="E428" s="60">
        <v>2.82</v>
      </c>
      <c r="F428" s="60">
        <v>7399</v>
      </c>
      <c r="G428" s="60">
        <v>0.18</v>
      </c>
      <c r="H428" s="60">
        <v>4.8499999999999996</v>
      </c>
      <c r="I428" s="60">
        <v>25.41</v>
      </c>
      <c r="J428" s="60">
        <v>0.01</v>
      </c>
      <c r="O428" s="60" t="s">
        <v>661</v>
      </c>
      <c r="P428" s="60" t="s">
        <v>1066</v>
      </c>
      <c r="Q428" s="60" t="s">
        <v>3624</v>
      </c>
      <c r="R428" s="60">
        <v>21.9</v>
      </c>
      <c r="S428" s="60">
        <v>2.82</v>
      </c>
      <c r="T428" s="60">
        <v>7399</v>
      </c>
      <c r="U428" s="60">
        <v>22.53</v>
      </c>
    </row>
    <row r="429" spans="1:21">
      <c r="A429" s="60" t="s">
        <v>663</v>
      </c>
      <c r="B429" s="60" t="s">
        <v>1068</v>
      </c>
      <c r="C429" s="60" t="s">
        <v>4059</v>
      </c>
      <c r="D429" s="60">
        <v>59.6</v>
      </c>
      <c r="E429" s="60">
        <v>-1</v>
      </c>
      <c r="F429" s="60">
        <v>17136</v>
      </c>
      <c r="G429" s="60">
        <v>3.35</v>
      </c>
      <c r="H429" s="60">
        <v>6.75</v>
      </c>
      <c r="I429" s="60">
        <v>43.66</v>
      </c>
      <c r="J429" s="60">
        <v>1.23</v>
      </c>
      <c r="O429" s="60" t="s">
        <v>663</v>
      </c>
      <c r="P429" s="60" t="s">
        <v>1068</v>
      </c>
      <c r="Q429" s="60" t="s">
        <v>4059</v>
      </c>
      <c r="R429" s="60">
        <v>59.6</v>
      </c>
      <c r="S429" s="60">
        <v>-1</v>
      </c>
      <c r="T429" s="60">
        <v>17136</v>
      </c>
      <c r="U429" s="60">
        <v>30.83</v>
      </c>
    </row>
    <row r="430" spans="1:21">
      <c r="A430" s="60" t="s">
        <v>665</v>
      </c>
      <c r="B430" s="60" t="s">
        <v>1070</v>
      </c>
      <c r="C430" s="60" t="s">
        <v>4275</v>
      </c>
      <c r="D430" s="60">
        <v>27.5</v>
      </c>
      <c r="E430" s="60">
        <v>0.18</v>
      </c>
      <c r="F430" s="60">
        <v>127</v>
      </c>
      <c r="G430" s="60">
        <v>0</v>
      </c>
      <c r="H430" s="60">
        <v>2.27</v>
      </c>
      <c r="I430" s="60">
        <v>4.18</v>
      </c>
      <c r="J430" s="60">
        <v>0</v>
      </c>
      <c r="O430" s="60" t="s">
        <v>665</v>
      </c>
      <c r="P430" s="60" t="s">
        <v>1070</v>
      </c>
      <c r="Q430" s="60" t="s">
        <v>4275</v>
      </c>
      <c r="R430" s="60">
        <v>27.5</v>
      </c>
      <c r="S430" s="60">
        <v>0.18</v>
      </c>
      <c r="T430" s="60">
        <v>127</v>
      </c>
      <c r="U430" s="60">
        <v>35.520000000000003</v>
      </c>
    </row>
    <row r="431" spans="1:21">
      <c r="A431" s="60" t="s">
        <v>667</v>
      </c>
      <c r="B431" s="60" t="s">
        <v>5749</v>
      </c>
      <c r="C431" s="60" t="s">
        <v>5750</v>
      </c>
      <c r="D431" s="60">
        <v>18.399999999999999</v>
      </c>
      <c r="E431" s="60">
        <v>3.08</v>
      </c>
      <c r="F431" s="60">
        <v>10570</v>
      </c>
      <c r="G431" s="60">
        <v>0</v>
      </c>
      <c r="H431" s="60">
        <v>11.3</v>
      </c>
      <c r="I431" s="60">
        <v>7.14</v>
      </c>
      <c r="J431" s="60">
        <v>0</v>
      </c>
      <c r="O431" s="60" t="s">
        <v>667</v>
      </c>
      <c r="P431" s="60" t="s">
        <v>5749</v>
      </c>
      <c r="Q431" s="60" t="s">
        <v>5750</v>
      </c>
      <c r="R431" s="60">
        <v>18.399999999999999</v>
      </c>
      <c r="S431" s="60">
        <v>3.08</v>
      </c>
      <c r="T431" s="60">
        <v>10570</v>
      </c>
      <c r="U431" s="60">
        <v>28.05</v>
      </c>
    </row>
    <row r="432" spans="1:21">
      <c r="A432" s="60" t="s">
        <v>669</v>
      </c>
      <c r="B432" s="60" t="s">
        <v>1073</v>
      </c>
      <c r="C432" s="60" t="s">
        <v>3541</v>
      </c>
      <c r="D432" s="60">
        <v>21.9</v>
      </c>
      <c r="E432" s="60">
        <v>3.3</v>
      </c>
      <c r="F432" s="60">
        <v>396</v>
      </c>
      <c r="G432" s="60">
        <v>0.18</v>
      </c>
      <c r="H432" s="60">
        <v>6.11</v>
      </c>
      <c r="I432" s="60">
        <v>6.27</v>
      </c>
      <c r="J432" s="60">
        <v>0</v>
      </c>
      <c r="O432" s="60" t="s">
        <v>669</v>
      </c>
      <c r="P432" s="60" t="s">
        <v>1073</v>
      </c>
      <c r="Q432" s="60" t="s">
        <v>3541</v>
      </c>
      <c r="R432" s="60">
        <v>21.9</v>
      </c>
      <c r="S432" s="60">
        <v>3.3</v>
      </c>
      <c r="T432" s="60">
        <v>396</v>
      </c>
      <c r="U432" s="60">
        <v>61.6</v>
      </c>
    </row>
    <row r="433" spans="1:21">
      <c r="A433" s="60" t="s">
        <v>671</v>
      </c>
      <c r="B433" s="60" t="s">
        <v>1075</v>
      </c>
      <c r="C433" s="60" t="s">
        <v>4172</v>
      </c>
      <c r="D433" s="60">
        <v>183.5</v>
      </c>
      <c r="E433" s="60">
        <v>3.38</v>
      </c>
      <c r="F433" s="60">
        <v>8072</v>
      </c>
      <c r="G433" s="60">
        <v>0.28999999999999998</v>
      </c>
      <c r="H433" s="60">
        <v>22.53</v>
      </c>
      <c r="I433" s="60">
        <v>11.5</v>
      </c>
      <c r="J433" s="60">
        <v>0.37</v>
      </c>
      <c r="O433" s="60" t="s">
        <v>671</v>
      </c>
      <c r="P433" s="60" t="s">
        <v>1075</v>
      </c>
      <c r="Q433" s="60" t="s">
        <v>4172</v>
      </c>
      <c r="R433" s="60">
        <v>183.5</v>
      </c>
      <c r="S433" s="60">
        <v>3.38</v>
      </c>
      <c r="T433" s="60">
        <v>8072</v>
      </c>
      <c r="U433" s="60">
        <v>55.95</v>
      </c>
    </row>
    <row r="434" spans="1:21">
      <c r="A434" s="60" t="s">
        <v>673</v>
      </c>
      <c r="B434" s="60" t="s">
        <v>1077</v>
      </c>
      <c r="C434" s="60" t="s">
        <v>4173</v>
      </c>
      <c r="D434" s="60">
        <v>37.85</v>
      </c>
      <c r="E434" s="60">
        <v>0</v>
      </c>
      <c r="F434" s="60">
        <v>128</v>
      </c>
      <c r="G434" s="60">
        <v>0</v>
      </c>
      <c r="H434" s="60">
        <v>5.74</v>
      </c>
      <c r="I434" s="60">
        <v>4.55</v>
      </c>
      <c r="J434" s="60">
        <v>0</v>
      </c>
      <c r="O434" s="60" t="s">
        <v>673</v>
      </c>
      <c r="P434" s="60" t="s">
        <v>1077</v>
      </c>
      <c r="Q434" s="60" t="s">
        <v>4173</v>
      </c>
      <c r="R434" s="60">
        <v>37.85</v>
      </c>
      <c r="S434" s="60">
        <v>0</v>
      </c>
      <c r="T434" s="60">
        <v>128</v>
      </c>
      <c r="U434" s="60">
        <v>38.24</v>
      </c>
    </row>
    <row r="435" spans="1:21">
      <c r="A435" s="60" t="s">
        <v>675</v>
      </c>
      <c r="B435" s="60" t="s">
        <v>1079</v>
      </c>
      <c r="C435" s="60" t="s">
        <v>4276</v>
      </c>
      <c r="D435" s="60">
        <v>16.05</v>
      </c>
      <c r="E435" s="60">
        <v>3.55</v>
      </c>
      <c r="F435" s="60">
        <v>1702</v>
      </c>
      <c r="G435" s="60">
        <v>0.02</v>
      </c>
      <c r="H435" s="60">
        <v>17.91</v>
      </c>
      <c r="I435" s="60">
        <v>8.6300000000000008</v>
      </c>
      <c r="J435" s="60">
        <v>0</v>
      </c>
      <c r="O435" s="60" t="s">
        <v>675</v>
      </c>
      <c r="P435" s="60" t="s">
        <v>1079</v>
      </c>
      <c r="Q435" s="60" t="s">
        <v>4276</v>
      </c>
      <c r="R435" s="60">
        <v>16.05</v>
      </c>
      <c r="S435" s="60">
        <v>3.55</v>
      </c>
      <c r="T435" s="60">
        <v>1702</v>
      </c>
      <c r="U435" s="60">
        <v>56.35</v>
      </c>
    </row>
    <row r="436" spans="1:21">
      <c r="A436" s="60" t="s">
        <v>676</v>
      </c>
      <c r="B436" s="60" t="s">
        <v>1081</v>
      </c>
      <c r="C436" s="60" t="s">
        <v>4444</v>
      </c>
      <c r="D436" s="60">
        <v>50.1</v>
      </c>
      <c r="E436" s="60">
        <v>0</v>
      </c>
      <c r="F436" s="60">
        <v>12</v>
      </c>
      <c r="G436" s="60">
        <v>0</v>
      </c>
      <c r="H436" s="60">
        <v>31.34</v>
      </c>
      <c r="I436" s="60">
        <v>4.4000000000000004</v>
      </c>
      <c r="J436" s="60">
        <v>0</v>
      </c>
      <c r="O436" s="60" t="s">
        <v>676</v>
      </c>
      <c r="P436" s="60" t="s">
        <v>1081</v>
      </c>
      <c r="Q436" s="60" t="s">
        <v>4444</v>
      </c>
      <c r="R436" s="60">
        <v>50.1</v>
      </c>
      <c r="S436" s="60">
        <v>0</v>
      </c>
      <c r="T436" s="60">
        <v>12</v>
      </c>
      <c r="U436" s="60">
        <v>28.24</v>
      </c>
    </row>
    <row r="437" spans="1:21">
      <c r="A437" s="60" t="s">
        <v>678</v>
      </c>
      <c r="B437" s="60" t="s">
        <v>1083</v>
      </c>
      <c r="C437" s="60" t="s">
        <v>3934</v>
      </c>
      <c r="D437" s="60">
        <v>47.65</v>
      </c>
      <c r="E437" s="60">
        <v>9.67</v>
      </c>
      <c r="F437" s="60">
        <v>7261</v>
      </c>
      <c r="G437" s="60">
        <v>0.4</v>
      </c>
      <c r="H437" s="60">
        <v>1.36</v>
      </c>
      <c r="I437" s="60">
        <v>20.149999999999999</v>
      </c>
      <c r="J437" s="60">
        <v>0</v>
      </c>
      <c r="O437" s="60" t="s">
        <v>678</v>
      </c>
      <c r="P437" s="60" t="s">
        <v>1083</v>
      </c>
      <c r="Q437" s="60" t="s">
        <v>3934</v>
      </c>
      <c r="R437" s="60">
        <v>47.65</v>
      </c>
      <c r="S437" s="60">
        <v>9.67</v>
      </c>
      <c r="T437" s="60">
        <v>7261</v>
      </c>
      <c r="U437" s="60">
        <v>58.28</v>
      </c>
    </row>
    <row r="438" spans="1:21">
      <c r="A438" s="60" t="s">
        <v>679</v>
      </c>
      <c r="B438" s="60" t="s">
        <v>1085</v>
      </c>
      <c r="C438" s="60" t="s">
        <v>4118</v>
      </c>
      <c r="D438" s="60">
        <v>86.7</v>
      </c>
      <c r="E438" s="60">
        <v>-1.03</v>
      </c>
      <c r="F438" s="60">
        <v>64516</v>
      </c>
      <c r="G438" s="60">
        <v>5.67</v>
      </c>
      <c r="H438" s="60">
        <v>21.59</v>
      </c>
      <c r="I438" s="60">
        <v>24.48</v>
      </c>
      <c r="J438" s="60">
        <v>0</v>
      </c>
      <c r="O438" s="60" t="s">
        <v>679</v>
      </c>
      <c r="P438" s="60" t="s">
        <v>1085</v>
      </c>
      <c r="Q438" s="60" t="s">
        <v>4118</v>
      </c>
      <c r="R438" s="60">
        <v>86.7</v>
      </c>
      <c r="S438" s="60">
        <v>-1.03</v>
      </c>
      <c r="T438" s="60">
        <v>64516</v>
      </c>
      <c r="U438" s="60">
        <v>41.45</v>
      </c>
    </row>
    <row r="439" spans="1:21">
      <c r="A439" s="60" t="s">
        <v>681</v>
      </c>
      <c r="B439" s="60" t="s">
        <v>1087</v>
      </c>
      <c r="C439" s="60" t="s">
        <v>4303</v>
      </c>
      <c r="D439" s="60">
        <v>19.75</v>
      </c>
      <c r="E439" s="60">
        <v>0.25</v>
      </c>
      <c r="F439" s="60">
        <v>411</v>
      </c>
      <c r="G439" s="60">
        <v>0</v>
      </c>
      <c r="H439" s="60">
        <v>8.1300000000000008</v>
      </c>
      <c r="I439" s="60">
        <v>0.78</v>
      </c>
      <c r="J439" s="60">
        <v>0</v>
      </c>
      <c r="O439" s="60" t="s">
        <v>681</v>
      </c>
      <c r="P439" s="60" t="s">
        <v>1087</v>
      </c>
      <c r="Q439" s="60" t="s">
        <v>4303</v>
      </c>
      <c r="R439" s="60">
        <v>19.75</v>
      </c>
      <c r="S439" s="60">
        <v>0.25</v>
      </c>
      <c r="T439" s="60">
        <v>411</v>
      </c>
      <c r="U439" s="60">
        <v>79.959999999999994</v>
      </c>
    </row>
    <row r="440" spans="1:21">
      <c r="A440" s="60" t="s">
        <v>683</v>
      </c>
      <c r="B440" s="60" t="s">
        <v>1089</v>
      </c>
      <c r="C440" s="60" t="s">
        <v>4304</v>
      </c>
      <c r="D440" s="60">
        <v>27.15</v>
      </c>
      <c r="E440" s="60">
        <v>-1.45</v>
      </c>
      <c r="F440" s="60">
        <v>5372</v>
      </c>
      <c r="G440" s="60">
        <v>0.02</v>
      </c>
      <c r="H440" s="60">
        <v>12.02</v>
      </c>
      <c r="I440" s="60">
        <v>8.5299999999999994</v>
      </c>
      <c r="J440" s="60">
        <v>0.17</v>
      </c>
      <c r="O440" s="60" t="s">
        <v>683</v>
      </c>
      <c r="P440" s="60" t="s">
        <v>1089</v>
      </c>
      <c r="Q440" s="60" t="s">
        <v>4304</v>
      </c>
      <c r="R440" s="60">
        <v>27.15</v>
      </c>
      <c r="S440" s="60">
        <v>-1.45</v>
      </c>
      <c r="T440" s="60">
        <v>5372</v>
      </c>
      <c r="U440" s="60">
        <v>66.69</v>
      </c>
    </row>
    <row r="441" spans="1:21">
      <c r="A441" s="60" t="s">
        <v>685</v>
      </c>
      <c r="B441" s="60" t="s">
        <v>1091</v>
      </c>
      <c r="C441" s="60" t="s">
        <v>4305</v>
      </c>
      <c r="D441" s="60">
        <v>25.35</v>
      </c>
      <c r="E441" s="60">
        <v>1.2</v>
      </c>
      <c r="F441" s="60">
        <v>755</v>
      </c>
      <c r="G441" s="60">
        <v>0</v>
      </c>
      <c r="H441" s="60">
        <v>6.61</v>
      </c>
      <c r="I441" s="60">
        <v>6.78</v>
      </c>
      <c r="J441" s="60">
        <v>0.02</v>
      </c>
      <c r="O441" s="60" t="s">
        <v>685</v>
      </c>
      <c r="P441" s="60" t="s">
        <v>1091</v>
      </c>
      <c r="Q441" s="60" t="s">
        <v>4305</v>
      </c>
      <c r="R441" s="60">
        <v>25.35</v>
      </c>
      <c r="S441" s="60">
        <v>1.2</v>
      </c>
      <c r="T441" s="60">
        <v>755</v>
      </c>
      <c r="U441" s="60">
        <v>66.099999999999994</v>
      </c>
    </row>
    <row r="442" spans="1:21">
      <c r="A442" s="60" t="s">
        <v>687</v>
      </c>
      <c r="B442" s="60" t="s">
        <v>1093</v>
      </c>
      <c r="C442" s="60" t="s">
        <v>4306</v>
      </c>
      <c r="D442" s="60">
        <v>9.76</v>
      </c>
      <c r="E442" s="60">
        <v>0.1</v>
      </c>
      <c r="F442" s="60">
        <v>40</v>
      </c>
      <c r="G442" s="60">
        <v>0</v>
      </c>
      <c r="H442" s="60">
        <v>3.24</v>
      </c>
      <c r="I442" s="60">
        <v>3.01</v>
      </c>
      <c r="J442" s="60">
        <v>0</v>
      </c>
      <c r="O442" s="60" t="s">
        <v>687</v>
      </c>
      <c r="P442" s="60" t="s">
        <v>1093</v>
      </c>
      <c r="Q442" s="60" t="s">
        <v>4306</v>
      </c>
      <c r="R442" s="60">
        <v>9.76</v>
      </c>
      <c r="S442" s="60">
        <v>0.1</v>
      </c>
      <c r="T442" s="60">
        <v>40</v>
      </c>
      <c r="U442" s="60">
        <v>72.819999999999993</v>
      </c>
    </row>
    <row r="443" spans="1:21">
      <c r="A443" s="60" t="s">
        <v>689</v>
      </c>
      <c r="B443" s="60" t="s">
        <v>1095</v>
      </c>
      <c r="C443" s="60" t="s">
        <v>4307</v>
      </c>
      <c r="D443" s="60">
        <v>18.8</v>
      </c>
      <c r="E443" s="60">
        <v>0</v>
      </c>
      <c r="F443" s="60">
        <v>168</v>
      </c>
      <c r="G443" s="60">
        <v>0</v>
      </c>
      <c r="H443" s="60">
        <v>1.4</v>
      </c>
      <c r="I443" s="60">
        <v>2.97</v>
      </c>
      <c r="J443" s="60">
        <v>0</v>
      </c>
      <c r="O443" s="60" t="s">
        <v>689</v>
      </c>
      <c r="P443" s="60" t="s">
        <v>1095</v>
      </c>
      <c r="Q443" s="60" t="s">
        <v>4307</v>
      </c>
      <c r="R443" s="60">
        <v>18.8</v>
      </c>
      <c r="S443" s="60">
        <v>0</v>
      </c>
      <c r="T443" s="60">
        <v>168</v>
      </c>
      <c r="U443" s="60">
        <v>65.09</v>
      </c>
    </row>
    <row r="444" spans="1:21">
      <c r="A444" s="60" t="s">
        <v>691</v>
      </c>
      <c r="B444" s="60" t="s">
        <v>1097</v>
      </c>
      <c r="C444" s="60" t="s">
        <v>4308</v>
      </c>
      <c r="D444" s="60">
        <v>13.45</v>
      </c>
      <c r="E444" s="60">
        <v>0.75</v>
      </c>
      <c r="F444" s="60">
        <v>1311</v>
      </c>
      <c r="G444" s="60">
        <v>0.01</v>
      </c>
      <c r="H444" s="60">
        <v>8.6999999999999993</v>
      </c>
      <c r="I444" s="60">
        <v>2.5499999999999998</v>
      </c>
      <c r="J444" s="60">
        <v>0.01</v>
      </c>
      <c r="O444" s="60" t="s">
        <v>691</v>
      </c>
      <c r="P444" s="60" t="s">
        <v>1097</v>
      </c>
      <c r="Q444" s="60" t="s">
        <v>4308</v>
      </c>
      <c r="R444" s="60">
        <v>13.45</v>
      </c>
      <c r="S444" s="60">
        <v>0.75</v>
      </c>
      <c r="T444" s="60">
        <v>1311</v>
      </c>
      <c r="U444" s="60">
        <v>76.290000000000006</v>
      </c>
    </row>
    <row r="445" spans="1:21">
      <c r="A445" s="60" t="s">
        <v>693</v>
      </c>
      <c r="B445" s="60" t="s">
        <v>1099</v>
      </c>
      <c r="C445" s="60" t="s">
        <v>4445</v>
      </c>
      <c r="D445" s="60">
        <v>17.95</v>
      </c>
      <c r="E445" s="60">
        <v>0.56000000000000005</v>
      </c>
      <c r="F445" s="60">
        <v>130</v>
      </c>
      <c r="G445" s="60">
        <v>0</v>
      </c>
      <c r="H445" s="60">
        <v>2.82</v>
      </c>
      <c r="I445" s="60">
        <v>6.29</v>
      </c>
      <c r="J445" s="60">
        <v>0</v>
      </c>
      <c r="O445" s="60" t="s">
        <v>693</v>
      </c>
      <c r="P445" s="60" t="s">
        <v>1099</v>
      </c>
      <c r="Q445" s="60" t="s">
        <v>4445</v>
      </c>
      <c r="R445" s="60">
        <v>17.95</v>
      </c>
      <c r="S445" s="60">
        <v>0.56000000000000005</v>
      </c>
      <c r="T445" s="60">
        <v>130</v>
      </c>
      <c r="U445" s="60">
        <v>86.58</v>
      </c>
    </row>
    <row r="446" spans="1:21">
      <c r="A446" s="60" t="s">
        <v>695</v>
      </c>
      <c r="B446" s="60" t="s">
        <v>1101</v>
      </c>
      <c r="C446" s="60" t="s">
        <v>4309</v>
      </c>
      <c r="D446" s="60">
        <v>9.08</v>
      </c>
      <c r="E446" s="60">
        <v>-0.44</v>
      </c>
      <c r="F446" s="60">
        <v>3123</v>
      </c>
      <c r="G446" s="60">
        <v>0.01</v>
      </c>
      <c r="H446" s="60">
        <v>11.92</v>
      </c>
      <c r="I446" s="60">
        <v>9.83</v>
      </c>
      <c r="J446" s="60">
        <v>0.02</v>
      </c>
      <c r="O446" s="60" t="s">
        <v>695</v>
      </c>
      <c r="P446" s="60" t="s">
        <v>1101</v>
      </c>
      <c r="Q446" s="60" t="s">
        <v>4309</v>
      </c>
      <c r="R446" s="60">
        <v>9.08</v>
      </c>
      <c r="S446" s="60">
        <v>-0.44</v>
      </c>
      <c r="T446" s="60">
        <v>3123</v>
      </c>
      <c r="U446" s="60">
        <v>41.49</v>
      </c>
    </row>
    <row r="447" spans="1:21">
      <c r="A447" s="60" t="s">
        <v>697</v>
      </c>
      <c r="B447" s="60" t="s">
        <v>3165</v>
      </c>
      <c r="C447" s="60" t="s">
        <v>4310</v>
      </c>
      <c r="D447" s="60">
        <v>6.1</v>
      </c>
      <c r="E447" s="60">
        <v>0.83</v>
      </c>
      <c r="F447" s="60">
        <v>724</v>
      </c>
      <c r="G447" s="60">
        <v>0</v>
      </c>
      <c r="H447" s="60">
        <v>1.71</v>
      </c>
      <c r="I447" s="60">
        <v>0</v>
      </c>
      <c r="J447" s="60">
        <v>0</v>
      </c>
      <c r="O447" s="60" t="s">
        <v>697</v>
      </c>
      <c r="P447" s="60" t="s">
        <v>3165</v>
      </c>
      <c r="Q447" s="60" t="s">
        <v>4310</v>
      </c>
      <c r="R447" s="60">
        <v>6.1</v>
      </c>
      <c r="S447" s="60">
        <v>0.83</v>
      </c>
      <c r="T447" s="60">
        <v>724</v>
      </c>
      <c r="U447" s="60">
        <v>45.76</v>
      </c>
    </row>
    <row r="448" spans="1:21">
      <c r="A448" s="60" t="s">
        <v>699</v>
      </c>
      <c r="B448" s="60" t="s">
        <v>1104</v>
      </c>
      <c r="C448" s="60" t="s">
        <v>4311</v>
      </c>
      <c r="D448" s="60">
        <v>38.4</v>
      </c>
      <c r="E448" s="60">
        <v>-0.39</v>
      </c>
      <c r="F448" s="60">
        <v>2511</v>
      </c>
      <c r="G448" s="60">
        <v>0.02</v>
      </c>
      <c r="H448" s="60">
        <v>21.28</v>
      </c>
      <c r="I448" s="60">
        <v>6.74</v>
      </c>
      <c r="J448" s="60">
        <v>0.27</v>
      </c>
      <c r="O448" s="60" t="s">
        <v>699</v>
      </c>
      <c r="P448" s="60" t="s">
        <v>1104</v>
      </c>
      <c r="Q448" s="60" t="s">
        <v>4311</v>
      </c>
      <c r="R448" s="60">
        <v>38.4</v>
      </c>
      <c r="S448" s="60">
        <v>-0.39</v>
      </c>
      <c r="T448" s="60">
        <v>2511</v>
      </c>
      <c r="U448" s="60">
        <v>64.7</v>
      </c>
    </row>
    <row r="449" spans="1:21">
      <c r="A449" s="60" t="s">
        <v>701</v>
      </c>
      <c r="B449" s="60" t="s">
        <v>1106</v>
      </c>
      <c r="C449" s="60" t="s">
        <v>4312</v>
      </c>
      <c r="D449" s="60">
        <v>43.5</v>
      </c>
      <c r="E449" s="60">
        <v>-1.36</v>
      </c>
      <c r="F449" s="60">
        <v>308</v>
      </c>
      <c r="G449" s="60">
        <v>0.03</v>
      </c>
      <c r="H449" s="60">
        <v>0.96</v>
      </c>
      <c r="I449" s="60">
        <v>11.42</v>
      </c>
      <c r="J449" s="60">
        <v>0</v>
      </c>
      <c r="O449" s="60" t="s">
        <v>701</v>
      </c>
      <c r="P449" s="60" t="s">
        <v>1106</v>
      </c>
      <c r="Q449" s="60" t="s">
        <v>4312</v>
      </c>
      <c r="R449" s="60">
        <v>43.5</v>
      </c>
      <c r="S449" s="60">
        <v>-1.36</v>
      </c>
      <c r="T449" s="60">
        <v>308</v>
      </c>
      <c r="U449" s="60">
        <v>90.03</v>
      </c>
    </row>
    <row r="450" spans="1:21">
      <c r="A450" s="60" t="s">
        <v>703</v>
      </c>
      <c r="B450" s="60" t="s">
        <v>1108</v>
      </c>
      <c r="C450" s="60" t="s">
        <v>4313</v>
      </c>
      <c r="D450" s="60">
        <v>34.25</v>
      </c>
      <c r="E450" s="60">
        <v>1.63</v>
      </c>
      <c r="F450" s="60">
        <v>646</v>
      </c>
      <c r="G450" s="60">
        <v>0.01</v>
      </c>
      <c r="H450" s="60">
        <v>45.43</v>
      </c>
      <c r="I450" s="60">
        <v>4.87</v>
      </c>
      <c r="J450" s="60">
        <v>0.04</v>
      </c>
      <c r="O450" s="60" t="s">
        <v>703</v>
      </c>
      <c r="P450" s="60" t="s">
        <v>1108</v>
      </c>
      <c r="Q450" s="60" t="s">
        <v>4313</v>
      </c>
      <c r="R450" s="60">
        <v>34.25</v>
      </c>
      <c r="S450" s="60">
        <v>1.63</v>
      </c>
      <c r="T450" s="60">
        <v>646</v>
      </c>
      <c r="U450" s="60">
        <v>75.31</v>
      </c>
    </row>
    <row r="451" spans="1:21">
      <c r="A451" s="60" t="s">
        <v>705</v>
      </c>
      <c r="B451" s="60" t="s">
        <v>1110</v>
      </c>
      <c r="C451" s="60" t="s">
        <v>4314</v>
      </c>
      <c r="D451" s="60">
        <v>21.85</v>
      </c>
      <c r="E451" s="60">
        <v>0.23</v>
      </c>
      <c r="F451" s="60">
        <v>26</v>
      </c>
      <c r="G451" s="60">
        <v>0</v>
      </c>
      <c r="H451" s="60">
        <v>0.28000000000000003</v>
      </c>
      <c r="I451" s="60">
        <v>1.44</v>
      </c>
      <c r="J451" s="60">
        <v>0</v>
      </c>
      <c r="O451" s="60" t="s">
        <v>705</v>
      </c>
      <c r="P451" s="60" t="s">
        <v>1110</v>
      </c>
      <c r="Q451" s="60" t="s">
        <v>4314</v>
      </c>
      <c r="R451" s="60">
        <v>21.85</v>
      </c>
      <c r="S451" s="60">
        <v>0.23</v>
      </c>
      <c r="T451" s="60">
        <v>26</v>
      </c>
      <c r="U451" s="60">
        <v>85.33</v>
      </c>
    </row>
    <row r="452" spans="1:21">
      <c r="A452" s="60" t="s">
        <v>707</v>
      </c>
      <c r="B452" s="60" t="s">
        <v>1112</v>
      </c>
      <c r="C452" s="60" t="s">
        <v>4315</v>
      </c>
      <c r="D452" s="60">
        <v>14.7</v>
      </c>
      <c r="E452" s="60">
        <v>1.03</v>
      </c>
      <c r="F452" s="60">
        <v>608</v>
      </c>
      <c r="G452" s="60">
        <v>0</v>
      </c>
      <c r="H452" s="60">
        <v>0.78</v>
      </c>
      <c r="I452" s="60">
        <v>8.61</v>
      </c>
      <c r="J452" s="60">
        <v>0</v>
      </c>
      <c r="O452" s="60" t="s">
        <v>707</v>
      </c>
      <c r="P452" s="60" t="s">
        <v>1112</v>
      </c>
      <c r="Q452" s="60" t="s">
        <v>4315</v>
      </c>
      <c r="R452" s="60">
        <v>14.7</v>
      </c>
      <c r="S452" s="60">
        <v>1.03</v>
      </c>
      <c r="T452" s="60">
        <v>608</v>
      </c>
      <c r="U452" s="60">
        <v>79.239999999999995</v>
      </c>
    </row>
    <row r="453" spans="1:21">
      <c r="A453" s="60" t="s">
        <v>709</v>
      </c>
      <c r="B453" s="60" t="s">
        <v>1114</v>
      </c>
      <c r="C453" s="60" t="s">
        <v>4316</v>
      </c>
      <c r="D453" s="60">
        <v>23.5</v>
      </c>
      <c r="E453" s="60">
        <v>0</v>
      </c>
      <c r="F453" s="60">
        <v>1658</v>
      </c>
      <c r="G453" s="60">
        <v>0.01</v>
      </c>
      <c r="H453" s="60">
        <v>10.51</v>
      </c>
      <c r="I453" s="60">
        <v>2.67</v>
      </c>
      <c r="J453" s="60">
        <v>0.02</v>
      </c>
      <c r="O453" s="60" t="s">
        <v>709</v>
      </c>
      <c r="P453" s="60" t="s">
        <v>1114</v>
      </c>
      <c r="Q453" s="60" t="s">
        <v>4316</v>
      </c>
      <c r="R453" s="60">
        <v>23.5</v>
      </c>
      <c r="S453" s="60">
        <v>0</v>
      </c>
      <c r="T453" s="60">
        <v>1658</v>
      </c>
      <c r="U453" s="60">
        <v>62.82</v>
      </c>
    </row>
    <row r="454" spans="1:21">
      <c r="A454" s="60" t="s">
        <v>711</v>
      </c>
      <c r="B454" s="60" t="s">
        <v>1116</v>
      </c>
      <c r="C454" s="60" t="s">
        <v>4317</v>
      </c>
      <c r="D454" s="60">
        <v>32.35</v>
      </c>
      <c r="E454" s="60">
        <v>0.94</v>
      </c>
      <c r="F454" s="60">
        <v>506</v>
      </c>
      <c r="G454" s="60">
        <v>0</v>
      </c>
      <c r="H454" s="60">
        <v>15.16</v>
      </c>
      <c r="I454" s="60">
        <v>0.93</v>
      </c>
      <c r="J454" s="60">
        <v>7.0000000000000007E-2</v>
      </c>
      <c r="O454" s="60" t="s">
        <v>711</v>
      </c>
      <c r="P454" s="60" t="s">
        <v>1116</v>
      </c>
      <c r="Q454" s="60" t="s">
        <v>4317</v>
      </c>
      <c r="R454" s="60">
        <v>32.35</v>
      </c>
      <c r="S454" s="60">
        <v>0.94</v>
      </c>
      <c r="T454" s="60">
        <v>506</v>
      </c>
      <c r="U454" s="60">
        <v>43.15</v>
      </c>
    </row>
    <row r="455" spans="1:21">
      <c r="A455" s="60" t="s">
        <v>713</v>
      </c>
      <c r="B455" s="60" t="s">
        <v>1118</v>
      </c>
      <c r="C455" s="60" t="s">
        <v>4318</v>
      </c>
      <c r="D455" s="60">
        <v>22.2</v>
      </c>
      <c r="E455" s="60">
        <v>0.23</v>
      </c>
      <c r="F455" s="60">
        <v>319</v>
      </c>
      <c r="G455" s="60">
        <v>0</v>
      </c>
      <c r="H455" s="60">
        <v>10.07</v>
      </c>
      <c r="I455" s="60">
        <v>0.41</v>
      </c>
      <c r="J455" s="60">
        <v>0.03</v>
      </c>
      <c r="O455" s="60" t="s">
        <v>713</v>
      </c>
      <c r="P455" s="60" t="s">
        <v>1118</v>
      </c>
      <c r="Q455" s="60" t="s">
        <v>4318</v>
      </c>
      <c r="R455" s="60">
        <v>22.2</v>
      </c>
      <c r="S455" s="60">
        <v>0.23</v>
      </c>
      <c r="T455" s="60">
        <v>319</v>
      </c>
      <c r="U455" s="60">
        <v>70.37</v>
      </c>
    </row>
    <row r="456" spans="1:21">
      <c r="A456" s="60" t="s">
        <v>715</v>
      </c>
      <c r="B456" s="60" t="s">
        <v>1120</v>
      </c>
      <c r="C456" s="60" t="s">
        <v>4319</v>
      </c>
      <c r="D456" s="60">
        <v>10.6</v>
      </c>
      <c r="E456" s="60">
        <v>0</v>
      </c>
      <c r="F456" s="60">
        <v>1791</v>
      </c>
      <c r="G456" s="60">
        <v>0.01</v>
      </c>
      <c r="H456" s="60">
        <v>2.36</v>
      </c>
      <c r="I456" s="60">
        <v>18.37</v>
      </c>
      <c r="J456" s="60">
        <v>0</v>
      </c>
      <c r="O456" s="60" t="s">
        <v>715</v>
      </c>
      <c r="P456" s="60" t="s">
        <v>1120</v>
      </c>
      <c r="Q456" s="60" t="s">
        <v>4319</v>
      </c>
      <c r="R456" s="60">
        <v>10.6</v>
      </c>
      <c r="S456" s="60">
        <v>0</v>
      </c>
      <c r="T456" s="60">
        <v>1791</v>
      </c>
      <c r="U456" s="60">
        <v>53.62</v>
      </c>
    </row>
    <row r="457" spans="1:21">
      <c r="A457" s="60" t="s">
        <v>717</v>
      </c>
      <c r="B457" s="60" t="s">
        <v>1122</v>
      </c>
      <c r="C457" s="60" t="s">
        <v>4320</v>
      </c>
      <c r="D457" s="60">
        <v>13.15</v>
      </c>
      <c r="E457" s="60">
        <v>1.1499999999999999</v>
      </c>
      <c r="F457" s="60">
        <v>1507</v>
      </c>
      <c r="G457" s="60">
        <v>0.03</v>
      </c>
      <c r="H457" s="60">
        <v>12.89</v>
      </c>
      <c r="I457" s="60">
        <v>10.28</v>
      </c>
      <c r="J457" s="60">
        <v>0</v>
      </c>
      <c r="O457" s="60" t="s">
        <v>717</v>
      </c>
      <c r="P457" s="60" t="s">
        <v>1122</v>
      </c>
      <c r="Q457" s="60" t="s">
        <v>4320</v>
      </c>
      <c r="R457" s="60">
        <v>13.15</v>
      </c>
      <c r="S457" s="60">
        <v>1.1499999999999999</v>
      </c>
      <c r="T457" s="60">
        <v>1507</v>
      </c>
      <c r="U457" s="60">
        <v>50.76</v>
      </c>
    </row>
    <row r="458" spans="1:21">
      <c r="A458" s="60" t="s">
        <v>719</v>
      </c>
      <c r="B458" s="60" t="s">
        <v>1124</v>
      </c>
      <c r="C458" s="60" t="s">
        <v>4321</v>
      </c>
      <c r="D458" s="60">
        <v>31.15</v>
      </c>
      <c r="E458" s="60">
        <v>0</v>
      </c>
      <c r="F458" s="60">
        <v>128</v>
      </c>
      <c r="G458" s="60">
        <v>0</v>
      </c>
      <c r="H458" s="60">
        <v>0.63</v>
      </c>
      <c r="I458" s="60">
        <v>1.47</v>
      </c>
      <c r="J458" s="60">
        <v>0</v>
      </c>
      <c r="O458" s="60" t="s">
        <v>719</v>
      </c>
      <c r="P458" s="60" t="s">
        <v>1124</v>
      </c>
      <c r="Q458" s="60" t="s">
        <v>4321</v>
      </c>
      <c r="R458" s="60">
        <v>31.15</v>
      </c>
      <c r="S458" s="60">
        <v>0</v>
      </c>
      <c r="T458" s="60">
        <v>128</v>
      </c>
      <c r="U458" s="60">
        <v>86.9</v>
      </c>
    </row>
    <row r="459" spans="1:21">
      <c r="A459" s="60" t="s">
        <v>721</v>
      </c>
      <c r="B459" s="60" t="s">
        <v>1126</v>
      </c>
      <c r="C459" s="60" t="s">
        <v>4322</v>
      </c>
      <c r="D459" s="60">
        <v>74.2</v>
      </c>
      <c r="E459" s="60">
        <v>-0.4</v>
      </c>
      <c r="F459" s="60">
        <v>5</v>
      </c>
      <c r="G459" s="60">
        <v>0</v>
      </c>
      <c r="H459" s="60">
        <v>0.3</v>
      </c>
      <c r="I459" s="60">
        <v>0.67</v>
      </c>
      <c r="J459" s="60">
        <v>0</v>
      </c>
      <c r="O459" s="60" t="s">
        <v>721</v>
      </c>
      <c r="P459" s="60" t="s">
        <v>1126</v>
      </c>
      <c r="Q459" s="60" t="s">
        <v>4322</v>
      </c>
      <c r="R459" s="60">
        <v>74.2</v>
      </c>
      <c r="S459" s="60">
        <v>-0.4</v>
      </c>
      <c r="T459" s="60">
        <v>5</v>
      </c>
      <c r="U459" s="60">
        <v>93.66</v>
      </c>
    </row>
    <row r="460" spans="1:21">
      <c r="A460" s="60" t="s">
        <v>723</v>
      </c>
      <c r="B460" s="60" t="s">
        <v>1128</v>
      </c>
      <c r="C460" s="60" t="s">
        <v>4323</v>
      </c>
      <c r="D460" s="60">
        <v>46.55</v>
      </c>
      <c r="E460" s="60">
        <v>-0.21</v>
      </c>
      <c r="F460" s="60">
        <v>2897</v>
      </c>
      <c r="G460" s="60">
        <v>0.24</v>
      </c>
      <c r="H460" s="60">
        <v>16.36</v>
      </c>
      <c r="I460" s="60">
        <v>2.23</v>
      </c>
      <c r="J460" s="60">
        <v>4.04</v>
      </c>
      <c r="O460" s="60" t="s">
        <v>723</v>
      </c>
      <c r="P460" s="60" t="s">
        <v>1128</v>
      </c>
      <c r="Q460" s="60" t="s">
        <v>4323</v>
      </c>
      <c r="R460" s="60">
        <v>46.55</v>
      </c>
      <c r="S460" s="60">
        <v>-0.21</v>
      </c>
      <c r="T460" s="60">
        <v>2897</v>
      </c>
      <c r="U460" s="60">
        <v>63.59</v>
      </c>
    </row>
    <row r="461" spans="1:21">
      <c r="A461" s="60" t="s">
        <v>725</v>
      </c>
      <c r="B461" s="60" t="s">
        <v>3166</v>
      </c>
      <c r="C461" s="60" t="s">
        <v>4324</v>
      </c>
      <c r="D461" s="60">
        <v>7.78</v>
      </c>
      <c r="E461" s="60">
        <v>-1.1399999999999999</v>
      </c>
      <c r="F461" s="60">
        <v>39</v>
      </c>
      <c r="G461" s="60">
        <v>0</v>
      </c>
      <c r="H461" s="60">
        <v>0.15</v>
      </c>
      <c r="I461" s="60">
        <v>0</v>
      </c>
      <c r="J461" s="60">
        <v>0</v>
      </c>
      <c r="O461" s="60" t="s">
        <v>725</v>
      </c>
      <c r="P461" s="60" t="s">
        <v>3166</v>
      </c>
      <c r="Q461" s="60" t="s">
        <v>4324</v>
      </c>
      <c r="R461" s="60">
        <v>7.78</v>
      </c>
      <c r="S461" s="60">
        <v>-1.1399999999999999</v>
      </c>
      <c r="T461" s="60">
        <v>39</v>
      </c>
      <c r="U461" s="60">
        <v>82.48</v>
      </c>
    </row>
    <row r="462" spans="1:21">
      <c r="A462" s="60" t="s">
        <v>727</v>
      </c>
      <c r="B462" s="60" t="s">
        <v>1131</v>
      </c>
      <c r="C462" s="60" t="s">
        <v>4325</v>
      </c>
      <c r="D462" s="60">
        <v>37.1</v>
      </c>
      <c r="E462" s="60">
        <v>-0.4</v>
      </c>
      <c r="F462" s="60">
        <v>250</v>
      </c>
      <c r="G462" s="60">
        <v>0.17</v>
      </c>
      <c r="H462" s="60">
        <v>4.1900000000000004</v>
      </c>
      <c r="I462" s="60">
        <v>1.81</v>
      </c>
      <c r="J462" s="60">
        <v>0</v>
      </c>
      <c r="O462" s="60" t="s">
        <v>727</v>
      </c>
      <c r="P462" s="60" t="s">
        <v>1131</v>
      </c>
      <c r="Q462" s="60" t="s">
        <v>4325</v>
      </c>
      <c r="R462" s="60">
        <v>37.1</v>
      </c>
      <c r="S462" s="60">
        <v>-0.4</v>
      </c>
      <c r="T462" s="60">
        <v>250</v>
      </c>
      <c r="U462" s="60">
        <v>73.13</v>
      </c>
    </row>
    <row r="463" spans="1:21">
      <c r="A463" s="60" t="s">
        <v>729</v>
      </c>
      <c r="B463" s="60" t="s">
        <v>1133</v>
      </c>
      <c r="C463" s="60" t="s">
        <v>4326</v>
      </c>
      <c r="D463" s="60">
        <v>50.2</v>
      </c>
      <c r="E463" s="60">
        <v>0.8</v>
      </c>
      <c r="F463" s="60">
        <v>202</v>
      </c>
      <c r="G463" s="60">
        <v>0</v>
      </c>
      <c r="H463" s="60">
        <v>3.76</v>
      </c>
      <c r="I463" s="60">
        <v>0.17</v>
      </c>
      <c r="J463" s="60">
        <v>0</v>
      </c>
      <c r="O463" s="60" t="s">
        <v>729</v>
      </c>
      <c r="P463" s="60" t="s">
        <v>1133</v>
      </c>
      <c r="Q463" s="60" t="s">
        <v>4326</v>
      </c>
      <c r="R463" s="60">
        <v>50.2</v>
      </c>
      <c r="S463" s="60">
        <v>0.8</v>
      </c>
      <c r="T463" s="60">
        <v>202</v>
      </c>
      <c r="U463" s="60">
        <v>56.63</v>
      </c>
    </row>
    <row r="464" spans="1:21">
      <c r="A464" s="60" t="s">
        <v>730</v>
      </c>
      <c r="B464" s="60" t="s">
        <v>1135</v>
      </c>
      <c r="C464" s="60" t="s">
        <v>4327</v>
      </c>
      <c r="D464" s="60">
        <v>10.25</v>
      </c>
      <c r="E464" s="60">
        <v>-0.49</v>
      </c>
      <c r="F464" s="60">
        <v>968</v>
      </c>
      <c r="G464" s="60">
        <v>0</v>
      </c>
      <c r="H464" s="60">
        <v>18.95</v>
      </c>
      <c r="I464" s="60">
        <v>3.64</v>
      </c>
      <c r="J464" s="60">
        <v>0</v>
      </c>
      <c r="O464" s="60" t="s">
        <v>730</v>
      </c>
      <c r="P464" s="60" t="s">
        <v>1135</v>
      </c>
      <c r="Q464" s="60" t="s">
        <v>4327</v>
      </c>
      <c r="R464" s="60">
        <v>10.25</v>
      </c>
      <c r="S464" s="60">
        <v>-0.49</v>
      </c>
      <c r="T464" s="60">
        <v>968</v>
      </c>
      <c r="U464" s="60">
        <v>59.7</v>
      </c>
    </row>
    <row r="465" spans="1:21">
      <c r="A465" s="60" t="s">
        <v>732</v>
      </c>
      <c r="B465" s="60" t="s">
        <v>1137</v>
      </c>
      <c r="C465" s="60" t="s">
        <v>3689</v>
      </c>
      <c r="D465" s="60">
        <v>92.9</v>
      </c>
      <c r="E465" s="60">
        <v>-0.85</v>
      </c>
      <c r="F465" s="60">
        <v>241</v>
      </c>
      <c r="G465" s="60">
        <v>0</v>
      </c>
      <c r="H465" s="60">
        <v>25.89</v>
      </c>
      <c r="I465" s="60">
        <v>0.32</v>
      </c>
      <c r="J465" s="60">
        <v>0.6</v>
      </c>
      <c r="O465" s="60" t="s">
        <v>732</v>
      </c>
      <c r="P465" s="60" t="s">
        <v>1137</v>
      </c>
      <c r="Q465" s="60" t="s">
        <v>3689</v>
      </c>
      <c r="R465" s="60">
        <v>92.9</v>
      </c>
      <c r="S465" s="60">
        <v>-0.85</v>
      </c>
      <c r="T465" s="60">
        <v>241</v>
      </c>
      <c r="U465" s="60">
        <v>55.5</v>
      </c>
    </row>
    <row r="466" spans="1:21">
      <c r="A466" s="60" t="s">
        <v>734</v>
      </c>
      <c r="B466" s="60" t="s">
        <v>1139</v>
      </c>
      <c r="C466" s="60" t="s">
        <v>5046</v>
      </c>
      <c r="D466" s="60">
        <v>23.8</v>
      </c>
      <c r="E466" s="60">
        <v>-1.86</v>
      </c>
      <c r="F466" s="60">
        <v>345</v>
      </c>
      <c r="G466" s="60">
        <v>0</v>
      </c>
      <c r="H466" s="60">
        <v>0.65</v>
      </c>
      <c r="I466" s="60">
        <v>9.5399999999999991</v>
      </c>
      <c r="J466" s="60">
        <v>0</v>
      </c>
      <c r="O466" s="60" t="s">
        <v>734</v>
      </c>
      <c r="P466" s="60" t="s">
        <v>1139</v>
      </c>
      <c r="Q466" s="60" t="s">
        <v>5046</v>
      </c>
      <c r="R466" s="60">
        <v>23.8</v>
      </c>
      <c r="S466" s="60">
        <v>-1.86</v>
      </c>
      <c r="T466" s="60">
        <v>345</v>
      </c>
      <c r="U466" s="60">
        <v>58.99</v>
      </c>
    </row>
    <row r="467" spans="1:21">
      <c r="A467" s="60" t="s">
        <v>735</v>
      </c>
      <c r="B467" s="60" t="s">
        <v>1141</v>
      </c>
      <c r="C467" s="60" t="s">
        <v>3668</v>
      </c>
      <c r="D467" s="60">
        <v>123.5</v>
      </c>
      <c r="E467" s="60">
        <v>2.0699999999999998</v>
      </c>
      <c r="F467" s="60">
        <v>228</v>
      </c>
      <c r="G467" s="60">
        <v>0.02</v>
      </c>
      <c r="H467" s="60">
        <v>1.28</v>
      </c>
      <c r="I467" s="60">
        <v>1.25</v>
      </c>
      <c r="J467" s="60">
        <v>7.0000000000000007E-2</v>
      </c>
      <c r="O467" s="60" t="s">
        <v>735</v>
      </c>
      <c r="P467" s="60" t="s">
        <v>1141</v>
      </c>
      <c r="Q467" s="60" t="s">
        <v>3668</v>
      </c>
      <c r="R467" s="60">
        <v>123.5</v>
      </c>
      <c r="S467" s="60">
        <v>2.0699999999999998</v>
      </c>
      <c r="T467" s="60">
        <v>228</v>
      </c>
      <c r="U467" s="60">
        <v>77.290000000000006</v>
      </c>
    </row>
    <row r="468" spans="1:21">
      <c r="A468" s="60" t="s">
        <v>737</v>
      </c>
      <c r="B468" s="60" t="s">
        <v>1143</v>
      </c>
      <c r="C468" s="60" t="s">
        <v>4409</v>
      </c>
      <c r="D468" s="60">
        <v>13</v>
      </c>
      <c r="E468" s="60">
        <v>1.96</v>
      </c>
      <c r="F468" s="60">
        <v>8065</v>
      </c>
      <c r="G468" s="60">
        <v>0.32</v>
      </c>
      <c r="H468" s="60">
        <v>2.27</v>
      </c>
      <c r="I468" s="60">
        <v>13.38</v>
      </c>
      <c r="J468" s="60">
        <v>0</v>
      </c>
      <c r="O468" s="60" t="s">
        <v>737</v>
      </c>
      <c r="P468" s="60" t="s">
        <v>1143</v>
      </c>
      <c r="Q468" s="60" t="s">
        <v>4409</v>
      </c>
      <c r="R468" s="60">
        <v>13</v>
      </c>
      <c r="S468" s="60">
        <v>1.96</v>
      </c>
      <c r="T468" s="60">
        <v>8065</v>
      </c>
      <c r="U468" s="60">
        <v>26.28</v>
      </c>
    </row>
    <row r="469" spans="1:21">
      <c r="A469" s="60" t="s">
        <v>738</v>
      </c>
      <c r="B469" s="60" t="s">
        <v>1145</v>
      </c>
      <c r="C469" s="60" t="s">
        <v>3536</v>
      </c>
      <c r="D469" s="60">
        <v>119.5</v>
      </c>
      <c r="E469" s="60">
        <v>2.14</v>
      </c>
      <c r="F469" s="60">
        <v>126400</v>
      </c>
      <c r="G469" s="60">
        <v>0.73</v>
      </c>
      <c r="H469" s="60">
        <v>29.06</v>
      </c>
      <c r="I469" s="60">
        <v>21.86</v>
      </c>
      <c r="J469" s="60">
        <v>1.72</v>
      </c>
      <c r="O469" s="60" t="s">
        <v>738</v>
      </c>
      <c r="P469" s="60" t="s">
        <v>1145</v>
      </c>
      <c r="Q469" s="60" t="s">
        <v>3536</v>
      </c>
      <c r="R469" s="60">
        <v>119.5</v>
      </c>
      <c r="S469" s="60">
        <v>2.14</v>
      </c>
      <c r="T469" s="60">
        <v>126400</v>
      </c>
      <c r="U469" s="60">
        <v>57.04</v>
      </c>
    </row>
    <row r="470" spans="1:21">
      <c r="A470" s="60" t="s">
        <v>740</v>
      </c>
      <c r="B470" s="60" t="s">
        <v>1147</v>
      </c>
      <c r="C470" s="60" t="s">
        <v>3576</v>
      </c>
      <c r="D470" s="60">
        <v>28</v>
      </c>
      <c r="E470" s="60">
        <v>1.08</v>
      </c>
      <c r="F470" s="60">
        <v>11340</v>
      </c>
      <c r="G470" s="60">
        <v>0.7</v>
      </c>
      <c r="H470" s="60">
        <v>33.4</v>
      </c>
      <c r="I470" s="60">
        <v>16.79</v>
      </c>
      <c r="J470" s="60">
        <v>0</v>
      </c>
      <c r="O470" s="60" t="s">
        <v>740</v>
      </c>
      <c r="P470" s="60" t="s">
        <v>1147</v>
      </c>
      <c r="Q470" s="60" t="s">
        <v>3576</v>
      </c>
      <c r="R470" s="60">
        <v>28</v>
      </c>
      <c r="S470" s="60">
        <v>1.08</v>
      </c>
      <c r="T470" s="60">
        <v>11340</v>
      </c>
      <c r="U470" s="60">
        <v>34.94</v>
      </c>
    </row>
    <row r="471" spans="1:21">
      <c r="A471" s="60" t="s">
        <v>742</v>
      </c>
      <c r="B471" s="60" t="s">
        <v>1149</v>
      </c>
      <c r="C471" s="60" t="s">
        <v>3563</v>
      </c>
      <c r="D471" s="60">
        <v>53.3</v>
      </c>
      <c r="E471" s="60">
        <v>1.91</v>
      </c>
      <c r="F471" s="60">
        <v>7288</v>
      </c>
      <c r="G471" s="60">
        <v>0.63</v>
      </c>
      <c r="H471" s="60">
        <v>9.52</v>
      </c>
      <c r="I471" s="60">
        <v>13.2</v>
      </c>
      <c r="J471" s="60">
        <v>0.21</v>
      </c>
      <c r="O471" s="60" t="s">
        <v>742</v>
      </c>
      <c r="P471" s="60" t="s">
        <v>1149</v>
      </c>
      <c r="Q471" s="60" t="s">
        <v>3563</v>
      </c>
      <c r="R471" s="60">
        <v>53.3</v>
      </c>
      <c r="S471" s="60">
        <v>1.91</v>
      </c>
      <c r="T471" s="60">
        <v>7288</v>
      </c>
      <c r="U471" s="60">
        <v>55.51</v>
      </c>
    </row>
    <row r="472" spans="1:21">
      <c r="A472" s="60" t="s">
        <v>744</v>
      </c>
      <c r="B472" s="60" t="s">
        <v>1151</v>
      </c>
      <c r="C472" s="60" t="s">
        <v>3663</v>
      </c>
      <c r="D472" s="60">
        <v>29.4</v>
      </c>
      <c r="E472" s="60">
        <v>3.7</v>
      </c>
      <c r="F472" s="60">
        <v>8939</v>
      </c>
      <c r="G472" s="60">
        <v>0.1</v>
      </c>
      <c r="H472" s="60">
        <v>8.68</v>
      </c>
      <c r="I472" s="60">
        <v>7.29</v>
      </c>
      <c r="J472" s="60">
        <v>0.01</v>
      </c>
      <c r="O472" s="60" t="s">
        <v>744</v>
      </c>
      <c r="P472" s="60" t="s">
        <v>1151</v>
      </c>
      <c r="Q472" s="60" t="s">
        <v>3663</v>
      </c>
      <c r="R472" s="60">
        <v>29.4</v>
      </c>
      <c r="S472" s="60">
        <v>3.7</v>
      </c>
      <c r="T472" s="60">
        <v>8939</v>
      </c>
      <c r="U472" s="60">
        <v>69.290000000000006</v>
      </c>
    </row>
    <row r="473" spans="1:21">
      <c r="A473" s="60" t="s">
        <v>746</v>
      </c>
      <c r="B473" s="60" t="s">
        <v>1153</v>
      </c>
      <c r="C473" s="60" t="s">
        <v>3592</v>
      </c>
      <c r="D473" s="60">
        <v>43.95</v>
      </c>
      <c r="E473" s="60">
        <v>1.5</v>
      </c>
      <c r="F473" s="60">
        <v>481</v>
      </c>
      <c r="G473" s="60">
        <v>0.02</v>
      </c>
      <c r="H473" s="60">
        <v>8.31</v>
      </c>
      <c r="I473" s="60">
        <v>3.82</v>
      </c>
      <c r="J473" s="60">
        <v>0.01</v>
      </c>
      <c r="O473" s="60" t="s">
        <v>746</v>
      </c>
      <c r="P473" s="60" t="s">
        <v>1153</v>
      </c>
      <c r="Q473" s="60" t="s">
        <v>3592</v>
      </c>
      <c r="R473" s="60">
        <v>43.95</v>
      </c>
      <c r="S473" s="60">
        <v>1.5</v>
      </c>
      <c r="T473" s="60">
        <v>481</v>
      </c>
      <c r="U473" s="60">
        <v>73.91</v>
      </c>
    </row>
    <row r="474" spans="1:21">
      <c r="A474" s="60" t="s">
        <v>748</v>
      </c>
      <c r="B474" s="60" t="s">
        <v>1155</v>
      </c>
      <c r="C474" s="60" t="s">
        <v>3567</v>
      </c>
      <c r="D474" s="60">
        <v>110.5</v>
      </c>
      <c r="E474" s="60">
        <v>2.79</v>
      </c>
      <c r="F474" s="60">
        <v>84115</v>
      </c>
      <c r="G474" s="60">
        <v>1.61</v>
      </c>
      <c r="H474" s="60">
        <v>14.62</v>
      </c>
      <c r="I474" s="60">
        <v>26.21</v>
      </c>
      <c r="J474" s="60">
        <v>0.63</v>
      </c>
      <c r="O474" s="60" t="s">
        <v>748</v>
      </c>
      <c r="P474" s="60" t="s">
        <v>1155</v>
      </c>
      <c r="Q474" s="60" t="s">
        <v>3567</v>
      </c>
      <c r="R474" s="60">
        <v>110.5</v>
      </c>
      <c r="S474" s="60">
        <v>2.79</v>
      </c>
      <c r="T474" s="60">
        <v>84115</v>
      </c>
      <c r="U474" s="60">
        <v>57.19</v>
      </c>
    </row>
    <row r="475" spans="1:21">
      <c r="A475" s="60" t="s">
        <v>750</v>
      </c>
      <c r="B475" s="60" t="s">
        <v>1157</v>
      </c>
      <c r="C475" s="60" t="s">
        <v>4347</v>
      </c>
      <c r="D475" s="60">
        <v>27.45</v>
      </c>
      <c r="E475" s="60">
        <v>-0.72</v>
      </c>
      <c r="F475" s="60">
        <v>409683</v>
      </c>
      <c r="G475" s="60">
        <v>5.94</v>
      </c>
      <c r="H475" s="60">
        <v>17.36</v>
      </c>
      <c r="I475" s="60">
        <v>21.65</v>
      </c>
      <c r="J475" s="60">
        <v>0.64</v>
      </c>
      <c r="O475" s="60" t="s">
        <v>750</v>
      </c>
      <c r="P475" s="60" t="s">
        <v>1157</v>
      </c>
      <c r="Q475" s="60" t="s">
        <v>4347</v>
      </c>
      <c r="R475" s="60">
        <v>27.45</v>
      </c>
      <c r="S475" s="60">
        <v>-0.72</v>
      </c>
      <c r="T475" s="60">
        <v>409683</v>
      </c>
      <c r="U475" s="60">
        <v>70.55</v>
      </c>
    </row>
    <row r="476" spans="1:21">
      <c r="A476" s="60" t="s">
        <v>752</v>
      </c>
      <c r="B476" s="60" t="s">
        <v>1159</v>
      </c>
      <c r="C476" s="60" t="s">
        <v>3584</v>
      </c>
      <c r="D476" s="60">
        <v>20.100000000000001</v>
      </c>
      <c r="E476" s="60">
        <v>2.0299999999999998</v>
      </c>
      <c r="F476" s="60">
        <v>2306</v>
      </c>
      <c r="G476" s="60">
        <v>4.08</v>
      </c>
      <c r="H476" s="60">
        <v>3.76</v>
      </c>
      <c r="I476" s="60">
        <v>18.190000000000001</v>
      </c>
      <c r="J476" s="60">
        <v>0</v>
      </c>
      <c r="O476" s="60" t="s">
        <v>752</v>
      </c>
      <c r="P476" s="60" t="s">
        <v>1159</v>
      </c>
      <c r="Q476" s="60" t="s">
        <v>3584</v>
      </c>
      <c r="R476" s="60">
        <v>20.100000000000001</v>
      </c>
      <c r="S476" s="60">
        <v>2.0299999999999998</v>
      </c>
      <c r="T476" s="60">
        <v>2306</v>
      </c>
      <c r="U476" s="60">
        <v>46.51</v>
      </c>
    </row>
    <row r="477" spans="1:21">
      <c r="A477" s="60" t="s">
        <v>754</v>
      </c>
      <c r="B477" s="60" t="s">
        <v>1161</v>
      </c>
      <c r="C477" s="60" t="s">
        <v>4348</v>
      </c>
      <c r="D477" s="60">
        <v>56.8</v>
      </c>
      <c r="E477" s="60">
        <v>3.09</v>
      </c>
      <c r="F477" s="60">
        <v>2090</v>
      </c>
      <c r="G477" s="60">
        <v>1.45</v>
      </c>
      <c r="H477" s="60">
        <v>2.33</v>
      </c>
      <c r="I477" s="60">
        <v>15.95</v>
      </c>
      <c r="J477" s="60">
        <v>0</v>
      </c>
      <c r="O477" s="60" t="s">
        <v>754</v>
      </c>
      <c r="P477" s="60" t="s">
        <v>1161</v>
      </c>
      <c r="Q477" s="60" t="s">
        <v>4348</v>
      </c>
      <c r="R477" s="60">
        <v>56.8</v>
      </c>
      <c r="S477" s="60">
        <v>3.09</v>
      </c>
      <c r="T477" s="60">
        <v>2090</v>
      </c>
      <c r="U477" s="60">
        <v>63.61</v>
      </c>
    </row>
    <row r="478" spans="1:21">
      <c r="A478" s="60" t="s">
        <v>756</v>
      </c>
      <c r="B478" s="60" t="s">
        <v>1163</v>
      </c>
      <c r="C478" s="60" t="s">
        <v>3582</v>
      </c>
      <c r="D478" s="60">
        <v>26.7</v>
      </c>
      <c r="E478" s="60">
        <v>2.69</v>
      </c>
      <c r="F478" s="60">
        <v>489</v>
      </c>
      <c r="G478" s="60">
        <v>0.48</v>
      </c>
      <c r="H478" s="60">
        <v>2.54</v>
      </c>
      <c r="I478" s="60">
        <v>5.56</v>
      </c>
      <c r="J478" s="60">
        <v>0</v>
      </c>
      <c r="O478" s="60" t="s">
        <v>756</v>
      </c>
      <c r="P478" s="60" t="s">
        <v>1163</v>
      </c>
      <c r="Q478" s="60" t="s">
        <v>3582</v>
      </c>
      <c r="R478" s="60">
        <v>26.7</v>
      </c>
      <c r="S478" s="60">
        <v>2.69</v>
      </c>
      <c r="T478" s="60">
        <v>489</v>
      </c>
      <c r="U478" s="60">
        <v>64.91</v>
      </c>
    </row>
    <row r="479" spans="1:21">
      <c r="A479" s="60" t="s">
        <v>758</v>
      </c>
      <c r="B479" s="60" t="s">
        <v>1165</v>
      </c>
      <c r="C479" s="60" t="s">
        <v>3597</v>
      </c>
      <c r="D479" s="60">
        <v>33.450000000000003</v>
      </c>
      <c r="E479" s="60">
        <v>1.67</v>
      </c>
      <c r="F479" s="60">
        <v>6918</v>
      </c>
      <c r="G479" s="60">
        <v>0.99</v>
      </c>
      <c r="H479" s="60">
        <v>3.09</v>
      </c>
      <c r="I479" s="60">
        <v>20.170000000000002</v>
      </c>
      <c r="J479" s="60">
        <v>0.01</v>
      </c>
      <c r="O479" s="60" t="s">
        <v>758</v>
      </c>
      <c r="P479" s="60" t="s">
        <v>1165</v>
      </c>
      <c r="Q479" s="60" t="s">
        <v>3597</v>
      </c>
      <c r="R479" s="60">
        <v>33.450000000000003</v>
      </c>
      <c r="S479" s="60">
        <v>1.67</v>
      </c>
      <c r="T479" s="60">
        <v>6918</v>
      </c>
      <c r="U479" s="60">
        <v>35.68</v>
      </c>
    </row>
    <row r="480" spans="1:21">
      <c r="A480" s="60" t="s">
        <v>760</v>
      </c>
      <c r="B480" s="60" t="s">
        <v>1167</v>
      </c>
      <c r="C480" s="60" t="s">
        <v>4349</v>
      </c>
      <c r="D480" s="60">
        <v>154.5</v>
      </c>
      <c r="E480" s="60">
        <v>-0.96</v>
      </c>
      <c r="F480" s="60">
        <v>27895</v>
      </c>
      <c r="G480" s="60">
        <v>0.67</v>
      </c>
      <c r="H480" s="60">
        <v>43.67</v>
      </c>
      <c r="I480" s="60">
        <v>7.58</v>
      </c>
      <c r="J480" s="60">
        <v>0.36</v>
      </c>
      <c r="O480" s="60" t="s">
        <v>760</v>
      </c>
      <c r="P480" s="60" t="s">
        <v>1167</v>
      </c>
      <c r="Q480" s="60" t="s">
        <v>4349</v>
      </c>
      <c r="R480" s="60">
        <v>154.5</v>
      </c>
      <c r="S480" s="60">
        <v>-0.96</v>
      </c>
      <c r="T480" s="60">
        <v>27895</v>
      </c>
      <c r="U480" s="60">
        <v>84.56</v>
      </c>
    </row>
    <row r="481" spans="1:21">
      <c r="A481" s="60" t="s">
        <v>762</v>
      </c>
      <c r="B481" s="60" t="s">
        <v>1169</v>
      </c>
      <c r="C481" s="60" t="s">
        <v>4428</v>
      </c>
      <c r="D481" s="60">
        <v>36.700000000000003</v>
      </c>
      <c r="E481" s="60">
        <v>0</v>
      </c>
      <c r="F481" s="60">
        <v>61</v>
      </c>
      <c r="G481" s="60">
        <v>0</v>
      </c>
      <c r="H481" s="60">
        <v>3.1</v>
      </c>
      <c r="I481" s="60">
        <v>0.46</v>
      </c>
      <c r="J481" s="60">
        <v>0</v>
      </c>
      <c r="O481" s="60" t="s">
        <v>762</v>
      </c>
      <c r="P481" s="60" t="s">
        <v>1169</v>
      </c>
      <c r="Q481" s="60" t="s">
        <v>4428</v>
      </c>
      <c r="R481" s="60">
        <v>36.700000000000003</v>
      </c>
      <c r="S481" s="60">
        <v>0</v>
      </c>
      <c r="T481" s="60">
        <v>61</v>
      </c>
      <c r="U481" s="60">
        <v>53.83</v>
      </c>
    </row>
    <row r="482" spans="1:21">
      <c r="A482" s="60" t="s">
        <v>764</v>
      </c>
      <c r="B482" s="60" t="s">
        <v>1171</v>
      </c>
      <c r="C482" s="60" t="s">
        <v>3548</v>
      </c>
      <c r="D482" s="60">
        <v>37.25</v>
      </c>
      <c r="E482" s="60">
        <v>4.49</v>
      </c>
      <c r="F482" s="60">
        <v>6275</v>
      </c>
      <c r="G482" s="60">
        <v>0.19</v>
      </c>
      <c r="H482" s="60">
        <v>3.9</v>
      </c>
      <c r="I482" s="60">
        <v>15.49</v>
      </c>
      <c r="J482" s="60">
        <v>0</v>
      </c>
      <c r="O482" s="60" t="s">
        <v>764</v>
      </c>
      <c r="P482" s="60" t="s">
        <v>1171</v>
      </c>
      <c r="Q482" s="60" t="s">
        <v>3548</v>
      </c>
      <c r="R482" s="60">
        <v>37.25</v>
      </c>
      <c r="S482" s="60">
        <v>4.49</v>
      </c>
      <c r="T482" s="60">
        <v>6275</v>
      </c>
      <c r="U482" s="60">
        <v>51.97</v>
      </c>
    </row>
    <row r="483" spans="1:21">
      <c r="A483" s="60" t="s">
        <v>766</v>
      </c>
      <c r="B483" s="60" t="s">
        <v>1173</v>
      </c>
      <c r="C483" s="60" t="s">
        <v>4350</v>
      </c>
      <c r="D483" s="60">
        <v>26.4</v>
      </c>
      <c r="E483" s="60">
        <v>-2.94</v>
      </c>
      <c r="F483" s="60">
        <v>262757</v>
      </c>
      <c r="G483" s="60">
        <v>2.5299999999999998</v>
      </c>
      <c r="H483" s="60">
        <v>26.1</v>
      </c>
      <c r="I483" s="60">
        <v>13.34</v>
      </c>
      <c r="J483" s="60">
        <v>0.74</v>
      </c>
      <c r="O483" s="60" t="s">
        <v>766</v>
      </c>
      <c r="P483" s="60" t="s">
        <v>1173</v>
      </c>
      <c r="Q483" s="60" t="s">
        <v>4350</v>
      </c>
      <c r="R483" s="60">
        <v>26.4</v>
      </c>
      <c r="S483" s="60">
        <v>-2.94</v>
      </c>
      <c r="T483" s="60">
        <v>262757</v>
      </c>
      <c r="U483" s="60">
        <v>70.03</v>
      </c>
    </row>
    <row r="484" spans="1:21">
      <c r="A484" s="60" t="s">
        <v>768</v>
      </c>
      <c r="B484" s="60" t="s">
        <v>3167</v>
      </c>
      <c r="C484" s="60" t="s">
        <v>4351</v>
      </c>
      <c r="D484" s="60">
        <v>19.75</v>
      </c>
      <c r="E484" s="60">
        <v>-0.5</v>
      </c>
      <c r="F484" s="60">
        <v>409</v>
      </c>
      <c r="G484" s="60">
        <v>0</v>
      </c>
      <c r="H484" s="60">
        <v>0.28999999999999998</v>
      </c>
      <c r="I484" s="60">
        <v>0</v>
      </c>
      <c r="J484" s="60">
        <v>0</v>
      </c>
      <c r="O484" s="60" t="s">
        <v>768</v>
      </c>
      <c r="P484" s="60" t="s">
        <v>3167</v>
      </c>
      <c r="Q484" s="60" t="s">
        <v>4351</v>
      </c>
      <c r="R484" s="60">
        <v>19.75</v>
      </c>
      <c r="S484" s="60">
        <v>-0.5</v>
      </c>
      <c r="T484" s="60">
        <v>409</v>
      </c>
      <c r="U484" s="60">
        <v>77.14</v>
      </c>
    </row>
    <row r="485" spans="1:21">
      <c r="A485" s="60" t="s">
        <v>769</v>
      </c>
      <c r="B485" s="60" t="s">
        <v>1175</v>
      </c>
      <c r="C485" s="60" t="s">
        <v>4352</v>
      </c>
      <c r="D485" s="60">
        <v>29.7</v>
      </c>
      <c r="E485" s="60">
        <v>1.02</v>
      </c>
      <c r="F485" s="60">
        <v>6452</v>
      </c>
      <c r="G485" s="60">
        <v>0</v>
      </c>
      <c r="H485" s="60">
        <v>10.49</v>
      </c>
      <c r="I485" s="60">
        <v>0.95</v>
      </c>
      <c r="J485" s="60">
        <v>0.31</v>
      </c>
      <c r="O485" s="60" t="s">
        <v>769</v>
      </c>
      <c r="P485" s="60" t="s">
        <v>1175</v>
      </c>
      <c r="Q485" s="60" t="s">
        <v>4352</v>
      </c>
      <c r="R485" s="60">
        <v>29.7</v>
      </c>
      <c r="S485" s="60">
        <v>1.02</v>
      </c>
      <c r="T485" s="60">
        <v>6452</v>
      </c>
      <c r="U485" s="60">
        <v>84.19</v>
      </c>
    </row>
    <row r="486" spans="1:21">
      <c r="A486" s="60" t="s">
        <v>771</v>
      </c>
      <c r="B486" s="60" t="s">
        <v>1177</v>
      </c>
      <c r="C486" s="60" t="s">
        <v>4353</v>
      </c>
      <c r="D486" s="60">
        <v>30.4</v>
      </c>
      <c r="E486" s="60">
        <v>0.5</v>
      </c>
      <c r="F486" s="60">
        <v>2983</v>
      </c>
      <c r="G486" s="60">
        <v>0.01</v>
      </c>
      <c r="H486" s="60">
        <v>2.41</v>
      </c>
      <c r="I486" s="60">
        <v>2.33</v>
      </c>
      <c r="J486" s="60">
        <v>0.01</v>
      </c>
      <c r="O486" s="60" t="s">
        <v>771</v>
      </c>
      <c r="P486" s="60" t="s">
        <v>1177</v>
      </c>
      <c r="Q486" s="60" t="s">
        <v>4353</v>
      </c>
      <c r="R486" s="60">
        <v>30.4</v>
      </c>
      <c r="S486" s="60">
        <v>0.5</v>
      </c>
      <c r="T486" s="60">
        <v>2983</v>
      </c>
      <c r="U486" s="60">
        <v>56.23</v>
      </c>
    </row>
    <row r="487" spans="1:21">
      <c r="A487" s="60" t="s">
        <v>773</v>
      </c>
      <c r="B487" s="60" t="s">
        <v>1179</v>
      </c>
      <c r="C487" s="60" t="s">
        <v>4354</v>
      </c>
      <c r="D487" s="60">
        <v>133.5</v>
      </c>
      <c r="E487" s="60">
        <v>1.52</v>
      </c>
      <c r="F487" s="60">
        <v>3634</v>
      </c>
      <c r="G487" s="60">
        <v>4.78</v>
      </c>
      <c r="H487" s="60">
        <v>13.21</v>
      </c>
      <c r="I487" s="60">
        <v>37.11</v>
      </c>
      <c r="J487" s="60">
        <v>0</v>
      </c>
      <c r="O487" s="60" t="s">
        <v>773</v>
      </c>
      <c r="P487" s="60" t="s">
        <v>1179</v>
      </c>
      <c r="Q487" s="60" t="s">
        <v>4354</v>
      </c>
      <c r="R487" s="60">
        <v>133.5</v>
      </c>
      <c r="S487" s="60">
        <v>1.52</v>
      </c>
      <c r="T487" s="60">
        <v>3634</v>
      </c>
      <c r="U487" s="60">
        <v>35.409999999999997</v>
      </c>
    </row>
    <row r="488" spans="1:21">
      <c r="A488" s="60" t="s">
        <v>775</v>
      </c>
      <c r="B488" s="60" t="s">
        <v>1181</v>
      </c>
      <c r="C488" s="60" t="s">
        <v>3577</v>
      </c>
      <c r="D488" s="60">
        <v>71.400000000000006</v>
      </c>
      <c r="E488" s="60">
        <v>2.73</v>
      </c>
      <c r="F488" s="60">
        <v>6092</v>
      </c>
      <c r="G488" s="60">
        <v>0.66</v>
      </c>
      <c r="H488" s="60">
        <v>11.2</v>
      </c>
      <c r="I488" s="60">
        <v>9.8800000000000008</v>
      </c>
      <c r="J488" s="60">
        <v>0.01</v>
      </c>
      <c r="O488" s="60" t="s">
        <v>775</v>
      </c>
      <c r="P488" s="60" t="s">
        <v>1181</v>
      </c>
      <c r="Q488" s="60" t="s">
        <v>3577</v>
      </c>
      <c r="R488" s="60">
        <v>71.400000000000006</v>
      </c>
      <c r="S488" s="60">
        <v>2.73</v>
      </c>
      <c r="T488" s="60">
        <v>6092</v>
      </c>
      <c r="U488" s="60">
        <v>63.09</v>
      </c>
    </row>
    <row r="489" spans="1:21">
      <c r="A489" s="60" t="s">
        <v>777</v>
      </c>
      <c r="B489" s="60" t="s">
        <v>1183</v>
      </c>
      <c r="C489" s="60" t="s">
        <v>5128</v>
      </c>
      <c r="D489" s="60">
        <v>74.099999999999994</v>
      </c>
      <c r="E489" s="60">
        <v>0</v>
      </c>
      <c r="F489" s="60">
        <v>40</v>
      </c>
      <c r="G489" s="60">
        <v>0</v>
      </c>
      <c r="H489" s="60">
        <v>4.0199999999999996</v>
      </c>
      <c r="I489" s="60">
        <v>11.01</v>
      </c>
      <c r="J489" s="60">
        <v>0.69</v>
      </c>
      <c r="O489" s="60" t="s">
        <v>777</v>
      </c>
      <c r="P489" s="60" t="s">
        <v>1183</v>
      </c>
      <c r="Q489" s="60" t="s">
        <v>5128</v>
      </c>
      <c r="R489" s="60">
        <v>74.099999999999994</v>
      </c>
      <c r="S489" s="60">
        <v>0</v>
      </c>
      <c r="T489" s="60">
        <v>40</v>
      </c>
      <c r="U489" s="60">
        <v>58.17</v>
      </c>
    </row>
    <row r="490" spans="1:21">
      <c r="A490" s="60" t="s">
        <v>779</v>
      </c>
      <c r="B490" s="60" t="s">
        <v>1185</v>
      </c>
      <c r="C490" s="60" t="s">
        <v>3579</v>
      </c>
      <c r="D490" s="60">
        <v>24.55</v>
      </c>
      <c r="E490" s="60">
        <v>1.87</v>
      </c>
      <c r="F490" s="60">
        <v>2576</v>
      </c>
      <c r="G490" s="60">
        <v>0.87</v>
      </c>
      <c r="H490" s="60">
        <v>2.1800000000000002</v>
      </c>
      <c r="I490" s="60">
        <v>22.13</v>
      </c>
      <c r="J490" s="60">
        <v>0</v>
      </c>
      <c r="O490" s="60" t="s">
        <v>779</v>
      </c>
      <c r="P490" s="60" t="s">
        <v>1185</v>
      </c>
      <c r="Q490" s="60" t="s">
        <v>3579</v>
      </c>
      <c r="R490" s="60">
        <v>24.55</v>
      </c>
      <c r="S490" s="60">
        <v>1.87</v>
      </c>
      <c r="T490" s="60">
        <v>2576</v>
      </c>
      <c r="U490" s="60">
        <v>29.72</v>
      </c>
    </row>
    <row r="491" spans="1:21">
      <c r="A491" s="60" t="s">
        <v>781</v>
      </c>
      <c r="B491" s="60" t="s">
        <v>1187</v>
      </c>
      <c r="C491" s="60" t="s">
        <v>3557</v>
      </c>
      <c r="D491" s="60">
        <v>69.400000000000006</v>
      </c>
      <c r="E491" s="60">
        <v>1.02</v>
      </c>
      <c r="F491" s="60">
        <v>530</v>
      </c>
      <c r="G491" s="60">
        <v>4.8499999999999996</v>
      </c>
      <c r="H491" s="60">
        <v>7.03</v>
      </c>
      <c r="I491" s="60">
        <v>10.73</v>
      </c>
      <c r="J491" s="60">
        <v>0</v>
      </c>
      <c r="O491" s="60" t="s">
        <v>781</v>
      </c>
      <c r="P491" s="60" t="s">
        <v>1187</v>
      </c>
      <c r="Q491" s="60" t="s">
        <v>3557</v>
      </c>
      <c r="R491" s="60">
        <v>69.400000000000006</v>
      </c>
      <c r="S491" s="60">
        <v>1.02</v>
      </c>
      <c r="T491" s="60">
        <v>530</v>
      </c>
      <c r="U491" s="60">
        <v>60.38</v>
      </c>
    </row>
    <row r="492" spans="1:21">
      <c r="A492" s="60" t="s">
        <v>783</v>
      </c>
      <c r="B492" s="60" t="s">
        <v>1189</v>
      </c>
      <c r="C492" s="60" t="s">
        <v>5070</v>
      </c>
      <c r="D492" s="60">
        <v>78.8</v>
      </c>
      <c r="E492" s="60">
        <v>1.55</v>
      </c>
      <c r="F492" s="60">
        <v>177</v>
      </c>
      <c r="G492" s="60">
        <v>0.09</v>
      </c>
      <c r="H492" s="60">
        <v>1.64</v>
      </c>
      <c r="I492" s="60">
        <v>11.89</v>
      </c>
      <c r="J492" s="60">
        <v>0</v>
      </c>
      <c r="O492" s="60" t="s">
        <v>783</v>
      </c>
      <c r="P492" s="60" t="s">
        <v>1189</v>
      </c>
      <c r="Q492" s="60" t="s">
        <v>5070</v>
      </c>
      <c r="R492" s="60">
        <v>78.8</v>
      </c>
      <c r="S492" s="60">
        <v>1.55</v>
      </c>
      <c r="T492" s="60">
        <v>177</v>
      </c>
      <c r="U492" s="60">
        <v>54.47</v>
      </c>
    </row>
    <row r="493" spans="1:21">
      <c r="A493" s="60" t="s">
        <v>785</v>
      </c>
      <c r="B493" s="60" t="s">
        <v>1191</v>
      </c>
      <c r="C493" s="60" t="s">
        <v>4357</v>
      </c>
      <c r="D493" s="60">
        <v>12.45</v>
      </c>
      <c r="E493" s="60">
        <v>0</v>
      </c>
      <c r="F493" s="60">
        <v>45</v>
      </c>
      <c r="G493" s="60">
        <v>0</v>
      </c>
      <c r="H493" s="60">
        <v>0.46</v>
      </c>
      <c r="I493" s="60">
        <v>0.25</v>
      </c>
      <c r="J493" s="60">
        <v>0</v>
      </c>
      <c r="O493" s="60" t="s">
        <v>785</v>
      </c>
      <c r="P493" s="60" t="s">
        <v>1191</v>
      </c>
      <c r="Q493" s="60" t="s">
        <v>4357</v>
      </c>
      <c r="R493" s="60">
        <v>12.45</v>
      </c>
      <c r="S493" s="60">
        <v>0</v>
      </c>
      <c r="T493" s="60">
        <v>45</v>
      </c>
      <c r="U493" s="60">
        <v>85.79</v>
      </c>
    </row>
    <row r="494" spans="1:21">
      <c r="A494" s="60" t="s">
        <v>787</v>
      </c>
      <c r="B494" s="60" t="s">
        <v>3168</v>
      </c>
      <c r="C494" s="60" t="s">
        <v>4358</v>
      </c>
      <c r="D494" s="60">
        <v>26.45</v>
      </c>
      <c r="E494" s="60">
        <v>2.3199999999999998</v>
      </c>
      <c r="F494" s="60">
        <v>448</v>
      </c>
      <c r="G494" s="60">
        <v>0</v>
      </c>
      <c r="H494" s="60">
        <v>37.229999999999997</v>
      </c>
      <c r="I494" s="60">
        <v>0</v>
      </c>
      <c r="J494" s="60">
        <v>0</v>
      </c>
      <c r="O494" s="60" t="s">
        <v>787</v>
      </c>
      <c r="P494" s="60" t="s">
        <v>3168</v>
      </c>
      <c r="Q494" s="60" t="s">
        <v>4358</v>
      </c>
      <c r="R494" s="60">
        <v>26.45</v>
      </c>
      <c r="S494" s="60">
        <v>2.3199999999999998</v>
      </c>
      <c r="T494" s="60">
        <v>448</v>
      </c>
      <c r="U494" s="60">
        <v>70.58</v>
      </c>
    </row>
    <row r="495" spans="1:21">
      <c r="A495" s="60" t="s">
        <v>789</v>
      </c>
      <c r="B495" s="60" t="s">
        <v>1194</v>
      </c>
      <c r="C495" s="60" t="s">
        <v>4359</v>
      </c>
      <c r="D495" s="60">
        <v>31</v>
      </c>
      <c r="E495" s="60">
        <v>0</v>
      </c>
      <c r="F495" s="60">
        <v>301</v>
      </c>
      <c r="G495" s="60">
        <v>0.01</v>
      </c>
      <c r="H495" s="60">
        <v>10.3</v>
      </c>
      <c r="I495" s="60">
        <v>0.7</v>
      </c>
      <c r="J495" s="60">
        <v>0</v>
      </c>
      <c r="O495" s="60" t="s">
        <v>789</v>
      </c>
      <c r="P495" s="60" t="s">
        <v>1194</v>
      </c>
      <c r="Q495" s="60" t="s">
        <v>4359</v>
      </c>
      <c r="R495" s="60">
        <v>31</v>
      </c>
      <c r="S495" s="60">
        <v>0</v>
      </c>
      <c r="T495" s="60">
        <v>301</v>
      </c>
      <c r="U495" s="60">
        <v>85.12</v>
      </c>
    </row>
    <row r="496" spans="1:21">
      <c r="A496" s="60" t="s">
        <v>790</v>
      </c>
      <c r="B496" s="60" t="s">
        <v>3169</v>
      </c>
      <c r="C496" s="60" t="s">
        <v>4360</v>
      </c>
      <c r="D496" s="60">
        <v>18.2</v>
      </c>
      <c r="E496" s="60">
        <v>0</v>
      </c>
      <c r="F496" s="60">
        <v>137</v>
      </c>
      <c r="G496" s="60">
        <v>0</v>
      </c>
      <c r="H496" s="60">
        <v>1.49</v>
      </c>
      <c r="I496" s="60">
        <v>0.62</v>
      </c>
      <c r="J496" s="60">
        <v>0</v>
      </c>
      <c r="O496" s="60" t="s">
        <v>790</v>
      </c>
      <c r="P496" s="60" t="s">
        <v>3169</v>
      </c>
      <c r="Q496" s="60" t="s">
        <v>4360</v>
      </c>
      <c r="R496" s="60">
        <v>18.2</v>
      </c>
      <c r="S496" s="60">
        <v>0</v>
      </c>
      <c r="T496" s="60">
        <v>137</v>
      </c>
      <c r="U496" s="60">
        <v>63.19</v>
      </c>
    </row>
    <row r="497" spans="1:21">
      <c r="A497" s="60" t="s">
        <v>792</v>
      </c>
      <c r="B497" s="60" t="s">
        <v>1197</v>
      </c>
      <c r="C497" s="60" t="s">
        <v>4361</v>
      </c>
      <c r="D497" s="60">
        <v>14.85</v>
      </c>
      <c r="E497" s="60">
        <v>-0.34</v>
      </c>
      <c r="F497" s="60">
        <v>268</v>
      </c>
      <c r="G497" s="60">
        <v>0</v>
      </c>
      <c r="H497" s="60">
        <v>2.56</v>
      </c>
      <c r="I497" s="60">
        <v>1.94</v>
      </c>
      <c r="J497" s="60">
        <v>0</v>
      </c>
      <c r="O497" s="60" t="s">
        <v>792</v>
      </c>
      <c r="P497" s="60" t="s">
        <v>1197</v>
      </c>
      <c r="Q497" s="60" t="s">
        <v>4361</v>
      </c>
      <c r="R497" s="60">
        <v>14.85</v>
      </c>
      <c r="S497" s="60">
        <v>-0.34</v>
      </c>
      <c r="T497" s="60">
        <v>268</v>
      </c>
      <c r="U497" s="60">
        <v>83.39</v>
      </c>
    </row>
    <row r="498" spans="1:21">
      <c r="A498" s="60" t="s">
        <v>794</v>
      </c>
      <c r="B498" s="60" t="s">
        <v>1199</v>
      </c>
      <c r="C498" s="60" t="s">
        <v>4362</v>
      </c>
      <c r="D498" s="60">
        <v>153.5</v>
      </c>
      <c r="E498" s="60">
        <v>-0.65</v>
      </c>
      <c r="F498" s="60">
        <v>233</v>
      </c>
      <c r="G498" s="60">
        <v>0</v>
      </c>
      <c r="H498" s="60">
        <v>13.15</v>
      </c>
      <c r="I498" s="60">
        <v>3.16</v>
      </c>
      <c r="J498" s="60">
        <v>0.01</v>
      </c>
      <c r="O498" s="60" t="s">
        <v>794</v>
      </c>
      <c r="P498" s="60" t="s">
        <v>1199</v>
      </c>
      <c r="Q498" s="60" t="s">
        <v>4362</v>
      </c>
      <c r="R498" s="60">
        <v>153.5</v>
      </c>
      <c r="S498" s="60">
        <v>-0.65</v>
      </c>
      <c r="T498" s="60">
        <v>233</v>
      </c>
      <c r="U498" s="60">
        <v>57.39</v>
      </c>
    </row>
    <row r="499" spans="1:21">
      <c r="A499" s="60" t="s">
        <v>796</v>
      </c>
      <c r="B499" s="60" t="s">
        <v>1201</v>
      </c>
      <c r="C499" s="60" t="s">
        <v>4363</v>
      </c>
      <c r="D499" s="60">
        <v>38</v>
      </c>
      <c r="E499" s="60">
        <v>0</v>
      </c>
      <c r="F499" s="60">
        <v>6</v>
      </c>
      <c r="G499" s="60">
        <v>0</v>
      </c>
      <c r="H499" s="60">
        <v>0.13</v>
      </c>
      <c r="I499" s="60">
        <v>0.2</v>
      </c>
      <c r="J499" s="60">
        <v>0</v>
      </c>
      <c r="O499" s="60" t="s">
        <v>796</v>
      </c>
      <c r="P499" s="60" t="s">
        <v>1201</v>
      </c>
      <c r="Q499" s="60" t="s">
        <v>4363</v>
      </c>
      <c r="R499" s="60">
        <v>38</v>
      </c>
      <c r="S499" s="60">
        <v>0</v>
      </c>
      <c r="T499" s="60">
        <v>6</v>
      </c>
      <c r="U499" s="60">
        <v>91.72</v>
      </c>
    </row>
    <row r="500" spans="1:21">
      <c r="A500" s="60" t="s">
        <v>798</v>
      </c>
      <c r="B500" s="60" t="s">
        <v>3170</v>
      </c>
      <c r="C500" s="60" t="s">
        <v>5077</v>
      </c>
      <c r="D500" s="60">
        <v>31.05</v>
      </c>
      <c r="E500" s="60">
        <v>0</v>
      </c>
      <c r="F500" s="60">
        <v>4</v>
      </c>
      <c r="G500" s="60">
        <v>0</v>
      </c>
      <c r="H500" s="60">
        <v>0</v>
      </c>
      <c r="I500" s="60">
        <v>0</v>
      </c>
      <c r="J500" s="60">
        <v>0</v>
      </c>
      <c r="O500" s="60" t="s">
        <v>798</v>
      </c>
      <c r="P500" s="60" t="s">
        <v>3170</v>
      </c>
      <c r="Q500" s="60" t="s">
        <v>5077</v>
      </c>
      <c r="R500" s="60">
        <v>31.05</v>
      </c>
      <c r="S500" s="60">
        <v>0</v>
      </c>
      <c r="T500" s="60">
        <v>4</v>
      </c>
      <c r="U500" s="60">
        <v>87.86</v>
      </c>
    </row>
    <row r="501" spans="1:21">
      <c r="A501" s="60" t="s">
        <v>800</v>
      </c>
      <c r="B501" s="60" t="s">
        <v>3171</v>
      </c>
      <c r="C501" s="60" t="s">
        <v>5078</v>
      </c>
      <c r="D501" s="60">
        <v>12</v>
      </c>
      <c r="E501" s="60">
        <v>0</v>
      </c>
      <c r="F501" s="60">
        <v>0</v>
      </c>
      <c r="G501" s="60">
        <v>0</v>
      </c>
      <c r="H501" s="60">
        <v>0.28999999999999998</v>
      </c>
      <c r="I501" s="60">
        <v>0</v>
      </c>
      <c r="J501" s="60">
        <v>0</v>
      </c>
      <c r="O501" s="60" t="s">
        <v>800</v>
      </c>
      <c r="P501" s="60" t="s">
        <v>3171</v>
      </c>
      <c r="Q501" s="60" t="s">
        <v>5078</v>
      </c>
      <c r="R501" s="60">
        <v>12</v>
      </c>
      <c r="S501" s="60">
        <v>0</v>
      </c>
      <c r="T501" s="60">
        <v>0</v>
      </c>
      <c r="U501" s="60">
        <v>79.7</v>
      </c>
    </row>
    <row r="502" spans="1:21">
      <c r="A502" s="60" t="s">
        <v>802</v>
      </c>
      <c r="B502" s="60" t="s">
        <v>1204</v>
      </c>
      <c r="C502" s="60" t="s">
        <v>4364</v>
      </c>
      <c r="D502" s="60">
        <v>31.7</v>
      </c>
      <c r="E502" s="60">
        <v>-0.31</v>
      </c>
      <c r="F502" s="60">
        <v>5</v>
      </c>
      <c r="G502" s="60">
        <v>0</v>
      </c>
      <c r="H502" s="60">
        <v>0.46</v>
      </c>
      <c r="I502" s="60">
        <v>0.86</v>
      </c>
      <c r="J502" s="60">
        <v>0</v>
      </c>
      <c r="O502" s="60" t="s">
        <v>802</v>
      </c>
      <c r="P502" s="60" t="s">
        <v>1204</v>
      </c>
      <c r="Q502" s="60" t="s">
        <v>4364</v>
      </c>
      <c r="R502" s="60">
        <v>31.7</v>
      </c>
      <c r="S502" s="60">
        <v>-0.31</v>
      </c>
      <c r="T502" s="60">
        <v>5</v>
      </c>
      <c r="U502" s="60">
        <v>86.6</v>
      </c>
    </row>
    <row r="503" spans="1:21">
      <c r="A503" s="60" t="s">
        <v>804</v>
      </c>
      <c r="B503" s="60" t="s">
        <v>1206</v>
      </c>
      <c r="C503" s="60" t="s">
        <v>4365</v>
      </c>
      <c r="D503" s="60">
        <v>120</v>
      </c>
      <c r="E503" s="60">
        <v>-2.04</v>
      </c>
      <c r="F503" s="60">
        <v>1425</v>
      </c>
      <c r="G503" s="60">
        <v>0.06</v>
      </c>
      <c r="H503" s="60">
        <v>58.32</v>
      </c>
      <c r="I503" s="60">
        <v>4.0199999999999996</v>
      </c>
      <c r="J503" s="60">
        <v>0.32</v>
      </c>
      <c r="O503" s="60" t="s">
        <v>804</v>
      </c>
      <c r="P503" s="60" t="s">
        <v>1206</v>
      </c>
      <c r="Q503" s="60" t="s">
        <v>4365</v>
      </c>
      <c r="R503" s="60">
        <v>120</v>
      </c>
      <c r="S503" s="60">
        <v>-2.04</v>
      </c>
      <c r="T503" s="60">
        <v>1425</v>
      </c>
      <c r="U503" s="60">
        <v>74.319999999999993</v>
      </c>
    </row>
    <row r="504" spans="1:21">
      <c r="A504" s="60" t="s">
        <v>806</v>
      </c>
      <c r="B504" s="60" t="s">
        <v>3172</v>
      </c>
      <c r="C504" s="60" t="s">
        <v>5079</v>
      </c>
      <c r="D504" s="60">
        <v>7.5</v>
      </c>
      <c r="E504" s="60">
        <v>4.0199999999999996</v>
      </c>
      <c r="F504" s="60">
        <v>1</v>
      </c>
      <c r="G504" s="60">
        <v>0</v>
      </c>
      <c r="H504" s="60">
        <v>63.8</v>
      </c>
      <c r="I504" s="60">
        <v>0</v>
      </c>
      <c r="J504" s="60">
        <v>0</v>
      </c>
      <c r="O504" s="60" t="s">
        <v>806</v>
      </c>
      <c r="P504" s="60" t="s">
        <v>3172</v>
      </c>
      <c r="Q504" s="60" t="s">
        <v>5079</v>
      </c>
      <c r="R504" s="60">
        <v>7.5</v>
      </c>
      <c r="S504" s="60">
        <v>4.0199999999999996</v>
      </c>
      <c r="T504" s="60">
        <v>1</v>
      </c>
      <c r="U504" s="60">
        <v>79.989999999999995</v>
      </c>
    </row>
    <row r="505" spans="1:21">
      <c r="A505" s="60" t="s">
        <v>808</v>
      </c>
      <c r="B505" s="60" t="s">
        <v>1209</v>
      </c>
      <c r="C505" s="60" t="s">
        <v>5080</v>
      </c>
      <c r="D505" s="60">
        <v>33.9</v>
      </c>
      <c r="E505" s="60">
        <v>-0.28999999999999998</v>
      </c>
      <c r="F505" s="60">
        <v>58</v>
      </c>
      <c r="G505" s="60">
        <v>0.1</v>
      </c>
      <c r="H505" s="60">
        <v>37.799999999999997</v>
      </c>
      <c r="I505" s="60">
        <v>11.76</v>
      </c>
      <c r="J505" s="60">
        <v>0</v>
      </c>
      <c r="O505" s="60" t="s">
        <v>808</v>
      </c>
      <c r="P505" s="60" t="s">
        <v>1209</v>
      </c>
      <c r="Q505" s="60" t="s">
        <v>5080</v>
      </c>
      <c r="R505" s="60">
        <v>33.9</v>
      </c>
      <c r="S505" s="60">
        <v>-0.28999999999999998</v>
      </c>
      <c r="T505" s="60">
        <v>58</v>
      </c>
      <c r="U505" s="60">
        <v>47.43</v>
      </c>
    </row>
    <row r="506" spans="1:21">
      <c r="A506" s="60" t="s">
        <v>810</v>
      </c>
      <c r="B506" s="60" t="s">
        <v>1211</v>
      </c>
      <c r="C506" s="60" t="s">
        <v>4366</v>
      </c>
      <c r="D506" s="60">
        <v>140.5</v>
      </c>
      <c r="E506" s="60">
        <v>-0.71</v>
      </c>
      <c r="F506" s="60">
        <v>357</v>
      </c>
      <c r="G506" s="60">
        <v>0.34</v>
      </c>
      <c r="H506" s="60">
        <v>6.24</v>
      </c>
      <c r="I506" s="60">
        <v>9.57</v>
      </c>
      <c r="J506" s="60">
        <v>0.08</v>
      </c>
      <c r="O506" s="60" t="s">
        <v>810</v>
      </c>
      <c r="P506" s="60" t="s">
        <v>1211</v>
      </c>
      <c r="Q506" s="60" t="s">
        <v>4366</v>
      </c>
      <c r="R506" s="60">
        <v>140.5</v>
      </c>
      <c r="S506" s="60">
        <v>-0.71</v>
      </c>
      <c r="T506" s="60">
        <v>357</v>
      </c>
      <c r="U506" s="60">
        <v>23.3</v>
      </c>
    </row>
    <row r="507" spans="1:21">
      <c r="A507" s="60" t="s">
        <v>812</v>
      </c>
      <c r="B507" s="60" t="s">
        <v>3173</v>
      </c>
      <c r="C507" s="60" t="s">
        <v>5081</v>
      </c>
      <c r="D507" s="60">
        <v>235</v>
      </c>
      <c r="E507" s="60">
        <v>-1.88</v>
      </c>
      <c r="F507" s="60">
        <v>24</v>
      </c>
      <c r="G507" s="60">
        <v>0</v>
      </c>
      <c r="H507" s="60">
        <v>2.36</v>
      </c>
      <c r="I507" s="60">
        <v>0</v>
      </c>
      <c r="J507" s="60">
        <v>0</v>
      </c>
      <c r="O507" s="60" t="s">
        <v>812</v>
      </c>
      <c r="P507" s="60" t="s">
        <v>3173</v>
      </c>
      <c r="Q507" s="60" t="s">
        <v>5081</v>
      </c>
      <c r="R507" s="60">
        <v>235</v>
      </c>
      <c r="S507" s="60">
        <v>-1.88</v>
      </c>
      <c r="T507" s="60">
        <v>24</v>
      </c>
      <c r="U507" s="60">
        <v>61.36</v>
      </c>
    </row>
    <row r="508" spans="1:21">
      <c r="A508" s="60" t="s">
        <v>814</v>
      </c>
      <c r="B508" s="60" t="s">
        <v>1213</v>
      </c>
      <c r="C508" s="60" t="s">
        <v>4367</v>
      </c>
      <c r="D508" s="60">
        <v>89.2</v>
      </c>
      <c r="E508" s="60">
        <v>-1.87</v>
      </c>
      <c r="F508" s="60">
        <v>617</v>
      </c>
      <c r="G508" s="60">
        <v>1.86</v>
      </c>
      <c r="H508" s="60">
        <v>1.62</v>
      </c>
      <c r="I508" s="60">
        <v>8.84</v>
      </c>
      <c r="J508" s="60">
        <v>7.0000000000000007E-2</v>
      </c>
      <c r="O508" s="60" t="s">
        <v>814</v>
      </c>
      <c r="P508" s="60" t="s">
        <v>1213</v>
      </c>
      <c r="Q508" s="60" t="s">
        <v>4367</v>
      </c>
      <c r="R508" s="60">
        <v>89.2</v>
      </c>
      <c r="S508" s="60">
        <v>-1.87</v>
      </c>
      <c r="T508" s="60">
        <v>617</v>
      </c>
      <c r="U508" s="60">
        <v>51.77</v>
      </c>
    </row>
    <row r="509" spans="1:21">
      <c r="A509" s="60" t="s">
        <v>816</v>
      </c>
      <c r="B509" s="60" t="s">
        <v>1215</v>
      </c>
      <c r="C509" s="60" t="s">
        <v>5082</v>
      </c>
      <c r="D509" s="60">
        <v>98.5</v>
      </c>
      <c r="E509" s="60">
        <v>-0.71</v>
      </c>
      <c r="F509" s="60">
        <v>45</v>
      </c>
      <c r="G509" s="60">
        <v>0</v>
      </c>
      <c r="H509" s="60">
        <v>7.4</v>
      </c>
      <c r="I509" s="60">
        <v>4.21</v>
      </c>
      <c r="J509" s="60">
        <v>0.89</v>
      </c>
      <c r="O509" s="60" t="s">
        <v>816</v>
      </c>
      <c r="P509" s="60" t="s">
        <v>1215</v>
      </c>
      <c r="Q509" s="60" t="s">
        <v>5082</v>
      </c>
      <c r="R509" s="60">
        <v>98.5</v>
      </c>
      <c r="S509" s="60">
        <v>-0.71</v>
      </c>
      <c r="T509" s="60">
        <v>45</v>
      </c>
      <c r="U509" s="60">
        <v>40.340000000000003</v>
      </c>
    </row>
    <row r="510" spans="1:21">
      <c r="A510" s="60" t="s">
        <v>818</v>
      </c>
      <c r="B510" s="60" t="s">
        <v>3174</v>
      </c>
      <c r="C510" s="60" t="s">
        <v>5083</v>
      </c>
      <c r="D510" s="60">
        <v>23.25</v>
      </c>
      <c r="E510" s="60">
        <v>-2.52</v>
      </c>
      <c r="F510" s="60">
        <v>168</v>
      </c>
      <c r="G510" s="60">
        <v>0</v>
      </c>
      <c r="H510" s="60">
        <v>9.66</v>
      </c>
      <c r="I510" s="60">
        <v>0</v>
      </c>
      <c r="J510" s="60">
        <v>0</v>
      </c>
      <c r="O510" s="60" t="s">
        <v>818</v>
      </c>
      <c r="P510" s="60" t="s">
        <v>3174</v>
      </c>
      <c r="Q510" s="60" t="s">
        <v>5083</v>
      </c>
      <c r="R510" s="60">
        <v>23.25</v>
      </c>
      <c r="S510" s="60">
        <v>-2.52</v>
      </c>
      <c r="T510" s="60">
        <v>168</v>
      </c>
      <c r="U510" s="60">
        <v>40.99</v>
      </c>
    </row>
    <row r="511" spans="1:21">
      <c r="A511" s="60" t="s">
        <v>820</v>
      </c>
      <c r="B511" s="60" t="s">
        <v>1218</v>
      </c>
      <c r="C511" s="60" t="s">
        <v>5084</v>
      </c>
      <c r="D511" s="60">
        <v>15.35</v>
      </c>
      <c r="E511" s="60">
        <v>0.33</v>
      </c>
      <c r="F511" s="60">
        <v>41</v>
      </c>
      <c r="G511" s="60">
        <v>0</v>
      </c>
      <c r="H511" s="60">
        <v>0.18</v>
      </c>
      <c r="I511" s="60">
        <v>7.16</v>
      </c>
      <c r="J511" s="60">
        <v>0</v>
      </c>
      <c r="O511" s="60" t="s">
        <v>820</v>
      </c>
      <c r="P511" s="60" t="s">
        <v>1218</v>
      </c>
      <c r="Q511" s="60" t="s">
        <v>5084</v>
      </c>
      <c r="R511" s="60">
        <v>15.35</v>
      </c>
      <c r="S511" s="60">
        <v>0.33</v>
      </c>
      <c r="T511" s="60">
        <v>41</v>
      </c>
      <c r="U511" s="60">
        <v>35.770000000000003</v>
      </c>
    </row>
    <row r="512" spans="1:21">
      <c r="A512" s="60" t="s">
        <v>822</v>
      </c>
      <c r="B512" s="60" t="s">
        <v>1220</v>
      </c>
      <c r="C512" s="60" t="s">
        <v>4368</v>
      </c>
      <c r="D512" s="60">
        <v>22.95</v>
      </c>
      <c r="E512" s="60">
        <v>-1.08</v>
      </c>
      <c r="F512" s="60">
        <v>119</v>
      </c>
      <c r="G512" s="60">
        <v>0.21</v>
      </c>
      <c r="H512" s="60">
        <v>3.58</v>
      </c>
      <c r="I512" s="60">
        <v>5.91</v>
      </c>
      <c r="J512" s="60">
        <v>0</v>
      </c>
      <c r="O512" s="60" t="s">
        <v>822</v>
      </c>
      <c r="P512" s="60" t="s">
        <v>1220</v>
      </c>
      <c r="Q512" s="60" t="s">
        <v>4368</v>
      </c>
      <c r="R512" s="60">
        <v>22.95</v>
      </c>
      <c r="S512" s="60">
        <v>-1.08</v>
      </c>
      <c r="T512" s="60">
        <v>119</v>
      </c>
      <c r="U512" s="60">
        <v>76.709999999999994</v>
      </c>
    </row>
    <row r="513" spans="1:21">
      <c r="A513" s="60" t="s">
        <v>824</v>
      </c>
      <c r="B513" s="60" t="s">
        <v>3175</v>
      </c>
      <c r="C513" s="60" t="s">
        <v>5085</v>
      </c>
      <c r="D513" s="60">
        <v>21.1</v>
      </c>
      <c r="E513" s="60">
        <v>0.48</v>
      </c>
      <c r="F513" s="60">
        <v>3</v>
      </c>
      <c r="G513" s="60">
        <v>0</v>
      </c>
      <c r="H513" s="60">
        <v>22.34</v>
      </c>
      <c r="I513" s="60">
        <v>0</v>
      </c>
      <c r="J513" s="60">
        <v>0</v>
      </c>
      <c r="O513" s="60" t="s">
        <v>824</v>
      </c>
      <c r="P513" s="60" t="s">
        <v>3175</v>
      </c>
      <c r="Q513" s="60" t="s">
        <v>5085</v>
      </c>
      <c r="R513" s="60">
        <v>21.1</v>
      </c>
      <c r="S513" s="60">
        <v>0.48</v>
      </c>
      <c r="T513" s="60">
        <v>3</v>
      </c>
      <c r="U513" s="60">
        <v>32.380000000000003</v>
      </c>
    </row>
    <row r="514" spans="1:21">
      <c r="A514" s="60" t="s">
        <v>826</v>
      </c>
      <c r="B514" s="60" t="s">
        <v>1222</v>
      </c>
      <c r="C514" s="60" t="s">
        <v>5086</v>
      </c>
      <c r="D514" s="60">
        <v>23.8</v>
      </c>
      <c r="E514" s="60">
        <v>-0.83</v>
      </c>
      <c r="F514" s="60">
        <v>28</v>
      </c>
      <c r="G514" s="60">
        <v>0</v>
      </c>
      <c r="H514" s="60">
        <v>0.11</v>
      </c>
      <c r="I514" s="60">
        <v>14.35</v>
      </c>
      <c r="J514" s="60">
        <v>0</v>
      </c>
      <c r="O514" s="60" t="s">
        <v>826</v>
      </c>
      <c r="P514" s="60" t="s">
        <v>1222</v>
      </c>
      <c r="Q514" s="60" t="s">
        <v>5086</v>
      </c>
      <c r="R514" s="60">
        <v>23.8</v>
      </c>
      <c r="S514" s="60">
        <v>-0.83</v>
      </c>
      <c r="T514" s="60">
        <v>28</v>
      </c>
      <c r="U514" s="60">
        <v>57.41</v>
      </c>
    </row>
    <row r="515" spans="1:21">
      <c r="A515" s="60" t="s">
        <v>828</v>
      </c>
      <c r="B515" s="60" t="s">
        <v>3176</v>
      </c>
      <c r="C515" s="60" t="s">
        <v>5087</v>
      </c>
      <c r="D515" s="60">
        <v>24</v>
      </c>
      <c r="E515" s="60">
        <v>-0.41</v>
      </c>
      <c r="F515" s="60">
        <v>35</v>
      </c>
      <c r="G515" s="60">
        <v>0</v>
      </c>
      <c r="H515" s="60">
        <v>0.02</v>
      </c>
      <c r="I515" s="60">
        <v>0</v>
      </c>
      <c r="J515" s="60">
        <v>0</v>
      </c>
      <c r="O515" s="60" t="s">
        <v>828</v>
      </c>
      <c r="P515" s="60" t="s">
        <v>3176</v>
      </c>
      <c r="Q515" s="60" t="s">
        <v>5087</v>
      </c>
      <c r="R515" s="60">
        <v>24</v>
      </c>
      <c r="S515" s="60">
        <v>-0.41</v>
      </c>
      <c r="T515" s="60">
        <v>35</v>
      </c>
      <c r="U515" s="60">
        <v>62.26</v>
      </c>
    </row>
    <row r="516" spans="1:21">
      <c r="A516" s="60" t="s">
        <v>830</v>
      </c>
      <c r="B516" s="60" t="s">
        <v>1224</v>
      </c>
      <c r="C516" s="60" t="s">
        <v>4369</v>
      </c>
      <c r="D516" s="60">
        <v>42.55</v>
      </c>
      <c r="E516" s="60">
        <v>0.12</v>
      </c>
      <c r="F516" s="60">
        <v>54</v>
      </c>
      <c r="G516" s="60">
        <v>0.01</v>
      </c>
      <c r="H516" s="60">
        <v>0.42</v>
      </c>
      <c r="I516" s="60">
        <v>0.91</v>
      </c>
      <c r="J516" s="60">
        <v>0</v>
      </c>
      <c r="O516" s="60" t="s">
        <v>830</v>
      </c>
      <c r="P516" s="60" t="s">
        <v>1224</v>
      </c>
      <c r="Q516" s="60" t="s">
        <v>4369</v>
      </c>
      <c r="R516" s="60">
        <v>42.55</v>
      </c>
      <c r="S516" s="60">
        <v>0.12</v>
      </c>
      <c r="T516" s="60">
        <v>54</v>
      </c>
      <c r="U516" s="60">
        <v>69.3</v>
      </c>
    </row>
    <row r="517" spans="1:21">
      <c r="A517" s="60" t="s">
        <v>832</v>
      </c>
      <c r="B517" s="60" t="s">
        <v>3177</v>
      </c>
      <c r="C517" s="60" t="s">
        <v>5088</v>
      </c>
      <c r="D517" s="60">
        <v>156.5</v>
      </c>
      <c r="E517" s="60">
        <v>0.32</v>
      </c>
      <c r="F517" s="60">
        <v>9</v>
      </c>
      <c r="G517" s="60">
        <v>0</v>
      </c>
      <c r="H517" s="60">
        <v>3.56</v>
      </c>
      <c r="I517" s="60">
        <v>0</v>
      </c>
      <c r="J517" s="60">
        <v>0</v>
      </c>
      <c r="O517" s="60" t="s">
        <v>832</v>
      </c>
      <c r="P517" s="60" t="s">
        <v>3177</v>
      </c>
      <c r="Q517" s="60" t="s">
        <v>5088</v>
      </c>
      <c r="R517" s="60">
        <v>156.5</v>
      </c>
      <c r="S517" s="60">
        <v>0.32</v>
      </c>
      <c r="T517" s="60">
        <v>9</v>
      </c>
      <c r="U517" s="60">
        <v>37.79</v>
      </c>
    </row>
    <row r="518" spans="1:21">
      <c r="A518" s="60" t="s">
        <v>834</v>
      </c>
      <c r="B518" s="60" t="s">
        <v>5518</v>
      </c>
      <c r="C518" s="60" t="s">
        <v>5414</v>
      </c>
      <c r="D518" s="60">
        <v>128.5</v>
      </c>
      <c r="E518" s="60">
        <v>-1.1499999999999999</v>
      </c>
      <c r="F518" s="60">
        <v>100</v>
      </c>
      <c r="G518" s="60">
        <v>0</v>
      </c>
      <c r="H518" s="60">
        <v>5.95</v>
      </c>
      <c r="I518" s="60">
        <v>0</v>
      </c>
      <c r="J518" s="60">
        <v>0</v>
      </c>
      <c r="O518" s="60" t="s">
        <v>834</v>
      </c>
      <c r="P518" s="60" t="s">
        <v>5518</v>
      </c>
      <c r="Q518" s="60" t="s">
        <v>5414</v>
      </c>
      <c r="R518" s="60">
        <v>128.5</v>
      </c>
      <c r="S518" s="60">
        <v>-1.1499999999999999</v>
      </c>
      <c r="T518" s="60">
        <v>100</v>
      </c>
      <c r="U518" s="60">
        <v>55.49</v>
      </c>
    </row>
    <row r="519" spans="1:21">
      <c r="A519" s="60" t="s">
        <v>836</v>
      </c>
      <c r="B519" s="60" t="s">
        <v>1226</v>
      </c>
      <c r="C519" s="60" t="s">
        <v>5089</v>
      </c>
      <c r="D519" s="60">
        <v>79.2</v>
      </c>
      <c r="E519" s="60">
        <v>0.38</v>
      </c>
      <c r="F519" s="60">
        <v>89</v>
      </c>
      <c r="G519" s="60">
        <v>0.01</v>
      </c>
      <c r="H519" s="60">
        <v>70.540000000000006</v>
      </c>
      <c r="I519" s="60">
        <v>5.77</v>
      </c>
      <c r="J519" s="60">
        <v>0</v>
      </c>
      <c r="O519" s="60" t="s">
        <v>836</v>
      </c>
      <c r="P519" s="60" t="s">
        <v>1226</v>
      </c>
      <c r="Q519" s="60" t="s">
        <v>5089</v>
      </c>
      <c r="R519" s="60">
        <v>79.2</v>
      </c>
      <c r="S519" s="60">
        <v>0.38</v>
      </c>
      <c r="T519" s="60">
        <v>89</v>
      </c>
      <c r="U519" s="60">
        <v>68.03</v>
      </c>
    </row>
    <row r="520" spans="1:21">
      <c r="A520" s="60" t="s">
        <v>838</v>
      </c>
      <c r="B520" s="60" t="s">
        <v>3178</v>
      </c>
      <c r="C520" s="60" t="s">
        <v>5090</v>
      </c>
      <c r="D520" s="60">
        <v>55.8</v>
      </c>
      <c r="E520" s="60">
        <v>-0.36</v>
      </c>
      <c r="F520" s="60">
        <v>7</v>
      </c>
      <c r="G520" s="60">
        <v>0</v>
      </c>
      <c r="H520" s="60">
        <v>0.01</v>
      </c>
      <c r="I520" s="60">
        <v>0</v>
      </c>
      <c r="J520" s="60">
        <v>0</v>
      </c>
      <c r="O520" s="60" t="s">
        <v>838</v>
      </c>
      <c r="P520" s="60" t="s">
        <v>3178</v>
      </c>
      <c r="Q520" s="60" t="s">
        <v>5090</v>
      </c>
      <c r="R520" s="60">
        <v>55.8</v>
      </c>
      <c r="S520" s="60">
        <v>-0.36</v>
      </c>
      <c r="T520" s="60">
        <v>7</v>
      </c>
      <c r="U520" s="60">
        <v>46.4</v>
      </c>
    </row>
    <row r="521" spans="1:21">
      <c r="A521" s="60" t="s">
        <v>840</v>
      </c>
      <c r="B521" s="60" t="s">
        <v>1228</v>
      </c>
      <c r="C521" s="60" t="s">
        <v>4374</v>
      </c>
      <c r="D521" s="60">
        <v>17.2</v>
      </c>
      <c r="E521" s="60">
        <v>-0.28999999999999998</v>
      </c>
      <c r="F521" s="60">
        <v>5460</v>
      </c>
      <c r="G521" s="60">
        <v>0.01</v>
      </c>
      <c r="H521" s="60">
        <v>12.21</v>
      </c>
      <c r="I521" s="60">
        <v>0.26</v>
      </c>
      <c r="J521" s="60">
        <v>0.47</v>
      </c>
      <c r="O521" s="60" t="s">
        <v>840</v>
      </c>
      <c r="P521" s="60" t="s">
        <v>1228</v>
      </c>
      <c r="Q521" s="60" t="s">
        <v>4374</v>
      </c>
      <c r="R521" s="60">
        <v>17.2</v>
      </c>
      <c r="S521" s="60">
        <v>-0.28999999999999998</v>
      </c>
      <c r="T521" s="60">
        <v>5460</v>
      </c>
      <c r="U521" s="60">
        <v>80.09</v>
      </c>
    </row>
    <row r="522" spans="1:21">
      <c r="A522" s="60" t="s">
        <v>842</v>
      </c>
      <c r="B522" s="60" t="s">
        <v>1230</v>
      </c>
      <c r="C522" s="60" t="s">
        <v>4375</v>
      </c>
      <c r="D522" s="60">
        <v>41.25</v>
      </c>
      <c r="E522" s="60">
        <v>-0.48</v>
      </c>
      <c r="F522" s="60">
        <v>2291</v>
      </c>
      <c r="G522" s="60">
        <v>0</v>
      </c>
      <c r="H522" s="60">
        <v>24.45</v>
      </c>
      <c r="I522" s="60">
        <v>0.46</v>
      </c>
      <c r="J522" s="60">
        <v>4.33</v>
      </c>
      <c r="O522" s="60" t="s">
        <v>842</v>
      </c>
      <c r="P522" s="60" t="s">
        <v>1230</v>
      </c>
      <c r="Q522" s="60" t="s">
        <v>4375</v>
      </c>
      <c r="R522" s="60">
        <v>41.25</v>
      </c>
      <c r="S522" s="60">
        <v>-0.48</v>
      </c>
      <c r="T522" s="60">
        <v>2291</v>
      </c>
      <c r="U522" s="60">
        <v>77.45</v>
      </c>
    </row>
    <row r="523" spans="1:21">
      <c r="A523" s="60" t="s">
        <v>844</v>
      </c>
      <c r="B523" s="60" t="s">
        <v>1232</v>
      </c>
      <c r="C523" s="60" t="s">
        <v>4376</v>
      </c>
      <c r="D523" s="60">
        <v>12.1</v>
      </c>
      <c r="E523" s="60">
        <v>0.41</v>
      </c>
      <c r="F523" s="60">
        <v>4070</v>
      </c>
      <c r="G523" s="60">
        <v>0.01</v>
      </c>
      <c r="H523" s="60">
        <v>11.08</v>
      </c>
      <c r="I523" s="60">
        <v>0.16</v>
      </c>
      <c r="J523" s="60">
        <v>0.08</v>
      </c>
      <c r="O523" s="60" t="s">
        <v>844</v>
      </c>
      <c r="P523" s="60" t="s">
        <v>1232</v>
      </c>
      <c r="Q523" s="60" t="s">
        <v>4376</v>
      </c>
      <c r="R523" s="60">
        <v>12.1</v>
      </c>
      <c r="S523" s="60">
        <v>0.41</v>
      </c>
      <c r="T523" s="60">
        <v>4070</v>
      </c>
      <c r="U523" s="60">
        <v>61.63</v>
      </c>
    </row>
    <row r="524" spans="1:21">
      <c r="A524" s="60" t="s">
        <v>846</v>
      </c>
      <c r="B524" s="60" t="s">
        <v>1234</v>
      </c>
      <c r="C524" s="60" t="s">
        <v>4377</v>
      </c>
      <c r="D524" s="60">
        <v>19.850000000000001</v>
      </c>
      <c r="E524" s="60">
        <v>-0.25</v>
      </c>
      <c r="F524" s="60">
        <v>49</v>
      </c>
      <c r="G524" s="60">
        <v>0</v>
      </c>
      <c r="H524" s="60">
        <v>1.55</v>
      </c>
      <c r="I524" s="60">
        <v>0.91</v>
      </c>
      <c r="J524" s="60">
        <v>0</v>
      </c>
      <c r="O524" s="60" t="s">
        <v>846</v>
      </c>
      <c r="P524" s="60" t="s">
        <v>1234</v>
      </c>
      <c r="Q524" s="60" t="s">
        <v>4377</v>
      </c>
      <c r="R524" s="60">
        <v>19.850000000000001</v>
      </c>
      <c r="S524" s="60">
        <v>-0.25</v>
      </c>
      <c r="T524" s="60">
        <v>49</v>
      </c>
      <c r="U524" s="60">
        <v>75.41</v>
      </c>
    </row>
    <row r="525" spans="1:21">
      <c r="A525" s="60" t="s">
        <v>847</v>
      </c>
      <c r="B525" s="60" t="s">
        <v>1236</v>
      </c>
      <c r="C525" s="60" t="s">
        <v>4378</v>
      </c>
      <c r="D525" s="60">
        <v>17.5</v>
      </c>
      <c r="E525" s="60">
        <v>-1.69</v>
      </c>
      <c r="F525" s="60">
        <v>1191</v>
      </c>
      <c r="G525" s="60">
        <v>0</v>
      </c>
      <c r="H525" s="60">
        <v>8.2799999999999994</v>
      </c>
      <c r="I525" s="60">
        <v>0.28000000000000003</v>
      </c>
      <c r="J525" s="60">
        <v>0.89</v>
      </c>
      <c r="O525" s="60" t="s">
        <v>847</v>
      </c>
      <c r="P525" s="60" t="s">
        <v>1236</v>
      </c>
      <c r="Q525" s="60" t="s">
        <v>4378</v>
      </c>
      <c r="R525" s="60">
        <v>17.5</v>
      </c>
      <c r="S525" s="60">
        <v>-1.69</v>
      </c>
      <c r="T525" s="60">
        <v>1191</v>
      </c>
      <c r="U525" s="60">
        <v>61.5</v>
      </c>
    </row>
    <row r="526" spans="1:21">
      <c r="A526" s="60" t="s">
        <v>849</v>
      </c>
      <c r="B526" s="60" t="s">
        <v>1238</v>
      </c>
      <c r="C526" s="60" t="s">
        <v>4379</v>
      </c>
      <c r="D526" s="60">
        <v>30.6</v>
      </c>
      <c r="E526" s="60">
        <v>-0.49</v>
      </c>
      <c r="F526" s="60">
        <v>10026</v>
      </c>
      <c r="G526" s="60">
        <v>0</v>
      </c>
      <c r="H526" s="60">
        <v>20.62</v>
      </c>
      <c r="I526" s="60">
        <v>0.66</v>
      </c>
      <c r="J526" s="60">
        <v>7.0000000000000007E-2</v>
      </c>
      <c r="O526" s="60" t="s">
        <v>849</v>
      </c>
      <c r="P526" s="60" t="s">
        <v>1238</v>
      </c>
      <c r="Q526" s="60" t="s">
        <v>4379</v>
      </c>
      <c r="R526" s="60">
        <v>30.6</v>
      </c>
      <c r="S526" s="60">
        <v>-0.49</v>
      </c>
      <c r="T526" s="60">
        <v>10026</v>
      </c>
      <c r="U526" s="60">
        <v>82.76</v>
      </c>
    </row>
    <row r="527" spans="1:21">
      <c r="A527" s="60" t="s">
        <v>851</v>
      </c>
      <c r="B527" s="60" t="s">
        <v>1240</v>
      </c>
      <c r="C527" s="60" t="s">
        <v>4380</v>
      </c>
      <c r="D527" s="60">
        <v>20.350000000000001</v>
      </c>
      <c r="E527" s="60">
        <v>0</v>
      </c>
      <c r="F527" s="60">
        <v>258</v>
      </c>
      <c r="G527" s="60">
        <v>0</v>
      </c>
      <c r="H527" s="60">
        <v>3.5</v>
      </c>
      <c r="I527" s="60">
        <v>0.26</v>
      </c>
      <c r="J527" s="60">
        <v>0</v>
      </c>
      <c r="O527" s="60" t="s">
        <v>851</v>
      </c>
      <c r="P527" s="60" t="s">
        <v>1240</v>
      </c>
      <c r="Q527" s="60" t="s">
        <v>4380</v>
      </c>
      <c r="R527" s="60">
        <v>20.350000000000001</v>
      </c>
      <c r="S527" s="60">
        <v>0</v>
      </c>
      <c r="T527" s="60">
        <v>258</v>
      </c>
      <c r="U527" s="60">
        <v>63.58</v>
      </c>
    </row>
    <row r="528" spans="1:21">
      <c r="A528" s="60" t="s">
        <v>853</v>
      </c>
      <c r="B528" s="60" t="s">
        <v>1242</v>
      </c>
      <c r="C528" s="60" t="s">
        <v>4381</v>
      </c>
      <c r="D528" s="60">
        <v>9.92</v>
      </c>
      <c r="E528" s="60">
        <v>0.92</v>
      </c>
      <c r="F528" s="60">
        <v>28089</v>
      </c>
      <c r="G528" s="60">
        <v>0</v>
      </c>
      <c r="H528" s="60">
        <v>12.74</v>
      </c>
      <c r="I528" s="60">
        <v>0.62</v>
      </c>
      <c r="J528" s="60">
        <v>0.1</v>
      </c>
      <c r="O528" s="60" t="s">
        <v>853</v>
      </c>
      <c r="P528" s="60" t="s">
        <v>1242</v>
      </c>
      <c r="Q528" s="60" t="s">
        <v>4381</v>
      </c>
      <c r="R528" s="60">
        <v>9.92</v>
      </c>
      <c r="S528" s="60">
        <v>0.92</v>
      </c>
      <c r="T528" s="60">
        <v>28089</v>
      </c>
      <c r="U528" s="60">
        <v>49.87</v>
      </c>
    </row>
    <row r="529" spans="1:21">
      <c r="A529" s="60" t="s">
        <v>855</v>
      </c>
      <c r="B529" s="60" t="s">
        <v>1244</v>
      </c>
      <c r="C529" s="60" t="s">
        <v>4382</v>
      </c>
      <c r="D529" s="60">
        <v>11.85</v>
      </c>
      <c r="E529" s="60">
        <v>0</v>
      </c>
      <c r="F529" s="60">
        <v>248</v>
      </c>
      <c r="G529" s="60">
        <v>0</v>
      </c>
      <c r="H529" s="60">
        <v>7.45</v>
      </c>
      <c r="I529" s="60">
        <v>1.17</v>
      </c>
      <c r="J529" s="60">
        <v>0.01</v>
      </c>
      <c r="O529" s="60" t="s">
        <v>855</v>
      </c>
      <c r="P529" s="60" t="s">
        <v>1244</v>
      </c>
      <c r="Q529" s="60" t="s">
        <v>4382</v>
      </c>
      <c r="R529" s="60">
        <v>11.85</v>
      </c>
      <c r="S529" s="60">
        <v>0</v>
      </c>
      <c r="T529" s="60">
        <v>248</v>
      </c>
      <c r="U529" s="60">
        <v>80.739999999999995</v>
      </c>
    </row>
    <row r="530" spans="1:21">
      <c r="A530" s="60" t="s">
        <v>857</v>
      </c>
      <c r="B530" s="60" t="s">
        <v>1246</v>
      </c>
      <c r="C530" s="60" t="s">
        <v>4383</v>
      </c>
      <c r="D530" s="60">
        <v>12.3</v>
      </c>
      <c r="E530" s="60">
        <v>0</v>
      </c>
      <c r="F530" s="60">
        <v>893</v>
      </c>
      <c r="G530" s="60">
        <v>0</v>
      </c>
      <c r="H530" s="60">
        <v>3.6</v>
      </c>
      <c r="I530" s="60">
        <v>0.18</v>
      </c>
      <c r="J530" s="60">
        <v>0.04</v>
      </c>
      <c r="O530" s="60" t="s">
        <v>857</v>
      </c>
      <c r="P530" s="60" t="s">
        <v>1246</v>
      </c>
      <c r="Q530" s="60" t="s">
        <v>4383</v>
      </c>
      <c r="R530" s="60">
        <v>12.3</v>
      </c>
      <c r="S530" s="60">
        <v>0</v>
      </c>
      <c r="T530" s="60">
        <v>893</v>
      </c>
      <c r="U530" s="60">
        <v>87.92</v>
      </c>
    </row>
    <row r="531" spans="1:21">
      <c r="A531" s="60" t="s">
        <v>859</v>
      </c>
      <c r="B531" s="60" t="s">
        <v>3179</v>
      </c>
      <c r="C531" s="60" t="s">
        <v>4328</v>
      </c>
      <c r="D531" s="60">
        <v>4.09</v>
      </c>
      <c r="E531" s="60">
        <v>2.76</v>
      </c>
      <c r="F531" s="60">
        <v>3496</v>
      </c>
      <c r="G531" s="60">
        <v>0</v>
      </c>
      <c r="H531" s="60">
        <v>6.41</v>
      </c>
      <c r="I531" s="60">
        <v>0</v>
      </c>
      <c r="J531" s="60">
        <v>0</v>
      </c>
      <c r="O531" s="60" t="s">
        <v>859</v>
      </c>
      <c r="P531" s="60" t="s">
        <v>3179</v>
      </c>
      <c r="Q531" s="60" t="s">
        <v>4328</v>
      </c>
      <c r="R531" s="60">
        <v>4.09</v>
      </c>
      <c r="S531" s="60">
        <v>2.76</v>
      </c>
      <c r="T531" s="60">
        <v>3496</v>
      </c>
      <c r="U531" s="60">
        <v>37.65</v>
      </c>
    </row>
    <row r="532" spans="1:21">
      <c r="A532" s="60" t="s">
        <v>861</v>
      </c>
      <c r="B532" s="60" t="s">
        <v>1249</v>
      </c>
      <c r="C532" s="60" t="s">
        <v>4384</v>
      </c>
      <c r="D532" s="60">
        <v>10.8</v>
      </c>
      <c r="E532" s="60">
        <v>0.47</v>
      </c>
      <c r="F532" s="60">
        <v>2952</v>
      </c>
      <c r="G532" s="60">
        <v>0</v>
      </c>
      <c r="H532" s="60">
        <v>10.98</v>
      </c>
      <c r="I532" s="60">
        <v>0.4</v>
      </c>
      <c r="J532" s="60">
        <v>0.05</v>
      </c>
      <c r="O532" s="60" t="s">
        <v>861</v>
      </c>
      <c r="P532" s="60" t="s">
        <v>1249</v>
      </c>
      <c r="Q532" s="60" t="s">
        <v>4384</v>
      </c>
      <c r="R532" s="60">
        <v>10.8</v>
      </c>
      <c r="S532" s="60">
        <v>0.47</v>
      </c>
      <c r="T532" s="60">
        <v>2952</v>
      </c>
      <c r="U532" s="60">
        <v>70.02</v>
      </c>
    </row>
    <row r="533" spans="1:21">
      <c r="A533" s="60" t="s">
        <v>862</v>
      </c>
      <c r="B533" s="60" t="s">
        <v>1251</v>
      </c>
      <c r="C533" s="60" t="s">
        <v>4385</v>
      </c>
      <c r="D533" s="60">
        <v>16.8</v>
      </c>
      <c r="E533" s="60">
        <v>0.3</v>
      </c>
      <c r="F533" s="60">
        <v>225</v>
      </c>
      <c r="G533" s="60">
        <v>0</v>
      </c>
      <c r="H533" s="60">
        <v>59.29</v>
      </c>
      <c r="I533" s="60">
        <v>0.36</v>
      </c>
      <c r="J533" s="60">
        <v>0</v>
      </c>
      <c r="O533" s="60" t="s">
        <v>862</v>
      </c>
      <c r="P533" s="60" t="s">
        <v>1251</v>
      </c>
      <c r="Q533" s="60" t="s">
        <v>4385</v>
      </c>
      <c r="R533" s="60">
        <v>16.8</v>
      </c>
      <c r="S533" s="60">
        <v>0.3</v>
      </c>
      <c r="T533" s="60">
        <v>225</v>
      </c>
      <c r="U533" s="60">
        <v>97.87</v>
      </c>
    </row>
    <row r="534" spans="1:21">
      <c r="A534" s="60" t="s">
        <v>864</v>
      </c>
      <c r="B534" s="60" t="s">
        <v>1253</v>
      </c>
      <c r="C534" s="60" t="s">
        <v>4386</v>
      </c>
      <c r="D534" s="60">
        <v>48.9</v>
      </c>
      <c r="E534" s="60">
        <v>0</v>
      </c>
      <c r="F534" s="60">
        <v>45</v>
      </c>
      <c r="G534" s="60">
        <v>0</v>
      </c>
      <c r="H534" s="60">
        <v>7.82</v>
      </c>
      <c r="I534" s="60">
        <v>1.1599999999999999</v>
      </c>
      <c r="J534" s="60">
        <v>0.01</v>
      </c>
      <c r="O534" s="60" t="s">
        <v>864</v>
      </c>
      <c r="P534" s="60" t="s">
        <v>1253</v>
      </c>
      <c r="Q534" s="60" t="s">
        <v>4386</v>
      </c>
      <c r="R534" s="60">
        <v>48.9</v>
      </c>
      <c r="S534" s="60">
        <v>0</v>
      </c>
      <c r="T534" s="60">
        <v>45</v>
      </c>
      <c r="U534" s="60">
        <v>57.64</v>
      </c>
    </row>
    <row r="535" spans="1:21">
      <c r="A535" s="60" t="s">
        <v>866</v>
      </c>
      <c r="B535" s="60" t="s">
        <v>1255</v>
      </c>
      <c r="C535" s="60" t="s">
        <v>4387</v>
      </c>
      <c r="D535" s="60">
        <v>29</v>
      </c>
      <c r="E535" s="60">
        <v>0</v>
      </c>
      <c r="F535" s="60">
        <v>398</v>
      </c>
      <c r="G535" s="60">
        <v>0</v>
      </c>
      <c r="H535" s="60">
        <v>1.63</v>
      </c>
      <c r="I535" s="60">
        <v>2.0099999999999998</v>
      </c>
      <c r="J535" s="60">
        <v>0.04</v>
      </c>
      <c r="O535" s="60" t="s">
        <v>866</v>
      </c>
      <c r="P535" s="60" t="s">
        <v>1255</v>
      </c>
      <c r="Q535" s="60" t="s">
        <v>4387</v>
      </c>
      <c r="R535" s="60">
        <v>29</v>
      </c>
      <c r="S535" s="60">
        <v>0</v>
      </c>
      <c r="T535" s="60">
        <v>398</v>
      </c>
      <c r="U535" s="60">
        <v>78.45</v>
      </c>
    </row>
    <row r="536" spans="1:21">
      <c r="A536" s="60" t="s">
        <v>868</v>
      </c>
      <c r="B536" s="60" t="s">
        <v>1257</v>
      </c>
      <c r="C536" s="60" t="s">
        <v>4388</v>
      </c>
      <c r="D536" s="60">
        <v>14.8</v>
      </c>
      <c r="E536" s="60">
        <v>0.34</v>
      </c>
      <c r="F536" s="60">
        <v>289</v>
      </c>
      <c r="G536" s="60">
        <v>0</v>
      </c>
      <c r="H536" s="60">
        <v>3.4</v>
      </c>
      <c r="I536" s="60">
        <v>0.14000000000000001</v>
      </c>
      <c r="J536" s="60">
        <v>0</v>
      </c>
      <c r="O536" s="60" t="s">
        <v>868</v>
      </c>
      <c r="P536" s="60" t="s">
        <v>1257</v>
      </c>
      <c r="Q536" s="60" t="s">
        <v>4388</v>
      </c>
      <c r="R536" s="60">
        <v>14.8</v>
      </c>
      <c r="S536" s="60">
        <v>0.34</v>
      </c>
      <c r="T536" s="60">
        <v>289</v>
      </c>
      <c r="U536" s="60">
        <v>53.83</v>
      </c>
    </row>
    <row r="537" spans="1:21">
      <c r="A537" s="60" t="s">
        <v>870</v>
      </c>
      <c r="B537" s="60" t="s">
        <v>1259</v>
      </c>
      <c r="C537" s="60" t="s">
        <v>4389</v>
      </c>
      <c r="D537" s="60">
        <v>23.4</v>
      </c>
      <c r="E537" s="60">
        <v>-0.43</v>
      </c>
      <c r="F537" s="60">
        <v>863</v>
      </c>
      <c r="G537" s="60">
        <v>0.02</v>
      </c>
      <c r="H537" s="60">
        <v>9.92</v>
      </c>
      <c r="I537" s="60">
        <v>0.74</v>
      </c>
      <c r="J537" s="60">
        <v>0.03</v>
      </c>
      <c r="O537" s="60" t="s">
        <v>870</v>
      </c>
      <c r="P537" s="60" t="s">
        <v>1259</v>
      </c>
      <c r="Q537" s="60" t="s">
        <v>4389</v>
      </c>
      <c r="R537" s="60">
        <v>23.4</v>
      </c>
      <c r="S537" s="60">
        <v>-0.43</v>
      </c>
      <c r="T537" s="60">
        <v>863</v>
      </c>
      <c r="U537" s="60">
        <v>69.319999999999993</v>
      </c>
    </row>
    <row r="538" spans="1:21">
      <c r="A538" s="60" t="s">
        <v>872</v>
      </c>
      <c r="B538" s="60" t="s">
        <v>1261</v>
      </c>
      <c r="C538" s="60" t="s">
        <v>4390</v>
      </c>
      <c r="D538" s="60">
        <v>9.48</v>
      </c>
      <c r="E538" s="60">
        <v>0.85</v>
      </c>
      <c r="F538" s="60">
        <v>4666</v>
      </c>
      <c r="G538" s="60">
        <v>0</v>
      </c>
      <c r="H538" s="60">
        <v>7.42</v>
      </c>
      <c r="I538" s="60">
        <v>3.94</v>
      </c>
      <c r="J538" s="60">
        <v>0</v>
      </c>
      <c r="O538" s="60" t="s">
        <v>872</v>
      </c>
      <c r="P538" s="60" t="s">
        <v>1261</v>
      </c>
      <c r="Q538" s="60" t="s">
        <v>4390</v>
      </c>
      <c r="R538" s="60">
        <v>9.48</v>
      </c>
      <c r="S538" s="60">
        <v>0.85</v>
      </c>
      <c r="T538" s="60">
        <v>4666</v>
      </c>
      <c r="U538" s="60">
        <v>73.83</v>
      </c>
    </row>
    <row r="539" spans="1:21">
      <c r="A539" s="60" t="s">
        <v>874</v>
      </c>
      <c r="B539" s="60" t="s">
        <v>1263</v>
      </c>
      <c r="C539" s="60" t="s">
        <v>4391</v>
      </c>
      <c r="D539" s="60">
        <v>20.9</v>
      </c>
      <c r="E539" s="60">
        <v>-0.24</v>
      </c>
      <c r="F539" s="60">
        <v>6182</v>
      </c>
      <c r="G539" s="60">
        <v>0</v>
      </c>
      <c r="H539" s="60">
        <v>18.61</v>
      </c>
      <c r="I539" s="60">
        <v>0.1</v>
      </c>
      <c r="J539" s="60">
        <v>0.6</v>
      </c>
      <c r="O539" s="60" t="s">
        <v>874</v>
      </c>
      <c r="P539" s="60" t="s">
        <v>1263</v>
      </c>
      <c r="Q539" s="60" t="s">
        <v>4391</v>
      </c>
      <c r="R539" s="60">
        <v>20.9</v>
      </c>
      <c r="S539" s="60">
        <v>-0.24</v>
      </c>
      <c r="T539" s="60">
        <v>6182</v>
      </c>
      <c r="U539" s="60">
        <v>72.34</v>
      </c>
    </row>
    <row r="540" spans="1:21">
      <c r="A540" s="60" t="s">
        <v>876</v>
      </c>
      <c r="B540" s="60" t="s">
        <v>1265</v>
      </c>
      <c r="C540" s="60" t="s">
        <v>4392</v>
      </c>
      <c r="D540" s="60">
        <v>74.400000000000006</v>
      </c>
      <c r="E540" s="60">
        <v>-0.53</v>
      </c>
      <c r="F540" s="60">
        <v>22827</v>
      </c>
      <c r="G540" s="60">
        <v>0.08</v>
      </c>
      <c r="H540" s="60">
        <v>23.6</v>
      </c>
      <c r="I540" s="60">
        <v>0.7</v>
      </c>
      <c r="J540" s="60">
        <v>0.83</v>
      </c>
      <c r="O540" s="60" t="s">
        <v>876</v>
      </c>
      <c r="P540" s="60" t="s">
        <v>1265</v>
      </c>
      <c r="Q540" s="60" t="s">
        <v>4392</v>
      </c>
      <c r="R540" s="60">
        <v>74.400000000000006</v>
      </c>
      <c r="S540" s="60">
        <v>-0.53</v>
      </c>
      <c r="T540" s="60">
        <v>22827</v>
      </c>
      <c r="U540" s="60">
        <v>82.32</v>
      </c>
    </row>
    <row r="541" spans="1:21">
      <c r="A541" s="60" t="s">
        <v>878</v>
      </c>
      <c r="B541" s="60" t="s">
        <v>1267</v>
      </c>
      <c r="C541" s="60" t="s">
        <v>4393</v>
      </c>
      <c r="D541" s="60">
        <v>61.1</v>
      </c>
      <c r="E541" s="60">
        <v>-1.1299999999999999</v>
      </c>
      <c r="F541" s="60">
        <v>26725</v>
      </c>
      <c r="G541" s="60">
        <v>0.02</v>
      </c>
      <c r="H541" s="60">
        <v>25.99</v>
      </c>
      <c r="I541" s="60">
        <v>0.62</v>
      </c>
      <c r="J541" s="60">
        <v>0.96</v>
      </c>
      <c r="O541" s="60" t="s">
        <v>878</v>
      </c>
      <c r="P541" s="60" t="s">
        <v>1267</v>
      </c>
      <c r="Q541" s="60" t="s">
        <v>4393</v>
      </c>
      <c r="R541" s="60">
        <v>61.1</v>
      </c>
      <c r="S541" s="60">
        <v>-1.1299999999999999</v>
      </c>
      <c r="T541" s="60">
        <v>26725</v>
      </c>
      <c r="U541" s="60">
        <v>78.760000000000005</v>
      </c>
    </row>
    <row r="542" spans="1:21">
      <c r="A542" s="60" t="s">
        <v>879</v>
      </c>
      <c r="B542" s="60" t="s">
        <v>1269</v>
      </c>
      <c r="C542" s="60" t="s">
        <v>4394</v>
      </c>
      <c r="D542" s="60">
        <v>16.7</v>
      </c>
      <c r="E542" s="60">
        <v>-0.89</v>
      </c>
      <c r="F542" s="60">
        <v>82124</v>
      </c>
      <c r="G542" s="60">
        <v>1.23</v>
      </c>
      <c r="H542" s="60">
        <v>27.22</v>
      </c>
      <c r="I542" s="60">
        <v>1.69</v>
      </c>
      <c r="J542" s="60">
        <v>2.25</v>
      </c>
      <c r="O542" s="60" t="s">
        <v>879</v>
      </c>
      <c r="P542" s="60" t="s">
        <v>1269</v>
      </c>
      <c r="Q542" s="60" t="s">
        <v>4394</v>
      </c>
      <c r="R542" s="60">
        <v>16.7</v>
      </c>
      <c r="S542" s="60">
        <v>-0.89</v>
      </c>
      <c r="T542" s="60">
        <v>82124</v>
      </c>
      <c r="U542" s="60">
        <v>53.59</v>
      </c>
    </row>
    <row r="543" spans="1:21">
      <c r="A543" s="60" t="s">
        <v>881</v>
      </c>
      <c r="B543" s="60" t="s">
        <v>1271</v>
      </c>
      <c r="C543" s="60" t="s">
        <v>4395</v>
      </c>
      <c r="D543" s="60">
        <v>27.5</v>
      </c>
      <c r="E543" s="60">
        <v>-0.54</v>
      </c>
      <c r="F543" s="60">
        <v>21935</v>
      </c>
      <c r="G543" s="60">
        <v>0</v>
      </c>
      <c r="H543" s="60">
        <v>37.229999999999997</v>
      </c>
      <c r="I543" s="60">
        <v>0.09</v>
      </c>
      <c r="J543" s="60">
        <v>0.88</v>
      </c>
      <c r="O543" s="60" t="s">
        <v>881</v>
      </c>
      <c r="P543" s="60" t="s">
        <v>1271</v>
      </c>
      <c r="Q543" s="60" t="s">
        <v>4395</v>
      </c>
      <c r="R543" s="60">
        <v>27.5</v>
      </c>
      <c r="S543" s="60">
        <v>-0.54</v>
      </c>
      <c r="T543" s="60">
        <v>21935</v>
      </c>
      <c r="U543" s="60">
        <v>63.75</v>
      </c>
    </row>
    <row r="544" spans="1:21">
      <c r="A544" s="60" t="s">
        <v>883</v>
      </c>
      <c r="B544" s="60" t="s">
        <v>1273</v>
      </c>
      <c r="C544" s="60" t="s">
        <v>4396</v>
      </c>
      <c r="D544" s="60">
        <v>25</v>
      </c>
      <c r="E544" s="60">
        <v>-0.2</v>
      </c>
      <c r="F544" s="60">
        <v>9983</v>
      </c>
      <c r="G544" s="60">
        <v>0.01</v>
      </c>
      <c r="H544" s="60">
        <v>34.799999999999997</v>
      </c>
      <c r="I544" s="60">
        <v>0.19</v>
      </c>
      <c r="J544" s="60">
        <v>0.76</v>
      </c>
      <c r="O544" s="60" t="s">
        <v>883</v>
      </c>
      <c r="P544" s="60" t="s">
        <v>1273</v>
      </c>
      <c r="Q544" s="60" t="s">
        <v>4396</v>
      </c>
      <c r="R544" s="60">
        <v>25</v>
      </c>
      <c r="S544" s="60">
        <v>-0.2</v>
      </c>
      <c r="T544" s="60">
        <v>9983</v>
      </c>
      <c r="U544" s="60">
        <v>79.61</v>
      </c>
    </row>
    <row r="545" spans="1:21">
      <c r="A545" s="60" t="s">
        <v>885</v>
      </c>
      <c r="B545" s="60" t="s">
        <v>1275</v>
      </c>
      <c r="C545" s="60" t="s">
        <v>4397</v>
      </c>
      <c r="D545" s="60">
        <v>34.15</v>
      </c>
      <c r="E545" s="60">
        <v>-1.44</v>
      </c>
      <c r="F545" s="60">
        <v>16291</v>
      </c>
      <c r="G545" s="60">
        <v>0</v>
      </c>
      <c r="H545" s="60">
        <v>23.24</v>
      </c>
      <c r="I545" s="60">
        <v>0.05</v>
      </c>
      <c r="J545" s="60">
        <v>1.62</v>
      </c>
      <c r="O545" s="60" t="s">
        <v>885</v>
      </c>
      <c r="P545" s="60" t="s">
        <v>1275</v>
      </c>
      <c r="Q545" s="60" t="s">
        <v>4397</v>
      </c>
      <c r="R545" s="60">
        <v>34.15</v>
      </c>
      <c r="S545" s="60">
        <v>-1.44</v>
      </c>
      <c r="T545" s="60">
        <v>16291</v>
      </c>
      <c r="U545" s="60">
        <v>80.599999999999994</v>
      </c>
    </row>
    <row r="546" spans="1:21">
      <c r="A546" s="60" t="s">
        <v>887</v>
      </c>
      <c r="B546" s="60" t="s">
        <v>1277</v>
      </c>
      <c r="C546" s="60" t="s">
        <v>4398</v>
      </c>
      <c r="D546" s="60">
        <v>18.7</v>
      </c>
      <c r="E546" s="60">
        <v>-1.32</v>
      </c>
      <c r="F546" s="60">
        <v>22048</v>
      </c>
      <c r="G546" s="60">
        <v>0</v>
      </c>
      <c r="H546" s="60">
        <v>28.1</v>
      </c>
      <c r="I546" s="60">
        <v>0.36</v>
      </c>
      <c r="J546" s="60">
        <v>0.8</v>
      </c>
      <c r="O546" s="60" t="s">
        <v>887</v>
      </c>
      <c r="P546" s="60" t="s">
        <v>1277</v>
      </c>
      <c r="Q546" s="60" t="s">
        <v>4398</v>
      </c>
      <c r="R546" s="60">
        <v>18.7</v>
      </c>
      <c r="S546" s="60">
        <v>-1.32</v>
      </c>
      <c r="T546" s="60">
        <v>22048</v>
      </c>
      <c r="U546" s="60">
        <v>63.95</v>
      </c>
    </row>
    <row r="547" spans="1:21">
      <c r="A547" s="60" t="s">
        <v>889</v>
      </c>
      <c r="B547" s="60" t="s">
        <v>1279</v>
      </c>
      <c r="C547" s="60" t="s">
        <v>4399</v>
      </c>
      <c r="D547" s="60">
        <v>11.4</v>
      </c>
      <c r="E547" s="60">
        <v>1.33</v>
      </c>
      <c r="F547" s="60">
        <v>160783</v>
      </c>
      <c r="G547" s="60">
        <v>0.63</v>
      </c>
      <c r="H547" s="60">
        <v>21.31</v>
      </c>
      <c r="I547" s="60">
        <v>3.89</v>
      </c>
      <c r="J547" s="60">
        <v>0.26</v>
      </c>
      <c r="O547" s="60" t="s">
        <v>889</v>
      </c>
      <c r="P547" s="60" t="s">
        <v>1279</v>
      </c>
      <c r="Q547" s="60" t="s">
        <v>4399</v>
      </c>
      <c r="R547" s="60">
        <v>11.4</v>
      </c>
      <c r="S547" s="60">
        <v>1.33</v>
      </c>
      <c r="T547" s="60">
        <v>160783</v>
      </c>
      <c r="U547" s="60">
        <v>61.96</v>
      </c>
    </row>
    <row r="548" spans="1:21">
      <c r="A548" s="60" t="s">
        <v>891</v>
      </c>
      <c r="B548" s="60" t="s">
        <v>1281</v>
      </c>
      <c r="C548" s="60" t="s">
        <v>4400</v>
      </c>
      <c r="D548" s="60">
        <v>16.100000000000001</v>
      </c>
      <c r="E548" s="60">
        <v>-0.31</v>
      </c>
      <c r="F548" s="60">
        <v>3561</v>
      </c>
      <c r="G548" s="60">
        <v>0</v>
      </c>
      <c r="H548" s="60">
        <v>12.07</v>
      </c>
      <c r="I548" s="60">
        <v>0.46</v>
      </c>
      <c r="J548" s="60">
        <v>0.27</v>
      </c>
      <c r="O548" s="60" t="s">
        <v>891</v>
      </c>
      <c r="P548" s="60" t="s">
        <v>1281</v>
      </c>
      <c r="Q548" s="60" t="s">
        <v>4400</v>
      </c>
      <c r="R548" s="60">
        <v>16.100000000000001</v>
      </c>
      <c r="S548" s="60">
        <v>-0.31</v>
      </c>
      <c r="T548" s="60">
        <v>3561</v>
      </c>
      <c r="U548" s="60">
        <v>57.74</v>
      </c>
    </row>
    <row r="549" spans="1:21">
      <c r="A549" s="60" t="s">
        <v>893</v>
      </c>
      <c r="B549" s="60" t="s">
        <v>1283</v>
      </c>
      <c r="C549" s="60" t="s">
        <v>4401</v>
      </c>
      <c r="D549" s="60">
        <v>15.2</v>
      </c>
      <c r="E549" s="60">
        <v>0.66</v>
      </c>
      <c r="F549" s="60">
        <v>19763</v>
      </c>
      <c r="G549" s="60">
        <v>0</v>
      </c>
      <c r="H549" s="60">
        <v>30.92</v>
      </c>
      <c r="I549" s="60">
        <v>0.2</v>
      </c>
      <c r="J549" s="60">
        <v>1.1100000000000001</v>
      </c>
      <c r="O549" s="60" t="s">
        <v>893</v>
      </c>
      <c r="P549" s="60" t="s">
        <v>1283</v>
      </c>
      <c r="Q549" s="60" t="s">
        <v>4401</v>
      </c>
      <c r="R549" s="60">
        <v>15.2</v>
      </c>
      <c r="S549" s="60">
        <v>0.66</v>
      </c>
      <c r="T549" s="60">
        <v>19763</v>
      </c>
      <c r="U549" s="60">
        <v>76.989999999999995</v>
      </c>
    </row>
    <row r="550" spans="1:21">
      <c r="A550" s="60" t="s">
        <v>895</v>
      </c>
      <c r="B550" s="60" t="s">
        <v>1285</v>
      </c>
      <c r="C550" s="60" t="s">
        <v>4402</v>
      </c>
      <c r="D550" s="60">
        <v>24.4</v>
      </c>
      <c r="E550" s="60">
        <v>0.62</v>
      </c>
      <c r="F550" s="60">
        <v>26631</v>
      </c>
      <c r="G550" s="60">
        <v>0</v>
      </c>
      <c r="H550" s="60">
        <v>40.9</v>
      </c>
      <c r="I550" s="60">
        <v>0.17</v>
      </c>
      <c r="J550" s="60">
        <v>1.1000000000000001</v>
      </c>
      <c r="O550" s="60" t="s">
        <v>895</v>
      </c>
      <c r="P550" s="60" t="s">
        <v>1285</v>
      </c>
      <c r="Q550" s="60" t="s">
        <v>4402</v>
      </c>
      <c r="R550" s="60">
        <v>24.4</v>
      </c>
      <c r="S550" s="60">
        <v>0.62</v>
      </c>
      <c r="T550" s="60">
        <v>26631</v>
      </c>
      <c r="U550" s="60">
        <v>77.83</v>
      </c>
    </row>
    <row r="551" spans="1:21">
      <c r="A551" s="60" t="s">
        <v>897</v>
      </c>
      <c r="B551" s="60" t="s">
        <v>1287</v>
      </c>
      <c r="C551" s="60" t="s">
        <v>4403</v>
      </c>
      <c r="D551" s="60">
        <v>23.7</v>
      </c>
      <c r="E551" s="60">
        <v>-0.21</v>
      </c>
      <c r="F551" s="60">
        <v>9984</v>
      </c>
      <c r="G551" s="60">
        <v>0</v>
      </c>
      <c r="H551" s="60">
        <v>25.25</v>
      </c>
      <c r="I551" s="60">
        <v>7.0000000000000007E-2</v>
      </c>
      <c r="J551" s="60">
        <v>1.31</v>
      </c>
      <c r="O551" s="60" t="s">
        <v>897</v>
      </c>
      <c r="P551" s="60" t="s">
        <v>1287</v>
      </c>
      <c r="Q551" s="60" t="s">
        <v>4403</v>
      </c>
      <c r="R551" s="60">
        <v>23.7</v>
      </c>
      <c r="S551" s="60">
        <v>-0.21</v>
      </c>
      <c r="T551" s="60">
        <v>9984</v>
      </c>
      <c r="U551" s="60">
        <v>65.58</v>
      </c>
    </row>
    <row r="552" spans="1:21">
      <c r="A552" s="60" t="s">
        <v>899</v>
      </c>
      <c r="B552" s="60" t="s">
        <v>1289</v>
      </c>
      <c r="C552" s="60" t="s">
        <v>4404</v>
      </c>
      <c r="D552" s="60">
        <v>7.99</v>
      </c>
      <c r="E552" s="60">
        <v>-0.62</v>
      </c>
      <c r="F552" s="60">
        <v>4780</v>
      </c>
      <c r="G552" s="60">
        <v>0</v>
      </c>
      <c r="H552" s="60">
        <v>3.78</v>
      </c>
      <c r="I552" s="60">
        <v>0.57999999999999996</v>
      </c>
      <c r="J552" s="60">
        <v>0</v>
      </c>
      <c r="O552" s="60" t="s">
        <v>899</v>
      </c>
      <c r="P552" s="60" t="s">
        <v>1289</v>
      </c>
      <c r="Q552" s="60" t="s">
        <v>4404</v>
      </c>
      <c r="R552" s="60">
        <v>7.99</v>
      </c>
      <c r="S552" s="60">
        <v>-0.62</v>
      </c>
      <c r="T552" s="60">
        <v>4780</v>
      </c>
      <c r="U552" s="60">
        <v>87.18</v>
      </c>
    </row>
    <row r="553" spans="1:21">
      <c r="A553" s="60" t="s">
        <v>901</v>
      </c>
      <c r="B553" s="60" t="s">
        <v>1291</v>
      </c>
      <c r="C553" s="60" t="s">
        <v>4410</v>
      </c>
      <c r="D553" s="60">
        <v>25.15</v>
      </c>
      <c r="E553" s="60">
        <v>-0.2</v>
      </c>
      <c r="F553" s="60">
        <v>24</v>
      </c>
      <c r="G553" s="60">
        <v>0</v>
      </c>
      <c r="H553" s="60">
        <v>0.24</v>
      </c>
      <c r="I553" s="60">
        <v>11.19</v>
      </c>
      <c r="J553" s="60">
        <v>0</v>
      </c>
      <c r="O553" s="60" t="s">
        <v>901</v>
      </c>
      <c r="P553" s="60" t="s">
        <v>1291</v>
      </c>
      <c r="Q553" s="60" t="s">
        <v>4410</v>
      </c>
      <c r="R553" s="60">
        <v>25.15</v>
      </c>
      <c r="S553" s="60">
        <v>-0.2</v>
      </c>
      <c r="T553" s="60">
        <v>24</v>
      </c>
      <c r="U553" s="60">
        <v>71.510000000000005</v>
      </c>
    </row>
    <row r="554" spans="1:21">
      <c r="A554" s="60" t="s">
        <v>903</v>
      </c>
      <c r="B554" s="60" t="s">
        <v>1293</v>
      </c>
      <c r="C554" s="60" t="s">
        <v>4411</v>
      </c>
      <c r="D554" s="60">
        <v>22.4</v>
      </c>
      <c r="E554" s="60">
        <v>0.67</v>
      </c>
      <c r="F554" s="60">
        <v>517</v>
      </c>
      <c r="G554" s="60">
        <v>0</v>
      </c>
      <c r="H554" s="60">
        <v>10.83</v>
      </c>
      <c r="I554" s="60">
        <v>0.42</v>
      </c>
      <c r="J554" s="60">
        <v>0.01</v>
      </c>
      <c r="O554" s="60" t="s">
        <v>903</v>
      </c>
      <c r="P554" s="60" t="s">
        <v>1293</v>
      </c>
      <c r="Q554" s="60" t="s">
        <v>4411</v>
      </c>
      <c r="R554" s="60">
        <v>22.4</v>
      </c>
      <c r="S554" s="60">
        <v>0.67</v>
      </c>
      <c r="T554" s="60">
        <v>517</v>
      </c>
      <c r="U554" s="60">
        <v>82.51</v>
      </c>
    </row>
    <row r="555" spans="1:21">
      <c r="A555" s="60" t="s">
        <v>904</v>
      </c>
      <c r="B555" s="60" t="s">
        <v>1295</v>
      </c>
      <c r="C555" s="60" t="s">
        <v>4446</v>
      </c>
      <c r="D555" s="60">
        <v>25.45</v>
      </c>
      <c r="E555" s="60">
        <v>0.99</v>
      </c>
      <c r="F555" s="60">
        <v>112</v>
      </c>
      <c r="G555" s="60">
        <v>0</v>
      </c>
      <c r="H555" s="60">
        <v>0.53</v>
      </c>
      <c r="I555" s="60">
        <v>0.22</v>
      </c>
      <c r="J555" s="60">
        <v>0</v>
      </c>
      <c r="O555" s="60" t="s">
        <v>904</v>
      </c>
      <c r="P555" s="60" t="s">
        <v>1295</v>
      </c>
      <c r="Q555" s="60" t="s">
        <v>4446</v>
      </c>
      <c r="R555" s="60">
        <v>25.45</v>
      </c>
      <c r="S555" s="60">
        <v>0.99</v>
      </c>
      <c r="T555" s="60">
        <v>112</v>
      </c>
      <c r="U555" s="60">
        <v>50.08</v>
      </c>
    </row>
    <row r="556" spans="1:21">
      <c r="A556" s="60" t="s">
        <v>906</v>
      </c>
      <c r="B556" s="60" t="s">
        <v>1297</v>
      </c>
      <c r="C556" s="60" t="s">
        <v>4412</v>
      </c>
      <c r="D556" s="60">
        <v>23.5</v>
      </c>
      <c r="E556" s="60">
        <v>-0.63</v>
      </c>
      <c r="F556" s="60">
        <v>487</v>
      </c>
      <c r="G556" s="60">
        <v>0.11</v>
      </c>
      <c r="H556" s="60">
        <v>6.57</v>
      </c>
      <c r="I556" s="60">
        <v>1.56</v>
      </c>
      <c r="J556" s="60">
        <v>0.06</v>
      </c>
      <c r="O556" s="60" t="s">
        <v>906</v>
      </c>
      <c r="P556" s="60" t="s">
        <v>1297</v>
      </c>
      <c r="Q556" s="60" t="s">
        <v>4412</v>
      </c>
      <c r="R556" s="60">
        <v>23.5</v>
      </c>
      <c r="S556" s="60">
        <v>-0.63</v>
      </c>
      <c r="T556" s="60">
        <v>487</v>
      </c>
      <c r="U556" s="60">
        <v>82.2</v>
      </c>
    </row>
    <row r="557" spans="1:21">
      <c r="A557" s="60" t="s">
        <v>908</v>
      </c>
      <c r="B557" s="60" t="s">
        <v>1299</v>
      </c>
      <c r="C557" s="60" t="s">
        <v>4413</v>
      </c>
      <c r="D557" s="60">
        <v>15.5</v>
      </c>
      <c r="E557" s="60">
        <v>0</v>
      </c>
      <c r="F557" s="60">
        <v>161</v>
      </c>
      <c r="G557" s="60">
        <v>0</v>
      </c>
      <c r="H557" s="60">
        <v>5.08</v>
      </c>
      <c r="I557" s="60">
        <v>2.3199999999999998</v>
      </c>
      <c r="J557" s="60">
        <v>0</v>
      </c>
      <c r="O557" s="60" t="s">
        <v>908</v>
      </c>
      <c r="P557" s="60" t="s">
        <v>1299</v>
      </c>
      <c r="Q557" s="60" t="s">
        <v>4413</v>
      </c>
      <c r="R557" s="60">
        <v>15.5</v>
      </c>
      <c r="S557" s="60">
        <v>0</v>
      </c>
      <c r="T557" s="60">
        <v>161</v>
      </c>
      <c r="U557" s="60">
        <v>68.47</v>
      </c>
    </row>
    <row r="558" spans="1:21">
      <c r="A558" s="60" t="s">
        <v>910</v>
      </c>
      <c r="B558" s="60" t="s">
        <v>1301</v>
      </c>
      <c r="C558" s="60" t="s">
        <v>4414</v>
      </c>
      <c r="D558" s="60">
        <v>22.75</v>
      </c>
      <c r="E558" s="60">
        <v>-1.94</v>
      </c>
      <c r="F558" s="60">
        <v>375</v>
      </c>
      <c r="G558" s="60">
        <v>0</v>
      </c>
      <c r="H558" s="60">
        <v>6.47</v>
      </c>
      <c r="I558" s="60">
        <v>3.4</v>
      </c>
      <c r="J558" s="60">
        <v>0</v>
      </c>
      <c r="O558" s="60" t="s">
        <v>910</v>
      </c>
      <c r="P558" s="60" t="s">
        <v>1301</v>
      </c>
      <c r="Q558" s="60" t="s">
        <v>4414</v>
      </c>
      <c r="R558" s="60">
        <v>22.75</v>
      </c>
      <c r="S558" s="60">
        <v>-1.94</v>
      </c>
      <c r="T558" s="60">
        <v>375</v>
      </c>
      <c r="U558" s="60">
        <v>87.25</v>
      </c>
    </row>
    <row r="559" spans="1:21">
      <c r="A559" s="60" t="s">
        <v>912</v>
      </c>
      <c r="B559" s="60" t="s">
        <v>1303</v>
      </c>
      <c r="C559" s="60" t="s">
        <v>4415</v>
      </c>
      <c r="D559" s="60">
        <v>35.4</v>
      </c>
      <c r="E559" s="60">
        <v>0.56999999999999995</v>
      </c>
      <c r="F559" s="60">
        <v>7</v>
      </c>
      <c r="G559" s="60">
        <v>0</v>
      </c>
      <c r="H559" s="60">
        <v>0.2</v>
      </c>
      <c r="I559" s="60">
        <v>0.11</v>
      </c>
      <c r="J559" s="60">
        <v>0</v>
      </c>
      <c r="O559" s="60" t="s">
        <v>912</v>
      </c>
      <c r="P559" s="60" t="s">
        <v>1303</v>
      </c>
      <c r="Q559" s="60" t="s">
        <v>4415</v>
      </c>
      <c r="R559" s="60">
        <v>35.4</v>
      </c>
      <c r="S559" s="60">
        <v>0.56999999999999995</v>
      </c>
      <c r="T559" s="60">
        <v>7</v>
      </c>
      <c r="U559" s="60">
        <v>94.68</v>
      </c>
    </row>
    <row r="560" spans="1:21">
      <c r="A560" s="60" t="s">
        <v>914</v>
      </c>
      <c r="B560" s="60" t="s">
        <v>1305</v>
      </c>
      <c r="C560" s="60" t="s">
        <v>4416</v>
      </c>
      <c r="D560" s="60">
        <v>8.3000000000000007</v>
      </c>
      <c r="E560" s="60">
        <v>-0.24</v>
      </c>
      <c r="F560" s="60">
        <v>316</v>
      </c>
      <c r="G560" s="60">
        <v>0.06</v>
      </c>
      <c r="H560" s="60">
        <v>19.27</v>
      </c>
      <c r="I560" s="60">
        <v>5.2</v>
      </c>
      <c r="J560" s="60">
        <v>0</v>
      </c>
      <c r="O560" s="60" t="s">
        <v>914</v>
      </c>
      <c r="P560" s="60" t="s">
        <v>1305</v>
      </c>
      <c r="Q560" s="60" t="s">
        <v>4416</v>
      </c>
      <c r="R560" s="60">
        <v>8.3000000000000007</v>
      </c>
      <c r="S560" s="60">
        <v>-0.24</v>
      </c>
      <c r="T560" s="60">
        <v>316</v>
      </c>
      <c r="U560" s="60">
        <v>41.07</v>
      </c>
    </row>
    <row r="561" spans="1:21">
      <c r="A561" s="60" t="s">
        <v>916</v>
      </c>
      <c r="B561" s="60" t="s">
        <v>1307</v>
      </c>
      <c r="C561" s="60" t="s">
        <v>4417</v>
      </c>
      <c r="D561" s="60">
        <v>288.5</v>
      </c>
      <c r="E561" s="60">
        <v>-1.7</v>
      </c>
      <c r="F561" s="60">
        <v>841</v>
      </c>
      <c r="G561" s="60">
        <v>0</v>
      </c>
      <c r="H561" s="60">
        <v>34.49</v>
      </c>
      <c r="I561" s="60">
        <v>0.05</v>
      </c>
      <c r="J561" s="60">
        <v>1.1200000000000001</v>
      </c>
      <c r="O561" s="60" t="s">
        <v>916</v>
      </c>
      <c r="P561" s="60" t="s">
        <v>1307</v>
      </c>
      <c r="Q561" s="60" t="s">
        <v>4417</v>
      </c>
      <c r="R561" s="60">
        <v>288.5</v>
      </c>
      <c r="S561" s="60">
        <v>-1.7</v>
      </c>
      <c r="T561" s="60">
        <v>841</v>
      </c>
      <c r="U561" s="60">
        <v>83.49</v>
      </c>
    </row>
    <row r="562" spans="1:21">
      <c r="A562" s="60" t="s">
        <v>918</v>
      </c>
      <c r="B562" s="60" t="s">
        <v>1309</v>
      </c>
      <c r="C562" s="60" t="s">
        <v>4418</v>
      </c>
      <c r="D562" s="60">
        <v>20</v>
      </c>
      <c r="E562" s="60">
        <v>-0.25</v>
      </c>
      <c r="F562" s="60">
        <v>2244</v>
      </c>
      <c r="G562" s="60">
        <v>0.02</v>
      </c>
      <c r="H562" s="60">
        <v>7.44</v>
      </c>
      <c r="I562" s="60">
        <v>9.75</v>
      </c>
      <c r="J562" s="60">
        <v>0</v>
      </c>
      <c r="O562" s="60" t="s">
        <v>918</v>
      </c>
      <c r="P562" s="60" t="s">
        <v>1309</v>
      </c>
      <c r="Q562" s="60" t="s">
        <v>4418</v>
      </c>
      <c r="R562" s="60">
        <v>20</v>
      </c>
      <c r="S562" s="60">
        <v>-0.25</v>
      </c>
      <c r="T562" s="60">
        <v>2244</v>
      </c>
      <c r="U562" s="60">
        <v>64.42</v>
      </c>
    </row>
    <row r="563" spans="1:21">
      <c r="A563" s="60" t="s">
        <v>920</v>
      </c>
      <c r="B563" s="60" t="s">
        <v>1311</v>
      </c>
      <c r="C563" s="60" t="s">
        <v>4419</v>
      </c>
      <c r="D563" s="60">
        <v>106.5</v>
      </c>
      <c r="E563" s="60">
        <v>-0.93</v>
      </c>
      <c r="F563" s="60">
        <v>3558</v>
      </c>
      <c r="G563" s="60">
        <v>1.76</v>
      </c>
      <c r="H563" s="60">
        <v>18.11</v>
      </c>
      <c r="I563" s="60">
        <v>4.62</v>
      </c>
      <c r="J563" s="60">
        <v>3.15</v>
      </c>
      <c r="O563" s="60" t="s">
        <v>920</v>
      </c>
      <c r="P563" s="60" t="s">
        <v>1311</v>
      </c>
      <c r="Q563" s="60" t="s">
        <v>4419</v>
      </c>
      <c r="R563" s="60">
        <v>106.5</v>
      </c>
      <c r="S563" s="60">
        <v>-0.93</v>
      </c>
      <c r="T563" s="60">
        <v>3558</v>
      </c>
      <c r="U563" s="60">
        <v>71.03</v>
      </c>
    </row>
    <row r="564" spans="1:21">
      <c r="A564" s="60" t="s">
        <v>922</v>
      </c>
      <c r="B564" s="60" t="s">
        <v>1313</v>
      </c>
      <c r="C564" s="60" t="s">
        <v>5109</v>
      </c>
      <c r="D564" s="60">
        <v>20.7</v>
      </c>
      <c r="E564" s="60">
        <v>0</v>
      </c>
      <c r="F564" s="60">
        <v>52</v>
      </c>
      <c r="G564" s="60">
        <v>0</v>
      </c>
      <c r="H564" s="60">
        <v>21.55</v>
      </c>
      <c r="I564" s="60">
        <v>0.57999999999999996</v>
      </c>
      <c r="J564" s="60">
        <v>0</v>
      </c>
      <c r="O564" s="60" t="s">
        <v>922</v>
      </c>
      <c r="P564" s="60" t="s">
        <v>1313</v>
      </c>
      <c r="Q564" s="60" t="s">
        <v>5109</v>
      </c>
      <c r="R564" s="60">
        <v>20.7</v>
      </c>
      <c r="S564" s="60">
        <v>0</v>
      </c>
      <c r="T564" s="60">
        <v>52</v>
      </c>
      <c r="U564" s="60">
        <v>61.53</v>
      </c>
    </row>
    <row r="565" spans="1:21">
      <c r="A565" s="60" t="s">
        <v>924</v>
      </c>
      <c r="B565" s="60" t="s">
        <v>3180</v>
      </c>
      <c r="C565" s="60" t="s">
        <v>4329</v>
      </c>
      <c r="D565" s="60">
        <v>28.3</v>
      </c>
      <c r="E565" s="60">
        <v>3.28</v>
      </c>
      <c r="F565" s="60">
        <v>44</v>
      </c>
      <c r="G565" s="60">
        <v>0</v>
      </c>
      <c r="H565" s="60">
        <v>99.37</v>
      </c>
      <c r="I565" s="60">
        <v>0</v>
      </c>
      <c r="J565" s="60">
        <v>0</v>
      </c>
      <c r="O565" s="60" t="s">
        <v>924</v>
      </c>
      <c r="P565" s="60" t="s">
        <v>3180</v>
      </c>
      <c r="Q565" s="60" t="s">
        <v>4329</v>
      </c>
      <c r="R565" s="60">
        <v>28.3</v>
      </c>
      <c r="S565" s="60">
        <v>3.28</v>
      </c>
      <c r="T565" s="60">
        <v>44</v>
      </c>
      <c r="U565" s="60">
        <v>99.2</v>
      </c>
    </row>
    <row r="566" spans="1:21">
      <c r="A566" s="60" t="s">
        <v>926</v>
      </c>
      <c r="B566" s="60" t="s">
        <v>3181</v>
      </c>
      <c r="C566" s="60" t="s">
        <v>5110</v>
      </c>
      <c r="D566" s="60">
        <v>17.649999999999999</v>
      </c>
      <c r="E566" s="60">
        <v>0</v>
      </c>
      <c r="F566" s="60">
        <v>0</v>
      </c>
      <c r="G566" s="60">
        <v>0</v>
      </c>
      <c r="H566" s="60">
        <v>49.82</v>
      </c>
      <c r="I566" s="60">
        <v>0</v>
      </c>
      <c r="J566" s="60">
        <v>0</v>
      </c>
      <c r="O566" s="60" t="s">
        <v>926</v>
      </c>
      <c r="P566" s="60" t="s">
        <v>3181</v>
      </c>
      <c r="Q566" s="60" t="s">
        <v>5110</v>
      </c>
      <c r="R566" s="60">
        <v>17.649999999999999</v>
      </c>
      <c r="S566" s="60">
        <v>0</v>
      </c>
      <c r="T566" s="60">
        <v>0</v>
      </c>
      <c r="U566" s="60">
        <v>66.98</v>
      </c>
    </row>
    <row r="567" spans="1:21">
      <c r="A567" s="60" t="s">
        <v>927</v>
      </c>
      <c r="B567" s="60" t="s">
        <v>1316</v>
      </c>
      <c r="C567" s="60" t="s">
        <v>5173</v>
      </c>
      <c r="D567" s="60">
        <v>59.2</v>
      </c>
      <c r="E567" s="60">
        <v>0</v>
      </c>
      <c r="F567" s="60">
        <v>9</v>
      </c>
      <c r="G567" s="60">
        <v>0.01</v>
      </c>
      <c r="H567" s="60">
        <v>13.62</v>
      </c>
      <c r="I567" s="60">
        <v>0.53</v>
      </c>
      <c r="J567" s="60">
        <v>0</v>
      </c>
      <c r="O567" s="60" t="s">
        <v>927</v>
      </c>
      <c r="P567" s="60" t="s">
        <v>1316</v>
      </c>
      <c r="Q567" s="60" t="s">
        <v>5173</v>
      </c>
      <c r="R567" s="60">
        <v>59.2</v>
      </c>
      <c r="S567" s="60">
        <v>0</v>
      </c>
      <c r="T567" s="60">
        <v>9</v>
      </c>
      <c r="U567" s="60">
        <v>65.66</v>
      </c>
    </row>
    <row r="568" spans="1:21">
      <c r="A568" s="60" t="s">
        <v>929</v>
      </c>
      <c r="B568" s="60" t="s">
        <v>3528</v>
      </c>
      <c r="C568" s="60" t="s">
        <v>3585</v>
      </c>
      <c r="D568" s="60">
        <v>11.75</v>
      </c>
      <c r="E568" s="60">
        <v>0.43</v>
      </c>
      <c r="F568" s="60">
        <v>218</v>
      </c>
      <c r="G568" s="60">
        <v>0</v>
      </c>
      <c r="H568" s="60">
        <v>22.39</v>
      </c>
      <c r="I568" s="60">
        <v>3.34</v>
      </c>
      <c r="J568" s="60">
        <v>0</v>
      </c>
      <c r="O568" s="60" t="s">
        <v>929</v>
      </c>
      <c r="P568" s="60" t="s">
        <v>3528</v>
      </c>
      <c r="Q568" s="60" t="s">
        <v>3585</v>
      </c>
      <c r="R568" s="60">
        <v>11.75</v>
      </c>
      <c r="S568" s="60">
        <v>0.43</v>
      </c>
      <c r="T568" s="60">
        <v>218</v>
      </c>
      <c r="U568" s="60">
        <v>21.19</v>
      </c>
    </row>
    <row r="569" spans="1:21">
      <c r="A569" s="60" t="s">
        <v>931</v>
      </c>
      <c r="B569" s="60" t="s">
        <v>1319</v>
      </c>
      <c r="C569" s="60" t="s">
        <v>4420</v>
      </c>
      <c r="D569" s="60">
        <v>26.5</v>
      </c>
      <c r="E569" s="60">
        <v>0</v>
      </c>
      <c r="F569" s="60">
        <v>16</v>
      </c>
      <c r="G569" s="60">
        <v>0</v>
      </c>
      <c r="H569" s="60">
        <v>92.01</v>
      </c>
      <c r="I569" s="60">
        <v>0.72</v>
      </c>
      <c r="J569" s="60">
        <v>0</v>
      </c>
      <c r="O569" s="60" t="s">
        <v>931</v>
      </c>
      <c r="P569" s="60" t="s">
        <v>1319</v>
      </c>
      <c r="Q569" s="60" t="s">
        <v>4420</v>
      </c>
      <c r="R569" s="60">
        <v>26.5</v>
      </c>
      <c r="S569" s="60">
        <v>0</v>
      </c>
      <c r="T569" s="60">
        <v>16</v>
      </c>
      <c r="U569" s="60">
        <v>90.92</v>
      </c>
    </row>
    <row r="570" spans="1:21">
      <c r="A570" s="60" t="s">
        <v>933</v>
      </c>
      <c r="B570" s="60" t="s">
        <v>3182</v>
      </c>
      <c r="C570" s="60" t="s">
        <v>5111</v>
      </c>
      <c r="D570" s="60">
        <v>37.5</v>
      </c>
      <c r="E570" s="60">
        <v>-1.57</v>
      </c>
      <c r="F570" s="60">
        <v>1</v>
      </c>
      <c r="G570" s="60">
        <v>0</v>
      </c>
      <c r="H570" s="60">
        <v>0.03</v>
      </c>
      <c r="I570" s="60">
        <v>0</v>
      </c>
      <c r="J570" s="60">
        <v>0</v>
      </c>
      <c r="O570" s="60" t="s">
        <v>933</v>
      </c>
      <c r="P570" s="60" t="s">
        <v>3182</v>
      </c>
      <c r="Q570" s="60" t="s">
        <v>5111</v>
      </c>
      <c r="R570" s="60">
        <v>37.5</v>
      </c>
      <c r="S570" s="60">
        <v>-1.57</v>
      </c>
      <c r="T570" s="60">
        <v>1</v>
      </c>
      <c r="U570" s="60">
        <v>79.88</v>
      </c>
    </row>
    <row r="571" spans="1:21">
      <c r="A571" s="60" t="s">
        <v>935</v>
      </c>
      <c r="B571" s="60" t="s">
        <v>3183</v>
      </c>
      <c r="C571" s="60" t="s">
        <v>4421</v>
      </c>
      <c r="D571" s="60">
        <v>27.3</v>
      </c>
      <c r="E571" s="60">
        <v>-1.44</v>
      </c>
      <c r="F571" s="60">
        <v>163</v>
      </c>
      <c r="G571" s="60">
        <v>0.04</v>
      </c>
      <c r="H571" s="60">
        <v>54.18</v>
      </c>
      <c r="I571" s="60">
        <v>3.57</v>
      </c>
      <c r="J571" s="60">
        <v>0</v>
      </c>
      <c r="O571" s="60" t="s">
        <v>935</v>
      </c>
      <c r="P571" s="60" t="s">
        <v>3183</v>
      </c>
      <c r="Q571" s="60" t="s">
        <v>4421</v>
      </c>
      <c r="R571" s="60">
        <v>27.3</v>
      </c>
      <c r="S571" s="60">
        <v>-1.44</v>
      </c>
      <c r="T571" s="60">
        <v>163</v>
      </c>
      <c r="U571" s="60">
        <v>45.62</v>
      </c>
    </row>
    <row r="572" spans="1:21">
      <c r="A572" s="60" t="s">
        <v>937</v>
      </c>
      <c r="B572" s="60" t="s">
        <v>5519</v>
      </c>
      <c r="C572" s="60" t="s">
        <v>5425</v>
      </c>
      <c r="D572" s="60">
        <v>116</v>
      </c>
      <c r="E572" s="60">
        <v>-0.43</v>
      </c>
      <c r="F572" s="60">
        <v>25</v>
      </c>
      <c r="G572" s="60">
        <v>0</v>
      </c>
      <c r="H572" s="60">
        <v>0.38</v>
      </c>
      <c r="I572" s="60">
        <v>0</v>
      </c>
      <c r="J572" s="60">
        <v>0</v>
      </c>
      <c r="O572" s="60" t="s">
        <v>937</v>
      </c>
      <c r="P572" s="60" t="s">
        <v>5519</v>
      </c>
      <c r="Q572" s="60" t="s">
        <v>5425</v>
      </c>
      <c r="R572" s="60">
        <v>116</v>
      </c>
      <c r="S572" s="60">
        <v>-0.43</v>
      </c>
      <c r="T572" s="60">
        <v>25</v>
      </c>
      <c r="U572" s="60">
        <v>56.57</v>
      </c>
    </row>
    <row r="573" spans="1:21">
      <c r="A573" s="60" t="s">
        <v>939</v>
      </c>
      <c r="B573" s="60" t="s">
        <v>1322</v>
      </c>
      <c r="C573" s="60" t="s">
        <v>4019</v>
      </c>
      <c r="D573" s="60">
        <v>11.95</v>
      </c>
      <c r="E573" s="60">
        <v>0</v>
      </c>
      <c r="F573" s="60">
        <v>177</v>
      </c>
      <c r="G573" s="60">
        <v>0</v>
      </c>
      <c r="H573" s="60">
        <v>0.71</v>
      </c>
      <c r="I573" s="60">
        <v>15.48</v>
      </c>
      <c r="J573" s="60">
        <v>0</v>
      </c>
      <c r="O573" s="60" t="s">
        <v>939</v>
      </c>
      <c r="P573" s="60" t="s">
        <v>1322</v>
      </c>
      <c r="Q573" s="60" t="s">
        <v>4019</v>
      </c>
      <c r="R573" s="60">
        <v>11.95</v>
      </c>
      <c r="S573" s="60">
        <v>0</v>
      </c>
      <c r="T573" s="60">
        <v>177</v>
      </c>
      <c r="U573" s="60">
        <v>63.39</v>
      </c>
    </row>
    <row r="574" spans="1:21">
      <c r="A574" s="60" t="s">
        <v>941</v>
      </c>
      <c r="B574" s="60" t="s">
        <v>1324</v>
      </c>
      <c r="C574" s="60" t="s">
        <v>4174</v>
      </c>
      <c r="D574" s="60">
        <v>96.4</v>
      </c>
      <c r="E574" s="60">
        <v>-1.23</v>
      </c>
      <c r="F574" s="60">
        <v>2453</v>
      </c>
      <c r="G574" s="60">
        <v>0.83</v>
      </c>
      <c r="H574" s="60">
        <v>11.43</v>
      </c>
      <c r="I574" s="60">
        <v>20.91</v>
      </c>
      <c r="J574" s="60">
        <v>1.39</v>
      </c>
      <c r="O574" s="60" t="s">
        <v>941</v>
      </c>
      <c r="P574" s="60" t="s">
        <v>1324</v>
      </c>
      <c r="Q574" s="60" t="s">
        <v>4174</v>
      </c>
      <c r="R574" s="60">
        <v>96.4</v>
      </c>
      <c r="S574" s="60">
        <v>-1.23</v>
      </c>
      <c r="T574" s="60">
        <v>2453</v>
      </c>
      <c r="U574" s="60">
        <v>50.67</v>
      </c>
    </row>
    <row r="575" spans="1:21">
      <c r="A575" s="60" t="s">
        <v>943</v>
      </c>
      <c r="B575" s="60" t="s">
        <v>1326</v>
      </c>
      <c r="C575" s="60" t="s">
        <v>3897</v>
      </c>
      <c r="D575" s="60">
        <v>62.5</v>
      </c>
      <c r="E575" s="60">
        <v>-1.57</v>
      </c>
      <c r="F575" s="60">
        <v>109</v>
      </c>
      <c r="G575" s="60">
        <v>0.03</v>
      </c>
      <c r="H575" s="60">
        <v>2.4300000000000002</v>
      </c>
      <c r="I575" s="60">
        <v>11.06</v>
      </c>
      <c r="J575" s="60">
        <v>0</v>
      </c>
      <c r="O575" s="60" t="s">
        <v>943</v>
      </c>
      <c r="P575" s="60" t="s">
        <v>1326</v>
      </c>
      <c r="Q575" s="60" t="s">
        <v>3897</v>
      </c>
      <c r="R575" s="60">
        <v>62.5</v>
      </c>
      <c r="S575" s="60">
        <v>-1.57</v>
      </c>
      <c r="T575" s="60">
        <v>109</v>
      </c>
      <c r="U575" s="60">
        <v>52.6</v>
      </c>
    </row>
    <row r="576" spans="1:21">
      <c r="A576" s="60" t="s">
        <v>945</v>
      </c>
      <c r="B576" s="60" t="s">
        <v>1328</v>
      </c>
      <c r="C576" s="60" t="s">
        <v>4020</v>
      </c>
      <c r="D576" s="60">
        <v>54.8</v>
      </c>
      <c r="E576" s="60">
        <v>0.18</v>
      </c>
      <c r="F576" s="60">
        <v>465</v>
      </c>
      <c r="G576" s="60">
        <v>0.01</v>
      </c>
      <c r="H576" s="60">
        <v>37.31</v>
      </c>
      <c r="I576" s="60">
        <v>1.85</v>
      </c>
      <c r="J576" s="60">
        <v>0.48</v>
      </c>
      <c r="O576" s="60" t="s">
        <v>945</v>
      </c>
      <c r="P576" s="60" t="s">
        <v>1328</v>
      </c>
      <c r="Q576" s="60" t="s">
        <v>4020</v>
      </c>
      <c r="R576" s="60">
        <v>54.8</v>
      </c>
      <c r="S576" s="60">
        <v>0.18</v>
      </c>
      <c r="T576" s="60">
        <v>465</v>
      </c>
      <c r="U576" s="60">
        <v>75.78</v>
      </c>
    </row>
    <row r="577" spans="1:21">
      <c r="A577" s="60" t="s">
        <v>947</v>
      </c>
      <c r="B577" s="60" t="s">
        <v>1330</v>
      </c>
      <c r="C577" s="60" t="s">
        <v>3625</v>
      </c>
      <c r="D577" s="60">
        <v>165</v>
      </c>
      <c r="E577" s="60">
        <v>5.0999999999999996</v>
      </c>
      <c r="F577" s="60">
        <v>37596</v>
      </c>
      <c r="G577" s="60">
        <v>3.41</v>
      </c>
      <c r="H577" s="60">
        <v>20.21</v>
      </c>
      <c r="I577" s="60">
        <v>59.22</v>
      </c>
      <c r="J577" s="60">
        <v>0.8</v>
      </c>
      <c r="O577" s="60" t="s">
        <v>947</v>
      </c>
      <c r="P577" s="60" t="s">
        <v>1330</v>
      </c>
      <c r="Q577" s="60" t="s">
        <v>3625</v>
      </c>
      <c r="R577" s="60">
        <v>165</v>
      </c>
      <c r="S577" s="60">
        <v>5.0999999999999996</v>
      </c>
      <c r="T577" s="60">
        <v>37596</v>
      </c>
      <c r="U577" s="60">
        <v>36.72</v>
      </c>
    </row>
    <row r="578" spans="1:21">
      <c r="A578" s="60" t="s">
        <v>949</v>
      </c>
      <c r="B578" s="60" t="s">
        <v>1332</v>
      </c>
      <c r="C578" s="60" t="s">
        <v>4060</v>
      </c>
      <c r="D578" s="60">
        <v>2100</v>
      </c>
      <c r="E578" s="60">
        <v>0</v>
      </c>
      <c r="F578" s="60">
        <v>183</v>
      </c>
      <c r="G578" s="60">
        <v>0.06</v>
      </c>
      <c r="H578" s="60">
        <v>42.38</v>
      </c>
      <c r="I578" s="60">
        <v>5.5</v>
      </c>
      <c r="J578" s="60">
        <v>0.88</v>
      </c>
      <c r="O578" s="60" t="s">
        <v>949</v>
      </c>
      <c r="P578" s="60" t="s">
        <v>1332</v>
      </c>
      <c r="Q578" s="60" t="s">
        <v>4060</v>
      </c>
      <c r="R578" s="60">
        <v>2100</v>
      </c>
      <c r="S578" s="60">
        <v>0</v>
      </c>
      <c r="T578" s="60">
        <v>183</v>
      </c>
      <c r="U578" s="60">
        <v>43.79</v>
      </c>
    </row>
    <row r="579" spans="1:21">
      <c r="A579" s="60" t="s">
        <v>951</v>
      </c>
      <c r="B579" s="60" t="s">
        <v>1334</v>
      </c>
      <c r="C579" s="60" t="s">
        <v>4234</v>
      </c>
      <c r="D579" s="60">
        <v>90.1</v>
      </c>
      <c r="E579" s="60">
        <v>0.33</v>
      </c>
      <c r="F579" s="60">
        <v>948</v>
      </c>
      <c r="G579" s="60">
        <v>7.0000000000000007E-2</v>
      </c>
      <c r="H579" s="60">
        <v>14.03</v>
      </c>
      <c r="I579" s="60">
        <v>2.0099999999999998</v>
      </c>
      <c r="J579" s="60">
        <v>0.04</v>
      </c>
      <c r="O579" s="60" t="s">
        <v>951</v>
      </c>
      <c r="P579" s="60" t="s">
        <v>1334</v>
      </c>
      <c r="Q579" s="60" t="s">
        <v>4234</v>
      </c>
      <c r="R579" s="60">
        <v>90.1</v>
      </c>
      <c r="S579" s="60">
        <v>0.33</v>
      </c>
      <c r="T579" s="60">
        <v>948</v>
      </c>
      <c r="U579" s="60">
        <v>52.35</v>
      </c>
    </row>
    <row r="580" spans="1:21">
      <c r="A580" s="60" t="s">
        <v>953</v>
      </c>
      <c r="B580" s="60" t="s">
        <v>3184</v>
      </c>
      <c r="C580" s="60" t="s">
        <v>4175</v>
      </c>
      <c r="D580" s="60">
        <v>11.6</v>
      </c>
      <c r="E580" s="60">
        <v>1.31</v>
      </c>
      <c r="F580" s="60">
        <v>1284</v>
      </c>
      <c r="G580" s="60">
        <v>0</v>
      </c>
      <c r="H580" s="60">
        <v>2</v>
      </c>
      <c r="I580" s="60">
        <v>0</v>
      </c>
      <c r="J580" s="60">
        <v>0</v>
      </c>
      <c r="O580" s="60" t="s">
        <v>953</v>
      </c>
      <c r="P580" s="60" t="s">
        <v>3184</v>
      </c>
      <c r="Q580" s="60" t="s">
        <v>4175</v>
      </c>
      <c r="R580" s="60">
        <v>11.6</v>
      </c>
      <c r="S580" s="60">
        <v>1.31</v>
      </c>
      <c r="T580" s="60">
        <v>1284</v>
      </c>
      <c r="U580" s="60">
        <v>23.84</v>
      </c>
    </row>
    <row r="581" spans="1:21">
      <c r="A581" s="60" t="s">
        <v>955</v>
      </c>
      <c r="B581" s="60" t="s">
        <v>1337</v>
      </c>
      <c r="C581" s="60" t="s">
        <v>4021</v>
      </c>
      <c r="D581" s="60">
        <v>13.6</v>
      </c>
      <c r="E581" s="60">
        <v>0.74</v>
      </c>
      <c r="F581" s="60">
        <v>242</v>
      </c>
      <c r="G581" s="60">
        <v>0.03</v>
      </c>
      <c r="H581" s="60">
        <v>1.72</v>
      </c>
      <c r="I581" s="60">
        <v>9.42</v>
      </c>
      <c r="J581" s="60">
        <v>0</v>
      </c>
      <c r="O581" s="60" t="s">
        <v>955</v>
      </c>
      <c r="P581" s="60" t="s">
        <v>1337</v>
      </c>
      <c r="Q581" s="60" t="s">
        <v>4021</v>
      </c>
      <c r="R581" s="60">
        <v>13.6</v>
      </c>
      <c r="S581" s="60">
        <v>0.74</v>
      </c>
      <c r="T581" s="60">
        <v>242</v>
      </c>
      <c r="U581" s="60">
        <v>51.18</v>
      </c>
    </row>
    <row r="582" spans="1:21">
      <c r="A582" s="60" t="s">
        <v>956</v>
      </c>
      <c r="B582" s="60" t="s">
        <v>1339</v>
      </c>
      <c r="C582" s="60" t="s">
        <v>3963</v>
      </c>
      <c r="D582" s="60">
        <v>109.5</v>
      </c>
      <c r="E582" s="60">
        <v>0.92</v>
      </c>
      <c r="F582" s="60">
        <v>1643</v>
      </c>
      <c r="G582" s="60">
        <v>0.08</v>
      </c>
      <c r="H582" s="60">
        <v>12.37</v>
      </c>
      <c r="I582" s="60">
        <v>16.88</v>
      </c>
      <c r="J582" s="60">
        <v>0.37</v>
      </c>
      <c r="O582" s="60" t="s">
        <v>956</v>
      </c>
      <c r="P582" s="60" t="s">
        <v>1339</v>
      </c>
      <c r="Q582" s="60" t="s">
        <v>3963</v>
      </c>
      <c r="R582" s="60">
        <v>109.5</v>
      </c>
      <c r="S582" s="60">
        <v>0.92</v>
      </c>
      <c r="T582" s="60">
        <v>1643</v>
      </c>
      <c r="U582" s="60">
        <v>19.75</v>
      </c>
    </row>
    <row r="583" spans="1:21">
      <c r="A583" s="60" t="s">
        <v>957</v>
      </c>
      <c r="B583" s="60" t="s">
        <v>1341</v>
      </c>
      <c r="C583" s="60" t="s">
        <v>4176</v>
      </c>
      <c r="D583" s="60">
        <v>42.9</v>
      </c>
      <c r="E583" s="60">
        <v>0.7</v>
      </c>
      <c r="F583" s="60">
        <v>178</v>
      </c>
      <c r="G583" s="60">
        <v>0.02</v>
      </c>
      <c r="H583" s="60">
        <v>11.9</v>
      </c>
      <c r="I583" s="60">
        <v>5.72</v>
      </c>
      <c r="J583" s="60">
        <v>0</v>
      </c>
      <c r="O583" s="60" t="s">
        <v>957</v>
      </c>
      <c r="P583" s="60" t="s">
        <v>1341</v>
      </c>
      <c r="Q583" s="60" t="s">
        <v>4176</v>
      </c>
      <c r="R583" s="60">
        <v>42.9</v>
      </c>
      <c r="S583" s="60">
        <v>0.7</v>
      </c>
      <c r="T583" s="60">
        <v>178</v>
      </c>
      <c r="U583" s="60">
        <v>54.19</v>
      </c>
    </row>
    <row r="584" spans="1:21">
      <c r="A584" s="60" t="s">
        <v>959</v>
      </c>
      <c r="B584" s="60" t="s">
        <v>1343</v>
      </c>
      <c r="C584" s="60" t="s">
        <v>3964</v>
      </c>
      <c r="D584" s="60">
        <v>149</v>
      </c>
      <c r="E584" s="60">
        <v>4.2</v>
      </c>
      <c r="F584" s="60">
        <v>58135</v>
      </c>
      <c r="G584" s="60">
        <v>6.32</v>
      </c>
      <c r="H584" s="60">
        <v>7.83</v>
      </c>
      <c r="I584" s="60">
        <v>17.18</v>
      </c>
      <c r="J584" s="60">
        <v>0.02</v>
      </c>
      <c r="O584" s="60" t="s">
        <v>959</v>
      </c>
      <c r="P584" s="60" t="s">
        <v>1343</v>
      </c>
      <c r="Q584" s="60" t="s">
        <v>3964</v>
      </c>
      <c r="R584" s="60">
        <v>149</v>
      </c>
      <c r="S584" s="60">
        <v>4.2</v>
      </c>
      <c r="T584" s="60">
        <v>58135</v>
      </c>
      <c r="U584" s="60">
        <v>71.709999999999994</v>
      </c>
    </row>
    <row r="585" spans="1:21">
      <c r="A585" s="60" t="s">
        <v>961</v>
      </c>
      <c r="B585" s="60" t="s">
        <v>1345</v>
      </c>
      <c r="C585" s="60" t="s">
        <v>3517</v>
      </c>
      <c r="D585" s="60">
        <v>88.4</v>
      </c>
      <c r="E585" s="60">
        <v>0.91</v>
      </c>
      <c r="F585" s="60">
        <v>33159</v>
      </c>
      <c r="G585" s="60">
        <v>0.73</v>
      </c>
      <c r="H585" s="60">
        <v>50.4</v>
      </c>
      <c r="I585" s="60">
        <v>16.690000000000001</v>
      </c>
      <c r="J585" s="60">
        <v>4.99</v>
      </c>
      <c r="O585" s="60" t="s">
        <v>961</v>
      </c>
      <c r="P585" s="60" t="s">
        <v>1345</v>
      </c>
      <c r="Q585" s="60" t="s">
        <v>3517</v>
      </c>
      <c r="R585" s="60">
        <v>88.4</v>
      </c>
      <c r="S585" s="60">
        <v>0.91</v>
      </c>
      <c r="T585" s="60">
        <v>33159</v>
      </c>
      <c r="U585" s="60">
        <v>57.62</v>
      </c>
    </row>
    <row r="586" spans="1:21">
      <c r="A586" s="60" t="s">
        <v>963</v>
      </c>
      <c r="B586" s="60" t="s">
        <v>3185</v>
      </c>
      <c r="C586" s="60" t="s">
        <v>4277</v>
      </c>
      <c r="D586" s="60">
        <v>18.25</v>
      </c>
      <c r="E586" s="60">
        <v>9.94</v>
      </c>
      <c r="F586" s="60">
        <v>986</v>
      </c>
      <c r="G586" s="60">
        <v>0</v>
      </c>
      <c r="H586" s="60">
        <v>0.28999999999999998</v>
      </c>
      <c r="I586" s="60">
        <v>0</v>
      </c>
      <c r="J586" s="60">
        <v>0</v>
      </c>
      <c r="O586" s="60" t="s">
        <v>963</v>
      </c>
      <c r="P586" s="60" t="s">
        <v>3185</v>
      </c>
      <c r="Q586" s="60" t="s">
        <v>4277</v>
      </c>
      <c r="R586" s="60">
        <v>18.25</v>
      </c>
      <c r="S586" s="60">
        <v>9.94</v>
      </c>
      <c r="T586" s="60">
        <v>986</v>
      </c>
      <c r="U586" s="60">
        <v>39.869999999999997</v>
      </c>
    </row>
    <row r="587" spans="1:21">
      <c r="A587" s="60" t="s">
        <v>965</v>
      </c>
      <c r="B587" s="60" t="s">
        <v>1348</v>
      </c>
      <c r="C587" s="60" t="s">
        <v>4061</v>
      </c>
      <c r="D587" s="60">
        <v>97.5</v>
      </c>
      <c r="E587" s="60">
        <v>4.5</v>
      </c>
      <c r="F587" s="60">
        <v>47516</v>
      </c>
      <c r="G587" s="60">
        <v>0.36</v>
      </c>
      <c r="H587" s="60">
        <v>11.87</v>
      </c>
      <c r="I587" s="60">
        <v>25.47</v>
      </c>
      <c r="J587" s="60">
        <v>0.2</v>
      </c>
      <c r="O587" s="60" t="s">
        <v>965</v>
      </c>
      <c r="P587" s="60" t="s">
        <v>1348</v>
      </c>
      <c r="Q587" s="60" t="s">
        <v>4061</v>
      </c>
      <c r="R587" s="60">
        <v>97.5</v>
      </c>
      <c r="S587" s="60">
        <v>4.5</v>
      </c>
      <c r="T587" s="60">
        <v>47516</v>
      </c>
      <c r="U587" s="60">
        <v>34.99</v>
      </c>
    </row>
    <row r="588" spans="1:21">
      <c r="A588" s="60" t="s">
        <v>967</v>
      </c>
      <c r="B588" s="60" t="s">
        <v>1350</v>
      </c>
      <c r="C588" s="60" t="s">
        <v>4177</v>
      </c>
      <c r="D588" s="60">
        <v>23.05</v>
      </c>
      <c r="E588" s="60">
        <v>3.13</v>
      </c>
      <c r="F588" s="60">
        <v>415</v>
      </c>
      <c r="G588" s="60">
        <v>0.01</v>
      </c>
      <c r="H588" s="60">
        <v>3.85</v>
      </c>
      <c r="I588" s="60">
        <v>6.96</v>
      </c>
      <c r="J588" s="60">
        <v>0.06</v>
      </c>
      <c r="O588" s="60" t="s">
        <v>967</v>
      </c>
      <c r="P588" s="60" t="s">
        <v>1350</v>
      </c>
      <c r="Q588" s="60" t="s">
        <v>4177</v>
      </c>
      <c r="R588" s="60">
        <v>23.05</v>
      </c>
      <c r="S588" s="60">
        <v>3.13</v>
      </c>
      <c r="T588" s="60">
        <v>415</v>
      </c>
      <c r="U588" s="60">
        <v>65.11</v>
      </c>
    </row>
    <row r="589" spans="1:21">
      <c r="A589" s="60" t="s">
        <v>969</v>
      </c>
      <c r="B589" s="60" t="s">
        <v>1352</v>
      </c>
      <c r="C589" s="60" t="s">
        <v>4022</v>
      </c>
      <c r="D589" s="60">
        <v>44.3</v>
      </c>
      <c r="E589" s="60">
        <v>0.8</v>
      </c>
      <c r="F589" s="60">
        <v>241</v>
      </c>
      <c r="G589" s="60">
        <v>0</v>
      </c>
      <c r="H589" s="60">
        <v>19.48</v>
      </c>
      <c r="I589" s="60">
        <v>4.29</v>
      </c>
      <c r="J589" s="60">
        <v>0</v>
      </c>
      <c r="O589" s="60" t="s">
        <v>969</v>
      </c>
      <c r="P589" s="60" t="s">
        <v>1352</v>
      </c>
      <c r="Q589" s="60" t="s">
        <v>4022</v>
      </c>
      <c r="R589" s="60">
        <v>44.3</v>
      </c>
      <c r="S589" s="60">
        <v>0.8</v>
      </c>
      <c r="T589" s="60">
        <v>241</v>
      </c>
      <c r="U589" s="60">
        <v>61.15</v>
      </c>
    </row>
    <row r="590" spans="1:21">
      <c r="A590" s="60" t="s">
        <v>971</v>
      </c>
      <c r="B590" s="60" t="s">
        <v>1354</v>
      </c>
      <c r="C590" s="60" t="s">
        <v>4178</v>
      </c>
      <c r="D590" s="60">
        <v>259.5</v>
      </c>
      <c r="E590" s="60">
        <v>-0.19</v>
      </c>
      <c r="F590" s="60">
        <v>326</v>
      </c>
      <c r="G590" s="60">
        <v>7.0000000000000007E-2</v>
      </c>
      <c r="H590" s="60">
        <v>57.45</v>
      </c>
      <c r="I590" s="60">
        <v>0.42</v>
      </c>
      <c r="J590" s="60">
        <v>0.92</v>
      </c>
      <c r="O590" s="60" t="s">
        <v>971</v>
      </c>
      <c r="P590" s="60" t="s">
        <v>1354</v>
      </c>
      <c r="Q590" s="60" t="s">
        <v>4178</v>
      </c>
      <c r="R590" s="60">
        <v>259.5</v>
      </c>
      <c r="S590" s="60">
        <v>-0.19</v>
      </c>
      <c r="T590" s="60">
        <v>326</v>
      </c>
      <c r="U590" s="60">
        <v>57.97</v>
      </c>
    </row>
    <row r="591" spans="1:21">
      <c r="A591" s="60" t="s">
        <v>973</v>
      </c>
      <c r="B591" s="60" t="s">
        <v>3186</v>
      </c>
      <c r="C591" s="60" t="s">
        <v>4062</v>
      </c>
      <c r="D591" s="60">
        <v>13.55</v>
      </c>
      <c r="E591" s="60">
        <v>1.1200000000000001</v>
      </c>
      <c r="F591" s="60">
        <v>775</v>
      </c>
      <c r="G591" s="60">
        <v>0</v>
      </c>
      <c r="H591" s="60">
        <v>1.1499999999999999</v>
      </c>
      <c r="I591" s="60">
        <v>0</v>
      </c>
      <c r="J591" s="60">
        <v>0</v>
      </c>
      <c r="O591" s="60" t="s">
        <v>973</v>
      </c>
      <c r="P591" s="60" t="s">
        <v>3186</v>
      </c>
      <c r="Q591" s="60" t="s">
        <v>4062</v>
      </c>
      <c r="R591" s="60">
        <v>13.55</v>
      </c>
      <c r="S591" s="60">
        <v>1.1200000000000001</v>
      </c>
      <c r="T591" s="60">
        <v>775</v>
      </c>
      <c r="U591" s="60">
        <v>33.89</v>
      </c>
    </row>
    <row r="592" spans="1:21">
      <c r="A592" s="60" t="s">
        <v>975</v>
      </c>
      <c r="B592" s="60" t="s">
        <v>1357</v>
      </c>
      <c r="C592" s="60" t="s">
        <v>4119</v>
      </c>
      <c r="D592" s="60">
        <v>25.3</v>
      </c>
      <c r="E592" s="60">
        <v>1.2</v>
      </c>
      <c r="F592" s="60">
        <v>752</v>
      </c>
      <c r="G592" s="60">
        <v>0</v>
      </c>
      <c r="H592" s="60">
        <v>1.1100000000000001</v>
      </c>
      <c r="I592" s="60">
        <v>29.42</v>
      </c>
      <c r="J592" s="60">
        <v>0</v>
      </c>
      <c r="O592" s="60" t="s">
        <v>975</v>
      </c>
      <c r="P592" s="60" t="s">
        <v>1357</v>
      </c>
      <c r="Q592" s="60" t="s">
        <v>4119</v>
      </c>
      <c r="R592" s="60">
        <v>25.3</v>
      </c>
      <c r="S592" s="60">
        <v>1.2</v>
      </c>
      <c r="T592" s="60">
        <v>752</v>
      </c>
      <c r="U592" s="60">
        <v>18.95</v>
      </c>
    </row>
    <row r="593" spans="1:21">
      <c r="A593" s="60" t="s">
        <v>977</v>
      </c>
      <c r="B593" s="60" t="s">
        <v>1359</v>
      </c>
      <c r="C593" s="60" t="s">
        <v>4179</v>
      </c>
      <c r="D593" s="60">
        <v>121.5</v>
      </c>
      <c r="E593" s="60">
        <v>0.83</v>
      </c>
      <c r="F593" s="60">
        <v>522</v>
      </c>
      <c r="G593" s="60">
        <v>0.05</v>
      </c>
      <c r="H593" s="60">
        <v>13.22</v>
      </c>
      <c r="I593" s="60">
        <v>6.83</v>
      </c>
      <c r="J593" s="60">
        <v>0.43</v>
      </c>
      <c r="O593" s="60" t="s">
        <v>977</v>
      </c>
      <c r="P593" s="60" t="s">
        <v>1359</v>
      </c>
      <c r="Q593" s="60" t="s">
        <v>4179</v>
      </c>
      <c r="R593" s="60">
        <v>121.5</v>
      </c>
      <c r="S593" s="60">
        <v>0.83</v>
      </c>
      <c r="T593" s="60">
        <v>522</v>
      </c>
      <c r="U593" s="60">
        <v>34.28</v>
      </c>
    </row>
    <row r="594" spans="1:21">
      <c r="A594" s="60" t="s">
        <v>979</v>
      </c>
      <c r="B594" s="60" t="s">
        <v>1361</v>
      </c>
      <c r="C594" s="60" t="s">
        <v>4120</v>
      </c>
      <c r="D594" s="60">
        <v>25.3</v>
      </c>
      <c r="E594" s="60">
        <v>2.02</v>
      </c>
      <c r="F594" s="60">
        <v>728</v>
      </c>
      <c r="G594" s="60">
        <v>0.15</v>
      </c>
      <c r="H594" s="60">
        <v>1.79</v>
      </c>
      <c r="I594" s="60">
        <v>35.24</v>
      </c>
      <c r="J594" s="60">
        <v>0</v>
      </c>
      <c r="O594" s="60" t="s">
        <v>979</v>
      </c>
      <c r="P594" s="60" t="s">
        <v>1361</v>
      </c>
      <c r="Q594" s="60" t="s">
        <v>4120</v>
      </c>
      <c r="R594" s="60">
        <v>25.3</v>
      </c>
      <c r="S594" s="60">
        <v>2.02</v>
      </c>
      <c r="T594" s="60">
        <v>728</v>
      </c>
      <c r="U594" s="60">
        <v>26.7</v>
      </c>
    </row>
    <row r="595" spans="1:21">
      <c r="A595" s="60" t="s">
        <v>980</v>
      </c>
      <c r="B595" s="60" t="s">
        <v>1363</v>
      </c>
      <c r="C595" s="60" t="s">
        <v>4235</v>
      </c>
      <c r="D595" s="60">
        <v>30.8</v>
      </c>
      <c r="E595" s="60">
        <v>0.98</v>
      </c>
      <c r="F595" s="60">
        <v>496</v>
      </c>
      <c r="G595" s="60">
        <v>0.01</v>
      </c>
      <c r="H595" s="60">
        <v>7.98</v>
      </c>
      <c r="I595" s="60">
        <v>4.42</v>
      </c>
      <c r="J595" s="60">
        <v>0</v>
      </c>
      <c r="O595" s="60" t="s">
        <v>980</v>
      </c>
      <c r="P595" s="60" t="s">
        <v>1363</v>
      </c>
      <c r="Q595" s="60" t="s">
        <v>4235</v>
      </c>
      <c r="R595" s="60">
        <v>30.8</v>
      </c>
      <c r="S595" s="60">
        <v>0.98</v>
      </c>
      <c r="T595" s="60">
        <v>496</v>
      </c>
      <c r="U595" s="60">
        <v>32.31</v>
      </c>
    </row>
    <row r="596" spans="1:21">
      <c r="A596" s="60" t="s">
        <v>982</v>
      </c>
      <c r="B596" s="60" t="s">
        <v>1365</v>
      </c>
      <c r="C596" s="60" t="s">
        <v>4256</v>
      </c>
      <c r="D596" s="60">
        <v>45.4</v>
      </c>
      <c r="E596" s="60">
        <v>0.67</v>
      </c>
      <c r="F596" s="60">
        <v>352</v>
      </c>
      <c r="G596" s="60">
        <v>0</v>
      </c>
      <c r="H596" s="60">
        <v>5.58</v>
      </c>
      <c r="I596" s="60">
        <v>6.49</v>
      </c>
      <c r="J596" s="60">
        <v>0</v>
      </c>
      <c r="O596" s="60" t="s">
        <v>982</v>
      </c>
      <c r="P596" s="60" t="s">
        <v>1365</v>
      </c>
      <c r="Q596" s="60" t="s">
        <v>4256</v>
      </c>
      <c r="R596" s="60">
        <v>45.4</v>
      </c>
      <c r="S596" s="60">
        <v>0.67</v>
      </c>
      <c r="T596" s="60">
        <v>352</v>
      </c>
      <c r="U596" s="60">
        <v>28.05</v>
      </c>
    </row>
    <row r="597" spans="1:21">
      <c r="A597" s="60" t="s">
        <v>984</v>
      </c>
      <c r="B597" s="60" t="s">
        <v>1367</v>
      </c>
      <c r="C597" s="60" t="s">
        <v>4278</v>
      </c>
      <c r="D597" s="60">
        <v>57.9</v>
      </c>
      <c r="E597" s="60">
        <v>0.87</v>
      </c>
      <c r="F597" s="60">
        <v>210</v>
      </c>
      <c r="G597" s="60">
        <v>0.01</v>
      </c>
      <c r="H597" s="60">
        <v>18.61</v>
      </c>
      <c r="I597" s="60">
        <v>4.22</v>
      </c>
      <c r="J597" s="60">
        <v>0.01</v>
      </c>
      <c r="O597" s="60" t="s">
        <v>984</v>
      </c>
      <c r="P597" s="60" t="s">
        <v>1367</v>
      </c>
      <c r="Q597" s="60" t="s">
        <v>4278</v>
      </c>
      <c r="R597" s="60">
        <v>57.9</v>
      </c>
      <c r="S597" s="60">
        <v>0.87</v>
      </c>
      <c r="T597" s="60">
        <v>210</v>
      </c>
      <c r="U597" s="60">
        <v>49.57</v>
      </c>
    </row>
    <row r="598" spans="1:21">
      <c r="A598" s="60" t="s">
        <v>986</v>
      </c>
      <c r="B598" s="60" t="s">
        <v>1369</v>
      </c>
      <c r="C598" s="60" t="s">
        <v>4063</v>
      </c>
      <c r="D598" s="60">
        <v>24.85</v>
      </c>
      <c r="E598" s="60">
        <v>-0.2</v>
      </c>
      <c r="F598" s="60">
        <v>1012</v>
      </c>
      <c r="G598" s="60">
        <v>0.45</v>
      </c>
      <c r="H598" s="60">
        <v>1.99</v>
      </c>
      <c r="I598" s="60">
        <v>8.64</v>
      </c>
      <c r="J598" s="60">
        <v>0</v>
      </c>
      <c r="O598" s="60" t="s">
        <v>986</v>
      </c>
      <c r="P598" s="60" t="s">
        <v>1369</v>
      </c>
      <c r="Q598" s="60" t="s">
        <v>4063</v>
      </c>
      <c r="R598" s="60">
        <v>24.85</v>
      </c>
      <c r="S598" s="60">
        <v>-0.2</v>
      </c>
      <c r="T598" s="60">
        <v>1012</v>
      </c>
      <c r="U598" s="60">
        <v>60.08</v>
      </c>
    </row>
    <row r="599" spans="1:21">
      <c r="A599" s="60" t="s">
        <v>988</v>
      </c>
      <c r="B599" s="60" t="s">
        <v>1371</v>
      </c>
      <c r="C599" s="60" t="s">
        <v>4180</v>
      </c>
      <c r="D599" s="60">
        <v>32.049999999999997</v>
      </c>
      <c r="E599" s="60">
        <v>0.79</v>
      </c>
      <c r="F599" s="60">
        <v>154</v>
      </c>
      <c r="G599" s="60">
        <v>0.02</v>
      </c>
      <c r="H599" s="60">
        <v>1.33</v>
      </c>
      <c r="I599" s="60">
        <v>6.99</v>
      </c>
      <c r="J599" s="60">
        <v>0</v>
      </c>
      <c r="O599" s="60" t="s">
        <v>988</v>
      </c>
      <c r="P599" s="60" t="s">
        <v>1371</v>
      </c>
      <c r="Q599" s="60" t="s">
        <v>4180</v>
      </c>
      <c r="R599" s="60">
        <v>32.049999999999997</v>
      </c>
      <c r="S599" s="60">
        <v>0.79</v>
      </c>
      <c r="T599" s="60">
        <v>154</v>
      </c>
      <c r="U599" s="60">
        <v>42.67</v>
      </c>
    </row>
    <row r="600" spans="1:21">
      <c r="A600" s="60" t="s">
        <v>989</v>
      </c>
      <c r="B600" s="60" t="s">
        <v>1373</v>
      </c>
      <c r="C600" s="60" t="s">
        <v>4236</v>
      </c>
      <c r="D600" s="60">
        <v>29.25</v>
      </c>
      <c r="E600" s="60">
        <v>0.17</v>
      </c>
      <c r="F600" s="60">
        <v>3875</v>
      </c>
      <c r="G600" s="60">
        <v>0.67</v>
      </c>
      <c r="H600" s="60">
        <v>9.59</v>
      </c>
      <c r="I600" s="60">
        <v>15.56</v>
      </c>
      <c r="J600" s="60">
        <v>0.09</v>
      </c>
      <c r="O600" s="60" t="s">
        <v>989</v>
      </c>
      <c r="P600" s="60" t="s">
        <v>1373</v>
      </c>
      <c r="Q600" s="60" t="s">
        <v>4236</v>
      </c>
      <c r="R600" s="60">
        <v>29.25</v>
      </c>
      <c r="S600" s="60">
        <v>0.17</v>
      </c>
      <c r="T600" s="60">
        <v>3875</v>
      </c>
      <c r="U600" s="60">
        <v>27.63</v>
      </c>
    </row>
    <row r="601" spans="1:21">
      <c r="A601" s="60" t="s">
        <v>991</v>
      </c>
      <c r="B601" s="60" t="s">
        <v>1375</v>
      </c>
      <c r="C601" s="60" t="s">
        <v>3965</v>
      </c>
      <c r="D601" s="60">
        <v>489.5</v>
      </c>
      <c r="E601" s="60">
        <v>1.35</v>
      </c>
      <c r="F601" s="60">
        <v>5911</v>
      </c>
      <c r="G601" s="60">
        <v>0.94</v>
      </c>
      <c r="H601" s="60">
        <v>62.54</v>
      </c>
      <c r="I601" s="60">
        <v>6.61</v>
      </c>
      <c r="J601" s="60">
        <v>3.5</v>
      </c>
      <c r="O601" s="60" t="s">
        <v>991</v>
      </c>
      <c r="P601" s="60" t="s">
        <v>1375</v>
      </c>
      <c r="Q601" s="60" t="s">
        <v>3965</v>
      </c>
      <c r="R601" s="60">
        <v>489.5</v>
      </c>
      <c r="S601" s="60">
        <v>1.35</v>
      </c>
      <c r="T601" s="60">
        <v>5911</v>
      </c>
      <c r="U601" s="60">
        <v>49.71</v>
      </c>
    </row>
    <row r="602" spans="1:21">
      <c r="A602" s="60" t="s">
        <v>993</v>
      </c>
      <c r="B602" s="60" t="s">
        <v>1377</v>
      </c>
      <c r="C602" s="60" t="s">
        <v>3966</v>
      </c>
      <c r="D602" s="60">
        <v>190</v>
      </c>
      <c r="E602" s="60">
        <v>-0.26</v>
      </c>
      <c r="F602" s="60">
        <v>13754</v>
      </c>
      <c r="G602" s="60">
        <v>7.37</v>
      </c>
      <c r="H602" s="60">
        <v>47.65</v>
      </c>
      <c r="I602" s="60">
        <v>17.59</v>
      </c>
      <c r="J602" s="60">
        <v>16.350000000000001</v>
      </c>
      <c r="O602" s="60" t="s">
        <v>993</v>
      </c>
      <c r="P602" s="60" t="s">
        <v>1377</v>
      </c>
      <c r="Q602" s="60" t="s">
        <v>3966</v>
      </c>
      <c r="R602" s="60">
        <v>190</v>
      </c>
      <c r="S602" s="60">
        <v>-0.26</v>
      </c>
      <c r="T602" s="60">
        <v>13754</v>
      </c>
      <c r="U602" s="60">
        <v>48.37</v>
      </c>
    </row>
    <row r="603" spans="1:21">
      <c r="A603" s="60" t="s">
        <v>995</v>
      </c>
      <c r="B603" s="60" t="s">
        <v>1379</v>
      </c>
      <c r="C603" s="60" t="s">
        <v>4237</v>
      </c>
      <c r="D603" s="60">
        <v>65.400000000000006</v>
      </c>
      <c r="E603" s="60">
        <v>0.77</v>
      </c>
      <c r="F603" s="60">
        <v>769</v>
      </c>
      <c r="G603" s="60">
        <v>0.01</v>
      </c>
      <c r="H603" s="60">
        <v>13.7</v>
      </c>
      <c r="I603" s="60">
        <v>2.89</v>
      </c>
      <c r="J603" s="60">
        <v>0.72</v>
      </c>
      <c r="O603" s="60" t="s">
        <v>995</v>
      </c>
      <c r="P603" s="60" t="s">
        <v>1379</v>
      </c>
      <c r="Q603" s="60" t="s">
        <v>4237</v>
      </c>
      <c r="R603" s="60">
        <v>65.400000000000006</v>
      </c>
      <c r="S603" s="60">
        <v>0.77</v>
      </c>
      <c r="T603" s="60">
        <v>769</v>
      </c>
      <c r="U603" s="60">
        <v>82.4</v>
      </c>
    </row>
    <row r="604" spans="1:21">
      <c r="A604" s="60" t="s">
        <v>996</v>
      </c>
      <c r="B604" s="60" t="s">
        <v>1381</v>
      </c>
      <c r="C604" s="60" t="s">
        <v>4181</v>
      </c>
      <c r="D604" s="60">
        <v>196</v>
      </c>
      <c r="E604" s="60">
        <v>0.26</v>
      </c>
      <c r="F604" s="60">
        <v>16318</v>
      </c>
      <c r="G604" s="60">
        <v>1.73</v>
      </c>
      <c r="H604" s="60">
        <v>51.39</v>
      </c>
      <c r="I604" s="60">
        <v>6.97</v>
      </c>
      <c r="J604" s="60">
        <v>5.69</v>
      </c>
      <c r="O604" s="60" t="s">
        <v>996</v>
      </c>
      <c r="P604" s="60" t="s">
        <v>1381</v>
      </c>
      <c r="Q604" s="60" t="s">
        <v>4181</v>
      </c>
      <c r="R604" s="60">
        <v>196</v>
      </c>
      <c r="S604" s="60">
        <v>0.26</v>
      </c>
      <c r="T604" s="60">
        <v>16318</v>
      </c>
      <c r="U604" s="60">
        <v>74.790000000000006</v>
      </c>
    </row>
    <row r="605" spans="1:21">
      <c r="A605" s="60" t="s">
        <v>998</v>
      </c>
      <c r="B605" s="60" t="s">
        <v>1383</v>
      </c>
      <c r="C605" s="60" t="s">
        <v>4064</v>
      </c>
      <c r="D605" s="60">
        <v>19.100000000000001</v>
      </c>
      <c r="E605" s="60">
        <v>1.6</v>
      </c>
      <c r="F605" s="60">
        <v>537</v>
      </c>
      <c r="G605" s="60">
        <v>0.01</v>
      </c>
      <c r="H605" s="60">
        <v>2.23</v>
      </c>
      <c r="I605" s="60">
        <v>14.69</v>
      </c>
      <c r="J605" s="60">
        <v>0</v>
      </c>
      <c r="O605" s="60" t="s">
        <v>998</v>
      </c>
      <c r="P605" s="60" t="s">
        <v>1383</v>
      </c>
      <c r="Q605" s="60" t="s">
        <v>4064</v>
      </c>
      <c r="R605" s="60">
        <v>19.100000000000001</v>
      </c>
      <c r="S605" s="60">
        <v>1.6</v>
      </c>
      <c r="T605" s="60">
        <v>537</v>
      </c>
      <c r="U605" s="60">
        <v>27.15</v>
      </c>
    </row>
    <row r="606" spans="1:21">
      <c r="A606" s="60" t="s">
        <v>999</v>
      </c>
      <c r="B606" s="60" t="s">
        <v>1385</v>
      </c>
      <c r="C606" s="60" t="s">
        <v>4447</v>
      </c>
      <c r="D606" s="60">
        <v>38.9</v>
      </c>
      <c r="E606" s="60">
        <v>0.13</v>
      </c>
      <c r="F606" s="60">
        <v>50</v>
      </c>
      <c r="G606" s="60">
        <v>0</v>
      </c>
      <c r="H606" s="60">
        <v>15.22</v>
      </c>
      <c r="I606" s="60">
        <v>3.5</v>
      </c>
      <c r="J606" s="60">
        <v>0</v>
      </c>
      <c r="O606" s="60" t="s">
        <v>999</v>
      </c>
      <c r="P606" s="60" t="s">
        <v>1385</v>
      </c>
      <c r="Q606" s="60" t="s">
        <v>4447</v>
      </c>
      <c r="R606" s="60">
        <v>38.9</v>
      </c>
      <c r="S606" s="60">
        <v>0.13</v>
      </c>
      <c r="T606" s="60">
        <v>50</v>
      </c>
      <c r="U606" s="60">
        <v>45.63</v>
      </c>
    </row>
    <row r="607" spans="1:21">
      <c r="A607" s="60" t="s">
        <v>1001</v>
      </c>
      <c r="B607" s="60" t="s">
        <v>1387</v>
      </c>
      <c r="C607" s="60" t="s">
        <v>3967</v>
      </c>
      <c r="D607" s="60">
        <v>38.799999999999997</v>
      </c>
      <c r="E607" s="60">
        <v>-1.02</v>
      </c>
      <c r="F607" s="60">
        <v>26206</v>
      </c>
      <c r="G607" s="60">
        <v>5.34</v>
      </c>
      <c r="H607" s="60">
        <v>11.59</v>
      </c>
      <c r="I607" s="60">
        <v>47.73</v>
      </c>
      <c r="J607" s="60">
        <v>0.01</v>
      </c>
      <c r="O607" s="60" t="s">
        <v>1001</v>
      </c>
      <c r="P607" s="60" t="s">
        <v>1387</v>
      </c>
      <c r="Q607" s="60" t="s">
        <v>3967</v>
      </c>
      <c r="R607" s="60">
        <v>38.799999999999997</v>
      </c>
      <c r="S607" s="60">
        <v>-1.02</v>
      </c>
      <c r="T607" s="60">
        <v>26206</v>
      </c>
      <c r="U607" s="60">
        <v>16.86</v>
      </c>
    </row>
    <row r="608" spans="1:21">
      <c r="A608" s="60" t="s">
        <v>1002</v>
      </c>
      <c r="B608" s="60" t="s">
        <v>1389</v>
      </c>
      <c r="C608" s="60" t="s">
        <v>4182</v>
      </c>
      <c r="D608" s="60">
        <v>112.5</v>
      </c>
      <c r="E608" s="60">
        <v>0.9</v>
      </c>
      <c r="F608" s="60">
        <v>6458</v>
      </c>
      <c r="G608" s="60">
        <v>0.21</v>
      </c>
      <c r="H608" s="60">
        <v>20.11</v>
      </c>
      <c r="I608" s="60">
        <v>21.71</v>
      </c>
      <c r="J608" s="60">
        <v>2.59</v>
      </c>
      <c r="O608" s="60" t="s">
        <v>1002</v>
      </c>
      <c r="P608" s="60" t="s">
        <v>1389</v>
      </c>
      <c r="Q608" s="60" t="s">
        <v>4182</v>
      </c>
      <c r="R608" s="60">
        <v>112.5</v>
      </c>
      <c r="S608" s="60">
        <v>0.9</v>
      </c>
      <c r="T608" s="60">
        <v>6458</v>
      </c>
      <c r="U608" s="60">
        <v>38.79</v>
      </c>
    </row>
    <row r="609" spans="1:21">
      <c r="A609" s="60" t="s">
        <v>1004</v>
      </c>
      <c r="B609" s="60" t="s">
        <v>3187</v>
      </c>
      <c r="C609" s="60" t="s">
        <v>4279</v>
      </c>
      <c r="D609" s="60">
        <v>3.5</v>
      </c>
      <c r="E609" s="60">
        <v>-2.23</v>
      </c>
      <c r="F609" s="60">
        <v>295</v>
      </c>
      <c r="G609" s="60">
        <v>0</v>
      </c>
      <c r="H609" s="60">
        <v>0.59</v>
      </c>
      <c r="I609" s="60">
        <v>0</v>
      </c>
      <c r="J609" s="60">
        <v>0</v>
      </c>
      <c r="O609" s="60" t="s">
        <v>1004</v>
      </c>
      <c r="P609" s="60" t="s">
        <v>3187</v>
      </c>
      <c r="Q609" s="60" t="s">
        <v>4279</v>
      </c>
      <c r="R609" s="60">
        <v>3.5</v>
      </c>
      <c r="S609" s="60">
        <v>-2.23</v>
      </c>
      <c r="T609" s="60">
        <v>295</v>
      </c>
      <c r="U609" s="60">
        <v>14.43</v>
      </c>
    </row>
    <row r="610" spans="1:21">
      <c r="A610" s="60" t="s">
        <v>1006</v>
      </c>
      <c r="B610" s="60" t="s">
        <v>1392</v>
      </c>
      <c r="C610" s="60" t="s">
        <v>4183</v>
      </c>
      <c r="D610" s="60">
        <v>122.5</v>
      </c>
      <c r="E610" s="60">
        <v>0.82</v>
      </c>
      <c r="F610" s="60">
        <v>1452</v>
      </c>
      <c r="G610" s="60">
        <v>0.01</v>
      </c>
      <c r="H610" s="60">
        <v>48.9</v>
      </c>
      <c r="I610" s="60">
        <v>1.0900000000000001</v>
      </c>
      <c r="J610" s="60">
        <v>4.83</v>
      </c>
      <c r="O610" s="60" t="s">
        <v>1006</v>
      </c>
      <c r="P610" s="60" t="s">
        <v>1392</v>
      </c>
      <c r="Q610" s="60" t="s">
        <v>4183</v>
      </c>
      <c r="R610" s="60">
        <v>122.5</v>
      </c>
      <c r="S610" s="60">
        <v>0.82</v>
      </c>
      <c r="T610" s="60">
        <v>1452</v>
      </c>
      <c r="U610" s="60">
        <v>75.760000000000005</v>
      </c>
    </row>
    <row r="611" spans="1:21">
      <c r="A611" s="60" t="s">
        <v>1007</v>
      </c>
      <c r="B611" s="60" t="s">
        <v>1394</v>
      </c>
      <c r="C611" s="60" t="s">
        <v>4121</v>
      </c>
      <c r="D611" s="60">
        <v>99.1</v>
      </c>
      <c r="E611" s="60">
        <v>-0.9</v>
      </c>
      <c r="F611" s="60">
        <v>1500</v>
      </c>
      <c r="G611" s="60">
        <v>0</v>
      </c>
      <c r="H611" s="60">
        <v>17.3</v>
      </c>
      <c r="I611" s="60">
        <v>0.09</v>
      </c>
      <c r="J611" s="60">
        <v>1.1599999999999999</v>
      </c>
      <c r="O611" s="60" t="s">
        <v>1007</v>
      </c>
      <c r="P611" s="60" t="s">
        <v>1394</v>
      </c>
      <c r="Q611" s="60" t="s">
        <v>4121</v>
      </c>
      <c r="R611" s="60">
        <v>99.1</v>
      </c>
      <c r="S611" s="60">
        <v>-0.9</v>
      </c>
      <c r="T611" s="60">
        <v>1500</v>
      </c>
      <c r="U611" s="60">
        <v>88.35</v>
      </c>
    </row>
    <row r="612" spans="1:21">
      <c r="A612" s="60" t="s">
        <v>1008</v>
      </c>
      <c r="B612" s="60" t="s">
        <v>3188</v>
      </c>
      <c r="C612" s="60" t="s">
        <v>4023</v>
      </c>
      <c r="D612" s="60">
        <v>33.4</v>
      </c>
      <c r="E612" s="60">
        <v>9.8699999999999992</v>
      </c>
      <c r="F612" s="60">
        <v>1898</v>
      </c>
      <c r="G612" s="60">
        <v>0</v>
      </c>
      <c r="H612" s="60">
        <v>2.1800000000000002</v>
      </c>
      <c r="I612" s="60">
        <v>0</v>
      </c>
      <c r="J612" s="60">
        <v>0</v>
      </c>
      <c r="O612" s="60" t="s">
        <v>1008</v>
      </c>
      <c r="P612" s="60" t="s">
        <v>3188</v>
      </c>
      <c r="Q612" s="60" t="s">
        <v>4023</v>
      </c>
      <c r="R612" s="60">
        <v>33.4</v>
      </c>
      <c r="S612" s="60">
        <v>9.8699999999999992</v>
      </c>
      <c r="T612" s="60">
        <v>1898</v>
      </c>
      <c r="U612" s="60">
        <v>63.59</v>
      </c>
    </row>
    <row r="613" spans="1:21">
      <c r="A613" s="60" t="s">
        <v>1010</v>
      </c>
      <c r="B613" s="60" t="s">
        <v>1397</v>
      </c>
      <c r="C613" s="60" t="s">
        <v>4122</v>
      </c>
      <c r="D613" s="60">
        <v>11.3</v>
      </c>
      <c r="E613" s="60">
        <v>0.44</v>
      </c>
      <c r="F613" s="60">
        <v>710</v>
      </c>
      <c r="G613" s="60">
        <v>0.01</v>
      </c>
      <c r="H613" s="60">
        <v>4.3499999999999996</v>
      </c>
      <c r="I613" s="60">
        <v>12.94</v>
      </c>
      <c r="J613" s="60">
        <v>0</v>
      </c>
      <c r="O613" s="60" t="s">
        <v>1010</v>
      </c>
      <c r="P613" s="60" t="s">
        <v>1397</v>
      </c>
      <c r="Q613" s="60" t="s">
        <v>4122</v>
      </c>
      <c r="R613" s="60">
        <v>11.3</v>
      </c>
      <c r="S613" s="60">
        <v>0.44</v>
      </c>
      <c r="T613" s="60">
        <v>710</v>
      </c>
      <c r="U613" s="60">
        <v>21.51</v>
      </c>
    </row>
    <row r="614" spans="1:21">
      <c r="A614" s="60" t="s">
        <v>1012</v>
      </c>
      <c r="B614" s="60" t="s">
        <v>1399</v>
      </c>
      <c r="C614" s="60" t="s">
        <v>4238</v>
      </c>
      <c r="D614" s="60">
        <v>31.75</v>
      </c>
      <c r="E614" s="60">
        <v>-0.47</v>
      </c>
      <c r="F614" s="60">
        <v>746</v>
      </c>
      <c r="G614" s="60">
        <v>0.04</v>
      </c>
      <c r="H614" s="60">
        <v>7.22</v>
      </c>
      <c r="I614" s="60">
        <v>5.4</v>
      </c>
      <c r="J614" s="60">
        <v>0</v>
      </c>
      <c r="O614" s="60" t="s">
        <v>1012</v>
      </c>
      <c r="P614" s="60" t="s">
        <v>1399</v>
      </c>
      <c r="Q614" s="60" t="s">
        <v>4238</v>
      </c>
      <c r="R614" s="60">
        <v>31.75</v>
      </c>
      <c r="S614" s="60">
        <v>-0.47</v>
      </c>
      <c r="T614" s="60">
        <v>746</v>
      </c>
      <c r="U614" s="60">
        <v>40.47</v>
      </c>
    </row>
    <row r="615" spans="1:21">
      <c r="A615" s="60" t="s">
        <v>1014</v>
      </c>
      <c r="B615" s="60" t="s">
        <v>1401</v>
      </c>
      <c r="C615" s="60" t="s">
        <v>4065</v>
      </c>
      <c r="D615" s="60">
        <v>15.15</v>
      </c>
      <c r="E615" s="60">
        <v>9.7799999999999994</v>
      </c>
      <c r="F615" s="60">
        <v>63344</v>
      </c>
      <c r="G615" s="60">
        <v>0.06</v>
      </c>
      <c r="H615" s="60">
        <v>9.5500000000000007</v>
      </c>
      <c r="I615" s="60">
        <v>9.1300000000000008</v>
      </c>
      <c r="J615" s="60">
        <v>0</v>
      </c>
      <c r="O615" s="60" t="s">
        <v>1014</v>
      </c>
      <c r="P615" s="60" t="s">
        <v>1401</v>
      </c>
      <c r="Q615" s="60" t="s">
        <v>4065</v>
      </c>
      <c r="R615" s="60">
        <v>15.15</v>
      </c>
      <c r="S615" s="60">
        <v>9.7799999999999994</v>
      </c>
      <c r="T615" s="60">
        <v>63344</v>
      </c>
      <c r="U615" s="60">
        <v>50.97</v>
      </c>
    </row>
    <row r="616" spans="1:21">
      <c r="A616" s="60" t="s">
        <v>1016</v>
      </c>
      <c r="B616" s="60" t="s">
        <v>1403</v>
      </c>
      <c r="C616" s="60" t="s">
        <v>4066</v>
      </c>
      <c r="D616" s="60">
        <v>17.95</v>
      </c>
      <c r="E616" s="60">
        <v>0.84</v>
      </c>
      <c r="F616" s="60">
        <v>3642</v>
      </c>
      <c r="G616" s="60">
        <v>0.18</v>
      </c>
      <c r="H616" s="60">
        <v>9.44</v>
      </c>
      <c r="I616" s="60">
        <v>28.35</v>
      </c>
      <c r="J616" s="60">
        <v>0</v>
      </c>
      <c r="O616" s="60" t="s">
        <v>1016</v>
      </c>
      <c r="P616" s="60" t="s">
        <v>1403</v>
      </c>
      <c r="Q616" s="60" t="s">
        <v>4066</v>
      </c>
      <c r="R616" s="60">
        <v>17.95</v>
      </c>
      <c r="S616" s="60">
        <v>0.84</v>
      </c>
      <c r="T616" s="60">
        <v>3642</v>
      </c>
      <c r="U616" s="60">
        <v>48.32</v>
      </c>
    </row>
    <row r="617" spans="1:21">
      <c r="A617" s="60" t="s">
        <v>1018</v>
      </c>
      <c r="B617" s="60" t="s">
        <v>3189</v>
      </c>
      <c r="C617" s="60" t="s">
        <v>4067</v>
      </c>
      <c r="D617" s="60">
        <v>11.55</v>
      </c>
      <c r="E617" s="60">
        <v>0</v>
      </c>
      <c r="F617" s="60">
        <v>3238</v>
      </c>
      <c r="G617" s="60">
        <v>0</v>
      </c>
      <c r="H617" s="60">
        <v>0.81</v>
      </c>
      <c r="I617" s="60">
        <v>0</v>
      </c>
      <c r="J617" s="60">
        <v>0</v>
      </c>
      <c r="O617" s="60" t="s">
        <v>1018</v>
      </c>
      <c r="P617" s="60" t="s">
        <v>3189</v>
      </c>
      <c r="Q617" s="60" t="s">
        <v>4067</v>
      </c>
      <c r="R617" s="60">
        <v>11.55</v>
      </c>
      <c r="S617" s="60">
        <v>0</v>
      </c>
      <c r="T617" s="60">
        <v>3238</v>
      </c>
      <c r="U617" s="60">
        <v>42.45</v>
      </c>
    </row>
    <row r="618" spans="1:21">
      <c r="A618" s="60" t="s">
        <v>1020</v>
      </c>
      <c r="B618" s="60" t="s">
        <v>1406</v>
      </c>
      <c r="C618" s="60" t="s">
        <v>4330</v>
      </c>
      <c r="D618" s="60">
        <v>10.8</v>
      </c>
      <c r="E618" s="60">
        <v>0.47</v>
      </c>
      <c r="F618" s="60">
        <v>909</v>
      </c>
      <c r="G618" s="60">
        <v>0</v>
      </c>
      <c r="H618" s="60">
        <v>1.17</v>
      </c>
      <c r="I618" s="60">
        <v>4.95</v>
      </c>
      <c r="J618" s="60">
        <v>0</v>
      </c>
      <c r="O618" s="60" t="s">
        <v>1020</v>
      </c>
      <c r="P618" s="60" t="s">
        <v>1406</v>
      </c>
      <c r="Q618" s="60" t="s">
        <v>4330</v>
      </c>
      <c r="R618" s="60">
        <v>10.8</v>
      </c>
      <c r="S618" s="60">
        <v>0.47</v>
      </c>
      <c r="T618" s="60">
        <v>909</v>
      </c>
      <c r="U618" s="60">
        <v>52.41</v>
      </c>
    </row>
    <row r="619" spans="1:21">
      <c r="A619" s="60" t="s">
        <v>1022</v>
      </c>
      <c r="B619" s="60" t="s">
        <v>1408</v>
      </c>
      <c r="C619" s="60" t="s">
        <v>3968</v>
      </c>
      <c r="D619" s="60">
        <v>26.05</v>
      </c>
      <c r="E619" s="60">
        <v>0</v>
      </c>
      <c r="F619" s="60">
        <v>131</v>
      </c>
      <c r="G619" s="60">
        <v>0</v>
      </c>
      <c r="H619" s="60">
        <v>0.46</v>
      </c>
      <c r="I619" s="60">
        <v>7.97</v>
      </c>
      <c r="J619" s="60">
        <v>0.02</v>
      </c>
      <c r="O619" s="60" t="s">
        <v>1022</v>
      </c>
      <c r="P619" s="60" t="s">
        <v>1408</v>
      </c>
      <c r="Q619" s="60" t="s">
        <v>3968</v>
      </c>
      <c r="R619" s="60">
        <v>26.05</v>
      </c>
      <c r="S619" s="60">
        <v>0</v>
      </c>
      <c r="T619" s="60">
        <v>131</v>
      </c>
      <c r="U619" s="60">
        <v>79.14</v>
      </c>
    </row>
    <row r="620" spans="1:21">
      <c r="A620" s="60" t="s">
        <v>1024</v>
      </c>
      <c r="B620" s="60" t="s">
        <v>1410</v>
      </c>
      <c r="C620" s="60" t="s">
        <v>4239</v>
      </c>
      <c r="D620" s="60">
        <v>29.3</v>
      </c>
      <c r="E620" s="60">
        <v>3.53</v>
      </c>
      <c r="F620" s="60">
        <v>375</v>
      </c>
      <c r="G620" s="60">
        <v>0</v>
      </c>
      <c r="H620" s="60">
        <v>1.93</v>
      </c>
      <c r="I620" s="60">
        <v>25.17</v>
      </c>
      <c r="J620" s="60">
        <v>0</v>
      </c>
      <c r="O620" s="60" t="s">
        <v>1024</v>
      </c>
      <c r="P620" s="60" t="s">
        <v>1410</v>
      </c>
      <c r="Q620" s="60" t="s">
        <v>4239</v>
      </c>
      <c r="R620" s="60">
        <v>29.3</v>
      </c>
      <c r="S620" s="60">
        <v>3.53</v>
      </c>
      <c r="T620" s="60">
        <v>375</v>
      </c>
      <c r="U620" s="60">
        <v>60.42</v>
      </c>
    </row>
    <row r="621" spans="1:21">
      <c r="A621" s="60" t="s">
        <v>1026</v>
      </c>
      <c r="B621" s="60" t="s">
        <v>1412</v>
      </c>
      <c r="C621" s="60" t="s">
        <v>4331</v>
      </c>
      <c r="D621" s="60">
        <v>40.200000000000003</v>
      </c>
      <c r="E621" s="60">
        <v>-0.25</v>
      </c>
      <c r="F621" s="60">
        <v>362</v>
      </c>
      <c r="G621" s="60">
        <v>0</v>
      </c>
      <c r="H621" s="60">
        <v>7.83</v>
      </c>
      <c r="I621" s="60">
        <v>7.56</v>
      </c>
      <c r="J621" s="60">
        <v>0.01</v>
      </c>
      <c r="O621" s="60" t="s">
        <v>1026</v>
      </c>
      <c r="P621" s="60" t="s">
        <v>1412</v>
      </c>
      <c r="Q621" s="60" t="s">
        <v>4331</v>
      </c>
      <c r="R621" s="60">
        <v>40.200000000000003</v>
      </c>
      <c r="S621" s="60">
        <v>-0.25</v>
      </c>
      <c r="T621" s="60">
        <v>362</v>
      </c>
      <c r="U621" s="60">
        <v>42.18</v>
      </c>
    </row>
    <row r="622" spans="1:21">
      <c r="A622" s="60" t="s">
        <v>1028</v>
      </c>
      <c r="B622" s="60" t="s">
        <v>3190</v>
      </c>
      <c r="C622" s="60" t="s">
        <v>3580</v>
      </c>
      <c r="D622" s="60">
        <v>14.5</v>
      </c>
      <c r="E622" s="60">
        <v>4.32</v>
      </c>
      <c r="F622" s="60">
        <v>517</v>
      </c>
      <c r="G622" s="60">
        <v>0</v>
      </c>
      <c r="H622" s="60">
        <v>2.78</v>
      </c>
      <c r="I622" s="60">
        <v>0</v>
      </c>
      <c r="J622" s="60">
        <v>0</v>
      </c>
      <c r="O622" s="60" t="s">
        <v>1028</v>
      </c>
      <c r="P622" s="60" t="s">
        <v>3190</v>
      </c>
      <c r="Q622" s="60" t="s">
        <v>3580</v>
      </c>
      <c r="R622" s="60">
        <v>14.5</v>
      </c>
      <c r="S622" s="60">
        <v>4.32</v>
      </c>
      <c r="T622" s="60">
        <v>517</v>
      </c>
      <c r="U622" s="60">
        <v>21.65</v>
      </c>
    </row>
    <row r="623" spans="1:21">
      <c r="A623" s="60" t="s">
        <v>1030</v>
      </c>
      <c r="B623" s="60" t="s">
        <v>1415</v>
      </c>
      <c r="C623" s="60" t="s">
        <v>4184</v>
      </c>
      <c r="D623" s="60">
        <v>17.100000000000001</v>
      </c>
      <c r="E623" s="60">
        <v>-0.28999999999999998</v>
      </c>
      <c r="F623" s="60">
        <v>1383</v>
      </c>
      <c r="G623" s="60">
        <v>1.92</v>
      </c>
      <c r="H623" s="60">
        <v>0.98</v>
      </c>
      <c r="I623" s="60">
        <v>16.88</v>
      </c>
      <c r="J623" s="60">
        <v>0</v>
      </c>
      <c r="O623" s="60" t="s">
        <v>1030</v>
      </c>
      <c r="P623" s="60" t="s">
        <v>1415</v>
      </c>
      <c r="Q623" s="60" t="s">
        <v>4184</v>
      </c>
      <c r="R623" s="60">
        <v>17.100000000000001</v>
      </c>
      <c r="S623" s="60">
        <v>-0.28999999999999998</v>
      </c>
      <c r="T623" s="60">
        <v>1383</v>
      </c>
      <c r="U623" s="60">
        <v>23.01</v>
      </c>
    </row>
    <row r="624" spans="1:21">
      <c r="A624" s="60" t="s">
        <v>1032</v>
      </c>
      <c r="B624" s="60" t="s">
        <v>1417</v>
      </c>
      <c r="C624" s="60" t="s">
        <v>4068</v>
      </c>
      <c r="D624" s="60">
        <v>39.75</v>
      </c>
      <c r="E624" s="60">
        <v>0.51</v>
      </c>
      <c r="F624" s="60">
        <v>4192</v>
      </c>
      <c r="G624" s="60">
        <v>0.88</v>
      </c>
      <c r="H624" s="60">
        <v>11.22</v>
      </c>
      <c r="I624" s="60">
        <v>23.58</v>
      </c>
      <c r="J624" s="60">
        <v>0.01</v>
      </c>
      <c r="O624" s="60" t="s">
        <v>1032</v>
      </c>
      <c r="P624" s="60" t="s">
        <v>1417</v>
      </c>
      <c r="Q624" s="60" t="s">
        <v>4068</v>
      </c>
      <c r="R624" s="60">
        <v>39.75</v>
      </c>
      <c r="S624" s="60">
        <v>0.51</v>
      </c>
      <c r="T624" s="60">
        <v>4192</v>
      </c>
      <c r="U624" s="60">
        <v>24.79</v>
      </c>
    </row>
    <row r="625" spans="1:21">
      <c r="A625" s="60" t="s">
        <v>1034</v>
      </c>
      <c r="B625" s="60" t="s">
        <v>1419</v>
      </c>
      <c r="C625" s="60" t="s">
        <v>4024</v>
      </c>
      <c r="D625" s="60">
        <v>25.55</v>
      </c>
      <c r="E625" s="60">
        <v>-0.97</v>
      </c>
      <c r="F625" s="60">
        <v>2175</v>
      </c>
      <c r="G625" s="60">
        <v>0.21</v>
      </c>
      <c r="H625" s="60">
        <v>11.23</v>
      </c>
      <c r="I625" s="60">
        <v>18.190000000000001</v>
      </c>
      <c r="J625" s="60">
        <v>0.01</v>
      </c>
      <c r="O625" s="60" t="s">
        <v>1034</v>
      </c>
      <c r="P625" s="60" t="s">
        <v>1419</v>
      </c>
      <c r="Q625" s="60" t="s">
        <v>4024</v>
      </c>
      <c r="R625" s="60">
        <v>25.55</v>
      </c>
      <c r="S625" s="60">
        <v>-0.97</v>
      </c>
      <c r="T625" s="60">
        <v>2175</v>
      </c>
      <c r="U625" s="60">
        <v>13.8</v>
      </c>
    </row>
    <row r="626" spans="1:21">
      <c r="A626" s="60" t="s">
        <v>1036</v>
      </c>
      <c r="B626" s="60" t="s">
        <v>1421</v>
      </c>
      <c r="C626" s="60" t="s">
        <v>4123</v>
      </c>
      <c r="D626" s="60">
        <v>35.700000000000003</v>
      </c>
      <c r="E626" s="60">
        <v>1.85</v>
      </c>
      <c r="F626" s="60">
        <v>39005</v>
      </c>
      <c r="G626" s="60">
        <v>4.43</v>
      </c>
      <c r="H626" s="60">
        <v>12.16</v>
      </c>
      <c r="I626" s="60">
        <v>34.97</v>
      </c>
      <c r="J626" s="60">
        <v>0.1</v>
      </c>
      <c r="O626" s="60" t="s">
        <v>1036</v>
      </c>
      <c r="P626" s="60" t="s">
        <v>1421</v>
      </c>
      <c r="Q626" s="60" t="s">
        <v>4123</v>
      </c>
      <c r="R626" s="60">
        <v>35.700000000000003</v>
      </c>
      <c r="S626" s="60">
        <v>1.85</v>
      </c>
      <c r="T626" s="60">
        <v>39005</v>
      </c>
      <c r="U626" s="60">
        <v>29.7</v>
      </c>
    </row>
    <row r="627" spans="1:21">
      <c r="A627" s="60" t="s">
        <v>1037</v>
      </c>
      <c r="B627" s="60" t="s">
        <v>3191</v>
      </c>
      <c r="C627" s="60" t="s">
        <v>5174</v>
      </c>
      <c r="D627" s="60">
        <v>13.2</v>
      </c>
      <c r="E627" s="60">
        <v>-2.94</v>
      </c>
      <c r="F627" s="60">
        <v>14</v>
      </c>
      <c r="G627" s="60">
        <v>0</v>
      </c>
      <c r="H627" s="60">
        <v>1.68</v>
      </c>
      <c r="I627" s="60">
        <v>0</v>
      </c>
      <c r="J627" s="60">
        <v>0</v>
      </c>
      <c r="O627" s="60" t="s">
        <v>1037</v>
      </c>
      <c r="P627" s="60" t="s">
        <v>3191</v>
      </c>
      <c r="Q627" s="60" t="s">
        <v>5174</v>
      </c>
      <c r="R627" s="60">
        <v>13.2</v>
      </c>
      <c r="S627" s="60">
        <v>-2.94</v>
      </c>
      <c r="T627" s="60">
        <v>14</v>
      </c>
      <c r="U627" s="60">
        <v>39.14</v>
      </c>
    </row>
    <row r="628" spans="1:21">
      <c r="A628" s="60" t="s">
        <v>1039</v>
      </c>
      <c r="B628" s="60" t="s">
        <v>3192</v>
      </c>
      <c r="C628" s="60" t="s">
        <v>4775</v>
      </c>
      <c r="D628" s="60">
        <v>16.149999999999999</v>
      </c>
      <c r="E628" s="60">
        <v>2.87</v>
      </c>
      <c r="F628" s="60">
        <v>187</v>
      </c>
      <c r="G628" s="60">
        <v>0</v>
      </c>
      <c r="H628" s="60">
        <v>0.02</v>
      </c>
      <c r="I628" s="60">
        <v>0</v>
      </c>
      <c r="J628" s="60">
        <v>0</v>
      </c>
      <c r="O628" s="60" t="s">
        <v>1039</v>
      </c>
      <c r="P628" s="60" t="s">
        <v>3192</v>
      </c>
      <c r="Q628" s="60" t="s">
        <v>4775</v>
      </c>
      <c r="R628" s="60">
        <v>16.149999999999999</v>
      </c>
      <c r="S628" s="60">
        <v>2.87</v>
      </c>
      <c r="T628" s="60">
        <v>187</v>
      </c>
      <c r="U628" s="60">
        <v>70.510000000000005</v>
      </c>
    </row>
    <row r="629" spans="1:21">
      <c r="A629" s="60" t="s">
        <v>1041</v>
      </c>
      <c r="B629" s="60" t="s">
        <v>3193</v>
      </c>
      <c r="C629" s="60" t="s">
        <v>5006</v>
      </c>
      <c r="D629" s="60">
        <v>27.65</v>
      </c>
      <c r="E629" s="60">
        <v>0</v>
      </c>
      <c r="F629" s="60">
        <v>0</v>
      </c>
      <c r="G629" s="60">
        <v>0</v>
      </c>
      <c r="H629" s="60">
        <v>0</v>
      </c>
      <c r="I629" s="60">
        <v>0</v>
      </c>
      <c r="J629" s="60">
        <v>0</v>
      </c>
      <c r="O629" s="60" t="s">
        <v>1041</v>
      </c>
      <c r="P629" s="60" t="s">
        <v>3193</v>
      </c>
      <c r="Q629" s="60" t="s">
        <v>5006</v>
      </c>
      <c r="R629" s="60">
        <v>27.65</v>
      </c>
      <c r="S629" s="60">
        <v>0</v>
      </c>
      <c r="T629" s="60">
        <v>0</v>
      </c>
      <c r="U629" s="60">
        <v>69.459999999999994</v>
      </c>
    </row>
    <row r="630" spans="1:21">
      <c r="A630" s="60" t="s">
        <v>1043</v>
      </c>
      <c r="B630" s="60" t="s">
        <v>1425</v>
      </c>
      <c r="C630" s="60" t="s">
        <v>4730</v>
      </c>
      <c r="D630" s="60">
        <v>23.5</v>
      </c>
      <c r="E630" s="60">
        <v>1.08</v>
      </c>
      <c r="F630" s="60">
        <v>179</v>
      </c>
      <c r="G630" s="60">
        <v>0</v>
      </c>
      <c r="H630" s="60">
        <v>1.87</v>
      </c>
      <c r="I630" s="60">
        <v>8.08</v>
      </c>
      <c r="J630" s="60">
        <v>0.12</v>
      </c>
      <c r="O630" s="60" t="s">
        <v>1043</v>
      </c>
      <c r="P630" s="60" t="s">
        <v>1425</v>
      </c>
      <c r="Q630" s="60" t="s">
        <v>4730</v>
      </c>
      <c r="R630" s="60">
        <v>23.5</v>
      </c>
      <c r="S630" s="60">
        <v>1.08</v>
      </c>
      <c r="T630" s="60">
        <v>179</v>
      </c>
      <c r="U630" s="60">
        <v>55.83</v>
      </c>
    </row>
    <row r="631" spans="1:21">
      <c r="A631" s="60" t="s">
        <v>1045</v>
      </c>
      <c r="B631" s="60" t="s">
        <v>3194</v>
      </c>
      <c r="C631" s="60" t="s">
        <v>4661</v>
      </c>
      <c r="D631" s="60">
        <v>25.85</v>
      </c>
      <c r="E631" s="60">
        <v>0</v>
      </c>
      <c r="F631" s="60">
        <v>0</v>
      </c>
      <c r="G631" s="60">
        <v>0</v>
      </c>
      <c r="H631" s="60">
        <v>0.08</v>
      </c>
      <c r="I631" s="60">
        <v>0</v>
      </c>
      <c r="J631" s="60">
        <v>0</v>
      </c>
      <c r="O631" s="60" t="s">
        <v>1045</v>
      </c>
      <c r="P631" s="60" t="s">
        <v>3194</v>
      </c>
      <c r="Q631" s="60" t="s">
        <v>4661</v>
      </c>
      <c r="R631" s="60">
        <v>25.85</v>
      </c>
      <c r="S631" s="60">
        <v>0</v>
      </c>
      <c r="T631" s="60">
        <v>0</v>
      </c>
      <c r="U631" s="60">
        <v>68.22</v>
      </c>
    </row>
    <row r="632" spans="1:21">
      <c r="A632" s="60" t="s">
        <v>1047</v>
      </c>
      <c r="B632" s="60" t="s">
        <v>1428</v>
      </c>
      <c r="C632" s="60" t="s">
        <v>4868</v>
      </c>
      <c r="D632" s="60">
        <v>39.950000000000003</v>
      </c>
      <c r="E632" s="60">
        <v>0.13</v>
      </c>
      <c r="F632" s="60">
        <v>558</v>
      </c>
      <c r="G632" s="60">
        <v>0.37</v>
      </c>
      <c r="H632" s="60">
        <v>3.28</v>
      </c>
      <c r="I632" s="60">
        <v>9.99</v>
      </c>
      <c r="J632" s="60">
        <v>0</v>
      </c>
      <c r="O632" s="60" t="s">
        <v>1047</v>
      </c>
      <c r="P632" s="60" t="s">
        <v>1428</v>
      </c>
      <c r="Q632" s="60" t="s">
        <v>4868</v>
      </c>
      <c r="R632" s="60">
        <v>39.950000000000003</v>
      </c>
      <c r="S632" s="60">
        <v>0.13</v>
      </c>
      <c r="T632" s="60">
        <v>558</v>
      </c>
      <c r="U632" s="60">
        <v>38.520000000000003</v>
      </c>
    </row>
    <row r="633" spans="1:21">
      <c r="A633" s="60" t="s">
        <v>1049</v>
      </c>
      <c r="B633" s="60" t="s">
        <v>1430</v>
      </c>
      <c r="C633" s="60" t="s">
        <v>4818</v>
      </c>
      <c r="D633" s="60">
        <v>193</v>
      </c>
      <c r="E633" s="60">
        <v>1.05</v>
      </c>
      <c r="F633" s="60">
        <v>397</v>
      </c>
      <c r="G633" s="60">
        <v>0.27</v>
      </c>
      <c r="H633" s="60">
        <v>52.27</v>
      </c>
      <c r="I633" s="60">
        <v>9.2200000000000006</v>
      </c>
      <c r="J633" s="60">
        <v>0.57999999999999996</v>
      </c>
      <c r="O633" s="60" t="s">
        <v>1049</v>
      </c>
      <c r="P633" s="60" t="s">
        <v>1430</v>
      </c>
      <c r="Q633" s="60" t="s">
        <v>4818</v>
      </c>
      <c r="R633" s="60">
        <v>193</v>
      </c>
      <c r="S633" s="60">
        <v>1.05</v>
      </c>
      <c r="T633" s="60">
        <v>397</v>
      </c>
      <c r="U633" s="60">
        <v>48.79</v>
      </c>
    </row>
    <row r="634" spans="1:21">
      <c r="A634" s="60" t="s">
        <v>1051</v>
      </c>
      <c r="B634" s="60" t="s">
        <v>1432</v>
      </c>
      <c r="C634" s="60" t="s">
        <v>5175</v>
      </c>
      <c r="D634" s="60">
        <v>47.4</v>
      </c>
      <c r="E634" s="60">
        <v>-1.46</v>
      </c>
      <c r="F634" s="60">
        <v>110</v>
      </c>
      <c r="G634" s="60">
        <v>0.27</v>
      </c>
      <c r="H634" s="60">
        <v>1.29</v>
      </c>
      <c r="I634" s="60">
        <v>12.02</v>
      </c>
      <c r="J634" s="60">
        <v>0</v>
      </c>
      <c r="O634" s="60" t="s">
        <v>1051</v>
      </c>
      <c r="P634" s="60" t="s">
        <v>1432</v>
      </c>
      <c r="Q634" s="60" t="s">
        <v>5175</v>
      </c>
      <c r="R634" s="60">
        <v>47.4</v>
      </c>
      <c r="S634" s="60">
        <v>-1.46</v>
      </c>
      <c r="T634" s="60">
        <v>110</v>
      </c>
      <c r="U634" s="60">
        <v>53.19</v>
      </c>
    </row>
    <row r="635" spans="1:21">
      <c r="A635" s="60" t="s">
        <v>1053</v>
      </c>
      <c r="B635" s="60" t="s">
        <v>3195</v>
      </c>
      <c r="C635" s="60" t="s">
        <v>5201</v>
      </c>
      <c r="D635" s="60">
        <v>10.199999999999999</v>
      </c>
      <c r="E635" s="60">
        <v>1.49</v>
      </c>
      <c r="F635" s="60">
        <v>29</v>
      </c>
      <c r="G635" s="60">
        <v>0</v>
      </c>
      <c r="H635" s="60">
        <v>19.649999999999999</v>
      </c>
      <c r="I635" s="60">
        <v>0</v>
      </c>
      <c r="J635" s="60">
        <v>0</v>
      </c>
      <c r="O635" s="60" t="s">
        <v>1053</v>
      </c>
      <c r="P635" s="60" t="s">
        <v>3195</v>
      </c>
      <c r="Q635" s="60" t="s">
        <v>5201</v>
      </c>
      <c r="R635" s="60">
        <v>10.199999999999999</v>
      </c>
      <c r="S635" s="60">
        <v>1.49</v>
      </c>
      <c r="T635" s="60">
        <v>29</v>
      </c>
      <c r="U635" s="60">
        <v>68.28</v>
      </c>
    </row>
    <row r="636" spans="1:21">
      <c r="A636" s="60" t="s">
        <v>1055</v>
      </c>
      <c r="B636" s="60" t="s">
        <v>1435</v>
      </c>
      <c r="C636" s="60" t="s">
        <v>5176</v>
      </c>
      <c r="D636" s="60">
        <v>88.9</v>
      </c>
      <c r="E636" s="60">
        <v>-1.55</v>
      </c>
      <c r="F636" s="60">
        <v>9</v>
      </c>
      <c r="G636" s="60">
        <v>0</v>
      </c>
      <c r="H636" s="60">
        <v>29.01</v>
      </c>
      <c r="I636" s="60">
        <v>5.32</v>
      </c>
      <c r="J636" s="60">
        <v>0</v>
      </c>
      <c r="O636" s="60" t="s">
        <v>1055</v>
      </c>
      <c r="P636" s="60" t="s">
        <v>1435</v>
      </c>
      <c r="Q636" s="60" t="s">
        <v>5176</v>
      </c>
      <c r="R636" s="60">
        <v>88.9</v>
      </c>
      <c r="S636" s="60">
        <v>-1.55</v>
      </c>
      <c r="T636" s="60">
        <v>9</v>
      </c>
      <c r="U636" s="60">
        <v>71.709999999999994</v>
      </c>
    </row>
    <row r="637" spans="1:21">
      <c r="A637" s="60" t="s">
        <v>1057</v>
      </c>
      <c r="B637" s="60" t="s">
        <v>1437</v>
      </c>
      <c r="C637" s="60" t="s">
        <v>4731</v>
      </c>
      <c r="D637" s="60">
        <v>54.5</v>
      </c>
      <c r="E637" s="60">
        <v>0.37</v>
      </c>
      <c r="F637" s="60">
        <v>66</v>
      </c>
      <c r="G637" s="60">
        <v>0.09</v>
      </c>
      <c r="H637" s="60">
        <v>5.58</v>
      </c>
      <c r="I637" s="60">
        <v>4.1399999999999997</v>
      </c>
      <c r="J637" s="60">
        <v>0</v>
      </c>
      <c r="O637" s="60" t="s">
        <v>1057</v>
      </c>
      <c r="P637" s="60" t="s">
        <v>1437</v>
      </c>
      <c r="Q637" s="60" t="s">
        <v>4731</v>
      </c>
      <c r="R637" s="60">
        <v>54.5</v>
      </c>
      <c r="S637" s="60">
        <v>0.37</v>
      </c>
      <c r="T637" s="60">
        <v>66</v>
      </c>
      <c r="U637" s="60">
        <v>34.229999999999997</v>
      </c>
    </row>
    <row r="638" spans="1:21">
      <c r="A638" s="60" t="s">
        <v>1059</v>
      </c>
      <c r="B638" s="60" t="s">
        <v>5520</v>
      </c>
      <c r="C638" s="60" t="s">
        <v>5521</v>
      </c>
      <c r="D638" s="60">
        <v>34</v>
      </c>
      <c r="E638" s="60">
        <v>-1.1599999999999999</v>
      </c>
      <c r="F638" s="60">
        <v>41</v>
      </c>
      <c r="G638" s="60">
        <v>0</v>
      </c>
      <c r="H638" s="60">
        <v>0.65</v>
      </c>
      <c r="I638" s="60">
        <v>0</v>
      </c>
      <c r="J638" s="60">
        <v>0</v>
      </c>
      <c r="O638" s="60" t="s">
        <v>1059</v>
      </c>
      <c r="P638" s="60" t="s">
        <v>5520</v>
      </c>
      <c r="Q638" s="60" t="s">
        <v>5521</v>
      </c>
      <c r="R638" s="60">
        <v>34</v>
      </c>
      <c r="S638" s="60">
        <v>-1.1599999999999999</v>
      </c>
      <c r="T638" s="60">
        <v>41</v>
      </c>
      <c r="U638" s="60">
        <v>55.73</v>
      </c>
    </row>
    <row r="639" spans="1:21">
      <c r="A639" s="60" t="s">
        <v>1061</v>
      </c>
      <c r="B639" s="60" t="s">
        <v>1439</v>
      </c>
      <c r="C639" s="60" t="s">
        <v>4185</v>
      </c>
      <c r="D639" s="60">
        <v>52.2</v>
      </c>
      <c r="E639" s="60">
        <v>0.77</v>
      </c>
      <c r="F639" s="60">
        <v>298</v>
      </c>
      <c r="G639" s="60">
        <v>0.02</v>
      </c>
      <c r="H639" s="60">
        <v>9.3000000000000007</v>
      </c>
      <c r="I639" s="60">
        <v>6.2</v>
      </c>
      <c r="J639" s="60">
        <v>0</v>
      </c>
      <c r="O639" s="60" t="s">
        <v>1061</v>
      </c>
      <c r="P639" s="60" t="s">
        <v>1439</v>
      </c>
      <c r="Q639" s="60" t="s">
        <v>4185</v>
      </c>
      <c r="R639" s="60">
        <v>52.2</v>
      </c>
      <c r="S639" s="60">
        <v>0.77</v>
      </c>
      <c r="T639" s="60">
        <v>298</v>
      </c>
      <c r="U639" s="60">
        <v>22.07</v>
      </c>
    </row>
    <row r="640" spans="1:21">
      <c r="A640" s="60" t="s">
        <v>1063</v>
      </c>
      <c r="B640" s="60" t="s">
        <v>1441</v>
      </c>
      <c r="C640" s="60" t="s">
        <v>4186</v>
      </c>
      <c r="D640" s="60">
        <v>56.7</v>
      </c>
      <c r="E640" s="60">
        <v>1.98</v>
      </c>
      <c r="F640" s="60">
        <v>697</v>
      </c>
      <c r="G640" s="60">
        <v>0.82</v>
      </c>
      <c r="H640" s="60">
        <v>1.55</v>
      </c>
      <c r="I640" s="60">
        <v>28.57</v>
      </c>
      <c r="J640" s="60">
        <v>0</v>
      </c>
      <c r="O640" s="60" t="s">
        <v>1063</v>
      </c>
      <c r="P640" s="60" t="s">
        <v>1441</v>
      </c>
      <c r="Q640" s="60" t="s">
        <v>4186</v>
      </c>
      <c r="R640" s="60">
        <v>56.7</v>
      </c>
      <c r="S640" s="60">
        <v>1.98</v>
      </c>
      <c r="T640" s="60">
        <v>697</v>
      </c>
      <c r="U640" s="60">
        <v>31.93</v>
      </c>
    </row>
    <row r="641" spans="1:21">
      <c r="A641" s="60" t="s">
        <v>1065</v>
      </c>
      <c r="B641" s="60" t="s">
        <v>1443</v>
      </c>
      <c r="C641" s="60" t="s">
        <v>5007</v>
      </c>
      <c r="D641" s="60">
        <v>79.3</v>
      </c>
      <c r="E641" s="60">
        <v>0.25</v>
      </c>
      <c r="F641" s="60">
        <v>10</v>
      </c>
      <c r="G641" s="60">
        <v>0</v>
      </c>
      <c r="H641" s="60">
        <v>68.599999999999994</v>
      </c>
      <c r="I641" s="60">
        <v>33.01</v>
      </c>
      <c r="J641" s="60">
        <v>0</v>
      </c>
      <c r="O641" s="60" t="s">
        <v>1065</v>
      </c>
      <c r="P641" s="60" t="s">
        <v>1443</v>
      </c>
      <c r="Q641" s="60" t="s">
        <v>5007</v>
      </c>
      <c r="R641" s="60">
        <v>79.3</v>
      </c>
      <c r="S641" s="60">
        <v>0.25</v>
      </c>
      <c r="T641" s="60">
        <v>10</v>
      </c>
      <c r="U641" s="60">
        <v>70.709999999999994</v>
      </c>
    </row>
    <row r="642" spans="1:21">
      <c r="A642" s="60" t="s">
        <v>1067</v>
      </c>
      <c r="B642" s="60" t="s">
        <v>1445</v>
      </c>
      <c r="C642" s="60" t="s">
        <v>3969</v>
      </c>
      <c r="D642" s="60">
        <v>36.35</v>
      </c>
      <c r="E642" s="60">
        <v>1.82</v>
      </c>
      <c r="F642" s="60">
        <v>1720</v>
      </c>
      <c r="G642" s="60">
        <v>2.35</v>
      </c>
      <c r="H642" s="60">
        <v>1.53</v>
      </c>
      <c r="I642" s="60">
        <v>23.78</v>
      </c>
      <c r="J642" s="60">
        <v>0</v>
      </c>
      <c r="O642" s="60" t="s">
        <v>1067</v>
      </c>
      <c r="P642" s="60" t="s">
        <v>1445</v>
      </c>
      <c r="Q642" s="60" t="s">
        <v>3969</v>
      </c>
      <c r="R642" s="60">
        <v>36.35</v>
      </c>
      <c r="S642" s="60">
        <v>1.82</v>
      </c>
      <c r="T642" s="60">
        <v>1720</v>
      </c>
      <c r="U642" s="60">
        <v>12.4</v>
      </c>
    </row>
    <row r="643" spans="1:21">
      <c r="A643" s="60" t="s">
        <v>1069</v>
      </c>
      <c r="B643" s="60" t="s">
        <v>3196</v>
      </c>
      <c r="C643" s="60" t="s">
        <v>4819</v>
      </c>
      <c r="D643" s="60">
        <v>2.99</v>
      </c>
      <c r="E643" s="60">
        <v>0</v>
      </c>
      <c r="F643" s="60">
        <v>19</v>
      </c>
      <c r="G643" s="60">
        <v>0</v>
      </c>
      <c r="H643" s="60">
        <v>5.39</v>
      </c>
      <c r="I643" s="60">
        <v>0</v>
      </c>
      <c r="J643" s="60">
        <v>0</v>
      </c>
      <c r="O643" s="60" t="s">
        <v>1069</v>
      </c>
      <c r="P643" s="60" t="s">
        <v>3196</v>
      </c>
      <c r="Q643" s="60" t="s">
        <v>4819</v>
      </c>
      <c r="R643" s="60">
        <v>2.99</v>
      </c>
      <c r="S643" s="60">
        <v>0</v>
      </c>
      <c r="T643" s="60">
        <v>19</v>
      </c>
      <c r="U643" s="60">
        <v>40.770000000000003</v>
      </c>
    </row>
    <row r="644" spans="1:21">
      <c r="A644" s="60" t="s">
        <v>1071</v>
      </c>
      <c r="B644" s="60" t="s">
        <v>1448</v>
      </c>
      <c r="C644" s="60" t="s">
        <v>3618</v>
      </c>
      <c r="D644" s="60">
        <v>356</v>
      </c>
      <c r="E644" s="60">
        <v>1.28</v>
      </c>
      <c r="F644" s="60">
        <v>1733</v>
      </c>
      <c r="G644" s="60">
        <v>0.35</v>
      </c>
      <c r="H644" s="60">
        <v>50.73</v>
      </c>
      <c r="I644" s="60">
        <v>5.1100000000000003</v>
      </c>
      <c r="J644" s="60">
        <v>1.99</v>
      </c>
      <c r="O644" s="60" t="s">
        <v>1071</v>
      </c>
      <c r="P644" s="60" t="s">
        <v>1448</v>
      </c>
      <c r="Q644" s="60" t="s">
        <v>3618</v>
      </c>
      <c r="R644" s="60">
        <v>356</v>
      </c>
      <c r="S644" s="60">
        <v>1.28</v>
      </c>
      <c r="T644" s="60">
        <v>1733</v>
      </c>
      <c r="U644" s="60">
        <v>59.76</v>
      </c>
    </row>
    <row r="645" spans="1:21">
      <c r="A645" s="60" t="s">
        <v>1072</v>
      </c>
      <c r="B645" s="60" t="s">
        <v>1450</v>
      </c>
      <c r="C645" s="60" t="s">
        <v>4869</v>
      </c>
      <c r="D645" s="60">
        <v>27.4</v>
      </c>
      <c r="E645" s="60">
        <v>2.2400000000000002</v>
      </c>
      <c r="F645" s="60">
        <v>654</v>
      </c>
      <c r="G645" s="60">
        <v>0.01</v>
      </c>
      <c r="H645" s="60">
        <v>1.1499999999999999</v>
      </c>
      <c r="I645" s="60">
        <v>12.27</v>
      </c>
      <c r="J645" s="60">
        <v>0</v>
      </c>
      <c r="O645" s="60" t="s">
        <v>1072</v>
      </c>
      <c r="P645" s="60" t="s">
        <v>1450</v>
      </c>
      <c r="Q645" s="60" t="s">
        <v>4869</v>
      </c>
      <c r="R645" s="60">
        <v>27.4</v>
      </c>
      <c r="S645" s="60">
        <v>2.2400000000000002</v>
      </c>
      <c r="T645" s="60">
        <v>654</v>
      </c>
      <c r="U645" s="60">
        <v>43.99</v>
      </c>
    </row>
    <row r="646" spans="1:21">
      <c r="A646" s="60" t="s">
        <v>1074</v>
      </c>
      <c r="B646" s="60" t="s">
        <v>3197</v>
      </c>
      <c r="C646" s="60" t="s">
        <v>4870</v>
      </c>
      <c r="D646" s="60">
        <v>13.05</v>
      </c>
      <c r="E646" s="60">
        <v>0.38</v>
      </c>
      <c r="F646" s="60">
        <v>16</v>
      </c>
      <c r="G646" s="60">
        <v>0</v>
      </c>
      <c r="H646" s="60">
        <v>3.32</v>
      </c>
      <c r="I646" s="60">
        <v>0</v>
      </c>
      <c r="J646" s="60">
        <v>0</v>
      </c>
      <c r="O646" s="60" t="s">
        <v>1074</v>
      </c>
      <c r="P646" s="60" t="s">
        <v>3197</v>
      </c>
      <c r="Q646" s="60" t="s">
        <v>4870</v>
      </c>
      <c r="R646" s="60">
        <v>13.05</v>
      </c>
      <c r="S646" s="60">
        <v>0.38</v>
      </c>
      <c r="T646" s="60">
        <v>16</v>
      </c>
      <c r="U646" s="60">
        <v>69.930000000000007</v>
      </c>
    </row>
    <row r="647" spans="1:21">
      <c r="A647" s="60" t="s">
        <v>1076</v>
      </c>
      <c r="B647" s="60" t="s">
        <v>1452</v>
      </c>
      <c r="C647" s="60" t="s">
        <v>4580</v>
      </c>
      <c r="D647" s="60">
        <v>29.95</v>
      </c>
      <c r="E647" s="60">
        <v>-0.17</v>
      </c>
      <c r="F647" s="60">
        <v>19</v>
      </c>
      <c r="G647" s="60">
        <v>0</v>
      </c>
      <c r="H647" s="60">
        <v>10.43</v>
      </c>
      <c r="I647" s="60">
        <v>5.52</v>
      </c>
      <c r="J647" s="60">
        <v>0</v>
      </c>
      <c r="O647" s="60" t="s">
        <v>1076</v>
      </c>
      <c r="P647" s="60" t="s">
        <v>1452</v>
      </c>
      <c r="Q647" s="60" t="s">
        <v>4580</v>
      </c>
      <c r="R647" s="60">
        <v>29.95</v>
      </c>
      <c r="S647" s="60">
        <v>-0.17</v>
      </c>
      <c r="T647" s="60">
        <v>19</v>
      </c>
      <c r="U647" s="60">
        <v>24.15</v>
      </c>
    </row>
    <row r="648" spans="1:21">
      <c r="A648" s="60" t="s">
        <v>1078</v>
      </c>
      <c r="B648" s="60" t="s">
        <v>1454</v>
      </c>
      <c r="C648" s="60" t="s">
        <v>3607</v>
      </c>
      <c r="D648" s="60">
        <v>65.8</v>
      </c>
      <c r="E648" s="60">
        <v>-2.95</v>
      </c>
      <c r="F648" s="60">
        <v>6590</v>
      </c>
      <c r="G648" s="60">
        <v>12.19</v>
      </c>
      <c r="H648" s="60">
        <v>7.76</v>
      </c>
      <c r="I648" s="60">
        <v>67.28</v>
      </c>
      <c r="J648" s="60">
        <v>0</v>
      </c>
      <c r="O648" s="60" t="s">
        <v>1078</v>
      </c>
      <c r="P648" s="60" t="s">
        <v>1454</v>
      </c>
      <c r="Q648" s="60" t="s">
        <v>3607</v>
      </c>
      <c r="R648" s="60">
        <v>65.8</v>
      </c>
      <c r="S648" s="60">
        <v>-2.95</v>
      </c>
      <c r="T648" s="60">
        <v>6590</v>
      </c>
      <c r="U648" s="60">
        <v>16.149999999999999</v>
      </c>
    </row>
    <row r="649" spans="1:21">
      <c r="A649" s="60" t="s">
        <v>1080</v>
      </c>
      <c r="B649" s="60" t="s">
        <v>1456</v>
      </c>
      <c r="C649" s="60" t="s">
        <v>3653</v>
      </c>
      <c r="D649" s="60">
        <v>23.75</v>
      </c>
      <c r="E649" s="60">
        <v>2.81</v>
      </c>
      <c r="F649" s="60">
        <v>673</v>
      </c>
      <c r="G649" s="60">
        <v>0.11</v>
      </c>
      <c r="H649" s="60">
        <v>4.72</v>
      </c>
      <c r="I649" s="60">
        <v>31.15</v>
      </c>
      <c r="J649" s="60">
        <v>0</v>
      </c>
      <c r="O649" s="60" t="s">
        <v>1080</v>
      </c>
      <c r="P649" s="60" t="s">
        <v>1456</v>
      </c>
      <c r="Q649" s="60" t="s">
        <v>3653</v>
      </c>
      <c r="R649" s="60">
        <v>23.75</v>
      </c>
      <c r="S649" s="60">
        <v>2.81</v>
      </c>
      <c r="T649" s="60">
        <v>673</v>
      </c>
      <c r="U649" s="60">
        <v>35.979999999999997</v>
      </c>
    </row>
    <row r="650" spans="1:21">
      <c r="A650" s="60" t="s">
        <v>1082</v>
      </c>
      <c r="B650" s="60" t="s">
        <v>1458</v>
      </c>
      <c r="C650" s="60" t="s">
        <v>4257</v>
      </c>
      <c r="D650" s="60">
        <v>176.5</v>
      </c>
      <c r="E650" s="60">
        <v>-0.56000000000000005</v>
      </c>
      <c r="F650" s="60">
        <v>4</v>
      </c>
      <c r="G650" s="60">
        <v>0</v>
      </c>
      <c r="H650" s="60">
        <v>42.36</v>
      </c>
      <c r="I650" s="60">
        <v>0</v>
      </c>
      <c r="J650" s="60">
        <v>0</v>
      </c>
      <c r="O650" s="60" t="s">
        <v>1082</v>
      </c>
      <c r="P650" s="60" t="s">
        <v>1458</v>
      </c>
      <c r="Q650" s="60" t="s">
        <v>4257</v>
      </c>
      <c r="R650" s="60">
        <v>176.5</v>
      </c>
      <c r="S650" s="60">
        <v>-0.56000000000000005</v>
      </c>
      <c r="T650" s="60">
        <v>4</v>
      </c>
      <c r="U650" s="60">
        <v>67.86</v>
      </c>
    </row>
    <row r="651" spans="1:21">
      <c r="A651" s="60" t="s">
        <v>1084</v>
      </c>
      <c r="B651" s="60" t="s">
        <v>3198</v>
      </c>
      <c r="C651" s="60" t="s">
        <v>5008</v>
      </c>
      <c r="D651" s="60">
        <v>380</v>
      </c>
      <c r="E651" s="60">
        <v>0.8</v>
      </c>
      <c r="F651" s="60">
        <v>214</v>
      </c>
      <c r="G651" s="60">
        <v>0</v>
      </c>
      <c r="H651" s="60">
        <v>13.94</v>
      </c>
      <c r="I651" s="60">
        <v>0</v>
      </c>
      <c r="J651" s="60">
        <v>7.05</v>
      </c>
      <c r="O651" s="60" t="s">
        <v>1084</v>
      </c>
      <c r="P651" s="60" t="s">
        <v>3198</v>
      </c>
      <c r="Q651" s="60" t="s">
        <v>5008</v>
      </c>
      <c r="R651" s="60">
        <v>380</v>
      </c>
      <c r="S651" s="60">
        <v>0.8</v>
      </c>
      <c r="T651" s="60">
        <v>214</v>
      </c>
      <c r="U651" s="60">
        <v>42.69</v>
      </c>
    </row>
    <row r="652" spans="1:21">
      <c r="A652" s="60" t="s">
        <v>1086</v>
      </c>
      <c r="B652" s="60" t="s">
        <v>3199</v>
      </c>
      <c r="C652" s="60" t="s">
        <v>43</v>
      </c>
      <c r="D652" s="60">
        <v>238</v>
      </c>
      <c r="E652" s="60">
        <v>-4.99</v>
      </c>
      <c r="F652" s="60">
        <v>2326</v>
      </c>
      <c r="G652" s="60">
        <v>1.37</v>
      </c>
      <c r="H652" s="60">
        <v>1.36</v>
      </c>
      <c r="I652" s="60">
        <v>17.059999999999999</v>
      </c>
      <c r="J652" s="60">
        <v>0</v>
      </c>
      <c r="O652" s="60" t="s">
        <v>1086</v>
      </c>
      <c r="P652" s="60" t="s">
        <v>3199</v>
      </c>
      <c r="Q652" s="60" t="s">
        <v>43</v>
      </c>
      <c r="R652" s="60">
        <v>238</v>
      </c>
      <c r="S652" s="60">
        <v>-4.99</v>
      </c>
      <c r="T652" s="60">
        <v>2326</v>
      </c>
      <c r="U652" s="60">
        <v>21.08</v>
      </c>
    </row>
    <row r="653" spans="1:21">
      <c r="A653" s="60" t="s">
        <v>1088</v>
      </c>
      <c r="B653" s="60" t="s">
        <v>1460</v>
      </c>
      <c r="C653" s="60" t="s">
        <v>4662</v>
      </c>
      <c r="D653" s="60">
        <v>262</v>
      </c>
      <c r="E653" s="60">
        <v>4.8</v>
      </c>
      <c r="F653" s="60">
        <v>13489</v>
      </c>
      <c r="G653" s="60">
        <v>14.79</v>
      </c>
      <c r="H653" s="60">
        <v>23.02</v>
      </c>
      <c r="I653" s="60">
        <v>71.67</v>
      </c>
      <c r="J653" s="60">
        <v>17.48</v>
      </c>
      <c r="O653" s="60" t="s">
        <v>1088</v>
      </c>
      <c r="P653" s="60" t="s">
        <v>1460</v>
      </c>
      <c r="Q653" s="60" t="s">
        <v>4662</v>
      </c>
      <c r="R653" s="60">
        <v>262</v>
      </c>
      <c r="S653" s="60">
        <v>4.8</v>
      </c>
      <c r="T653" s="60">
        <v>13489</v>
      </c>
      <c r="U653" s="60">
        <v>25.66</v>
      </c>
    </row>
    <row r="654" spans="1:21">
      <c r="A654" s="60" t="s">
        <v>1090</v>
      </c>
      <c r="B654" s="60" t="s">
        <v>1462</v>
      </c>
      <c r="C654" s="60" t="s">
        <v>4871</v>
      </c>
      <c r="D654" s="60">
        <v>38.15</v>
      </c>
      <c r="E654" s="60">
        <v>0</v>
      </c>
      <c r="F654" s="60">
        <v>122</v>
      </c>
      <c r="G654" s="60">
        <v>0</v>
      </c>
      <c r="H654" s="60">
        <v>89.9</v>
      </c>
      <c r="I654" s="60">
        <v>0</v>
      </c>
      <c r="J654" s="60">
        <v>0</v>
      </c>
      <c r="O654" s="60" t="s">
        <v>1090</v>
      </c>
      <c r="P654" s="60" t="s">
        <v>1462</v>
      </c>
      <c r="Q654" s="60" t="s">
        <v>4871</v>
      </c>
      <c r="R654" s="60">
        <v>38.15</v>
      </c>
      <c r="S654" s="60">
        <v>0</v>
      </c>
      <c r="T654" s="60">
        <v>122</v>
      </c>
      <c r="U654" s="60">
        <v>89.47</v>
      </c>
    </row>
    <row r="655" spans="1:21">
      <c r="A655" s="60" t="s">
        <v>1092</v>
      </c>
      <c r="B655" s="60" t="s">
        <v>1464</v>
      </c>
      <c r="C655" s="60" t="s">
        <v>4979</v>
      </c>
      <c r="D655" s="60">
        <v>51.3</v>
      </c>
      <c r="E655" s="60">
        <v>0.39</v>
      </c>
      <c r="F655" s="60">
        <v>108</v>
      </c>
      <c r="G655" s="60">
        <v>0.05</v>
      </c>
      <c r="H655" s="60">
        <v>1.63</v>
      </c>
      <c r="I655" s="60">
        <v>10.83</v>
      </c>
      <c r="J655" s="60">
        <v>0</v>
      </c>
      <c r="O655" s="60" t="s">
        <v>1092</v>
      </c>
      <c r="P655" s="60" t="s">
        <v>1464</v>
      </c>
      <c r="Q655" s="60" t="s">
        <v>4979</v>
      </c>
      <c r="R655" s="60">
        <v>51.3</v>
      </c>
      <c r="S655" s="60">
        <v>0.39</v>
      </c>
      <c r="T655" s="60">
        <v>108</v>
      </c>
      <c r="U655" s="60">
        <v>32.96</v>
      </c>
    </row>
    <row r="656" spans="1:21">
      <c r="A656" s="60" t="s">
        <v>1094</v>
      </c>
      <c r="B656" s="60" t="s">
        <v>3200</v>
      </c>
      <c r="C656" s="60" t="s">
        <v>4069</v>
      </c>
      <c r="D656" s="60">
        <v>34.9</v>
      </c>
      <c r="E656" s="60">
        <v>6.4</v>
      </c>
      <c r="F656" s="60">
        <v>3259</v>
      </c>
      <c r="G656" s="60">
        <v>0</v>
      </c>
      <c r="H656" s="60">
        <v>2.4900000000000002</v>
      </c>
      <c r="I656" s="60">
        <v>0</v>
      </c>
      <c r="J656" s="60">
        <v>0</v>
      </c>
      <c r="O656" s="60" t="s">
        <v>1094</v>
      </c>
      <c r="P656" s="60" t="s">
        <v>3200</v>
      </c>
      <c r="Q656" s="60" t="s">
        <v>4069</v>
      </c>
      <c r="R656" s="60">
        <v>34.9</v>
      </c>
      <c r="S656" s="60">
        <v>6.4</v>
      </c>
      <c r="T656" s="60">
        <v>3259</v>
      </c>
      <c r="U656" s="60">
        <v>38.119999999999997</v>
      </c>
    </row>
    <row r="657" spans="1:21">
      <c r="A657" s="60" t="s">
        <v>1096</v>
      </c>
      <c r="B657" s="60" t="s">
        <v>1467</v>
      </c>
      <c r="C657" s="60" t="s">
        <v>3610</v>
      </c>
      <c r="D657" s="60">
        <v>393</v>
      </c>
      <c r="E657" s="60">
        <v>-0.13</v>
      </c>
      <c r="F657" s="60">
        <v>261</v>
      </c>
      <c r="G657" s="60">
        <v>0.37</v>
      </c>
      <c r="H657" s="60">
        <v>22.99</v>
      </c>
      <c r="I657" s="60">
        <v>10.02</v>
      </c>
      <c r="J657" s="60">
        <v>2.76</v>
      </c>
      <c r="O657" s="60" t="s">
        <v>1096</v>
      </c>
      <c r="P657" s="60" t="s">
        <v>1467</v>
      </c>
      <c r="Q657" s="60" t="s">
        <v>3610</v>
      </c>
      <c r="R657" s="60">
        <v>393</v>
      </c>
      <c r="S657" s="60">
        <v>-0.13</v>
      </c>
      <c r="T657" s="60">
        <v>261</v>
      </c>
      <c r="U657" s="60">
        <v>50.45</v>
      </c>
    </row>
    <row r="658" spans="1:21">
      <c r="A658" s="60" t="s">
        <v>1098</v>
      </c>
      <c r="B658" s="60" t="s">
        <v>3201</v>
      </c>
      <c r="C658" s="60" t="s">
        <v>4528</v>
      </c>
      <c r="D658" s="60">
        <v>48.25</v>
      </c>
      <c r="E658" s="60">
        <v>2.0099999999999998</v>
      </c>
      <c r="F658" s="60">
        <v>757</v>
      </c>
      <c r="G658" s="60">
        <v>0</v>
      </c>
      <c r="H658" s="60">
        <v>51.75</v>
      </c>
      <c r="I658" s="60">
        <v>0</v>
      </c>
      <c r="J658" s="60">
        <v>0</v>
      </c>
      <c r="O658" s="60" t="s">
        <v>1098</v>
      </c>
      <c r="P658" s="60" t="s">
        <v>3201</v>
      </c>
      <c r="Q658" s="60" t="s">
        <v>4528</v>
      </c>
      <c r="R658" s="60">
        <v>48.25</v>
      </c>
      <c r="S658" s="60">
        <v>2.0099999999999998</v>
      </c>
      <c r="T658" s="60">
        <v>757</v>
      </c>
      <c r="U658" s="60">
        <v>53.88</v>
      </c>
    </row>
    <row r="659" spans="1:21">
      <c r="A659" s="60" t="s">
        <v>1100</v>
      </c>
      <c r="B659" s="60" t="s">
        <v>1470</v>
      </c>
      <c r="C659" s="60" t="s">
        <v>4820</v>
      </c>
      <c r="D659" s="60">
        <v>42.4</v>
      </c>
      <c r="E659" s="60">
        <v>1.19</v>
      </c>
      <c r="F659" s="60">
        <v>261</v>
      </c>
      <c r="G659" s="60">
        <v>0.14000000000000001</v>
      </c>
      <c r="H659" s="60">
        <v>4.79</v>
      </c>
      <c r="I659" s="60">
        <v>23.21</v>
      </c>
      <c r="J659" s="60">
        <v>0</v>
      </c>
      <c r="O659" s="60" t="s">
        <v>1100</v>
      </c>
      <c r="P659" s="60" t="s">
        <v>1470</v>
      </c>
      <c r="Q659" s="60" t="s">
        <v>4820</v>
      </c>
      <c r="R659" s="60">
        <v>42.4</v>
      </c>
      <c r="S659" s="60">
        <v>1.19</v>
      </c>
      <c r="T659" s="60">
        <v>261</v>
      </c>
      <c r="U659" s="60">
        <v>13.91</v>
      </c>
    </row>
    <row r="660" spans="1:21">
      <c r="A660" s="60" t="s">
        <v>1102</v>
      </c>
      <c r="B660" s="60" t="s">
        <v>1472</v>
      </c>
      <c r="C660" s="60" t="s">
        <v>3593</v>
      </c>
      <c r="D660" s="60">
        <v>24</v>
      </c>
      <c r="E660" s="60">
        <v>2.13</v>
      </c>
      <c r="F660" s="60">
        <v>69</v>
      </c>
      <c r="G660" s="60">
        <v>0</v>
      </c>
      <c r="H660" s="60">
        <v>0.91</v>
      </c>
      <c r="I660" s="60">
        <v>3.45</v>
      </c>
      <c r="J660" s="60">
        <v>0</v>
      </c>
      <c r="O660" s="60" t="s">
        <v>1102</v>
      </c>
      <c r="P660" s="60" t="s">
        <v>1472</v>
      </c>
      <c r="Q660" s="60" t="s">
        <v>3593</v>
      </c>
      <c r="R660" s="60">
        <v>24</v>
      </c>
      <c r="S660" s="60">
        <v>2.13</v>
      </c>
      <c r="T660" s="60">
        <v>69</v>
      </c>
      <c r="U660" s="60">
        <v>42.46</v>
      </c>
    </row>
    <row r="661" spans="1:21">
      <c r="A661" s="60" t="s">
        <v>1103</v>
      </c>
      <c r="B661" s="60" t="s">
        <v>1474</v>
      </c>
      <c r="C661" s="60" t="s">
        <v>3800</v>
      </c>
      <c r="D661" s="60">
        <v>100</v>
      </c>
      <c r="E661" s="60">
        <v>-2.91</v>
      </c>
      <c r="F661" s="60">
        <v>1005</v>
      </c>
      <c r="G661" s="60">
        <v>0.62</v>
      </c>
      <c r="H661" s="60">
        <v>5.14</v>
      </c>
      <c r="I661" s="60">
        <v>18</v>
      </c>
      <c r="J661" s="60">
        <v>0.11</v>
      </c>
      <c r="O661" s="60" t="s">
        <v>1103</v>
      </c>
      <c r="P661" s="60" t="s">
        <v>1474</v>
      </c>
      <c r="Q661" s="60" t="s">
        <v>3800</v>
      </c>
      <c r="R661" s="60">
        <v>100</v>
      </c>
      <c r="S661" s="60">
        <v>-2.91</v>
      </c>
      <c r="T661" s="60">
        <v>1005</v>
      </c>
      <c r="U661" s="60">
        <v>52.71</v>
      </c>
    </row>
    <row r="662" spans="1:21">
      <c r="A662" s="60" t="s">
        <v>1105</v>
      </c>
      <c r="B662" s="60" t="s">
        <v>1476</v>
      </c>
      <c r="C662" s="60" t="s">
        <v>3609</v>
      </c>
      <c r="D662" s="60">
        <v>249</v>
      </c>
      <c r="E662" s="60">
        <v>9.2100000000000009</v>
      </c>
      <c r="F662" s="60">
        <v>16875</v>
      </c>
      <c r="G662" s="60">
        <v>4.78</v>
      </c>
      <c r="H662" s="60">
        <v>8.15</v>
      </c>
      <c r="I662" s="60">
        <v>73.2</v>
      </c>
      <c r="J662" s="60">
        <v>0</v>
      </c>
      <c r="O662" s="60" t="s">
        <v>1105</v>
      </c>
      <c r="P662" s="60" t="s">
        <v>1476</v>
      </c>
      <c r="Q662" s="60" t="s">
        <v>3609</v>
      </c>
      <c r="R662" s="60">
        <v>249</v>
      </c>
      <c r="S662" s="60">
        <v>9.2100000000000009</v>
      </c>
      <c r="T662" s="60">
        <v>16875</v>
      </c>
      <c r="U662" s="60">
        <v>33.01</v>
      </c>
    </row>
    <row r="663" spans="1:21">
      <c r="A663" s="60" t="s">
        <v>1107</v>
      </c>
      <c r="B663" s="60" t="s">
        <v>1478</v>
      </c>
      <c r="C663" s="60" t="s">
        <v>5112</v>
      </c>
      <c r="D663" s="60">
        <v>20.8</v>
      </c>
      <c r="E663" s="60">
        <v>-0.24</v>
      </c>
      <c r="F663" s="60">
        <v>36</v>
      </c>
      <c r="G663" s="60">
        <v>0</v>
      </c>
      <c r="H663" s="60">
        <v>0.47</v>
      </c>
      <c r="I663" s="60">
        <v>0.27</v>
      </c>
      <c r="J663" s="60">
        <v>0</v>
      </c>
      <c r="O663" s="60" t="s">
        <v>1107</v>
      </c>
      <c r="P663" s="60" t="s">
        <v>1478</v>
      </c>
      <c r="Q663" s="60" t="s">
        <v>5112</v>
      </c>
      <c r="R663" s="60">
        <v>20.8</v>
      </c>
      <c r="S663" s="60">
        <v>-0.24</v>
      </c>
      <c r="T663" s="60">
        <v>36</v>
      </c>
      <c r="U663" s="60">
        <v>75.59</v>
      </c>
    </row>
    <row r="664" spans="1:21">
      <c r="A664" s="60" t="s">
        <v>1109</v>
      </c>
      <c r="B664" s="60" t="s">
        <v>3202</v>
      </c>
      <c r="C664" s="60" t="s">
        <v>4581</v>
      </c>
      <c r="D664" s="60">
        <v>53.3</v>
      </c>
      <c r="E664" s="60">
        <v>4.3099999999999996</v>
      </c>
      <c r="F664" s="60">
        <v>580</v>
      </c>
      <c r="G664" s="60">
        <v>0</v>
      </c>
      <c r="H664" s="60">
        <v>3.73</v>
      </c>
      <c r="I664" s="60">
        <v>0</v>
      </c>
      <c r="J664" s="60">
        <v>0</v>
      </c>
      <c r="O664" s="60" t="s">
        <v>1109</v>
      </c>
      <c r="P664" s="60" t="s">
        <v>3202</v>
      </c>
      <c r="Q664" s="60" t="s">
        <v>4581</v>
      </c>
      <c r="R664" s="60">
        <v>53.3</v>
      </c>
      <c r="S664" s="60">
        <v>4.3099999999999996</v>
      </c>
      <c r="T664" s="60">
        <v>580</v>
      </c>
      <c r="U664" s="60">
        <v>25.71</v>
      </c>
    </row>
    <row r="665" spans="1:21">
      <c r="A665" s="60" t="s">
        <v>1111</v>
      </c>
      <c r="B665" s="60" t="s">
        <v>1480</v>
      </c>
      <c r="C665" s="60" t="s">
        <v>3605</v>
      </c>
      <c r="D665" s="60">
        <v>78.5</v>
      </c>
      <c r="E665" s="60">
        <v>0.51</v>
      </c>
      <c r="F665" s="60">
        <v>370</v>
      </c>
      <c r="G665" s="60">
        <v>0.43</v>
      </c>
      <c r="H665" s="60">
        <v>0.55000000000000004</v>
      </c>
      <c r="I665" s="60">
        <v>16.93</v>
      </c>
      <c r="J665" s="60">
        <v>0</v>
      </c>
      <c r="O665" s="60" t="s">
        <v>1111</v>
      </c>
      <c r="P665" s="60" t="s">
        <v>1480</v>
      </c>
      <c r="Q665" s="60" t="s">
        <v>3605</v>
      </c>
      <c r="R665" s="60">
        <v>78.5</v>
      </c>
      <c r="S665" s="60">
        <v>0.51</v>
      </c>
      <c r="T665" s="60">
        <v>370</v>
      </c>
      <c r="U665" s="60">
        <v>60.82</v>
      </c>
    </row>
    <row r="666" spans="1:21">
      <c r="A666" s="60" t="s">
        <v>1113</v>
      </c>
      <c r="B666" s="60" t="s">
        <v>1482</v>
      </c>
      <c r="C666" s="60" t="s">
        <v>5048</v>
      </c>
      <c r="D666" s="60">
        <v>17.5</v>
      </c>
      <c r="E666" s="60">
        <v>2.04</v>
      </c>
      <c r="F666" s="60">
        <v>159</v>
      </c>
      <c r="G666" s="60">
        <v>0.05</v>
      </c>
      <c r="H666" s="60">
        <v>0.28999999999999998</v>
      </c>
      <c r="I666" s="60">
        <v>10.8</v>
      </c>
      <c r="J666" s="60">
        <v>0</v>
      </c>
      <c r="O666" s="60" t="s">
        <v>1113</v>
      </c>
      <c r="P666" s="60" t="s">
        <v>1482</v>
      </c>
      <c r="Q666" s="60" t="s">
        <v>5048</v>
      </c>
      <c r="R666" s="60">
        <v>17.5</v>
      </c>
      <c r="S666" s="60">
        <v>2.04</v>
      </c>
      <c r="T666" s="60">
        <v>159</v>
      </c>
      <c r="U666" s="60">
        <v>71.849999999999994</v>
      </c>
    </row>
    <row r="667" spans="1:21">
      <c r="A667" s="60" t="s">
        <v>1115</v>
      </c>
      <c r="B667" s="60" t="s">
        <v>1484</v>
      </c>
      <c r="C667" s="60" t="s">
        <v>3675</v>
      </c>
      <c r="D667" s="60">
        <v>238</v>
      </c>
      <c r="E667" s="60">
        <v>1.28</v>
      </c>
      <c r="F667" s="60">
        <v>7258</v>
      </c>
      <c r="G667" s="60">
        <v>2.65</v>
      </c>
      <c r="H667" s="60">
        <v>34.869999999999997</v>
      </c>
      <c r="I667" s="60">
        <v>6.69</v>
      </c>
      <c r="J667" s="60">
        <v>13.08</v>
      </c>
      <c r="O667" s="60" t="s">
        <v>1115</v>
      </c>
      <c r="P667" s="60" t="s">
        <v>1484</v>
      </c>
      <c r="Q667" s="60" t="s">
        <v>3675</v>
      </c>
      <c r="R667" s="60">
        <v>238</v>
      </c>
      <c r="S667" s="60">
        <v>1.28</v>
      </c>
      <c r="T667" s="60">
        <v>7258</v>
      </c>
      <c r="U667" s="60">
        <v>72.12</v>
      </c>
    </row>
    <row r="668" spans="1:21">
      <c r="A668" s="60" t="s">
        <v>1117</v>
      </c>
      <c r="B668" s="60" t="s">
        <v>3203</v>
      </c>
      <c r="C668" s="60" t="s">
        <v>4872</v>
      </c>
      <c r="D668" s="60">
        <v>6.87</v>
      </c>
      <c r="E668" s="60">
        <v>0.28999999999999998</v>
      </c>
      <c r="F668" s="60">
        <v>12</v>
      </c>
      <c r="G668" s="60">
        <v>0</v>
      </c>
      <c r="H668" s="60">
        <v>0.68</v>
      </c>
      <c r="I668" s="60">
        <v>0</v>
      </c>
      <c r="J668" s="60">
        <v>0</v>
      </c>
      <c r="O668" s="60" t="s">
        <v>1117</v>
      </c>
      <c r="P668" s="60" t="s">
        <v>3203</v>
      </c>
      <c r="Q668" s="60" t="s">
        <v>4872</v>
      </c>
      <c r="R668" s="60">
        <v>6.87</v>
      </c>
      <c r="S668" s="60">
        <v>0.28999999999999998</v>
      </c>
      <c r="T668" s="60">
        <v>12</v>
      </c>
      <c r="U668" s="60">
        <v>20.5</v>
      </c>
    </row>
    <row r="669" spans="1:21">
      <c r="A669" s="60" t="s">
        <v>1119</v>
      </c>
      <c r="B669" s="60" t="s">
        <v>3204</v>
      </c>
      <c r="C669" s="60" t="s">
        <v>4873</v>
      </c>
      <c r="D669" s="60">
        <v>17.100000000000001</v>
      </c>
      <c r="E669" s="60">
        <v>-0.87</v>
      </c>
      <c r="F669" s="60">
        <v>2456</v>
      </c>
      <c r="G669" s="60">
        <v>0</v>
      </c>
      <c r="H669" s="60">
        <v>1.4</v>
      </c>
      <c r="I669" s="60">
        <v>0</v>
      </c>
      <c r="J669" s="60">
        <v>0</v>
      </c>
      <c r="O669" s="60" t="s">
        <v>1119</v>
      </c>
      <c r="P669" s="60" t="s">
        <v>3204</v>
      </c>
      <c r="Q669" s="60" t="s">
        <v>4873</v>
      </c>
      <c r="R669" s="60">
        <v>17.100000000000001</v>
      </c>
      <c r="S669" s="60">
        <v>-0.87</v>
      </c>
      <c r="T669" s="60">
        <v>2456</v>
      </c>
      <c r="U669" s="60">
        <v>18.11</v>
      </c>
    </row>
    <row r="670" spans="1:21">
      <c r="A670" s="60" t="s">
        <v>1121</v>
      </c>
      <c r="B670" s="60" t="s">
        <v>1488</v>
      </c>
      <c r="C670" s="60" t="s">
        <v>4582</v>
      </c>
      <c r="D670" s="60">
        <v>26.5</v>
      </c>
      <c r="E670" s="60">
        <v>-1.1200000000000001</v>
      </c>
      <c r="F670" s="60">
        <v>58</v>
      </c>
      <c r="G670" s="60">
        <v>0</v>
      </c>
      <c r="H670" s="60">
        <v>9.82</v>
      </c>
      <c r="I670" s="60">
        <v>9.91</v>
      </c>
      <c r="J670" s="60">
        <v>0</v>
      </c>
      <c r="O670" s="60" t="s">
        <v>1121</v>
      </c>
      <c r="P670" s="60" t="s">
        <v>1488</v>
      </c>
      <c r="Q670" s="60" t="s">
        <v>4582</v>
      </c>
      <c r="R670" s="60">
        <v>26.5</v>
      </c>
      <c r="S670" s="60">
        <v>-1.1200000000000001</v>
      </c>
      <c r="T670" s="60">
        <v>58</v>
      </c>
      <c r="U670" s="60">
        <v>30.45</v>
      </c>
    </row>
    <row r="671" spans="1:21">
      <c r="A671" s="60" t="s">
        <v>1123</v>
      </c>
      <c r="B671" s="60" t="s">
        <v>1490</v>
      </c>
      <c r="C671" s="60" t="s">
        <v>4874</v>
      </c>
      <c r="D671" s="60">
        <v>28.7</v>
      </c>
      <c r="E671" s="60">
        <v>-0.86</v>
      </c>
      <c r="F671" s="60">
        <v>74</v>
      </c>
      <c r="G671" s="60">
        <v>0</v>
      </c>
      <c r="H671" s="60">
        <v>0.48</v>
      </c>
      <c r="I671" s="60">
        <v>7.31</v>
      </c>
      <c r="J671" s="60">
        <v>0</v>
      </c>
      <c r="O671" s="60" t="s">
        <v>1123</v>
      </c>
      <c r="P671" s="60" t="s">
        <v>1490</v>
      </c>
      <c r="Q671" s="60" t="s">
        <v>4874</v>
      </c>
      <c r="R671" s="60">
        <v>28.7</v>
      </c>
      <c r="S671" s="60">
        <v>-0.86</v>
      </c>
      <c r="T671" s="60">
        <v>74</v>
      </c>
      <c r="U671" s="60">
        <v>34.19</v>
      </c>
    </row>
    <row r="672" spans="1:21">
      <c r="A672" s="60" t="s">
        <v>1125</v>
      </c>
      <c r="B672" s="60" t="s">
        <v>3205</v>
      </c>
      <c r="C672" s="60" t="s">
        <v>4875</v>
      </c>
      <c r="D672" s="60">
        <v>24.2</v>
      </c>
      <c r="E672" s="60">
        <v>0.83</v>
      </c>
      <c r="F672" s="60">
        <v>39253</v>
      </c>
      <c r="G672" s="60">
        <v>3.36</v>
      </c>
      <c r="H672" s="60">
        <v>3.12</v>
      </c>
      <c r="I672" s="60">
        <v>45.58</v>
      </c>
      <c r="J672" s="60">
        <v>0</v>
      </c>
      <c r="O672" s="60" t="s">
        <v>1125</v>
      </c>
      <c r="P672" s="60" t="s">
        <v>3205</v>
      </c>
      <c r="Q672" s="60" t="s">
        <v>4875</v>
      </c>
      <c r="R672" s="60">
        <v>24.2</v>
      </c>
      <c r="S672" s="60">
        <v>0.83</v>
      </c>
      <c r="T672" s="60">
        <v>39253</v>
      </c>
      <c r="U672" s="60">
        <v>25.07</v>
      </c>
    </row>
    <row r="673" spans="1:21">
      <c r="A673" s="60" t="s">
        <v>1127</v>
      </c>
      <c r="B673" s="60" t="s">
        <v>1493</v>
      </c>
      <c r="C673" s="60" t="s">
        <v>4240</v>
      </c>
      <c r="D673" s="60">
        <v>29.3</v>
      </c>
      <c r="E673" s="60">
        <v>0.17</v>
      </c>
      <c r="F673" s="60">
        <v>299</v>
      </c>
      <c r="G673" s="60">
        <v>0.02</v>
      </c>
      <c r="H673" s="60">
        <v>5.45</v>
      </c>
      <c r="I673" s="60">
        <v>3.57</v>
      </c>
      <c r="J673" s="60">
        <v>0.02</v>
      </c>
      <c r="O673" s="60" t="s">
        <v>1127</v>
      </c>
      <c r="P673" s="60" t="s">
        <v>1493</v>
      </c>
      <c r="Q673" s="60" t="s">
        <v>4240</v>
      </c>
      <c r="R673" s="60">
        <v>29.3</v>
      </c>
      <c r="S673" s="60">
        <v>0.17</v>
      </c>
      <c r="T673" s="60">
        <v>299</v>
      </c>
      <c r="U673" s="60">
        <v>30.21</v>
      </c>
    </row>
    <row r="674" spans="1:21">
      <c r="A674" s="60" t="s">
        <v>1129</v>
      </c>
      <c r="B674" s="60" t="s">
        <v>1495</v>
      </c>
      <c r="C674" s="60" t="s">
        <v>4732</v>
      </c>
      <c r="D674" s="60">
        <v>94.9</v>
      </c>
      <c r="E674" s="60">
        <v>0.53</v>
      </c>
      <c r="F674" s="60">
        <v>227</v>
      </c>
      <c r="G674" s="60">
        <v>7.0000000000000007E-2</v>
      </c>
      <c r="H674" s="60">
        <v>11.95</v>
      </c>
      <c r="I674" s="60">
        <v>8.91</v>
      </c>
      <c r="J674" s="60">
        <v>0.17</v>
      </c>
      <c r="O674" s="60" t="s">
        <v>1129</v>
      </c>
      <c r="P674" s="60" t="s">
        <v>1495</v>
      </c>
      <c r="Q674" s="60" t="s">
        <v>4732</v>
      </c>
      <c r="R674" s="60">
        <v>94.9</v>
      </c>
      <c r="S674" s="60">
        <v>0.53</v>
      </c>
      <c r="T674" s="60">
        <v>227</v>
      </c>
      <c r="U674" s="60">
        <v>25.42</v>
      </c>
    </row>
    <row r="675" spans="1:21">
      <c r="A675" s="60" t="s">
        <v>1130</v>
      </c>
      <c r="B675" s="60" t="s">
        <v>1497</v>
      </c>
      <c r="C675" s="60" t="s">
        <v>4733</v>
      </c>
      <c r="D675" s="60">
        <v>61.5</v>
      </c>
      <c r="E675" s="60">
        <v>0.49</v>
      </c>
      <c r="F675" s="60">
        <v>105</v>
      </c>
      <c r="G675" s="60">
        <v>0</v>
      </c>
      <c r="H675" s="60">
        <v>7.67</v>
      </c>
      <c r="I675" s="60">
        <v>1.34</v>
      </c>
      <c r="J675" s="60">
        <v>0</v>
      </c>
      <c r="O675" s="60" t="s">
        <v>1130</v>
      </c>
      <c r="P675" s="60" t="s">
        <v>1497</v>
      </c>
      <c r="Q675" s="60" t="s">
        <v>4733</v>
      </c>
      <c r="R675" s="60">
        <v>61.5</v>
      </c>
      <c r="S675" s="60">
        <v>0.49</v>
      </c>
      <c r="T675" s="60">
        <v>105</v>
      </c>
      <c r="U675" s="60">
        <v>14.31</v>
      </c>
    </row>
    <row r="676" spans="1:21">
      <c r="A676" s="60" t="s">
        <v>1132</v>
      </c>
      <c r="B676" s="60" t="s">
        <v>1499</v>
      </c>
      <c r="C676" s="60" t="s">
        <v>48</v>
      </c>
      <c r="D676" s="60">
        <v>97</v>
      </c>
      <c r="E676" s="60">
        <v>1.25</v>
      </c>
      <c r="F676" s="60">
        <v>822</v>
      </c>
      <c r="G676" s="60">
        <v>0.23</v>
      </c>
      <c r="H676" s="60">
        <v>6.14</v>
      </c>
      <c r="I676" s="60">
        <v>10.199999999999999</v>
      </c>
      <c r="J676" s="60">
        <v>3.79</v>
      </c>
      <c r="O676" s="60" t="s">
        <v>1132</v>
      </c>
      <c r="P676" s="60" t="s">
        <v>1499</v>
      </c>
      <c r="Q676" s="60" t="s">
        <v>48</v>
      </c>
      <c r="R676" s="60">
        <v>97</v>
      </c>
      <c r="S676" s="60">
        <v>1.25</v>
      </c>
      <c r="T676" s="60">
        <v>822</v>
      </c>
      <c r="U676" s="60">
        <v>42.89</v>
      </c>
    </row>
    <row r="677" spans="1:21">
      <c r="A677" s="60" t="s">
        <v>1134</v>
      </c>
      <c r="B677" s="60" t="s">
        <v>1501</v>
      </c>
      <c r="C677" s="60" t="s">
        <v>3647</v>
      </c>
      <c r="D677" s="60">
        <v>284</v>
      </c>
      <c r="E677" s="60">
        <v>-1.05</v>
      </c>
      <c r="F677" s="60">
        <v>347</v>
      </c>
      <c r="G677" s="60">
        <v>0.28999999999999998</v>
      </c>
      <c r="H677" s="60">
        <v>32.19</v>
      </c>
      <c r="I677" s="60">
        <v>5.27</v>
      </c>
      <c r="J677" s="60">
        <v>0.42</v>
      </c>
      <c r="O677" s="60" t="s">
        <v>1134</v>
      </c>
      <c r="P677" s="60" t="s">
        <v>1501</v>
      </c>
      <c r="Q677" s="60" t="s">
        <v>3647</v>
      </c>
      <c r="R677" s="60">
        <v>284</v>
      </c>
      <c r="S677" s="60">
        <v>-1.05</v>
      </c>
      <c r="T677" s="60">
        <v>347</v>
      </c>
      <c r="U677" s="60">
        <v>63.07</v>
      </c>
    </row>
    <row r="678" spans="1:21">
      <c r="A678" s="60" t="s">
        <v>1136</v>
      </c>
      <c r="B678" s="60" t="s">
        <v>3206</v>
      </c>
      <c r="C678" s="60" t="s">
        <v>5507</v>
      </c>
      <c r="D678" s="60">
        <v>93.5</v>
      </c>
      <c r="E678" s="60">
        <v>-0.64</v>
      </c>
      <c r="F678" s="60">
        <v>36</v>
      </c>
      <c r="G678" s="60">
        <v>0.11</v>
      </c>
      <c r="H678" s="60">
        <v>3.25</v>
      </c>
      <c r="I678" s="60">
        <v>29.74</v>
      </c>
      <c r="J678" s="60">
        <v>0</v>
      </c>
      <c r="O678" s="60" t="s">
        <v>1136</v>
      </c>
      <c r="P678" s="60" t="s">
        <v>3206</v>
      </c>
      <c r="Q678" s="60" t="s">
        <v>5507</v>
      </c>
      <c r="R678" s="60">
        <v>93.5</v>
      </c>
      <c r="S678" s="60">
        <v>-0.64</v>
      </c>
      <c r="T678" s="60">
        <v>36</v>
      </c>
      <c r="U678" s="60">
        <v>88.16</v>
      </c>
    </row>
    <row r="679" spans="1:21">
      <c r="A679" s="60" t="s">
        <v>1138</v>
      </c>
      <c r="B679" s="60" t="s">
        <v>1504</v>
      </c>
      <c r="C679" s="60" t="s">
        <v>4821</v>
      </c>
      <c r="D679" s="60">
        <v>41.4</v>
      </c>
      <c r="E679" s="60">
        <v>2.6</v>
      </c>
      <c r="F679" s="60">
        <v>6608</v>
      </c>
      <c r="G679" s="60">
        <v>1.36</v>
      </c>
      <c r="H679" s="60">
        <v>11.78</v>
      </c>
      <c r="I679" s="60">
        <v>29.83</v>
      </c>
      <c r="J679" s="60">
        <v>0.05</v>
      </c>
      <c r="O679" s="60" t="s">
        <v>1138</v>
      </c>
      <c r="P679" s="60" t="s">
        <v>1504</v>
      </c>
      <c r="Q679" s="60" t="s">
        <v>4821</v>
      </c>
      <c r="R679" s="60">
        <v>41.4</v>
      </c>
      <c r="S679" s="60">
        <v>2.6</v>
      </c>
      <c r="T679" s="60">
        <v>6608</v>
      </c>
      <c r="U679" s="60">
        <v>23.09</v>
      </c>
    </row>
    <row r="680" spans="1:21">
      <c r="A680" s="60" t="s">
        <v>1140</v>
      </c>
      <c r="B680" s="60" t="s">
        <v>1506</v>
      </c>
      <c r="C680" s="60" t="s">
        <v>4964</v>
      </c>
      <c r="D680" s="60">
        <v>58</v>
      </c>
      <c r="E680" s="60">
        <v>3.39</v>
      </c>
      <c r="F680" s="60">
        <v>1691</v>
      </c>
      <c r="G680" s="60">
        <v>0.11</v>
      </c>
      <c r="H680" s="60">
        <v>1.39</v>
      </c>
      <c r="I680" s="60">
        <v>30.49</v>
      </c>
      <c r="J680" s="60">
        <v>0</v>
      </c>
      <c r="O680" s="60" t="s">
        <v>1140</v>
      </c>
      <c r="P680" s="60" t="s">
        <v>1506</v>
      </c>
      <c r="Q680" s="60" t="s">
        <v>4964</v>
      </c>
      <c r="R680" s="60">
        <v>58</v>
      </c>
      <c r="S680" s="60">
        <v>3.39</v>
      </c>
      <c r="T680" s="60">
        <v>1691</v>
      </c>
      <c r="U680" s="60">
        <v>42.18</v>
      </c>
    </row>
    <row r="681" spans="1:21">
      <c r="A681" s="60" t="s">
        <v>1142</v>
      </c>
      <c r="B681" s="60" t="s">
        <v>1508</v>
      </c>
      <c r="C681" s="60" t="s">
        <v>4529</v>
      </c>
      <c r="D681" s="60">
        <v>65.5</v>
      </c>
      <c r="E681" s="60">
        <v>0</v>
      </c>
      <c r="F681" s="60">
        <v>4</v>
      </c>
      <c r="G681" s="60">
        <v>0</v>
      </c>
      <c r="H681" s="60">
        <v>0.04</v>
      </c>
      <c r="I681" s="60">
        <v>0.68</v>
      </c>
      <c r="J681" s="60">
        <v>0</v>
      </c>
      <c r="O681" s="60" t="s">
        <v>1142</v>
      </c>
      <c r="P681" s="60" t="s">
        <v>1508</v>
      </c>
      <c r="Q681" s="60" t="s">
        <v>4529</v>
      </c>
      <c r="R681" s="60">
        <v>65.5</v>
      </c>
      <c r="S681" s="60">
        <v>0</v>
      </c>
      <c r="T681" s="60">
        <v>4</v>
      </c>
      <c r="U681" s="60">
        <v>70.44</v>
      </c>
    </row>
    <row r="682" spans="1:21">
      <c r="A682" s="60" t="s">
        <v>1144</v>
      </c>
      <c r="B682" s="60" t="s">
        <v>1510</v>
      </c>
      <c r="C682" s="60" t="s">
        <v>4663</v>
      </c>
      <c r="D682" s="60">
        <v>159.5</v>
      </c>
      <c r="E682" s="60">
        <v>1.92</v>
      </c>
      <c r="F682" s="60">
        <v>1296</v>
      </c>
      <c r="G682" s="60">
        <v>0.3</v>
      </c>
      <c r="H682" s="60">
        <v>17.829999999999998</v>
      </c>
      <c r="I682" s="60">
        <v>21.48</v>
      </c>
      <c r="J682" s="60">
        <v>0.23</v>
      </c>
      <c r="O682" s="60" t="s">
        <v>1144</v>
      </c>
      <c r="P682" s="60" t="s">
        <v>1510</v>
      </c>
      <c r="Q682" s="60" t="s">
        <v>4663</v>
      </c>
      <c r="R682" s="60">
        <v>159.5</v>
      </c>
      <c r="S682" s="60">
        <v>1.92</v>
      </c>
      <c r="T682" s="60">
        <v>1296</v>
      </c>
      <c r="U682" s="60">
        <v>20.260000000000002</v>
      </c>
    </row>
    <row r="683" spans="1:21">
      <c r="A683" s="60" t="s">
        <v>1146</v>
      </c>
      <c r="B683" s="60" t="s">
        <v>3207</v>
      </c>
      <c r="C683" s="60" t="s">
        <v>3518</v>
      </c>
      <c r="D683" s="60">
        <v>504</v>
      </c>
      <c r="E683" s="60">
        <v>1.2</v>
      </c>
      <c r="F683" s="60">
        <v>721</v>
      </c>
      <c r="G683" s="60">
        <v>0</v>
      </c>
      <c r="H683" s="60">
        <v>12.15</v>
      </c>
      <c r="I683" s="60">
        <v>0</v>
      </c>
      <c r="J683" s="60">
        <v>3.24</v>
      </c>
      <c r="O683" s="60" t="s">
        <v>1146</v>
      </c>
      <c r="P683" s="60" t="s">
        <v>3207</v>
      </c>
      <c r="Q683" s="60" t="s">
        <v>3518</v>
      </c>
      <c r="R683" s="60">
        <v>504</v>
      </c>
      <c r="S683" s="60">
        <v>1.2</v>
      </c>
      <c r="T683" s="60">
        <v>721</v>
      </c>
      <c r="U683" s="60">
        <v>24.35</v>
      </c>
    </row>
    <row r="684" spans="1:21">
      <c r="A684" s="60" t="s">
        <v>1148</v>
      </c>
      <c r="B684" s="60" t="s">
        <v>3208</v>
      </c>
      <c r="C684" s="60" t="s">
        <v>4187</v>
      </c>
      <c r="D684" s="60">
        <v>6.67</v>
      </c>
      <c r="E684" s="60">
        <v>-0.45</v>
      </c>
      <c r="F684" s="60">
        <v>42</v>
      </c>
      <c r="G684" s="60">
        <v>0</v>
      </c>
      <c r="H684" s="60">
        <v>1.51</v>
      </c>
      <c r="I684" s="60">
        <v>0</v>
      </c>
      <c r="J684" s="60">
        <v>0</v>
      </c>
      <c r="O684" s="60" t="s">
        <v>1148</v>
      </c>
      <c r="P684" s="60" t="s">
        <v>3208</v>
      </c>
      <c r="Q684" s="60" t="s">
        <v>4187</v>
      </c>
      <c r="R684" s="60">
        <v>6.67</v>
      </c>
      <c r="S684" s="60">
        <v>-0.45</v>
      </c>
      <c r="T684" s="60">
        <v>42</v>
      </c>
      <c r="U684" s="60">
        <v>40.28</v>
      </c>
    </row>
    <row r="685" spans="1:21">
      <c r="A685" s="60" t="s">
        <v>1150</v>
      </c>
      <c r="B685" s="60" t="s">
        <v>3209</v>
      </c>
      <c r="C685" s="60" t="s">
        <v>4776</v>
      </c>
      <c r="D685" s="60">
        <v>20.100000000000001</v>
      </c>
      <c r="E685" s="60">
        <v>-0.5</v>
      </c>
      <c r="F685" s="60">
        <v>814</v>
      </c>
      <c r="G685" s="60">
        <v>0.34</v>
      </c>
      <c r="H685" s="60">
        <v>2.2200000000000002</v>
      </c>
      <c r="I685" s="60">
        <v>25.87</v>
      </c>
      <c r="J685" s="60">
        <v>0</v>
      </c>
      <c r="O685" s="60" t="s">
        <v>1150</v>
      </c>
      <c r="P685" s="60" t="s">
        <v>3209</v>
      </c>
      <c r="Q685" s="60" t="s">
        <v>4776</v>
      </c>
      <c r="R685" s="60">
        <v>20.100000000000001</v>
      </c>
      <c r="S685" s="60">
        <v>-0.5</v>
      </c>
      <c r="T685" s="60">
        <v>814</v>
      </c>
      <c r="U685" s="60">
        <v>37.83</v>
      </c>
    </row>
    <row r="686" spans="1:21">
      <c r="A686" s="60" t="s">
        <v>1152</v>
      </c>
      <c r="B686" s="60" t="s">
        <v>1514</v>
      </c>
      <c r="C686" s="60" t="s">
        <v>4025</v>
      </c>
      <c r="D686" s="60">
        <v>29.4</v>
      </c>
      <c r="E686" s="60">
        <v>0.68</v>
      </c>
      <c r="F686" s="60">
        <v>7539</v>
      </c>
      <c r="G686" s="60">
        <v>0.02</v>
      </c>
      <c r="H686" s="60">
        <v>41.82</v>
      </c>
      <c r="I686" s="60">
        <v>1.57</v>
      </c>
      <c r="J686" s="60">
        <v>6.34</v>
      </c>
      <c r="O686" s="60" t="s">
        <v>1152</v>
      </c>
      <c r="P686" s="60" t="s">
        <v>1514</v>
      </c>
      <c r="Q686" s="60" t="s">
        <v>4025</v>
      </c>
      <c r="R686" s="60">
        <v>29.4</v>
      </c>
      <c r="S686" s="60">
        <v>0.68</v>
      </c>
      <c r="T686" s="60">
        <v>7539</v>
      </c>
      <c r="U686" s="60">
        <v>56.28</v>
      </c>
    </row>
    <row r="687" spans="1:21">
      <c r="A687" s="60" t="s">
        <v>1154</v>
      </c>
      <c r="B687" s="60" t="s">
        <v>1516</v>
      </c>
      <c r="C687" s="60" t="s">
        <v>4965</v>
      </c>
      <c r="D687" s="60">
        <v>29.4</v>
      </c>
      <c r="E687" s="60">
        <v>-4.55</v>
      </c>
      <c r="F687" s="60">
        <v>3421</v>
      </c>
      <c r="G687" s="60">
        <v>1.36</v>
      </c>
      <c r="H687" s="60">
        <v>4.6500000000000004</v>
      </c>
      <c r="I687" s="60">
        <v>43.42</v>
      </c>
      <c r="J687" s="60">
        <v>0</v>
      </c>
      <c r="O687" s="60" t="s">
        <v>1154</v>
      </c>
      <c r="P687" s="60" t="s">
        <v>1516</v>
      </c>
      <c r="Q687" s="60" t="s">
        <v>4965</v>
      </c>
      <c r="R687" s="60">
        <v>29.4</v>
      </c>
      <c r="S687" s="60">
        <v>-4.55</v>
      </c>
      <c r="T687" s="60">
        <v>3421</v>
      </c>
      <c r="U687" s="60">
        <v>32.99</v>
      </c>
    </row>
    <row r="688" spans="1:21">
      <c r="A688" s="60" t="s">
        <v>1156</v>
      </c>
      <c r="B688" s="60" t="s">
        <v>1518</v>
      </c>
      <c r="C688" s="60" t="s">
        <v>4822</v>
      </c>
      <c r="D688" s="60">
        <v>29.7</v>
      </c>
      <c r="E688" s="60">
        <v>3.85</v>
      </c>
      <c r="F688" s="60">
        <v>1492</v>
      </c>
      <c r="G688" s="60">
        <v>1.63</v>
      </c>
      <c r="H688" s="60">
        <v>5.44</v>
      </c>
      <c r="I688" s="60">
        <v>26.99</v>
      </c>
      <c r="J688" s="60">
        <v>0</v>
      </c>
      <c r="O688" s="60" t="s">
        <v>1156</v>
      </c>
      <c r="P688" s="60" t="s">
        <v>1518</v>
      </c>
      <c r="Q688" s="60" t="s">
        <v>4822</v>
      </c>
      <c r="R688" s="60">
        <v>29.7</v>
      </c>
      <c r="S688" s="60">
        <v>3.85</v>
      </c>
      <c r="T688" s="60">
        <v>1492</v>
      </c>
      <c r="U688" s="60">
        <v>7.69</v>
      </c>
    </row>
    <row r="689" spans="1:21">
      <c r="A689" s="60" t="s">
        <v>1158</v>
      </c>
      <c r="B689" s="60" t="s">
        <v>1520</v>
      </c>
      <c r="C689" s="60" t="s">
        <v>4876</v>
      </c>
      <c r="D689" s="60">
        <v>26.5</v>
      </c>
      <c r="E689" s="60">
        <v>1.1499999999999999</v>
      </c>
      <c r="F689" s="60">
        <v>379</v>
      </c>
      <c r="G689" s="60">
        <v>0.05</v>
      </c>
      <c r="H689" s="60">
        <v>9.75</v>
      </c>
      <c r="I689" s="60">
        <v>14.43</v>
      </c>
      <c r="J689" s="60">
        <v>0</v>
      </c>
      <c r="O689" s="60" t="s">
        <v>1158</v>
      </c>
      <c r="P689" s="60" t="s">
        <v>1520</v>
      </c>
      <c r="Q689" s="60" t="s">
        <v>4876</v>
      </c>
      <c r="R689" s="60">
        <v>26.5</v>
      </c>
      <c r="S689" s="60">
        <v>1.1499999999999999</v>
      </c>
      <c r="T689" s="60">
        <v>379</v>
      </c>
      <c r="U689" s="60">
        <v>23.74</v>
      </c>
    </row>
    <row r="690" spans="1:21">
      <c r="A690" s="60" t="s">
        <v>1160</v>
      </c>
      <c r="B690" s="60" t="s">
        <v>1522</v>
      </c>
      <c r="C690" s="60" t="s">
        <v>5091</v>
      </c>
      <c r="D690" s="60">
        <v>16.899999999999999</v>
      </c>
      <c r="E690" s="60">
        <v>0</v>
      </c>
      <c r="F690" s="60">
        <v>40</v>
      </c>
      <c r="G690" s="60">
        <v>0.16</v>
      </c>
      <c r="H690" s="60">
        <v>7.5</v>
      </c>
      <c r="I690" s="60">
        <v>93.9</v>
      </c>
      <c r="J690" s="60">
        <v>0</v>
      </c>
      <c r="O690" s="60" t="s">
        <v>1160</v>
      </c>
      <c r="P690" s="60" t="s">
        <v>1522</v>
      </c>
      <c r="Q690" s="60" t="s">
        <v>5091</v>
      </c>
      <c r="R690" s="60">
        <v>16.899999999999999</v>
      </c>
      <c r="S690" s="60">
        <v>0</v>
      </c>
      <c r="T690" s="60">
        <v>40</v>
      </c>
      <c r="U690" s="60">
        <v>58.28</v>
      </c>
    </row>
    <row r="691" spans="1:21">
      <c r="A691" s="60" t="s">
        <v>1162</v>
      </c>
      <c r="B691" s="60" t="s">
        <v>1524</v>
      </c>
      <c r="C691" s="60" t="s">
        <v>3970</v>
      </c>
      <c r="D691" s="60">
        <v>70.900000000000006</v>
      </c>
      <c r="E691" s="60">
        <v>1</v>
      </c>
      <c r="F691" s="60">
        <v>544</v>
      </c>
      <c r="G691" s="60">
        <v>0.03</v>
      </c>
      <c r="H691" s="60">
        <v>8.18</v>
      </c>
      <c r="I691" s="60">
        <v>18.920000000000002</v>
      </c>
      <c r="J691" s="60">
        <v>0</v>
      </c>
      <c r="O691" s="60" t="s">
        <v>1162</v>
      </c>
      <c r="P691" s="60" t="s">
        <v>1524</v>
      </c>
      <c r="Q691" s="60" t="s">
        <v>3970</v>
      </c>
      <c r="R691" s="60">
        <v>70.900000000000006</v>
      </c>
      <c r="S691" s="60">
        <v>1</v>
      </c>
      <c r="T691" s="60">
        <v>544</v>
      </c>
      <c r="U691" s="60">
        <v>19.04</v>
      </c>
    </row>
    <row r="692" spans="1:21">
      <c r="A692" s="60" t="s">
        <v>1164</v>
      </c>
      <c r="B692" s="60" t="s">
        <v>3210</v>
      </c>
      <c r="C692" s="60" t="s">
        <v>4664</v>
      </c>
      <c r="D692" s="60">
        <v>29.95</v>
      </c>
      <c r="E692" s="60">
        <v>3.99</v>
      </c>
      <c r="F692" s="60">
        <v>195</v>
      </c>
      <c r="G692" s="60">
        <v>0</v>
      </c>
      <c r="H692" s="60">
        <v>17.579999999999998</v>
      </c>
      <c r="I692" s="60">
        <v>0</v>
      </c>
      <c r="J692" s="60">
        <v>0.05</v>
      </c>
      <c r="O692" s="60" t="s">
        <v>1164</v>
      </c>
      <c r="P692" s="60" t="s">
        <v>3210</v>
      </c>
      <c r="Q692" s="60" t="s">
        <v>4664</v>
      </c>
      <c r="R692" s="60">
        <v>29.95</v>
      </c>
      <c r="S692" s="60">
        <v>3.99</v>
      </c>
      <c r="T692" s="60">
        <v>195</v>
      </c>
      <c r="U692" s="60">
        <v>44.03</v>
      </c>
    </row>
    <row r="693" spans="1:21">
      <c r="A693" s="60" t="s">
        <v>1166</v>
      </c>
      <c r="B693" s="60" t="s">
        <v>1527</v>
      </c>
      <c r="C693" s="60" t="s">
        <v>4665</v>
      </c>
      <c r="D693" s="60">
        <v>94</v>
      </c>
      <c r="E693" s="60">
        <v>9.94</v>
      </c>
      <c r="F693" s="60">
        <v>35842</v>
      </c>
      <c r="G693" s="60">
        <v>11.3</v>
      </c>
      <c r="H693" s="60">
        <v>7.82</v>
      </c>
      <c r="I693" s="60">
        <v>27.63</v>
      </c>
      <c r="J693" s="60">
        <v>0.01</v>
      </c>
      <c r="O693" s="60" t="s">
        <v>1166</v>
      </c>
      <c r="P693" s="60" t="s">
        <v>1527</v>
      </c>
      <c r="Q693" s="60" t="s">
        <v>4665</v>
      </c>
      <c r="R693" s="60">
        <v>94</v>
      </c>
      <c r="S693" s="60">
        <v>9.94</v>
      </c>
      <c r="T693" s="60">
        <v>35842</v>
      </c>
      <c r="U693" s="60">
        <v>14.55</v>
      </c>
    </row>
    <row r="694" spans="1:21">
      <c r="A694" s="60" t="s">
        <v>1168</v>
      </c>
      <c r="B694" s="60" t="s">
        <v>1529</v>
      </c>
      <c r="C694" s="60" t="s">
        <v>4666</v>
      </c>
      <c r="D694" s="60">
        <v>57.6</v>
      </c>
      <c r="E694" s="60">
        <v>1.77</v>
      </c>
      <c r="F694" s="60">
        <v>12121</v>
      </c>
      <c r="G694" s="60">
        <v>0.14000000000000001</v>
      </c>
      <c r="H694" s="60">
        <v>33.29</v>
      </c>
      <c r="I694" s="60">
        <v>11.21</v>
      </c>
      <c r="J694" s="60">
        <v>5.65</v>
      </c>
      <c r="O694" s="60" t="s">
        <v>1168</v>
      </c>
      <c r="P694" s="60" t="s">
        <v>1529</v>
      </c>
      <c r="Q694" s="60" t="s">
        <v>4666</v>
      </c>
      <c r="R694" s="60">
        <v>57.6</v>
      </c>
      <c r="S694" s="60">
        <v>1.77</v>
      </c>
      <c r="T694" s="60">
        <v>12121</v>
      </c>
      <c r="U694" s="60">
        <v>57.93</v>
      </c>
    </row>
    <row r="695" spans="1:21">
      <c r="A695" s="60" t="s">
        <v>1170</v>
      </c>
      <c r="B695" s="60" t="s">
        <v>1531</v>
      </c>
      <c r="C695" s="60" t="s">
        <v>4667</v>
      </c>
      <c r="D695" s="60">
        <v>32.9</v>
      </c>
      <c r="E695" s="60">
        <v>1.7</v>
      </c>
      <c r="F695" s="60">
        <v>880</v>
      </c>
      <c r="G695" s="60">
        <v>0.04</v>
      </c>
      <c r="H695" s="60">
        <v>7.05</v>
      </c>
      <c r="I695" s="60">
        <v>4.4400000000000004</v>
      </c>
      <c r="J695" s="60">
        <v>0</v>
      </c>
      <c r="O695" s="60" t="s">
        <v>1170</v>
      </c>
      <c r="P695" s="60" t="s">
        <v>1531</v>
      </c>
      <c r="Q695" s="60" t="s">
        <v>4667</v>
      </c>
      <c r="R695" s="60">
        <v>32.9</v>
      </c>
      <c r="S695" s="60">
        <v>1.7</v>
      </c>
      <c r="T695" s="60">
        <v>880</v>
      </c>
      <c r="U695" s="60">
        <v>58.94</v>
      </c>
    </row>
    <row r="696" spans="1:21">
      <c r="A696" s="60" t="s">
        <v>1172</v>
      </c>
      <c r="B696" s="60" t="s">
        <v>1533</v>
      </c>
      <c r="C696" s="60" t="s">
        <v>4332</v>
      </c>
      <c r="D696" s="60">
        <v>13.65</v>
      </c>
      <c r="E696" s="60">
        <v>-0.36</v>
      </c>
      <c r="F696" s="60">
        <v>66</v>
      </c>
      <c r="G696" s="60">
        <v>0</v>
      </c>
      <c r="H696" s="60">
        <v>7.08</v>
      </c>
      <c r="I696" s="60">
        <v>0.56000000000000005</v>
      </c>
      <c r="J696" s="60">
        <v>0</v>
      </c>
      <c r="O696" s="60" t="s">
        <v>1172</v>
      </c>
      <c r="P696" s="60" t="s">
        <v>1533</v>
      </c>
      <c r="Q696" s="60" t="s">
        <v>4332</v>
      </c>
      <c r="R696" s="60">
        <v>13.65</v>
      </c>
      <c r="S696" s="60">
        <v>-0.36</v>
      </c>
      <c r="T696" s="60">
        <v>66</v>
      </c>
      <c r="U696" s="60">
        <v>88.74</v>
      </c>
    </row>
    <row r="697" spans="1:21">
      <c r="A697" s="60" t="s">
        <v>1174</v>
      </c>
      <c r="B697" s="60" t="s">
        <v>3211</v>
      </c>
      <c r="C697" s="60" t="s">
        <v>4668</v>
      </c>
      <c r="D697" s="60">
        <v>30.7</v>
      </c>
      <c r="E697" s="60">
        <v>2.33</v>
      </c>
      <c r="F697" s="60">
        <v>184</v>
      </c>
      <c r="G697" s="60">
        <v>0</v>
      </c>
      <c r="H697" s="60">
        <v>0.62</v>
      </c>
      <c r="I697" s="60">
        <v>6.7</v>
      </c>
      <c r="J697" s="60">
        <v>0</v>
      </c>
      <c r="O697" s="60" t="s">
        <v>1174</v>
      </c>
      <c r="P697" s="60" t="s">
        <v>3211</v>
      </c>
      <c r="Q697" s="60" t="s">
        <v>4668</v>
      </c>
      <c r="R697" s="60">
        <v>30.7</v>
      </c>
      <c r="S697" s="60">
        <v>2.33</v>
      </c>
      <c r="T697" s="60">
        <v>184</v>
      </c>
      <c r="U697" s="60">
        <v>25.65</v>
      </c>
    </row>
    <row r="698" spans="1:21">
      <c r="A698" s="60" t="s">
        <v>1176</v>
      </c>
      <c r="B698" s="60" t="s">
        <v>1535</v>
      </c>
      <c r="C698" s="60" t="s">
        <v>4734</v>
      </c>
      <c r="D698" s="60">
        <v>40.1</v>
      </c>
      <c r="E698" s="60">
        <v>0.75</v>
      </c>
      <c r="F698" s="60">
        <v>62</v>
      </c>
      <c r="G698" s="60">
        <v>0.32</v>
      </c>
      <c r="H698" s="60">
        <v>0.73</v>
      </c>
      <c r="I698" s="60">
        <v>18.440000000000001</v>
      </c>
      <c r="J698" s="60">
        <v>7.0000000000000007E-2</v>
      </c>
      <c r="O698" s="60" t="s">
        <v>1176</v>
      </c>
      <c r="P698" s="60" t="s">
        <v>1535</v>
      </c>
      <c r="Q698" s="60" t="s">
        <v>4734</v>
      </c>
      <c r="R698" s="60">
        <v>40.1</v>
      </c>
      <c r="S698" s="60">
        <v>0.75</v>
      </c>
      <c r="T698" s="60">
        <v>62</v>
      </c>
      <c r="U698" s="60">
        <v>45.75</v>
      </c>
    </row>
    <row r="699" spans="1:21">
      <c r="A699" s="60" t="s">
        <v>1178</v>
      </c>
      <c r="B699" s="60" t="s">
        <v>3212</v>
      </c>
      <c r="C699" s="60" t="s">
        <v>4877</v>
      </c>
      <c r="D699" s="60">
        <v>17.3</v>
      </c>
      <c r="E699" s="60">
        <v>3.9</v>
      </c>
      <c r="F699" s="60">
        <v>472</v>
      </c>
      <c r="G699" s="60">
        <v>0</v>
      </c>
      <c r="H699" s="60">
        <v>0.44</v>
      </c>
      <c r="I699" s="60">
        <v>0</v>
      </c>
      <c r="J699" s="60">
        <v>0</v>
      </c>
      <c r="O699" s="60" t="s">
        <v>1178</v>
      </c>
      <c r="P699" s="60" t="s">
        <v>3212</v>
      </c>
      <c r="Q699" s="60" t="s">
        <v>4877</v>
      </c>
      <c r="R699" s="60">
        <v>17.3</v>
      </c>
      <c r="S699" s="60">
        <v>3.9</v>
      </c>
      <c r="T699" s="60">
        <v>472</v>
      </c>
      <c r="U699" s="60">
        <v>61.93</v>
      </c>
    </row>
    <row r="700" spans="1:21">
      <c r="A700" s="60" t="s">
        <v>1180</v>
      </c>
      <c r="B700" s="60" t="s">
        <v>1538</v>
      </c>
      <c r="C700" s="60" t="s">
        <v>5129</v>
      </c>
      <c r="D700" s="60">
        <v>12.35</v>
      </c>
      <c r="E700" s="60">
        <v>-0.4</v>
      </c>
      <c r="F700" s="60">
        <v>31</v>
      </c>
      <c r="G700" s="60">
        <v>0</v>
      </c>
      <c r="H700" s="60">
        <v>0.65</v>
      </c>
      <c r="I700" s="60">
        <v>16.68</v>
      </c>
      <c r="J700" s="60">
        <v>0</v>
      </c>
      <c r="O700" s="60" t="s">
        <v>1180</v>
      </c>
      <c r="P700" s="60" t="s">
        <v>1538</v>
      </c>
      <c r="Q700" s="60" t="s">
        <v>5129</v>
      </c>
      <c r="R700" s="60">
        <v>12.35</v>
      </c>
      <c r="S700" s="60">
        <v>-0.4</v>
      </c>
      <c r="T700" s="60">
        <v>31</v>
      </c>
      <c r="U700" s="60">
        <v>54.17</v>
      </c>
    </row>
    <row r="701" spans="1:21">
      <c r="A701" s="60" t="s">
        <v>1182</v>
      </c>
      <c r="B701" s="60" t="s">
        <v>1540</v>
      </c>
      <c r="C701" s="60" t="s">
        <v>5009</v>
      </c>
      <c r="D701" s="60">
        <v>20.3</v>
      </c>
      <c r="E701" s="60">
        <v>-1.22</v>
      </c>
      <c r="F701" s="60">
        <v>34</v>
      </c>
      <c r="G701" s="60">
        <v>0</v>
      </c>
      <c r="H701" s="60">
        <v>0.8</v>
      </c>
      <c r="I701" s="60">
        <v>17.940000000000001</v>
      </c>
      <c r="J701" s="60">
        <v>0</v>
      </c>
      <c r="O701" s="60" t="s">
        <v>1182</v>
      </c>
      <c r="P701" s="60" t="s">
        <v>1540</v>
      </c>
      <c r="Q701" s="60" t="s">
        <v>5009</v>
      </c>
      <c r="R701" s="60">
        <v>20.3</v>
      </c>
      <c r="S701" s="60">
        <v>-1.22</v>
      </c>
      <c r="T701" s="60">
        <v>34</v>
      </c>
      <c r="U701" s="60">
        <v>45.23</v>
      </c>
    </row>
    <row r="702" spans="1:21">
      <c r="A702" s="60" t="s">
        <v>1184</v>
      </c>
      <c r="B702" s="60" t="s">
        <v>1542</v>
      </c>
      <c r="C702" s="60" t="s">
        <v>4735</v>
      </c>
      <c r="D702" s="60">
        <v>18.3</v>
      </c>
      <c r="E702" s="60">
        <v>0.55000000000000004</v>
      </c>
      <c r="F702" s="60">
        <v>65</v>
      </c>
      <c r="G702" s="60">
        <v>0.03</v>
      </c>
      <c r="H702" s="60">
        <v>0.49</v>
      </c>
      <c r="I702" s="60">
        <v>14.67</v>
      </c>
      <c r="J702" s="60">
        <v>0</v>
      </c>
      <c r="O702" s="60" t="s">
        <v>1184</v>
      </c>
      <c r="P702" s="60" t="s">
        <v>1542</v>
      </c>
      <c r="Q702" s="60" t="s">
        <v>4735</v>
      </c>
      <c r="R702" s="60">
        <v>18.3</v>
      </c>
      <c r="S702" s="60">
        <v>0.55000000000000004</v>
      </c>
      <c r="T702" s="60">
        <v>65</v>
      </c>
      <c r="U702" s="60">
        <v>48.77</v>
      </c>
    </row>
    <row r="703" spans="1:21">
      <c r="A703" s="60" t="s">
        <v>1186</v>
      </c>
      <c r="B703" s="60" t="s">
        <v>3213</v>
      </c>
      <c r="C703" s="60" t="s">
        <v>4878</v>
      </c>
      <c r="D703" s="60">
        <v>16.100000000000001</v>
      </c>
      <c r="E703" s="60">
        <v>-0.62</v>
      </c>
      <c r="F703" s="60">
        <v>20</v>
      </c>
      <c r="G703" s="60">
        <v>0</v>
      </c>
      <c r="H703" s="60">
        <v>0.3</v>
      </c>
      <c r="I703" s="60">
        <v>0</v>
      </c>
      <c r="J703" s="60">
        <v>0</v>
      </c>
      <c r="O703" s="60" t="s">
        <v>1186</v>
      </c>
      <c r="P703" s="60" t="s">
        <v>3213</v>
      </c>
      <c r="Q703" s="60" t="s">
        <v>4878</v>
      </c>
      <c r="R703" s="60">
        <v>16.100000000000001</v>
      </c>
      <c r="S703" s="60">
        <v>-0.62</v>
      </c>
      <c r="T703" s="60">
        <v>20</v>
      </c>
      <c r="U703" s="60">
        <v>29.9</v>
      </c>
    </row>
    <row r="704" spans="1:21">
      <c r="A704" s="60" t="s">
        <v>1188</v>
      </c>
      <c r="B704" s="60" t="s">
        <v>1545</v>
      </c>
      <c r="C704" s="60" t="s">
        <v>5010</v>
      </c>
      <c r="D704" s="60">
        <v>56.5</v>
      </c>
      <c r="E704" s="60">
        <v>-1.74</v>
      </c>
      <c r="F704" s="60">
        <v>675</v>
      </c>
      <c r="G704" s="60">
        <v>0.01</v>
      </c>
      <c r="H704" s="60">
        <v>6.38</v>
      </c>
      <c r="I704" s="60">
        <v>19.14</v>
      </c>
      <c r="J704" s="60">
        <v>0</v>
      </c>
      <c r="O704" s="60" t="s">
        <v>1188</v>
      </c>
      <c r="P704" s="60" t="s">
        <v>1545</v>
      </c>
      <c r="Q704" s="60" t="s">
        <v>5010</v>
      </c>
      <c r="R704" s="60">
        <v>56.5</v>
      </c>
      <c r="S704" s="60">
        <v>-1.74</v>
      </c>
      <c r="T704" s="60">
        <v>675</v>
      </c>
      <c r="U704" s="60">
        <v>10.28</v>
      </c>
    </row>
    <row r="705" spans="1:21">
      <c r="A705" s="60" t="s">
        <v>1190</v>
      </c>
      <c r="B705" s="60" t="s">
        <v>1547</v>
      </c>
      <c r="C705" s="60" t="s">
        <v>4879</v>
      </c>
      <c r="D705" s="60">
        <v>16.350000000000001</v>
      </c>
      <c r="E705" s="60">
        <v>4.8099999999999996</v>
      </c>
      <c r="F705" s="60">
        <v>4441</v>
      </c>
      <c r="G705" s="60">
        <v>0.01</v>
      </c>
      <c r="H705" s="60">
        <v>1.17</v>
      </c>
      <c r="I705" s="60">
        <v>15.35</v>
      </c>
      <c r="J705" s="60">
        <v>0</v>
      </c>
      <c r="O705" s="60" t="s">
        <v>1190</v>
      </c>
      <c r="P705" s="60" t="s">
        <v>1547</v>
      </c>
      <c r="Q705" s="60" t="s">
        <v>4879</v>
      </c>
      <c r="R705" s="60">
        <v>16.350000000000001</v>
      </c>
      <c r="S705" s="60">
        <v>4.8099999999999996</v>
      </c>
      <c r="T705" s="60">
        <v>4441</v>
      </c>
      <c r="U705" s="60">
        <v>34.33</v>
      </c>
    </row>
    <row r="706" spans="1:21">
      <c r="A706" s="60" t="s">
        <v>1192</v>
      </c>
      <c r="B706" s="60" t="s">
        <v>1549</v>
      </c>
      <c r="C706" s="60" t="s">
        <v>5177</v>
      </c>
      <c r="D706" s="60">
        <v>809</v>
      </c>
      <c r="E706" s="60">
        <v>-0.25</v>
      </c>
      <c r="F706" s="60">
        <v>280</v>
      </c>
      <c r="G706" s="60">
        <v>0.26</v>
      </c>
      <c r="H706" s="60">
        <v>31.59</v>
      </c>
      <c r="I706" s="60">
        <v>10.7</v>
      </c>
      <c r="J706" s="60">
        <v>0.43</v>
      </c>
      <c r="O706" s="60" t="s">
        <v>1192</v>
      </c>
      <c r="P706" s="60" t="s">
        <v>1549</v>
      </c>
      <c r="Q706" s="60" t="s">
        <v>5177</v>
      </c>
      <c r="R706" s="60">
        <v>809</v>
      </c>
      <c r="S706" s="60">
        <v>-0.25</v>
      </c>
      <c r="T706" s="60">
        <v>280</v>
      </c>
      <c r="U706" s="60">
        <v>28.95</v>
      </c>
    </row>
    <row r="707" spans="1:21">
      <c r="A707" s="60" t="s">
        <v>1193</v>
      </c>
      <c r="B707" s="60" t="s">
        <v>1551</v>
      </c>
      <c r="C707" s="60" t="s">
        <v>4880</v>
      </c>
      <c r="D707" s="60">
        <v>22.8</v>
      </c>
      <c r="E707" s="60">
        <v>1.33</v>
      </c>
      <c r="F707" s="60">
        <v>910</v>
      </c>
      <c r="G707" s="60">
        <v>0.41</v>
      </c>
      <c r="H707" s="60">
        <v>7.41</v>
      </c>
      <c r="I707" s="60">
        <v>29.29</v>
      </c>
      <c r="J707" s="60">
        <v>0</v>
      </c>
      <c r="O707" s="60" t="s">
        <v>1193</v>
      </c>
      <c r="P707" s="60" t="s">
        <v>1551</v>
      </c>
      <c r="Q707" s="60" t="s">
        <v>4880</v>
      </c>
      <c r="R707" s="60">
        <v>22.8</v>
      </c>
      <c r="S707" s="60">
        <v>1.33</v>
      </c>
      <c r="T707" s="60">
        <v>910</v>
      </c>
      <c r="U707" s="60">
        <v>59.76</v>
      </c>
    </row>
    <row r="708" spans="1:21">
      <c r="A708" s="60" t="s">
        <v>1195</v>
      </c>
      <c r="B708" s="60" t="s">
        <v>1553</v>
      </c>
      <c r="C708" s="60" t="s">
        <v>4188</v>
      </c>
      <c r="D708" s="60">
        <v>18.399999999999999</v>
      </c>
      <c r="E708" s="60">
        <v>1.66</v>
      </c>
      <c r="F708" s="60">
        <v>146</v>
      </c>
      <c r="G708" s="60">
        <v>0.09</v>
      </c>
      <c r="H708" s="60">
        <v>2.54</v>
      </c>
      <c r="I708" s="60">
        <v>32.44</v>
      </c>
      <c r="J708" s="60">
        <v>0</v>
      </c>
      <c r="O708" s="60" t="s">
        <v>1195</v>
      </c>
      <c r="P708" s="60" t="s">
        <v>1553</v>
      </c>
      <c r="Q708" s="60" t="s">
        <v>4188</v>
      </c>
      <c r="R708" s="60">
        <v>18.399999999999999</v>
      </c>
      <c r="S708" s="60">
        <v>1.66</v>
      </c>
      <c r="T708" s="60">
        <v>146</v>
      </c>
      <c r="U708" s="60">
        <v>64.37</v>
      </c>
    </row>
    <row r="709" spans="1:21">
      <c r="A709" s="60" t="s">
        <v>1196</v>
      </c>
      <c r="B709" s="60" t="s">
        <v>1555</v>
      </c>
      <c r="C709" s="60" t="s">
        <v>4777</v>
      </c>
      <c r="D709" s="60">
        <v>19.399999999999999</v>
      </c>
      <c r="E709" s="60">
        <v>1.31</v>
      </c>
      <c r="F709" s="60">
        <v>167</v>
      </c>
      <c r="G709" s="60">
        <v>0.25</v>
      </c>
      <c r="H709" s="60">
        <v>0.68</v>
      </c>
      <c r="I709" s="60">
        <v>11.12</v>
      </c>
      <c r="J709" s="60">
        <v>0</v>
      </c>
      <c r="O709" s="60" t="s">
        <v>1196</v>
      </c>
      <c r="P709" s="60" t="s">
        <v>1555</v>
      </c>
      <c r="Q709" s="60" t="s">
        <v>4777</v>
      </c>
      <c r="R709" s="60">
        <v>19.399999999999999</v>
      </c>
      <c r="S709" s="60">
        <v>1.31</v>
      </c>
      <c r="T709" s="60">
        <v>167</v>
      </c>
      <c r="U709" s="60">
        <v>39.1</v>
      </c>
    </row>
    <row r="710" spans="1:21">
      <c r="A710" s="60" t="s">
        <v>1198</v>
      </c>
      <c r="B710" s="60" t="s">
        <v>1557</v>
      </c>
      <c r="C710" s="60" t="s">
        <v>5011</v>
      </c>
      <c r="D710" s="60">
        <v>26.4</v>
      </c>
      <c r="E710" s="60">
        <v>-0.19</v>
      </c>
      <c r="F710" s="60">
        <v>163</v>
      </c>
      <c r="G710" s="60">
        <v>0</v>
      </c>
      <c r="H710" s="60">
        <v>3.69</v>
      </c>
      <c r="I710" s="60">
        <v>11.92</v>
      </c>
      <c r="J710" s="60">
        <v>0</v>
      </c>
      <c r="O710" s="60" t="s">
        <v>1198</v>
      </c>
      <c r="P710" s="60" t="s">
        <v>1557</v>
      </c>
      <c r="Q710" s="60" t="s">
        <v>5011</v>
      </c>
      <c r="R710" s="60">
        <v>26.4</v>
      </c>
      <c r="S710" s="60">
        <v>-0.19</v>
      </c>
      <c r="T710" s="60">
        <v>163</v>
      </c>
      <c r="U710" s="60">
        <v>39.67</v>
      </c>
    </row>
    <row r="711" spans="1:21">
      <c r="A711" s="60" t="s">
        <v>1200</v>
      </c>
      <c r="B711" s="60" t="s">
        <v>1559</v>
      </c>
      <c r="C711" s="60" t="s">
        <v>4280</v>
      </c>
      <c r="D711" s="60">
        <v>86.7</v>
      </c>
      <c r="E711" s="60">
        <v>-1.92</v>
      </c>
      <c r="F711" s="60">
        <v>6189</v>
      </c>
      <c r="G711" s="60">
        <v>1.94</v>
      </c>
      <c r="H711" s="60">
        <v>10.81</v>
      </c>
      <c r="I711" s="60">
        <v>33.56</v>
      </c>
      <c r="J711" s="60">
        <v>0.24</v>
      </c>
      <c r="O711" s="60" t="s">
        <v>1200</v>
      </c>
      <c r="P711" s="60" t="s">
        <v>1559</v>
      </c>
      <c r="Q711" s="60" t="s">
        <v>4280</v>
      </c>
      <c r="R711" s="60">
        <v>86.7</v>
      </c>
      <c r="S711" s="60">
        <v>-1.92</v>
      </c>
      <c r="T711" s="60">
        <v>6189</v>
      </c>
      <c r="U711" s="60">
        <v>43.8</v>
      </c>
    </row>
    <row r="712" spans="1:21">
      <c r="A712" s="60" t="s">
        <v>1202</v>
      </c>
      <c r="B712" s="60" t="s">
        <v>1561</v>
      </c>
      <c r="C712" s="60" t="s">
        <v>4823</v>
      </c>
      <c r="D712" s="60">
        <v>29.7</v>
      </c>
      <c r="E712" s="60">
        <v>3.48</v>
      </c>
      <c r="F712" s="60">
        <v>604</v>
      </c>
      <c r="G712" s="60">
        <v>0.04</v>
      </c>
      <c r="H712" s="60">
        <v>3.8</v>
      </c>
      <c r="I712" s="60">
        <v>9.6</v>
      </c>
      <c r="J712" s="60">
        <v>0</v>
      </c>
      <c r="O712" s="60" t="s">
        <v>1202</v>
      </c>
      <c r="P712" s="60" t="s">
        <v>1561</v>
      </c>
      <c r="Q712" s="60" t="s">
        <v>4823</v>
      </c>
      <c r="R712" s="60">
        <v>29.7</v>
      </c>
      <c r="S712" s="60">
        <v>3.48</v>
      </c>
      <c r="T712" s="60">
        <v>604</v>
      </c>
      <c r="U712" s="60">
        <v>46.61</v>
      </c>
    </row>
    <row r="713" spans="1:21">
      <c r="A713" s="60" t="s">
        <v>1203</v>
      </c>
      <c r="B713" s="60" t="s">
        <v>3214</v>
      </c>
      <c r="C713" s="60" t="s">
        <v>4189</v>
      </c>
      <c r="D713" s="60">
        <v>8.07</v>
      </c>
      <c r="E713" s="60">
        <v>3.73</v>
      </c>
      <c r="F713" s="60">
        <v>83</v>
      </c>
      <c r="G713" s="60">
        <v>0</v>
      </c>
      <c r="H713" s="60">
        <v>0.26</v>
      </c>
      <c r="I713" s="60">
        <v>0</v>
      </c>
      <c r="J713" s="60">
        <v>0</v>
      </c>
      <c r="O713" s="60" t="s">
        <v>1203</v>
      </c>
      <c r="P713" s="60" t="s">
        <v>3214</v>
      </c>
      <c r="Q713" s="60" t="s">
        <v>4189</v>
      </c>
      <c r="R713" s="60">
        <v>8.07</v>
      </c>
      <c r="S713" s="60">
        <v>3.73</v>
      </c>
      <c r="T713" s="60">
        <v>83</v>
      </c>
      <c r="U713" s="60">
        <v>74.69</v>
      </c>
    </row>
    <row r="714" spans="1:21">
      <c r="A714" s="60" t="s">
        <v>1205</v>
      </c>
      <c r="B714" s="60" t="s">
        <v>1564</v>
      </c>
      <c r="C714" s="60" t="s">
        <v>4881</v>
      </c>
      <c r="D714" s="60">
        <v>31.15</v>
      </c>
      <c r="E714" s="60">
        <v>-1.1100000000000001</v>
      </c>
      <c r="F714" s="60">
        <v>15</v>
      </c>
      <c r="G714" s="60">
        <v>0.05</v>
      </c>
      <c r="H714" s="60">
        <v>0.09</v>
      </c>
      <c r="I714" s="60">
        <v>26.74</v>
      </c>
      <c r="J714" s="60">
        <v>0</v>
      </c>
      <c r="O714" s="60" t="s">
        <v>1205</v>
      </c>
      <c r="P714" s="60" t="s">
        <v>1564</v>
      </c>
      <c r="Q714" s="60" t="s">
        <v>4881</v>
      </c>
      <c r="R714" s="60">
        <v>31.15</v>
      </c>
      <c r="S714" s="60">
        <v>-1.1100000000000001</v>
      </c>
      <c r="T714" s="60">
        <v>15</v>
      </c>
      <c r="U714" s="60">
        <v>63.56</v>
      </c>
    </row>
    <row r="715" spans="1:21">
      <c r="A715" s="60" t="s">
        <v>1207</v>
      </c>
      <c r="B715" s="60" t="s">
        <v>1566</v>
      </c>
      <c r="C715" s="60" t="s">
        <v>4124</v>
      </c>
      <c r="D715" s="60">
        <v>34.049999999999997</v>
      </c>
      <c r="E715" s="60">
        <v>0.74</v>
      </c>
      <c r="F715" s="60">
        <v>38</v>
      </c>
      <c r="G715" s="60">
        <v>0.01</v>
      </c>
      <c r="H715" s="60">
        <v>0.7</v>
      </c>
      <c r="I715" s="60">
        <v>6.32</v>
      </c>
      <c r="J715" s="60">
        <v>0</v>
      </c>
      <c r="O715" s="60" t="s">
        <v>1207</v>
      </c>
      <c r="P715" s="60" t="s">
        <v>1566</v>
      </c>
      <c r="Q715" s="60" t="s">
        <v>4124</v>
      </c>
      <c r="R715" s="60">
        <v>34.049999999999997</v>
      </c>
      <c r="S715" s="60">
        <v>0.74</v>
      </c>
      <c r="T715" s="60">
        <v>38</v>
      </c>
      <c r="U715" s="60">
        <v>46.14</v>
      </c>
    </row>
    <row r="716" spans="1:21">
      <c r="A716" s="60" t="s">
        <v>1208</v>
      </c>
      <c r="B716" s="60" t="s">
        <v>1568</v>
      </c>
      <c r="C716" s="60" t="s">
        <v>4241</v>
      </c>
      <c r="D716" s="60">
        <v>25.05</v>
      </c>
      <c r="E716" s="60">
        <v>3.73</v>
      </c>
      <c r="F716" s="60">
        <v>3128</v>
      </c>
      <c r="G716" s="60">
        <v>0.01</v>
      </c>
      <c r="H716" s="60">
        <v>7.97</v>
      </c>
      <c r="I716" s="60">
        <v>13.34</v>
      </c>
      <c r="J716" s="60">
        <v>0</v>
      </c>
      <c r="O716" s="60" t="s">
        <v>1208</v>
      </c>
      <c r="P716" s="60" t="s">
        <v>1568</v>
      </c>
      <c r="Q716" s="60" t="s">
        <v>4241</v>
      </c>
      <c r="R716" s="60">
        <v>25.05</v>
      </c>
      <c r="S716" s="60">
        <v>3.73</v>
      </c>
      <c r="T716" s="60">
        <v>3128</v>
      </c>
      <c r="U716" s="60">
        <v>48.32</v>
      </c>
    </row>
    <row r="717" spans="1:21">
      <c r="A717" s="60" t="s">
        <v>1210</v>
      </c>
      <c r="B717" s="60" t="s">
        <v>3215</v>
      </c>
      <c r="C717" s="60" t="s">
        <v>4882</v>
      </c>
      <c r="D717" s="60">
        <v>13</v>
      </c>
      <c r="E717" s="60">
        <v>4</v>
      </c>
      <c r="F717" s="60">
        <v>1182</v>
      </c>
      <c r="G717" s="60">
        <v>0</v>
      </c>
      <c r="H717" s="60">
        <v>2.38</v>
      </c>
      <c r="I717" s="60">
        <v>0</v>
      </c>
      <c r="J717" s="60">
        <v>0</v>
      </c>
      <c r="O717" s="60" t="s">
        <v>1210</v>
      </c>
      <c r="P717" s="60" t="s">
        <v>3215</v>
      </c>
      <c r="Q717" s="60" t="s">
        <v>4882</v>
      </c>
      <c r="R717" s="60">
        <v>13</v>
      </c>
      <c r="S717" s="60">
        <v>4</v>
      </c>
      <c r="T717" s="60">
        <v>1182</v>
      </c>
      <c r="U717" s="60">
        <v>60.84</v>
      </c>
    </row>
    <row r="718" spans="1:21">
      <c r="A718" s="60" t="s">
        <v>1212</v>
      </c>
      <c r="B718" s="60" t="s">
        <v>1571</v>
      </c>
      <c r="C718" s="60" t="s">
        <v>4669</v>
      </c>
      <c r="D718" s="60">
        <v>83.8</v>
      </c>
      <c r="E718" s="60">
        <v>1.58</v>
      </c>
      <c r="F718" s="60">
        <v>3389</v>
      </c>
      <c r="G718" s="60">
        <v>3.05</v>
      </c>
      <c r="H718" s="60">
        <v>5.21</v>
      </c>
      <c r="I718" s="60">
        <v>43.53</v>
      </c>
      <c r="J718" s="60">
        <v>0</v>
      </c>
      <c r="O718" s="60" t="s">
        <v>1212</v>
      </c>
      <c r="P718" s="60" t="s">
        <v>1571</v>
      </c>
      <c r="Q718" s="60" t="s">
        <v>4669</v>
      </c>
      <c r="R718" s="60">
        <v>83.8</v>
      </c>
      <c r="S718" s="60">
        <v>1.58</v>
      </c>
      <c r="T718" s="60">
        <v>3389</v>
      </c>
      <c r="U718" s="60">
        <v>18.86</v>
      </c>
    </row>
    <row r="719" spans="1:21">
      <c r="A719" s="60" t="s">
        <v>1214</v>
      </c>
      <c r="B719" s="60" t="s">
        <v>3216</v>
      </c>
      <c r="C719" s="60" t="s">
        <v>4190</v>
      </c>
      <c r="D719" s="60">
        <v>13.4</v>
      </c>
      <c r="E719" s="60">
        <v>0.37</v>
      </c>
      <c r="F719" s="60">
        <v>299</v>
      </c>
      <c r="G719" s="60">
        <v>0</v>
      </c>
      <c r="H719" s="60">
        <v>0.3</v>
      </c>
      <c r="I719" s="60">
        <v>0</v>
      </c>
      <c r="J719" s="60">
        <v>0</v>
      </c>
      <c r="O719" s="60" t="s">
        <v>1214</v>
      </c>
      <c r="P719" s="60" t="s">
        <v>3216</v>
      </c>
      <c r="Q719" s="60" t="s">
        <v>4190</v>
      </c>
      <c r="R719" s="60">
        <v>13.4</v>
      </c>
      <c r="S719" s="60">
        <v>0.37</v>
      </c>
      <c r="T719" s="60">
        <v>299</v>
      </c>
      <c r="U719" s="60">
        <v>40.46</v>
      </c>
    </row>
    <row r="720" spans="1:21">
      <c r="A720" s="60" t="s">
        <v>1216</v>
      </c>
      <c r="B720" s="60" t="s">
        <v>3217</v>
      </c>
      <c r="C720" s="60" t="s">
        <v>4883</v>
      </c>
      <c r="D720" s="60">
        <v>17.45</v>
      </c>
      <c r="E720" s="60">
        <v>1.75</v>
      </c>
      <c r="F720" s="60">
        <v>426</v>
      </c>
      <c r="G720" s="60">
        <v>0</v>
      </c>
      <c r="H720" s="60">
        <v>2.0099999999999998</v>
      </c>
      <c r="I720" s="60">
        <v>0</v>
      </c>
      <c r="J720" s="60">
        <v>0</v>
      </c>
      <c r="O720" s="60" t="s">
        <v>1216</v>
      </c>
      <c r="P720" s="60" t="s">
        <v>3217</v>
      </c>
      <c r="Q720" s="60" t="s">
        <v>4883</v>
      </c>
      <c r="R720" s="60">
        <v>17.45</v>
      </c>
      <c r="S720" s="60">
        <v>1.75</v>
      </c>
      <c r="T720" s="60">
        <v>426</v>
      </c>
      <c r="U720" s="60">
        <v>29.72</v>
      </c>
    </row>
    <row r="721" spans="1:21">
      <c r="A721" s="60" t="s">
        <v>1217</v>
      </c>
      <c r="B721" s="60" t="s">
        <v>1575</v>
      </c>
      <c r="C721" s="60" t="s">
        <v>4736</v>
      </c>
      <c r="D721" s="60">
        <v>42.45</v>
      </c>
      <c r="E721" s="60">
        <v>-1.39</v>
      </c>
      <c r="F721" s="60">
        <v>830</v>
      </c>
      <c r="G721" s="60">
        <v>0.44</v>
      </c>
      <c r="H721" s="60">
        <v>2.4500000000000002</v>
      </c>
      <c r="I721" s="60">
        <v>25.24</v>
      </c>
      <c r="J721" s="60">
        <v>0</v>
      </c>
      <c r="O721" s="60" t="s">
        <v>1217</v>
      </c>
      <c r="P721" s="60" t="s">
        <v>1575</v>
      </c>
      <c r="Q721" s="60" t="s">
        <v>4736</v>
      </c>
      <c r="R721" s="60">
        <v>42.45</v>
      </c>
      <c r="S721" s="60">
        <v>-1.39</v>
      </c>
      <c r="T721" s="60">
        <v>830</v>
      </c>
      <c r="U721" s="60">
        <v>10.57</v>
      </c>
    </row>
    <row r="722" spans="1:21">
      <c r="A722" s="60" t="s">
        <v>1219</v>
      </c>
      <c r="B722" s="60" t="s">
        <v>1577</v>
      </c>
      <c r="C722" s="60" t="s">
        <v>5012</v>
      </c>
      <c r="D722" s="60">
        <v>186</v>
      </c>
      <c r="E722" s="60">
        <v>4.49</v>
      </c>
      <c r="F722" s="60">
        <v>4091</v>
      </c>
      <c r="G722" s="60">
        <v>1.25</v>
      </c>
      <c r="H722" s="60">
        <v>11.9</v>
      </c>
      <c r="I722" s="60">
        <v>38.07</v>
      </c>
      <c r="J722" s="60">
        <v>2.57</v>
      </c>
      <c r="O722" s="60" t="s">
        <v>1219</v>
      </c>
      <c r="P722" s="60" t="s">
        <v>1577</v>
      </c>
      <c r="Q722" s="60" t="s">
        <v>5012</v>
      </c>
      <c r="R722" s="60">
        <v>186</v>
      </c>
      <c r="S722" s="60">
        <v>4.49</v>
      </c>
      <c r="T722" s="60">
        <v>4091</v>
      </c>
      <c r="U722" s="60">
        <v>26.62</v>
      </c>
    </row>
    <row r="723" spans="1:21">
      <c r="A723" s="60" t="s">
        <v>1221</v>
      </c>
      <c r="B723" s="60" t="s">
        <v>1579</v>
      </c>
      <c r="C723" s="60" t="s">
        <v>4737</v>
      </c>
      <c r="D723" s="60">
        <v>16.100000000000001</v>
      </c>
      <c r="E723" s="60">
        <v>0</v>
      </c>
      <c r="F723" s="60">
        <v>132</v>
      </c>
      <c r="G723" s="60">
        <v>0.04</v>
      </c>
      <c r="H723" s="60">
        <v>0.78</v>
      </c>
      <c r="I723" s="60">
        <v>21.76</v>
      </c>
      <c r="J723" s="60">
        <v>0</v>
      </c>
      <c r="O723" s="60" t="s">
        <v>1221</v>
      </c>
      <c r="P723" s="60" t="s">
        <v>1579</v>
      </c>
      <c r="Q723" s="60" t="s">
        <v>4737</v>
      </c>
      <c r="R723" s="60">
        <v>16.100000000000001</v>
      </c>
      <c r="S723" s="60">
        <v>0</v>
      </c>
      <c r="T723" s="60">
        <v>132</v>
      </c>
      <c r="U723" s="60">
        <v>13.89</v>
      </c>
    </row>
    <row r="724" spans="1:21">
      <c r="A724" s="60" t="s">
        <v>1223</v>
      </c>
      <c r="B724" s="60" t="s">
        <v>1581</v>
      </c>
      <c r="C724" s="60" t="s">
        <v>4884</v>
      </c>
      <c r="D724" s="60">
        <v>39.5</v>
      </c>
      <c r="E724" s="60">
        <v>0</v>
      </c>
      <c r="F724" s="60">
        <v>3</v>
      </c>
      <c r="G724" s="60">
        <v>0</v>
      </c>
      <c r="H724" s="60">
        <v>0.2</v>
      </c>
      <c r="I724" s="60">
        <v>0</v>
      </c>
      <c r="J724" s="60">
        <v>0</v>
      </c>
      <c r="O724" s="60" t="s">
        <v>1223</v>
      </c>
      <c r="P724" s="60" t="s">
        <v>1581</v>
      </c>
      <c r="Q724" s="60" t="s">
        <v>4884</v>
      </c>
      <c r="R724" s="60">
        <v>39.5</v>
      </c>
      <c r="S724" s="60">
        <v>0</v>
      </c>
      <c r="T724" s="60">
        <v>3</v>
      </c>
      <c r="U724" s="60">
        <v>77.83</v>
      </c>
    </row>
    <row r="725" spans="1:21">
      <c r="A725" s="60" t="s">
        <v>1225</v>
      </c>
      <c r="B725" s="60" t="s">
        <v>1583</v>
      </c>
      <c r="C725" s="60" t="s">
        <v>4191</v>
      </c>
      <c r="D725" s="60">
        <v>51</v>
      </c>
      <c r="E725" s="60">
        <v>9.91</v>
      </c>
      <c r="F725" s="60">
        <v>1271</v>
      </c>
      <c r="G725" s="60">
        <v>0.57999999999999996</v>
      </c>
      <c r="H725" s="60">
        <v>1.04</v>
      </c>
      <c r="I725" s="60">
        <v>22.86</v>
      </c>
      <c r="J725" s="60">
        <v>0</v>
      </c>
      <c r="O725" s="60" t="s">
        <v>1225</v>
      </c>
      <c r="P725" s="60" t="s">
        <v>1583</v>
      </c>
      <c r="Q725" s="60" t="s">
        <v>4191</v>
      </c>
      <c r="R725" s="60">
        <v>51</v>
      </c>
      <c r="S725" s="60">
        <v>9.91</v>
      </c>
      <c r="T725" s="60">
        <v>1271</v>
      </c>
      <c r="U725" s="60">
        <v>23.14</v>
      </c>
    </row>
    <row r="726" spans="1:21">
      <c r="A726" s="60" t="s">
        <v>1227</v>
      </c>
      <c r="B726" s="60" t="s">
        <v>3218</v>
      </c>
      <c r="C726" s="60" t="s">
        <v>4778</v>
      </c>
      <c r="D726" s="60">
        <v>19.3</v>
      </c>
      <c r="E726" s="60">
        <v>0.78</v>
      </c>
      <c r="F726" s="60">
        <v>478</v>
      </c>
      <c r="G726" s="60">
        <v>0</v>
      </c>
      <c r="H726" s="60">
        <v>2.73</v>
      </c>
      <c r="I726" s="60">
        <v>0</v>
      </c>
      <c r="J726" s="60">
        <v>0</v>
      </c>
      <c r="O726" s="60" t="s">
        <v>1227</v>
      </c>
      <c r="P726" s="60" t="s">
        <v>3218</v>
      </c>
      <c r="Q726" s="60" t="s">
        <v>4778</v>
      </c>
      <c r="R726" s="60">
        <v>19.3</v>
      </c>
      <c r="S726" s="60">
        <v>0.78</v>
      </c>
      <c r="T726" s="60">
        <v>478</v>
      </c>
      <c r="U726" s="60">
        <v>38.18</v>
      </c>
    </row>
    <row r="727" spans="1:21">
      <c r="A727" s="60" t="s">
        <v>1229</v>
      </c>
      <c r="B727" s="60" t="s">
        <v>1586</v>
      </c>
      <c r="C727" s="60" t="s">
        <v>3935</v>
      </c>
      <c r="D727" s="60">
        <v>45.45</v>
      </c>
      <c r="E727" s="60">
        <v>5.45</v>
      </c>
      <c r="F727" s="60">
        <v>2038</v>
      </c>
      <c r="G727" s="60">
        <v>0.93</v>
      </c>
      <c r="H727" s="60">
        <v>3.36</v>
      </c>
      <c r="I727" s="60">
        <v>24.1</v>
      </c>
      <c r="J727" s="60">
        <v>0</v>
      </c>
      <c r="O727" s="60" t="s">
        <v>1229</v>
      </c>
      <c r="P727" s="60" t="s">
        <v>1586</v>
      </c>
      <c r="Q727" s="60" t="s">
        <v>3935</v>
      </c>
      <c r="R727" s="60">
        <v>45.45</v>
      </c>
      <c r="S727" s="60">
        <v>5.45</v>
      </c>
      <c r="T727" s="60">
        <v>2038</v>
      </c>
      <c r="U727" s="60">
        <v>28.84</v>
      </c>
    </row>
    <row r="728" spans="1:21">
      <c r="A728" s="60" t="s">
        <v>1231</v>
      </c>
      <c r="B728" s="60" t="s">
        <v>1588</v>
      </c>
      <c r="C728" s="60" t="s">
        <v>4885</v>
      </c>
      <c r="D728" s="60">
        <v>19.100000000000001</v>
      </c>
      <c r="E728" s="60">
        <v>-1.29</v>
      </c>
      <c r="F728" s="60">
        <v>1182</v>
      </c>
      <c r="G728" s="60">
        <v>7.0000000000000007E-2</v>
      </c>
      <c r="H728" s="60">
        <v>3.28</v>
      </c>
      <c r="I728" s="60">
        <v>8.42</v>
      </c>
      <c r="J728" s="60">
        <v>0</v>
      </c>
      <c r="O728" s="60" t="s">
        <v>1231</v>
      </c>
      <c r="P728" s="60" t="s">
        <v>1588</v>
      </c>
      <c r="Q728" s="60" t="s">
        <v>4885</v>
      </c>
      <c r="R728" s="60">
        <v>19.100000000000001</v>
      </c>
      <c r="S728" s="60">
        <v>-1.29</v>
      </c>
      <c r="T728" s="60">
        <v>1182</v>
      </c>
      <c r="U728" s="60">
        <v>70.67</v>
      </c>
    </row>
    <row r="729" spans="1:21">
      <c r="A729" s="60" t="s">
        <v>1233</v>
      </c>
      <c r="B729" s="60" t="s">
        <v>1590</v>
      </c>
      <c r="C729" s="60" t="s">
        <v>4070</v>
      </c>
      <c r="D729" s="60">
        <v>32</v>
      </c>
      <c r="E729" s="60">
        <v>0</v>
      </c>
      <c r="F729" s="60">
        <v>278</v>
      </c>
      <c r="G729" s="60">
        <v>0</v>
      </c>
      <c r="H729" s="60">
        <v>6.53</v>
      </c>
      <c r="I729" s="60">
        <v>7.71</v>
      </c>
      <c r="J729" s="60">
        <v>0</v>
      </c>
      <c r="O729" s="60" t="s">
        <v>1233</v>
      </c>
      <c r="P729" s="60" t="s">
        <v>1590</v>
      </c>
      <c r="Q729" s="60" t="s">
        <v>4070</v>
      </c>
      <c r="R729" s="60">
        <v>32</v>
      </c>
      <c r="S729" s="60">
        <v>0</v>
      </c>
      <c r="T729" s="60">
        <v>278</v>
      </c>
      <c r="U729" s="60">
        <v>23.02</v>
      </c>
    </row>
    <row r="730" spans="1:21">
      <c r="A730" s="60" t="s">
        <v>1235</v>
      </c>
      <c r="B730" s="60" t="s">
        <v>3534</v>
      </c>
      <c r="C730" s="60" t="s">
        <v>35</v>
      </c>
      <c r="D730" s="60">
        <v>138.5</v>
      </c>
      <c r="E730" s="60">
        <v>4.1399999999999997</v>
      </c>
      <c r="F730" s="60">
        <v>624</v>
      </c>
      <c r="G730" s="60">
        <v>0</v>
      </c>
      <c r="H730" s="60">
        <v>10.98</v>
      </c>
      <c r="I730" s="60">
        <v>1.3</v>
      </c>
      <c r="J730" s="60">
        <v>0</v>
      </c>
      <c r="O730" s="60" t="s">
        <v>1235</v>
      </c>
      <c r="P730" s="60" t="s">
        <v>3534</v>
      </c>
      <c r="Q730" s="60" t="s">
        <v>35</v>
      </c>
      <c r="R730" s="60">
        <v>138.5</v>
      </c>
      <c r="S730" s="60">
        <v>4.1399999999999997</v>
      </c>
      <c r="T730" s="60">
        <v>624</v>
      </c>
      <c r="U730" s="60">
        <v>45.62</v>
      </c>
    </row>
    <row r="731" spans="1:21">
      <c r="A731" s="60" t="s">
        <v>1237</v>
      </c>
      <c r="B731" s="60" t="s">
        <v>1592</v>
      </c>
      <c r="C731" s="60" t="s">
        <v>4966</v>
      </c>
      <c r="D731" s="60">
        <v>15.2</v>
      </c>
      <c r="E731" s="60">
        <v>-0.33</v>
      </c>
      <c r="F731" s="60">
        <v>210</v>
      </c>
      <c r="G731" s="60">
        <v>0.01</v>
      </c>
      <c r="H731" s="60">
        <v>0.85</v>
      </c>
      <c r="I731" s="60">
        <v>16.3</v>
      </c>
      <c r="J731" s="60">
        <v>0</v>
      </c>
      <c r="O731" s="60" t="s">
        <v>1237</v>
      </c>
      <c r="P731" s="60" t="s">
        <v>1592</v>
      </c>
      <c r="Q731" s="60" t="s">
        <v>4966</v>
      </c>
      <c r="R731" s="60">
        <v>15.2</v>
      </c>
      <c r="S731" s="60">
        <v>-0.33</v>
      </c>
      <c r="T731" s="60">
        <v>210</v>
      </c>
      <c r="U731" s="60">
        <v>15.11</v>
      </c>
    </row>
    <row r="732" spans="1:21">
      <c r="A732" s="60" t="s">
        <v>1239</v>
      </c>
      <c r="B732" s="60" t="s">
        <v>1594</v>
      </c>
      <c r="C732" s="60" t="s">
        <v>3598</v>
      </c>
      <c r="D732" s="60">
        <v>84.2</v>
      </c>
      <c r="E732" s="60">
        <v>1.2</v>
      </c>
      <c r="F732" s="60">
        <v>21112</v>
      </c>
      <c r="G732" s="60">
        <v>1.71</v>
      </c>
      <c r="H732" s="60">
        <v>3.38</v>
      </c>
      <c r="I732" s="60">
        <v>25.27</v>
      </c>
      <c r="J732" s="60">
        <v>0</v>
      </c>
      <c r="O732" s="60" t="s">
        <v>1239</v>
      </c>
      <c r="P732" s="60" t="s">
        <v>1594</v>
      </c>
      <c r="Q732" s="60" t="s">
        <v>3598</v>
      </c>
      <c r="R732" s="60">
        <v>84.2</v>
      </c>
      <c r="S732" s="60">
        <v>1.2</v>
      </c>
      <c r="T732" s="60">
        <v>21112</v>
      </c>
      <c r="U732" s="60">
        <v>52.91</v>
      </c>
    </row>
    <row r="733" spans="1:21">
      <c r="A733" s="60" t="s">
        <v>1241</v>
      </c>
      <c r="B733" s="60" t="s">
        <v>1596</v>
      </c>
      <c r="C733" s="60" t="s">
        <v>4824</v>
      </c>
      <c r="D733" s="60">
        <v>35.1</v>
      </c>
      <c r="E733" s="60">
        <v>1.59</v>
      </c>
      <c r="F733" s="60">
        <v>3831</v>
      </c>
      <c r="G733" s="60">
        <v>0.96</v>
      </c>
      <c r="H733" s="60">
        <v>5.52</v>
      </c>
      <c r="I733" s="60">
        <v>26.6</v>
      </c>
      <c r="J733" s="60">
        <v>0</v>
      </c>
      <c r="O733" s="60" t="s">
        <v>1241</v>
      </c>
      <c r="P733" s="60" t="s">
        <v>1596</v>
      </c>
      <c r="Q733" s="60" t="s">
        <v>4824</v>
      </c>
      <c r="R733" s="60">
        <v>35.1</v>
      </c>
      <c r="S733" s="60">
        <v>1.59</v>
      </c>
      <c r="T733" s="60">
        <v>3831</v>
      </c>
      <c r="U733" s="60">
        <v>15.82</v>
      </c>
    </row>
    <row r="734" spans="1:21">
      <c r="A734" s="60" t="s">
        <v>1243</v>
      </c>
      <c r="B734" s="60" t="s">
        <v>1598</v>
      </c>
      <c r="C734" s="60" t="s">
        <v>4670</v>
      </c>
      <c r="D734" s="60">
        <v>25.7</v>
      </c>
      <c r="E734" s="60">
        <v>3.01</v>
      </c>
      <c r="F734" s="60">
        <v>1908</v>
      </c>
      <c r="G734" s="60">
        <v>0.53</v>
      </c>
      <c r="H734" s="60">
        <v>2.64</v>
      </c>
      <c r="I734" s="60">
        <v>14.16</v>
      </c>
      <c r="J734" s="60">
        <v>1.3</v>
      </c>
      <c r="O734" s="60" t="s">
        <v>1243</v>
      </c>
      <c r="P734" s="60" t="s">
        <v>1598</v>
      </c>
      <c r="Q734" s="60" t="s">
        <v>4670</v>
      </c>
      <c r="R734" s="60">
        <v>25.7</v>
      </c>
      <c r="S734" s="60">
        <v>3.01</v>
      </c>
      <c r="T734" s="60">
        <v>1908</v>
      </c>
      <c r="U734" s="60">
        <v>45.78</v>
      </c>
    </row>
    <row r="735" spans="1:21">
      <c r="A735" s="60" t="s">
        <v>1245</v>
      </c>
      <c r="B735" s="60" t="s">
        <v>1600</v>
      </c>
      <c r="C735" s="60" t="s">
        <v>31</v>
      </c>
      <c r="D735" s="60">
        <v>34.700000000000003</v>
      </c>
      <c r="E735" s="60">
        <v>-0.72</v>
      </c>
      <c r="F735" s="60">
        <v>123</v>
      </c>
      <c r="G735" s="60">
        <v>5.52</v>
      </c>
      <c r="H735" s="60">
        <v>6.73</v>
      </c>
      <c r="I735" s="60">
        <v>14.14</v>
      </c>
      <c r="J735" s="60">
        <v>0</v>
      </c>
      <c r="O735" s="60" t="s">
        <v>1245</v>
      </c>
      <c r="P735" s="60" t="s">
        <v>1600</v>
      </c>
      <c r="Q735" s="60" t="s">
        <v>31</v>
      </c>
      <c r="R735" s="60">
        <v>34.700000000000003</v>
      </c>
      <c r="S735" s="60">
        <v>-0.72</v>
      </c>
      <c r="T735" s="60">
        <v>123</v>
      </c>
      <c r="U735" s="60">
        <v>24.24</v>
      </c>
    </row>
    <row r="736" spans="1:21">
      <c r="A736" s="60" t="s">
        <v>1247</v>
      </c>
      <c r="B736" s="60" t="s">
        <v>1602</v>
      </c>
      <c r="C736" s="60" t="s">
        <v>4671</v>
      </c>
      <c r="D736" s="60">
        <v>141</v>
      </c>
      <c r="E736" s="60">
        <v>-1.4</v>
      </c>
      <c r="F736" s="60">
        <v>1755</v>
      </c>
      <c r="G736" s="60">
        <v>0.56999999999999995</v>
      </c>
      <c r="H736" s="60">
        <v>7</v>
      </c>
      <c r="I736" s="60">
        <v>16.98</v>
      </c>
      <c r="J736" s="60">
        <v>0.5</v>
      </c>
      <c r="O736" s="60" t="s">
        <v>1247</v>
      </c>
      <c r="P736" s="60" t="s">
        <v>1602</v>
      </c>
      <c r="Q736" s="60" t="s">
        <v>4671</v>
      </c>
      <c r="R736" s="60">
        <v>141</v>
      </c>
      <c r="S736" s="60">
        <v>-1.4</v>
      </c>
      <c r="T736" s="60">
        <v>1755</v>
      </c>
      <c r="U736" s="60">
        <v>47.74</v>
      </c>
    </row>
    <row r="737" spans="1:21">
      <c r="A737" s="60" t="s">
        <v>1248</v>
      </c>
      <c r="B737" s="60" t="s">
        <v>1604</v>
      </c>
      <c r="C737" s="60" t="s">
        <v>4192</v>
      </c>
      <c r="D737" s="60">
        <v>97.3</v>
      </c>
      <c r="E737" s="60">
        <v>2.1</v>
      </c>
      <c r="F737" s="60">
        <v>1002</v>
      </c>
      <c r="G737" s="60">
        <v>0.19</v>
      </c>
      <c r="H737" s="60">
        <v>20.86</v>
      </c>
      <c r="I737" s="60">
        <v>11.34</v>
      </c>
      <c r="J737" s="60">
        <v>0.45</v>
      </c>
      <c r="O737" s="60" t="s">
        <v>1248</v>
      </c>
      <c r="P737" s="60" t="s">
        <v>1604</v>
      </c>
      <c r="Q737" s="60" t="s">
        <v>4192</v>
      </c>
      <c r="R737" s="60">
        <v>97.3</v>
      </c>
      <c r="S737" s="60">
        <v>2.1</v>
      </c>
      <c r="T737" s="60">
        <v>1002</v>
      </c>
      <c r="U737" s="60">
        <v>53.16</v>
      </c>
    </row>
    <row r="738" spans="1:21">
      <c r="A738" s="60" t="s">
        <v>1250</v>
      </c>
      <c r="B738" s="60" t="s">
        <v>1606</v>
      </c>
      <c r="C738" s="60" t="s">
        <v>4530</v>
      </c>
      <c r="D738" s="60">
        <v>12.15</v>
      </c>
      <c r="E738" s="60">
        <v>0</v>
      </c>
      <c r="F738" s="60">
        <v>81</v>
      </c>
      <c r="G738" s="60">
        <v>0</v>
      </c>
      <c r="H738" s="60">
        <v>0.31</v>
      </c>
      <c r="I738" s="60">
        <v>12.78</v>
      </c>
      <c r="J738" s="60">
        <v>0</v>
      </c>
      <c r="O738" s="60" t="s">
        <v>1250</v>
      </c>
      <c r="P738" s="60" t="s">
        <v>1606</v>
      </c>
      <c r="Q738" s="60" t="s">
        <v>4530</v>
      </c>
      <c r="R738" s="60">
        <v>12.15</v>
      </c>
      <c r="S738" s="60">
        <v>0</v>
      </c>
      <c r="T738" s="60">
        <v>81</v>
      </c>
      <c r="U738" s="60">
        <v>44.4</v>
      </c>
    </row>
    <row r="739" spans="1:21">
      <c r="A739" s="60" t="s">
        <v>1252</v>
      </c>
      <c r="B739" s="60" t="s">
        <v>1608</v>
      </c>
      <c r="C739" s="60" t="s">
        <v>4125</v>
      </c>
      <c r="D739" s="60">
        <v>30.85</v>
      </c>
      <c r="E739" s="60">
        <v>3.52</v>
      </c>
      <c r="F739" s="60">
        <v>9554</v>
      </c>
      <c r="G739" s="60">
        <v>0.21</v>
      </c>
      <c r="H739" s="60">
        <v>4.22</v>
      </c>
      <c r="I739" s="60">
        <v>6.04</v>
      </c>
      <c r="J739" s="60">
        <v>0</v>
      </c>
      <c r="O739" s="60" t="s">
        <v>1252</v>
      </c>
      <c r="P739" s="60" t="s">
        <v>1608</v>
      </c>
      <c r="Q739" s="60" t="s">
        <v>4125</v>
      </c>
      <c r="R739" s="60">
        <v>30.85</v>
      </c>
      <c r="S739" s="60">
        <v>3.52</v>
      </c>
      <c r="T739" s="60">
        <v>9554</v>
      </c>
      <c r="U739" s="60">
        <v>68.36</v>
      </c>
    </row>
    <row r="740" spans="1:21">
      <c r="A740" s="60" t="s">
        <v>1254</v>
      </c>
      <c r="B740" s="60" t="s">
        <v>3219</v>
      </c>
      <c r="C740" s="60" t="s">
        <v>4071</v>
      </c>
      <c r="D740" s="60">
        <v>4.2</v>
      </c>
      <c r="E740" s="60">
        <v>0.96</v>
      </c>
      <c r="F740" s="60">
        <v>10</v>
      </c>
      <c r="G740" s="60">
        <v>0</v>
      </c>
      <c r="H740" s="60">
        <v>16.79</v>
      </c>
      <c r="I740" s="60">
        <v>0</v>
      </c>
      <c r="J740" s="60">
        <v>0</v>
      </c>
      <c r="O740" s="60" t="s">
        <v>1254</v>
      </c>
      <c r="P740" s="60" t="s">
        <v>3219</v>
      </c>
      <c r="Q740" s="60" t="s">
        <v>4071</v>
      </c>
      <c r="R740" s="60">
        <v>4.2</v>
      </c>
      <c r="S740" s="60">
        <v>0.96</v>
      </c>
      <c r="T740" s="60">
        <v>10</v>
      </c>
      <c r="U740" s="60">
        <v>31.06</v>
      </c>
    </row>
    <row r="741" spans="1:21">
      <c r="A741" s="60" t="s">
        <v>1256</v>
      </c>
      <c r="B741" s="60" t="s">
        <v>1611</v>
      </c>
      <c r="C741" s="60" t="s">
        <v>4886</v>
      </c>
      <c r="D741" s="60">
        <v>82.6</v>
      </c>
      <c r="E741" s="60">
        <v>0</v>
      </c>
      <c r="F741" s="60">
        <v>106</v>
      </c>
      <c r="G741" s="60">
        <v>0</v>
      </c>
      <c r="H741" s="60">
        <v>7.39</v>
      </c>
      <c r="I741" s="60">
        <v>1.26</v>
      </c>
      <c r="J741" s="60">
        <v>0</v>
      </c>
      <c r="O741" s="60" t="s">
        <v>1256</v>
      </c>
      <c r="P741" s="60" t="s">
        <v>1611</v>
      </c>
      <c r="Q741" s="60" t="s">
        <v>4886</v>
      </c>
      <c r="R741" s="60">
        <v>82.6</v>
      </c>
      <c r="S741" s="60">
        <v>0</v>
      </c>
      <c r="T741" s="60">
        <v>106</v>
      </c>
      <c r="U741" s="60">
        <v>33.86</v>
      </c>
    </row>
    <row r="742" spans="1:21">
      <c r="A742" s="60" t="s">
        <v>1258</v>
      </c>
      <c r="B742" s="60" t="s">
        <v>1613</v>
      </c>
      <c r="C742" s="60" t="s">
        <v>4887</v>
      </c>
      <c r="D742" s="60">
        <v>21.8</v>
      </c>
      <c r="E742" s="60">
        <v>9.82</v>
      </c>
      <c r="F742" s="60">
        <v>2308</v>
      </c>
      <c r="G742" s="60">
        <v>0</v>
      </c>
      <c r="H742" s="60">
        <v>0.16</v>
      </c>
      <c r="I742" s="60">
        <v>15.79</v>
      </c>
      <c r="J742" s="60">
        <v>0</v>
      </c>
      <c r="O742" s="60" t="s">
        <v>1258</v>
      </c>
      <c r="P742" s="60" t="s">
        <v>1613</v>
      </c>
      <c r="Q742" s="60" t="s">
        <v>4887</v>
      </c>
      <c r="R742" s="60">
        <v>21.8</v>
      </c>
      <c r="S742" s="60">
        <v>9.82</v>
      </c>
      <c r="T742" s="60">
        <v>2308</v>
      </c>
      <c r="U742" s="60">
        <v>25.65</v>
      </c>
    </row>
    <row r="743" spans="1:21">
      <c r="A743" s="60" t="s">
        <v>1260</v>
      </c>
      <c r="B743" s="60" t="s">
        <v>1615</v>
      </c>
      <c r="C743" s="60" t="s">
        <v>5013</v>
      </c>
      <c r="D743" s="60">
        <v>48.2</v>
      </c>
      <c r="E743" s="60">
        <v>3.66</v>
      </c>
      <c r="F743" s="60">
        <v>1267</v>
      </c>
      <c r="G743" s="60">
        <v>0.01</v>
      </c>
      <c r="H743" s="60">
        <v>5.55</v>
      </c>
      <c r="I743" s="60">
        <v>5.38</v>
      </c>
      <c r="J743" s="60">
        <v>0</v>
      </c>
      <c r="O743" s="60" t="s">
        <v>1260</v>
      </c>
      <c r="P743" s="60" t="s">
        <v>1615</v>
      </c>
      <c r="Q743" s="60" t="s">
        <v>5013</v>
      </c>
      <c r="R743" s="60">
        <v>48.2</v>
      </c>
      <c r="S743" s="60">
        <v>3.66</v>
      </c>
      <c r="T743" s="60">
        <v>1267</v>
      </c>
      <c r="U743" s="60">
        <v>25.54</v>
      </c>
    </row>
    <row r="744" spans="1:21">
      <c r="A744" s="60" t="s">
        <v>1262</v>
      </c>
      <c r="B744" s="60" t="s">
        <v>1617</v>
      </c>
      <c r="C744" s="60" t="s">
        <v>4072</v>
      </c>
      <c r="D744" s="60">
        <v>530</v>
      </c>
      <c r="E744" s="60">
        <v>7.07</v>
      </c>
      <c r="F744" s="60">
        <v>9445</v>
      </c>
      <c r="G744" s="60">
        <v>2.87</v>
      </c>
      <c r="H744" s="60">
        <v>30.65</v>
      </c>
      <c r="I744" s="60">
        <v>27.55</v>
      </c>
      <c r="J744" s="60">
        <v>1.08</v>
      </c>
      <c r="O744" s="60" t="s">
        <v>1262</v>
      </c>
      <c r="P744" s="60" t="s">
        <v>1617</v>
      </c>
      <c r="Q744" s="60" t="s">
        <v>4072</v>
      </c>
      <c r="R744" s="60">
        <v>530</v>
      </c>
      <c r="S744" s="60">
        <v>7.07</v>
      </c>
      <c r="T744" s="60">
        <v>9445</v>
      </c>
      <c r="U744" s="60">
        <v>37.880000000000003</v>
      </c>
    </row>
    <row r="745" spans="1:21">
      <c r="A745" s="60" t="s">
        <v>1264</v>
      </c>
      <c r="B745" s="60" t="s">
        <v>1619</v>
      </c>
      <c r="C745" s="60" t="s">
        <v>3971</v>
      </c>
      <c r="D745" s="60">
        <v>219</v>
      </c>
      <c r="E745" s="60">
        <v>0.69</v>
      </c>
      <c r="F745" s="60">
        <v>521</v>
      </c>
      <c r="G745" s="60">
        <v>0.62</v>
      </c>
      <c r="H745" s="60">
        <v>26.89</v>
      </c>
      <c r="I745" s="60">
        <v>15.44</v>
      </c>
      <c r="J745" s="60">
        <v>1.84</v>
      </c>
      <c r="O745" s="60" t="s">
        <v>1264</v>
      </c>
      <c r="P745" s="60" t="s">
        <v>1619</v>
      </c>
      <c r="Q745" s="60" t="s">
        <v>3971</v>
      </c>
      <c r="R745" s="60">
        <v>219</v>
      </c>
      <c r="S745" s="60">
        <v>0.69</v>
      </c>
      <c r="T745" s="60">
        <v>521</v>
      </c>
      <c r="U745" s="60">
        <v>35.03</v>
      </c>
    </row>
    <row r="746" spans="1:21">
      <c r="A746" s="60" t="s">
        <v>1266</v>
      </c>
      <c r="B746" s="60" t="s">
        <v>1621</v>
      </c>
      <c r="C746" s="60" t="s">
        <v>4026</v>
      </c>
      <c r="D746" s="60">
        <v>80.8</v>
      </c>
      <c r="E746" s="60">
        <v>-0.86</v>
      </c>
      <c r="F746" s="60">
        <v>38</v>
      </c>
      <c r="G746" s="60">
        <v>0.01</v>
      </c>
      <c r="H746" s="60">
        <v>3.36</v>
      </c>
      <c r="I746" s="60">
        <v>2.44</v>
      </c>
      <c r="J746" s="60">
        <v>0.11</v>
      </c>
      <c r="O746" s="60" t="s">
        <v>1266</v>
      </c>
      <c r="P746" s="60" t="s">
        <v>1621</v>
      </c>
      <c r="Q746" s="60" t="s">
        <v>4026</v>
      </c>
      <c r="R746" s="60">
        <v>80.8</v>
      </c>
      <c r="S746" s="60">
        <v>-0.86</v>
      </c>
      <c r="T746" s="60">
        <v>38</v>
      </c>
      <c r="U746" s="60">
        <v>62.04</v>
      </c>
    </row>
    <row r="747" spans="1:21">
      <c r="A747" s="60" t="s">
        <v>1268</v>
      </c>
      <c r="B747" s="60" t="s">
        <v>1623</v>
      </c>
      <c r="C747" s="60" t="s">
        <v>4126</v>
      </c>
      <c r="D747" s="60">
        <v>29.65</v>
      </c>
      <c r="E747" s="60">
        <v>7.82</v>
      </c>
      <c r="F747" s="60">
        <v>12491</v>
      </c>
      <c r="G747" s="60">
        <v>4.01</v>
      </c>
      <c r="H747" s="60">
        <v>7.19</v>
      </c>
      <c r="I747" s="60">
        <v>36.04</v>
      </c>
      <c r="J747" s="60">
        <v>0</v>
      </c>
      <c r="O747" s="60" t="s">
        <v>1268</v>
      </c>
      <c r="P747" s="60" t="s">
        <v>1623</v>
      </c>
      <c r="Q747" s="60" t="s">
        <v>4126</v>
      </c>
      <c r="R747" s="60">
        <v>29.65</v>
      </c>
      <c r="S747" s="60">
        <v>7.82</v>
      </c>
      <c r="T747" s="60">
        <v>12491</v>
      </c>
      <c r="U747" s="60">
        <v>31.45</v>
      </c>
    </row>
    <row r="748" spans="1:21">
      <c r="A748" s="60" t="s">
        <v>1270</v>
      </c>
      <c r="B748" s="60" t="s">
        <v>3220</v>
      </c>
      <c r="C748" s="60" t="s">
        <v>4531</v>
      </c>
      <c r="D748" s="60">
        <v>38.1</v>
      </c>
      <c r="E748" s="60">
        <v>0</v>
      </c>
      <c r="F748" s="60">
        <v>0</v>
      </c>
      <c r="G748" s="60">
        <v>0</v>
      </c>
      <c r="H748" s="60">
        <v>0.62</v>
      </c>
      <c r="I748" s="60">
        <v>0</v>
      </c>
      <c r="J748" s="60">
        <v>0.33</v>
      </c>
      <c r="O748" s="60" t="s">
        <v>1270</v>
      </c>
      <c r="P748" s="60" t="s">
        <v>3220</v>
      </c>
      <c r="Q748" s="60" t="s">
        <v>4531</v>
      </c>
      <c r="R748" s="60">
        <v>38.1</v>
      </c>
      <c r="S748" s="60">
        <v>0</v>
      </c>
      <c r="T748" s="60">
        <v>0</v>
      </c>
      <c r="U748" s="60">
        <v>48.49</v>
      </c>
    </row>
    <row r="749" spans="1:21">
      <c r="A749" s="60" t="s">
        <v>1272</v>
      </c>
      <c r="B749" s="60" t="s">
        <v>1625</v>
      </c>
      <c r="C749" s="60" t="s">
        <v>4193</v>
      </c>
      <c r="D749" s="60">
        <v>14.2</v>
      </c>
      <c r="E749" s="60">
        <v>-0.35</v>
      </c>
      <c r="F749" s="60">
        <v>1011</v>
      </c>
      <c r="G749" s="60">
        <v>0.04</v>
      </c>
      <c r="H749" s="60">
        <v>4.84</v>
      </c>
      <c r="I749" s="60">
        <v>16.510000000000002</v>
      </c>
      <c r="J749" s="60">
        <v>0</v>
      </c>
      <c r="O749" s="60" t="s">
        <v>1272</v>
      </c>
      <c r="P749" s="60" t="s">
        <v>1625</v>
      </c>
      <c r="Q749" s="60" t="s">
        <v>4193</v>
      </c>
      <c r="R749" s="60">
        <v>14.2</v>
      </c>
      <c r="S749" s="60">
        <v>-0.35</v>
      </c>
      <c r="T749" s="60">
        <v>1011</v>
      </c>
      <c r="U749" s="60">
        <v>59.59</v>
      </c>
    </row>
    <row r="750" spans="1:21">
      <c r="A750" s="60" t="s">
        <v>1274</v>
      </c>
      <c r="B750" s="60" t="s">
        <v>1627</v>
      </c>
      <c r="C750" s="60" t="s">
        <v>4779</v>
      </c>
      <c r="D750" s="60">
        <v>16.100000000000001</v>
      </c>
      <c r="E750" s="60">
        <v>0.94</v>
      </c>
      <c r="F750" s="60">
        <v>78</v>
      </c>
      <c r="G750" s="60">
        <v>0.02</v>
      </c>
      <c r="H750" s="60">
        <v>0.62</v>
      </c>
      <c r="I750" s="60">
        <v>11.35</v>
      </c>
      <c r="J750" s="60">
        <v>0</v>
      </c>
      <c r="O750" s="60" t="s">
        <v>1274</v>
      </c>
      <c r="P750" s="60" t="s">
        <v>1627</v>
      </c>
      <c r="Q750" s="60" t="s">
        <v>4779</v>
      </c>
      <c r="R750" s="60">
        <v>16.100000000000001</v>
      </c>
      <c r="S750" s="60">
        <v>0.94</v>
      </c>
      <c r="T750" s="60">
        <v>78</v>
      </c>
      <c r="U750" s="60">
        <v>19.690000000000001</v>
      </c>
    </row>
    <row r="751" spans="1:21">
      <c r="A751" s="60" t="s">
        <v>1276</v>
      </c>
      <c r="B751" s="60" t="s">
        <v>1629</v>
      </c>
      <c r="C751" s="60" t="s">
        <v>4073</v>
      </c>
      <c r="D751" s="60">
        <v>25.65</v>
      </c>
      <c r="E751" s="60">
        <v>1.38</v>
      </c>
      <c r="F751" s="60">
        <v>1151</v>
      </c>
      <c r="G751" s="60">
        <v>0.33</v>
      </c>
      <c r="H751" s="60">
        <v>11.64</v>
      </c>
      <c r="I751" s="60">
        <v>16.62</v>
      </c>
      <c r="J751" s="60">
        <v>0</v>
      </c>
      <c r="O751" s="60" t="s">
        <v>1276</v>
      </c>
      <c r="P751" s="60" t="s">
        <v>1629</v>
      </c>
      <c r="Q751" s="60" t="s">
        <v>4073</v>
      </c>
      <c r="R751" s="60">
        <v>25.65</v>
      </c>
      <c r="S751" s="60">
        <v>1.38</v>
      </c>
      <c r="T751" s="60">
        <v>1151</v>
      </c>
      <c r="U751" s="60">
        <v>28.01</v>
      </c>
    </row>
    <row r="752" spans="1:21">
      <c r="A752" s="60" t="s">
        <v>1278</v>
      </c>
      <c r="B752" s="60" t="s">
        <v>1631</v>
      </c>
      <c r="C752" s="60" t="s">
        <v>4672</v>
      </c>
      <c r="D752" s="60">
        <v>94.9</v>
      </c>
      <c r="E752" s="60">
        <v>2.48</v>
      </c>
      <c r="F752" s="60">
        <v>1188</v>
      </c>
      <c r="G752" s="60">
        <v>0.27</v>
      </c>
      <c r="H752" s="60">
        <v>9.85</v>
      </c>
      <c r="I752" s="60">
        <v>14.27</v>
      </c>
      <c r="J752" s="60">
        <v>0</v>
      </c>
      <c r="O752" s="60" t="s">
        <v>1278</v>
      </c>
      <c r="P752" s="60" t="s">
        <v>1631</v>
      </c>
      <c r="Q752" s="60" t="s">
        <v>4672</v>
      </c>
      <c r="R752" s="60">
        <v>94.9</v>
      </c>
      <c r="S752" s="60">
        <v>2.48</v>
      </c>
      <c r="T752" s="60">
        <v>1188</v>
      </c>
      <c r="U752" s="60">
        <v>58.39</v>
      </c>
    </row>
    <row r="753" spans="1:21">
      <c r="A753" s="60" t="s">
        <v>1280</v>
      </c>
      <c r="B753" s="60" t="s">
        <v>1633</v>
      </c>
      <c r="C753" s="60" t="s">
        <v>4780</v>
      </c>
      <c r="D753" s="60">
        <v>41.35</v>
      </c>
      <c r="E753" s="60">
        <v>-0.6</v>
      </c>
      <c r="F753" s="60">
        <v>772</v>
      </c>
      <c r="G753" s="60">
        <v>1.72</v>
      </c>
      <c r="H753" s="60">
        <v>2</v>
      </c>
      <c r="I753" s="60">
        <v>27.84</v>
      </c>
      <c r="J753" s="60">
        <v>0</v>
      </c>
      <c r="O753" s="60" t="s">
        <v>1280</v>
      </c>
      <c r="P753" s="60" t="s">
        <v>1633</v>
      </c>
      <c r="Q753" s="60" t="s">
        <v>4780</v>
      </c>
      <c r="R753" s="60">
        <v>41.35</v>
      </c>
      <c r="S753" s="60">
        <v>-0.6</v>
      </c>
      <c r="T753" s="60">
        <v>772</v>
      </c>
      <c r="U753" s="60">
        <v>17.670000000000002</v>
      </c>
    </row>
    <row r="754" spans="1:21">
      <c r="A754" s="60" t="s">
        <v>1282</v>
      </c>
      <c r="B754" s="60" t="s">
        <v>1635</v>
      </c>
      <c r="C754" s="60" t="s">
        <v>3652</v>
      </c>
      <c r="D754" s="60">
        <v>610</v>
      </c>
      <c r="E754" s="60">
        <v>1.67</v>
      </c>
      <c r="F754" s="60">
        <v>1606</v>
      </c>
      <c r="G754" s="60">
        <v>2.29</v>
      </c>
      <c r="H754" s="60">
        <v>47.37</v>
      </c>
      <c r="I754" s="60">
        <v>5.59</v>
      </c>
      <c r="J754" s="60">
        <v>8.84</v>
      </c>
      <c r="O754" s="60" t="s">
        <v>1282</v>
      </c>
      <c r="P754" s="60" t="s">
        <v>1635</v>
      </c>
      <c r="Q754" s="60" t="s">
        <v>3652</v>
      </c>
      <c r="R754" s="60">
        <v>610</v>
      </c>
      <c r="S754" s="60">
        <v>1.67</v>
      </c>
      <c r="T754" s="60">
        <v>1606</v>
      </c>
      <c r="U754" s="60">
        <v>57.97</v>
      </c>
    </row>
    <row r="755" spans="1:21">
      <c r="A755" s="60" t="s">
        <v>1284</v>
      </c>
      <c r="B755" s="60" t="s">
        <v>1637</v>
      </c>
      <c r="C755" s="60" t="s">
        <v>4967</v>
      </c>
      <c r="D755" s="60">
        <v>64.2</v>
      </c>
      <c r="E755" s="60">
        <v>9.93</v>
      </c>
      <c r="F755" s="60">
        <v>5258</v>
      </c>
      <c r="G755" s="60">
        <v>0.94</v>
      </c>
      <c r="H755" s="60">
        <v>9.89</v>
      </c>
      <c r="I755" s="60">
        <v>19.690000000000001</v>
      </c>
      <c r="J755" s="60">
        <v>0</v>
      </c>
      <c r="O755" s="60" t="s">
        <v>1284</v>
      </c>
      <c r="P755" s="60" t="s">
        <v>1637</v>
      </c>
      <c r="Q755" s="60" t="s">
        <v>4967</v>
      </c>
      <c r="R755" s="60">
        <v>64.2</v>
      </c>
      <c r="S755" s="60">
        <v>9.93</v>
      </c>
      <c r="T755" s="60">
        <v>5258</v>
      </c>
      <c r="U755" s="60">
        <v>38.119999999999997</v>
      </c>
    </row>
    <row r="756" spans="1:21">
      <c r="A756" s="60" t="s">
        <v>1286</v>
      </c>
      <c r="B756" s="60" t="s">
        <v>1639</v>
      </c>
      <c r="C756" s="60" t="s">
        <v>4281</v>
      </c>
      <c r="D756" s="60">
        <v>57.8</v>
      </c>
      <c r="E756" s="60">
        <v>1.4</v>
      </c>
      <c r="F756" s="60">
        <v>528</v>
      </c>
      <c r="G756" s="60">
        <v>0.03</v>
      </c>
      <c r="H756" s="60">
        <v>7.69</v>
      </c>
      <c r="I756" s="60">
        <v>19.079999999999998</v>
      </c>
      <c r="J756" s="60">
        <v>0.03</v>
      </c>
      <c r="O756" s="60" t="s">
        <v>1286</v>
      </c>
      <c r="P756" s="60" t="s">
        <v>1639</v>
      </c>
      <c r="Q756" s="60" t="s">
        <v>4281</v>
      </c>
      <c r="R756" s="60">
        <v>57.8</v>
      </c>
      <c r="S756" s="60">
        <v>1.4</v>
      </c>
      <c r="T756" s="60">
        <v>528</v>
      </c>
      <c r="U756" s="60">
        <v>21.4</v>
      </c>
    </row>
    <row r="757" spans="1:21">
      <c r="A757" s="60" t="s">
        <v>1288</v>
      </c>
      <c r="B757" s="60" t="s">
        <v>1641</v>
      </c>
      <c r="C757" s="60" t="s">
        <v>4074</v>
      </c>
      <c r="D757" s="60">
        <v>71.900000000000006</v>
      </c>
      <c r="E757" s="60">
        <v>-0.28000000000000003</v>
      </c>
      <c r="F757" s="60">
        <v>68</v>
      </c>
      <c r="G757" s="60">
        <v>0.03</v>
      </c>
      <c r="H757" s="60">
        <v>6.02</v>
      </c>
      <c r="I757" s="60">
        <v>3.11</v>
      </c>
      <c r="J757" s="60">
        <v>0</v>
      </c>
      <c r="O757" s="60" t="s">
        <v>1288</v>
      </c>
      <c r="P757" s="60" t="s">
        <v>1641</v>
      </c>
      <c r="Q757" s="60" t="s">
        <v>4074</v>
      </c>
      <c r="R757" s="60">
        <v>71.900000000000006</v>
      </c>
      <c r="S757" s="60">
        <v>-0.28000000000000003</v>
      </c>
      <c r="T757" s="60">
        <v>68</v>
      </c>
      <c r="U757" s="60">
        <v>64.069999999999993</v>
      </c>
    </row>
    <row r="758" spans="1:21">
      <c r="A758" s="60" t="s">
        <v>1290</v>
      </c>
      <c r="B758" s="60" t="s">
        <v>1643</v>
      </c>
      <c r="C758" s="60" t="s">
        <v>4781</v>
      </c>
      <c r="D758" s="60">
        <v>74.3</v>
      </c>
      <c r="E758" s="60">
        <v>0.81</v>
      </c>
      <c r="F758" s="60">
        <v>3413</v>
      </c>
      <c r="G758" s="60">
        <v>7.0000000000000007E-2</v>
      </c>
      <c r="H758" s="60">
        <v>7.97</v>
      </c>
      <c r="I758" s="60">
        <v>15.35</v>
      </c>
      <c r="J758" s="60">
        <v>0.16</v>
      </c>
      <c r="O758" s="60" t="s">
        <v>1290</v>
      </c>
      <c r="P758" s="60" t="s">
        <v>1643</v>
      </c>
      <c r="Q758" s="60" t="s">
        <v>4781</v>
      </c>
      <c r="R758" s="60">
        <v>74.3</v>
      </c>
      <c r="S758" s="60">
        <v>0.81</v>
      </c>
      <c r="T758" s="60">
        <v>3413</v>
      </c>
      <c r="U758" s="60">
        <v>21.01</v>
      </c>
    </row>
    <row r="759" spans="1:21">
      <c r="A759" s="60" t="s">
        <v>1292</v>
      </c>
      <c r="B759" s="60" t="s">
        <v>3221</v>
      </c>
      <c r="C759" s="60" t="s">
        <v>4888</v>
      </c>
      <c r="D759" s="60">
        <v>227</v>
      </c>
      <c r="E759" s="60">
        <v>9.93</v>
      </c>
      <c r="F759" s="60">
        <v>608</v>
      </c>
      <c r="G759" s="60">
        <v>0</v>
      </c>
      <c r="H759" s="60">
        <v>24.28</v>
      </c>
      <c r="I759" s="60">
        <v>0</v>
      </c>
      <c r="J759" s="60">
        <v>0</v>
      </c>
      <c r="O759" s="60" t="s">
        <v>1292</v>
      </c>
      <c r="P759" s="60" t="s">
        <v>3221</v>
      </c>
      <c r="Q759" s="60" t="s">
        <v>4888</v>
      </c>
      <c r="R759" s="60">
        <v>227</v>
      </c>
      <c r="S759" s="60">
        <v>9.93</v>
      </c>
      <c r="T759" s="60">
        <v>608</v>
      </c>
      <c r="U759" s="60">
        <v>74.77</v>
      </c>
    </row>
    <row r="760" spans="1:21">
      <c r="A760" s="60" t="s">
        <v>1294</v>
      </c>
      <c r="B760" s="60" t="s">
        <v>1645</v>
      </c>
      <c r="C760" s="60" t="s">
        <v>4825</v>
      </c>
      <c r="D760" s="60">
        <v>17.399999999999999</v>
      </c>
      <c r="E760" s="60">
        <v>4.5</v>
      </c>
      <c r="F760" s="60">
        <v>690</v>
      </c>
      <c r="G760" s="60">
        <v>0.64</v>
      </c>
      <c r="H760" s="60">
        <v>7.28</v>
      </c>
      <c r="I760" s="60">
        <v>9.19</v>
      </c>
      <c r="J760" s="60">
        <v>0</v>
      </c>
      <c r="O760" s="60" t="s">
        <v>1294</v>
      </c>
      <c r="P760" s="60" t="s">
        <v>1645</v>
      </c>
      <c r="Q760" s="60" t="s">
        <v>4825</v>
      </c>
      <c r="R760" s="60">
        <v>17.399999999999999</v>
      </c>
      <c r="S760" s="60">
        <v>4.5</v>
      </c>
      <c r="T760" s="60">
        <v>690</v>
      </c>
      <c r="U760" s="60">
        <v>37.68</v>
      </c>
    </row>
    <row r="761" spans="1:21">
      <c r="A761" s="60" t="s">
        <v>1296</v>
      </c>
      <c r="B761" s="60" t="s">
        <v>1647</v>
      </c>
      <c r="C761" s="60" t="s">
        <v>4738</v>
      </c>
      <c r="D761" s="60">
        <v>51.8</v>
      </c>
      <c r="E761" s="60">
        <v>3.19</v>
      </c>
      <c r="F761" s="60">
        <v>91</v>
      </c>
      <c r="G761" s="60">
        <v>0.01</v>
      </c>
      <c r="H761" s="60">
        <v>2.74</v>
      </c>
      <c r="I761" s="60">
        <v>14.16</v>
      </c>
      <c r="J761" s="60">
        <v>0.74</v>
      </c>
      <c r="O761" s="60" t="s">
        <v>1296</v>
      </c>
      <c r="P761" s="60" t="s">
        <v>1647</v>
      </c>
      <c r="Q761" s="60" t="s">
        <v>4738</v>
      </c>
      <c r="R761" s="60">
        <v>51.8</v>
      </c>
      <c r="S761" s="60">
        <v>3.19</v>
      </c>
      <c r="T761" s="60">
        <v>91</v>
      </c>
      <c r="U761" s="60">
        <v>34.630000000000003</v>
      </c>
    </row>
    <row r="762" spans="1:21">
      <c r="A762" s="60" t="s">
        <v>1298</v>
      </c>
      <c r="B762" s="60" t="s">
        <v>1649</v>
      </c>
      <c r="C762" s="60" t="s">
        <v>4075</v>
      </c>
      <c r="D762" s="60">
        <v>18.899999999999999</v>
      </c>
      <c r="E762" s="60">
        <v>-0.26</v>
      </c>
      <c r="F762" s="60">
        <v>181779</v>
      </c>
      <c r="G762" s="60">
        <v>0.74</v>
      </c>
      <c r="H762" s="60">
        <v>31.93</v>
      </c>
      <c r="I762" s="60">
        <v>17.23</v>
      </c>
      <c r="J762" s="60">
        <v>3.73</v>
      </c>
      <c r="O762" s="60" t="s">
        <v>1298</v>
      </c>
      <c r="P762" s="60" t="s">
        <v>1649</v>
      </c>
      <c r="Q762" s="60" t="s">
        <v>4075</v>
      </c>
      <c r="R762" s="60">
        <v>18.899999999999999</v>
      </c>
      <c r="S762" s="60">
        <v>-0.26</v>
      </c>
      <c r="T762" s="60">
        <v>181779</v>
      </c>
      <c r="U762" s="60">
        <v>47.56</v>
      </c>
    </row>
    <row r="763" spans="1:21">
      <c r="A763" s="60" t="s">
        <v>1300</v>
      </c>
      <c r="B763" s="60" t="s">
        <v>1651</v>
      </c>
      <c r="C763" s="60" t="s">
        <v>4739</v>
      </c>
      <c r="D763" s="60">
        <v>95.7</v>
      </c>
      <c r="E763" s="60">
        <v>4.0199999999999996</v>
      </c>
      <c r="F763" s="60">
        <v>10570</v>
      </c>
      <c r="G763" s="60">
        <v>1.01</v>
      </c>
      <c r="H763" s="60">
        <v>4.09</v>
      </c>
      <c r="I763" s="60">
        <v>65.89</v>
      </c>
      <c r="J763" s="60">
        <v>1.91</v>
      </c>
      <c r="O763" s="60" t="s">
        <v>1300</v>
      </c>
      <c r="P763" s="60" t="s">
        <v>1651</v>
      </c>
      <c r="Q763" s="60" t="s">
        <v>4739</v>
      </c>
      <c r="R763" s="60">
        <v>95.7</v>
      </c>
      <c r="S763" s="60">
        <v>4.0199999999999996</v>
      </c>
      <c r="T763" s="60">
        <v>10570</v>
      </c>
      <c r="U763" s="60">
        <v>11.74</v>
      </c>
    </row>
    <row r="764" spans="1:21">
      <c r="A764" s="60" t="s">
        <v>1302</v>
      </c>
      <c r="B764" s="60" t="s">
        <v>1653</v>
      </c>
      <c r="C764" s="60" t="s">
        <v>4889</v>
      </c>
      <c r="D764" s="60">
        <v>71.400000000000006</v>
      </c>
      <c r="E764" s="60">
        <v>0.71</v>
      </c>
      <c r="F764" s="60">
        <v>398</v>
      </c>
      <c r="G764" s="60">
        <v>0.14000000000000001</v>
      </c>
      <c r="H764" s="60">
        <v>7.03</v>
      </c>
      <c r="I764" s="60">
        <v>15.91</v>
      </c>
      <c r="J764" s="60">
        <v>0</v>
      </c>
      <c r="O764" s="60" t="s">
        <v>1302</v>
      </c>
      <c r="P764" s="60" t="s">
        <v>1653</v>
      </c>
      <c r="Q764" s="60" t="s">
        <v>4889</v>
      </c>
      <c r="R764" s="60">
        <v>71.400000000000006</v>
      </c>
      <c r="S764" s="60">
        <v>0.71</v>
      </c>
      <c r="T764" s="60">
        <v>398</v>
      </c>
      <c r="U764" s="60">
        <v>17.86</v>
      </c>
    </row>
    <row r="765" spans="1:21">
      <c r="A765" s="60" t="s">
        <v>1304</v>
      </c>
      <c r="B765" s="60" t="s">
        <v>1655</v>
      </c>
      <c r="C765" s="60" t="s">
        <v>5049</v>
      </c>
      <c r="D765" s="60">
        <v>14.6</v>
      </c>
      <c r="E765" s="60">
        <v>6.18</v>
      </c>
      <c r="F765" s="60">
        <v>1574</v>
      </c>
      <c r="G765" s="60">
        <v>0</v>
      </c>
      <c r="H765" s="60">
        <v>0.27</v>
      </c>
      <c r="I765" s="60">
        <v>17.12</v>
      </c>
      <c r="J765" s="60">
        <v>0</v>
      </c>
      <c r="O765" s="60" t="s">
        <v>1304</v>
      </c>
      <c r="P765" s="60" t="s">
        <v>1655</v>
      </c>
      <c r="Q765" s="60" t="s">
        <v>5049</v>
      </c>
      <c r="R765" s="60">
        <v>14.6</v>
      </c>
      <c r="S765" s="60">
        <v>6.18</v>
      </c>
      <c r="T765" s="60">
        <v>1574</v>
      </c>
      <c r="U765" s="60">
        <v>68.959999999999994</v>
      </c>
    </row>
    <row r="766" spans="1:21">
      <c r="A766" s="60" t="s">
        <v>1306</v>
      </c>
      <c r="B766" s="60" t="s">
        <v>1657</v>
      </c>
      <c r="C766" s="60" t="s">
        <v>4782</v>
      </c>
      <c r="D766" s="60">
        <v>31.7</v>
      </c>
      <c r="E766" s="60">
        <v>1.28</v>
      </c>
      <c r="F766" s="60">
        <v>1351</v>
      </c>
      <c r="G766" s="60">
        <v>0.38</v>
      </c>
      <c r="H766" s="60">
        <v>4.09</v>
      </c>
      <c r="I766" s="60">
        <v>32.01</v>
      </c>
      <c r="J766" s="60">
        <v>0</v>
      </c>
      <c r="O766" s="60" t="s">
        <v>1306</v>
      </c>
      <c r="P766" s="60" t="s">
        <v>1657</v>
      </c>
      <c r="Q766" s="60" t="s">
        <v>4782</v>
      </c>
      <c r="R766" s="60">
        <v>31.7</v>
      </c>
      <c r="S766" s="60">
        <v>1.28</v>
      </c>
      <c r="T766" s="60">
        <v>1351</v>
      </c>
      <c r="U766" s="60">
        <v>6.02</v>
      </c>
    </row>
    <row r="767" spans="1:21">
      <c r="A767" s="60" t="s">
        <v>1308</v>
      </c>
      <c r="B767" s="60" t="s">
        <v>1659</v>
      </c>
      <c r="C767" s="60" t="s">
        <v>4826</v>
      </c>
      <c r="D767" s="60">
        <v>173</v>
      </c>
      <c r="E767" s="60">
        <v>-3.89</v>
      </c>
      <c r="F767" s="60">
        <v>7832</v>
      </c>
      <c r="G767" s="60">
        <v>5.76</v>
      </c>
      <c r="H767" s="60">
        <v>9.31</v>
      </c>
      <c r="I767" s="60">
        <v>54.55</v>
      </c>
      <c r="J767" s="60">
        <v>0.37</v>
      </c>
      <c r="O767" s="60" t="s">
        <v>1308</v>
      </c>
      <c r="P767" s="60" t="s">
        <v>1659</v>
      </c>
      <c r="Q767" s="60" t="s">
        <v>4826</v>
      </c>
      <c r="R767" s="60">
        <v>173</v>
      </c>
      <c r="S767" s="60">
        <v>-3.89</v>
      </c>
      <c r="T767" s="60">
        <v>7832</v>
      </c>
      <c r="U767" s="60">
        <v>18.47</v>
      </c>
    </row>
    <row r="768" spans="1:21">
      <c r="A768" s="60" t="s">
        <v>1310</v>
      </c>
      <c r="B768" s="60" t="s">
        <v>1661</v>
      </c>
      <c r="C768" s="60" t="s">
        <v>4890</v>
      </c>
      <c r="D768" s="60">
        <v>19.149999999999999</v>
      </c>
      <c r="E768" s="60">
        <v>-0.78</v>
      </c>
      <c r="F768" s="60">
        <v>57</v>
      </c>
      <c r="G768" s="60">
        <v>0</v>
      </c>
      <c r="H768" s="60">
        <v>0.48</v>
      </c>
      <c r="I768" s="60">
        <v>16.989999999999998</v>
      </c>
      <c r="J768" s="60">
        <v>0</v>
      </c>
      <c r="O768" s="60" t="s">
        <v>1310</v>
      </c>
      <c r="P768" s="60" t="s">
        <v>1661</v>
      </c>
      <c r="Q768" s="60" t="s">
        <v>4890</v>
      </c>
      <c r="R768" s="60">
        <v>19.149999999999999</v>
      </c>
      <c r="S768" s="60">
        <v>-0.78</v>
      </c>
      <c r="T768" s="60">
        <v>57</v>
      </c>
      <c r="U768" s="60">
        <v>36.19</v>
      </c>
    </row>
    <row r="769" spans="1:21">
      <c r="A769" s="60" t="s">
        <v>1312</v>
      </c>
      <c r="B769" s="60" t="s">
        <v>1664</v>
      </c>
      <c r="C769" s="60" t="s">
        <v>5014</v>
      </c>
      <c r="D769" s="60">
        <v>33.299999999999997</v>
      </c>
      <c r="E769" s="60">
        <v>-0.89</v>
      </c>
      <c r="F769" s="60">
        <v>88</v>
      </c>
      <c r="G769" s="60">
        <v>0.09</v>
      </c>
      <c r="H769" s="60">
        <v>3.76</v>
      </c>
      <c r="I769" s="60">
        <v>19.8</v>
      </c>
      <c r="J769" s="60">
        <v>0</v>
      </c>
      <c r="O769" s="60" t="s">
        <v>1312</v>
      </c>
      <c r="P769" s="60" t="s">
        <v>1664</v>
      </c>
      <c r="Q769" s="60" t="s">
        <v>5014</v>
      </c>
      <c r="R769" s="60">
        <v>33.299999999999997</v>
      </c>
      <c r="S769" s="60">
        <v>-0.89</v>
      </c>
      <c r="T769" s="60">
        <v>88</v>
      </c>
      <c r="U769" s="60">
        <v>37.409999999999997</v>
      </c>
    </row>
    <row r="770" spans="1:21">
      <c r="A770" s="60" t="s">
        <v>1314</v>
      </c>
      <c r="B770" s="60" t="s">
        <v>1666</v>
      </c>
      <c r="C770" s="60" t="s">
        <v>4827</v>
      </c>
      <c r="D770" s="60">
        <v>15.85</v>
      </c>
      <c r="E770" s="60">
        <v>3.93</v>
      </c>
      <c r="F770" s="60">
        <v>1736</v>
      </c>
      <c r="G770" s="60">
        <v>0.04</v>
      </c>
      <c r="H770" s="60">
        <v>0.3</v>
      </c>
      <c r="I770" s="60">
        <v>9</v>
      </c>
      <c r="J770" s="60">
        <v>0</v>
      </c>
      <c r="O770" s="60" t="s">
        <v>1314</v>
      </c>
      <c r="P770" s="60" t="s">
        <v>1666</v>
      </c>
      <c r="Q770" s="60" t="s">
        <v>4827</v>
      </c>
      <c r="R770" s="60">
        <v>15.85</v>
      </c>
      <c r="S770" s="60">
        <v>3.93</v>
      </c>
      <c r="T770" s="60">
        <v>1736</v>
      </c>
      <c r="U770" s="60">
        <v>45.97</v>
      </c>
    </row>
    <row r="771" spans="1:21">
      <c r="A771" s="60" t="s">
        <v>1315</v>
      </c>
      <c r="B771" s="60" t="s">
        <v>1668</v>
      </c>
      <c r="C771" s="60" t="s">
        <v>4194</v>
      </c>
      <c r="D771" s="60">
        <v>48.15</v>
      </c>
      <c r="E771" s="60">
        <v>0.1</v>
      </c>
      <c r="F771" s="60">
        <v>167</v>
      </c>
      <c r="G771" s="60">
        <v>0</v>
      </c>
      <c r="H771" s="60">
        <v>4.3</v>
      </c>
      <c r="I771" s="60">
        <v>1.84</v>
      </c>
      <c r="J771" s="60">
        <v>0</v>
      </c>
      <c r="O771" s="60" t="s">
        <v>1315</v>
      </c>
      <c r="P771" s="60" t="s">
        <v>1668</v>
      </c>
      <c r="Q771" s="60" t="s">
        <v>4194</v>
      </c>
      <c r="R771" s="60">
        <v>48.15</v>
      </c>
      <c r="S771" s="60">
        <v>0.1</v>
      </c>
      <c r="T771" s="60">
        <v>167</v>
      </c>
      <c r="U771" s="60">
        <v>46.79</v>
      </c>
    </row>
    <row r="772" spans="1:21">
      <c r="A772" s="60" t="s">
        <v>1317</v>
      </c>
      <c r="B772" s="60" t="s">
        <v>1670</v>
      </c>
      <c r="C772" s="60" t="s">
        <v>4076</v>
      </c>
      <c r="D772" s="60">
        <v>136.5</v>
      </c>
      <c r="E772" s="60">
        <v>-2.5</v>
      </c>
      <c r="F772" s="60">
        <v>5757</v>
      </c>
      <c r="G772" s="60">
        <v>9.4</v>
      </c>
      <c r="H772" s="60">
        <v>7.5</v>
      </c>
      <c r="I772" s="60">
        <v>27.92</v>
      </c>
      <c r="J772" s="60">
        <v>1.0900000000000001</v>
      </c>
      <c r="O772" s="60" t="s">
        <v>1317</v>
      </c>
      <c r="P772" s="60" t="s">
        <v>1670</v>
      </c>
      <c r="Q772" s="60" t="s">
        <v>4076</v>
      </c>
      <c r="R772" s="60">
        <v>136.5</v>
      </c>
      <c r="S772" s="60">
        <v>-2.5</v>
      </c>
      <c r="T772" s="60">
        <v>5757</v>
      </c>
      <c r="U772" s="60">
        <v>66.31</v>
      </c>
    </row>
    <row r="773" spans="1:21">
      <c r="A773" s="60" t="s">
        <v>1318</v>
      </c>
      <c r="B773" s="60" t="s">
        <v>1672</v>
      </c>
      <c r="C773" s="60" t="s">
        <v>5015</v>
      </c>
      <c r="D773" s="60">
        <v>54.3</v>
      </c>
      <c r="E773" s="60">
        <v>-1.27</v>
      </c>
      <c r="F773" s="60">
        <v>4114</v>
      </c>
      <c r="G773" s="60">
        <v>15.1</v>
      </c>
      <c r="H773" s="60">
        <v>5.81</v>
      </c>
      <c r="I773" s="60">
        <v>35.78</v>
      </c>
      <c r="J773" s="60">
        <v>0</v>
      </c>
      <c r="O773" s="60" t="s">
        <v>1318</v>
      </c>
      <c r="P773" s="60" t="s">
        <v>1672</v>
      </c>
      <c r="Q773" s="60" t="s">
        <v>5015</v>
      </c>
      <c r="R773" s="60">
        <v>54.3</v>
      </c>
      <c r="S773" s="60">
        <v>-1.27</v>
      </c>
      <c r="T773" s="60">
        <v>4114</v>
      </c>
      <c r="U773" s="60">
        <v>26.42</v>
      </c>
    </row>
    <row r="774" spans="1:21">
      <c r="A774" s="60" t="s">
        <v>1320</v>
      </c>
      <c r="B774" s="60" t="s">
        <v>1674</v>
      </c>
      <c r="C774" s="60" t="s">
        <v>4891</v>
      </c>
      <c r="D774" s="60">
        <v>39.700000000000003</v>
      </c>
      <c r="E774" s="60">
        <v>0.25</v>
      </c>
      <c r="F774" s="60">
        <v>272</v>
      </c>
      <c r="G774" s="60">
        <v>0.77</v>
      </c>
      <c r="H774" s="60">
        <v>0.92</v>
      </c>
      <c r="I774" s="60">
        <v>42.63</v>
      </c>
      <c r="J774" s="60">
        <v>0</v>
      </c>
      <c r="O774" s="60" t="s">
        <v>1320</v>
      </c>
      <c r="P774" s="60" t="s">
        <v>1674</v>
      </c>
      <c r="Q774" s="60" t="s">
        <v>4891</v>
      </c>
      <c r="R774" s="60">
        <v>39.700000000000003</v>
      </c>
      <c r="S774" s="60">
        <v>0.25</v>
      </c>
      <c r="T774" s="60">
        <v>272</v>
      </c>
      <c r="U774" s="60">
        <v>53.52</v>
      </c>
    </row>
    <row r="775" spans="1:21">
      <c r="A775" s="60" t="s">
        <v>1321</v>
      </c>
      <c r="B775" s="60" t="s">
        <v>1676</v>
      </c>
      <c r="C775" s="60" t="s">
        <v>4892</v>
      </c>
      <c r="D775" s="60">
        <v>34.75</v>
      </c>
      <c r="E775" s="60">
        <v>0</v>
      </c>
      <c r="F775" s="60">
        <v>138</v>
      </c>
      <c r="G775" s="60">
        <v>0</v>
      </c>
      <c r="H775" s="60">
        <v>0.15</v>
      </c>
      <c r="I775" s="60">
        <v>14.83</v>
      </c>
      <c r="J775" s="60">
        <v>0</v>
      </c>
      <c r="O775" s="60" t="s">
        <v>1321</v>
      </c>
      <c r="P775" s="60" t="s">
        <v>1676</v>
      </c>
      <c r="Q775" s="60" t="s">
        <v>4892</v>
      </c>
      <c r="R775" s="60">
        <v>34.75</v>
      </c>
      <c r="S775" s="60">
        <v>0</v>
      </c>
      <c r="T775" s="60">
        <v>138</v>
      </c>
      <c r="U775" s="60">
        <v>71.430000000000007</v>
      </c>
    </row>
    <row r="776" spans="1:21">
      <c r="A776" s="60" t="s">
        <v>1323</v>
      </c>
      <c r="B776" s="60" t="s">
        <v>1678</v>
      </c>
      <c r="C776" s="60" t="s">
        <v>4028</v>
      </c>
      <c r="D776" s="60">
        <v>239</v>
      </c>
      <c r="E776" s="60">
        <v>-0.62</v>
      </c>
      <c r="F776" s="60">
        <v>4168</v>
      </c>
      <c r="G776" s="60">
        <v>0.97</v>
      </c>
      <c r="H776" s="60">
        <v>11.37</v>
      </c>
      <c r="I776" s="60">
        <v>20.54</v>
      </c>
      <c r="J776" s="60">
        <v>4.5999999999999996</v>
      </c>
      <c r="O776" s="60" t="s">
        <v>1323</v>
      </c>
      <c r="P776" s="60" t="s">
        <v>1678</v>
      </c>
      <c r="Q776" s="60" t="s">
        <v>4028</v>
      </c>
      <c r="R776" s="60">
        <v>239</v>
      </c>
      <c r="S776" s="60">
        <v>-0.62</v>
      </c>
      <c r="T776" s="60">
        <v>4168</v>
      </c>
      <c r="U776" s="60">
        <v>68.19</v>
      </c>
    </row>
    <row r="777" spans="1:21">
      <c r="A777" s="60" t="s">
        <v>1325</v>
      </c>
      <c r="B777" s="60" t="s">
        <v>1680</v>
      </c>
      <c r="C777" s="60" t="s">
        <v>4783</v>
      </c>
      <c r="D777" s="60">
        <v>16.05</v>
      </c>
      <c r="E777" s="60">
        <v>-0.62</v>
      </c>
      <c r="F777" s="60">
        <v>54</v>
      </c>
      <c r="G777" s="60">
        <v>0</v>
      </c>
      <c r="H777" s="60">
        <v>0.44</v>
      </c>
      <c r="I777" s="60">
        <v>66.03</v>
      </c>
      <c r="J777" s="60">
        <v>0</v>
      </c>
      <c r="O777" s="60" t="s">
        <v>1325</v>
      </c>
      <c r="P777" s="60" t="s">
        <v>1680</v>
      </c>
      <c r="Q777" s="60" t="s">
        <v>4783</v>
      </c>
      <c r="R777" s="60">
        <v>16.05</v>
      </c>
      <c r="S777" s="60">
        <v>-0.62</v>
      </c>
      <c r="T777" s="60">
        <v>54</v>
      </c>
      <c r="U777" s="60">
        <v>59.62</v>
      </c>
    </row>
    <row r="778" spans="1:21">
      <c r="A778" s="60" t="s">
        <v>1327</v>
      </c>
      <c r="B778" s="60" t="s">
        <v>1682</v>
      </c>
      <c r="C778" s="60" t="s">
        <v>4282</v>
      </c>
      <c r="D778" s="60">
        <v>23</v>
      </c>
      <c r="E778" s="60">
        <v>0</v>
      </c>
      <c r="F778" s="60">
        <v>121</v>
      </c>
      <c r="G778" s="60">
        <v>0.04</v>
      </c>
      <c r="H778" s="60">
        <v>8.4700000000000006</v>
      </c>
      <c r="I778" s="60">
        <v>15.85</v>
      </c>
      <c r="J778" s="60">
        <v>0.09</v>
      </c>
      <c r="O778" s="60" t="s">
        <v>1327</v>
      </c>
      <c r="P778" s="60" t="s">
        <v>1682</v>
      </c>
      <c r="Q778" s="60" t="s">
        <v>4282</v>
      </c>
      <c r="R778" s="60">
        <v>23</v>
      </c>
      <c r="S778" s="60">
        <v>0</v>
      </c>
      <c r="T778" s="60">
        <v>121</v>
      </c>
      <c r="U778" s="60">
        <v>27.47</v>
      </c>
    </row>
    <row r="779" spans="1:21">
      <c r="A779" s="60" t="s">
        <v>1329</v>
      </c>
      <c r="B779" s="60" t="s">
        <v>3222</v>
      </c>
      <c r="C779" s="60" t="s">
        <v>4893</v>
      </c>
      <c r="D779" s="60">
        <v>15.25</v>
      </c>
      <c r="E779" s="60">
        <v>-2.2400000000000002</v>
      </c>
      <c r="F779" s="60">
        <v>145</v>
      </c>
      <c r="G779" s="60">
        <v>0</v>
      </c>
      <c r="H779" s="60">
        <v>0.03</v>
      </c>
      <c r="I779" s="60">
        <v>0</v>
      </c>
      <c r="J779" s="60">
        <v>0</v>
      </c>
      <c r="O779" s="60" t="s">
        <v>1329</v>
      </c>
      <c r="P779" s="60" t="s">
        <v>3222</v>
      </c>
      <c r="Q779" s="60" t="s">
        <v>4893</v>
      </c>
      <c r="R779" s="60">
        <v>15.25</v>
      </c>
      <c r="S779" s="60">
        <v>-2.2400000000000002</v>
      </c>
      <c r="T779" s="60">
        <v>145</v>
      </c>
      <c r="U779" s="60">
        <v>36.630000000000003</v>
      </c>
    </row>
    <row r="780" spans="1:21">
      <c r="A780" s="60" t="s">
        <v>1331</v>
      </c>
      <c r="B780" s="60" t="s">
        <v>1685</v>
      </c>
      <c r="C780" s="60" t="s">
        <v>4740</v>
      </c>
      <c r="D780" s="60">
        <v>12.3</v>
      </c>
      <c r="E780" s="60">
        <v>0.82</v>
      </c>
      <c r="F780" s="60">
        <v>20</v>
      </c>
      <c r="G780" s="60">
        <v>0</v>
      </c>
      <c r="H780" s="60">
        <v>0.64</v>
      </c>
      <c r="I780" s="60">
        <v>0</v>
      </c>
      <c r="J780" s="60">
        <v>0</v>
      </c>
      <c r="O780" s="60" t="s">
        <v>1331</v>
      </c>
      <c r="P780" s="60" t="s">
        <v>1685</v>
      </c>
      <c r="Q780" s="60" t="s">
        <v>4740</v>
      </c>
      <c r="R780" s="60">
        <v>12.3</v>
      </c>
      <c r="S780" s="60">
        <v>0.82</v>
      </c>
      <c r="T780" s="60">
        <v>20</v>
      </c>
      <c r="U780" s="60">
        <v>52.56</v>
      </c>
    </row>
    <row r="781" spans="1:21">
      <c r="A781" s="60" t="s">
        <v>1333</v>
      </c>
      <c r="B781" s="60" t="s">
        <v>1687</v>
      </c>
      <c r="C781" s="60" t="s">
        <v>5092</v>
      </c>
      <c r="D781" s="60">
        <v>11.5</v>
      </c>
      <c r="E781" s="60">
        <v>-0.86</v>
      </c>
      <c r="F781" s="60">
        <v>294</v>
      </c>
      <c r="G781" s="60">
        <v>0</v>
      </c>
      <c r="H781" s="60">
        <v>0.61</v>
      </c>
      <c r="I781" s="60">
        <v>0</v>
      </c>
      <c r="J781" s="60">
        <v>0</v>
      </c>
      <c r="O781" s="60" t="s">
        <v>1333</v>
      </c>
      <c r="P781" s="60" t="s">
        <v>1687</v>
      </c>
      <c r="Q781" s="60" t="s">
        <v>5092</v>
      </c>
      <c r="R781" s="60">
        <v>11.5</v>
      </c>
      <c r="S781" s="60">
        <v>-0.86</v>
      </c>
      <c r="T781" s="60">
        <v>294</v>
      </c>
      <c r="U781" s="60">
        <v>40.72</v>
      </c>
    </row>
    <row r="782" spans="1:21">
      <c r="A782" s="60" t="s">
        <v>1335</v>
      </c>
      <c r="B782" s="60" t="s">
        <v>1690</v>
      </c>
      <c r="C782" s="60" t="s">
        <v>4894</v>
      </c>
      <c r="D782" s="60">
        <v>171</v>
      </c>
      <c r="E782" s="60">
        <v>-2.0099999999999998</v>
      </c>
      <c r="F782" s="60">
        <v>673</v>
      </c>
      <c r="G782" s="60">
        <v>0.28000000000000003</v>
      </c>
      <c r="H782" s="60">
        <v>6.05</v>
      </c>
      <c r="I782" s="60">
        <v>22.26</v>
      </c>
      <c r="J782" s="60">
        <v>1.84</v>
      </c>
      <c r="O782" s="60" t="s">
        <v>1335</v>
      </c>
      <c r="P782" s="60" t="s">
        <v>1690</v>
      </c>
      <c r="Q782" s="60" t="s">
        <v>4894</v>
      </c>
      <c r="R782" s="60">
        <v>171</v>
      </c>
      <c r="S782" s="60">
        <v>-2.0099999999999998</v>
      </c>
      <c r="T782" s="60">
        <v>673</v>
      </c>
      <c r="U782" s="60">
        <v>31.23</v>
      </c>
    </row>
    <row r="783" spans="1:21">
      <c r="A783" s="60" t="s">
        <v>1336</v>
      </c>
      <c r="B783" s="60" t="s">
        <v>1692</v>
      </c>
      <c r="C783" s="60" t="s">
        <v>4673</v>
      </c>
      <c r="D783" s="60">
        <v>201.5</v>
      </c>
      <c r="E783" s="60">
        <v>0.75</v>
      </c>
      <c r="F783" s="60">
        <v>733</v>
      </c>
      <c r="G783" s="60">
        <v>1.59</v>
      </c>
      <c r="H783" s="60">
        <v>13.02</v>
      </c>
      <c r="I783" s="60">
        <v>34.33</v>
      </c>
      <c r="J783" s="60">
        <v>0.34</v>
      </c>
      <c r="O783" s="60" t="s">
        <v>1336</v>
      </c>
      <c r="P783" s="60" t="s">
        <v>1692</v>
      </c>
      <c r="Q783" s="60" t="s">
        <v>4673</v>
      </c>
      <c r="R783" s="60">
        <v>201.5</v>
      </c>
      <c r="S783" s="60">
        <v>0.75</v>
      </c>
      <c r="T783" s="60">
        <v>733</v>
      </c>
      <c r="U783" s="60">
        <v>23.5</v>
      </c>
    </row>
    <row r="784" spans="1:21">
      <c r="A784" s="60" t="s">
        <v>1338</v>
      </c>
      <c r="B784" s="60" t="s">
        <v>1694</v>
      </c>
      <c r="C784" s="60" t="s">
        <v>4242</v>
      </c>
      <c r="D784" s="60">
        <v>49.5</v>
      </c>
      <c r="E784" s="60">
        <v>0.1</v>
      </c>
      <c r="F784" s="60">
        <v>45</v>
      </c>
      <c r="G784" s="60">
        <v>0</v>
      </c>
      <c r="H784" s="60">
        <v>2.63</v>
      </c>
      <c r="I784" s="60">
        <v>1.05</v>
      </c>
      <c r="J784" s="60">
        <v>0</v>
      </c>
      <c r="O784" s="60" t="s">
        <v>1338</v>
      </c>
      <c r="P784" s="60" t="s">
        <v>1694</v>
      </c>
      <c r="Q784" s="60" t="s">
        <v>4242</v>
      </c>
      <c r="R784" s="60">
        <v>49.5</v>
      </c>
      <c r="S784" s="60">
        <v>0.1</v>
      </c>
      <c r="T784" s="60">
        <v>45</v>
      </c>
      <c r="U784" s="60">
        <v>65.08</v>
      </c>
    </row>
    <row r="785" spans="1:21">
      <c r="A785" s="60" t="s">
        <v>1340</v>
      </c>
      <c r="B785" s="60" t="s">
        <v>1696</v>
      </c>
      <c r="C785" s="60" t="s">
        <v>4674</v>
      </c>
      <c r="D785" s="60">
        <v>2410</v>
      </c>
      <c r="E785" s="60">
        <v>-0.62</v>
      </c>
      <c r="F785" s="60">
        <v>347</v>
      </c>
      <c r="G785" s="60">
        <v>0.61</v>
      </c>
      <c r="H785" s="60">
        <v>76.8</v>
      </c>
      <c r="I785" s="60">
        <v>2.84</v>
      </c>
      <c r="J785" s="60">
        <v>13.51</v>
      </c>
      <c r="O785" s="60" t="s">
        <v>1340</v>
      </c>
      <c r="P785" s="60" t="s">
        <v>1696</v>
      </c>
      <c r="Q785" s="60" t="s">
        <v>4674</v>
      </c>
      <c r="R785" s="60">
        <v>2410</v>
      </c>
      <c r="S785" s="60">
        <v>-0.62</v>
      </c>
      <c r="T785" s="60">
        <v>347</v>
      </c>
      <c r="U785" s="60">
        <v>44.19</v>
      </c>
    </row>
    <row r="786" spans="1:21">
      <c r="A786" s="60" t="s">
        <v>1342</v>
      </c>
      <c r="B786" s="60" t="s">
        <v>1698</v>
      </c>
      <c r="C786" s="60" t="s">
        <v>3972</v>
      </c>
      <c r="D786" s="60">
        <v>153</v>
      </c>
      <c r="E786" s="60">
        <v>3.38</v>
      </c>
      <c r="F786" s="60">
        <v>4716</v>
      </c>
      <c r="G786" s="60">
        <v>3.37</v>
      </c>
      <c r="H786" s="60">
        <v>47.35</v>
      </c>
      <c r="I786" s="60">
        <v>33.31</v>
      </c>
      <c r="J786" s="60">
        <v>0</v>
      </c>
      <c r="O786" s="60" t="s">
        <v>1342</v>
      </c>
      <c r="P786" s="60" t="s">
        <v>1698</v>
      </c>
      <c r="Q786" s="60" t="s">
        <v>3972</v>
      </c>
      <c r="R786" s="60">
        <v>153</v>
      </c>
      <c r="S786" s="60">
        <v>3.38</v>
      </c>
      <c r="T786" s="60">
        <v>4716</v>
      </c>
      <c r="U786" s="60">
        <v>40.880000000000003</v>
      </c>
    </row>
    <row r="787" spans="1:21">
      <c r="A787" s="60" t="s">
        <v>1344</v>
      </c>
      <c r="B787" s="60" t="s">
        <v>1700</v>
      </c>
      <c r="C787" s="60" t="s">
        <v>4785</v>
      </c>
      <c r="D787" s="60">
        <v>21.7</v>
      </c>
      <c r="E787" s="60">
        <v>-2.0299999999999998</v>
      </c>
      <c r="F787" s="60">
        <v>6</v>
      </c>
      <c r="G787" s="60">
        <v>0</v>
      </c>
      <c r="H787" s="60">
        <v>20.02</v>
      </c>
      <c r="I787" s="60">
        <v>0.14000000000000001</v>
      </c>
      <c r="J787" s="60">
        <v>0</v>
      </c>
      <c r="O787" s="60" t="s">
        <v>1344</v>
      </c>
      <c r="P787" s="60" t="s">
        <v>1700</v>
      </c>
      <c r="Q787" s="60" t="s">
        <v>4785</v>
      </c>
      <c r="R787" s="60">
        <v>21.7</v>
      </c>
      <c r="S787" s="60">
        <v>-2.0299999999999998</v>
      </c>
      <c r="T787" s="60">
        <v>6</v>
      </c>
      <c r="U787" s="60">
        <v>61.76</v>
      </c>
    </row>
    <row r="788" spans="1:21">
      <c r="A788" s="60" t="s">
        <v>1346</v>
      </c>
      <c r="B788" s="60" t="s">
        <v>1702</v>
      </c>
      <c r="C788" s="60" t="s">
        <v>3681</v>
      </c>
      <c r="D788" s="60">
        <v>210</v>
      </c>
      <c r="E788" s="60">
        <v>9.9499999999999993</v>
      </c>
      <c r="F788" s="60">
        <v>8517</v>
      </c>
      <c r="G788" s="60">
        <v>0.13</v>
      </c>
      <c r="H788" s="60">
        <v>58.18</v>
      </c>
      <c r="I788" s="60">
        <v>3.75</v>
      </c>
      <c r="J788" s="60">
        <v>2.54</v>
      </c>
      <c r="O788" s="60" t="s">
        <v>1346</v>
      </c>
      <c r="P788" s="60" t="s">
        <v>1702</v>
      </c>
      <c r="Q788" s="60" t="s">
        <v>3681</v>
      </c>
      <c r="R788" s="60">
        <v>210</v>
      </c>
      <c r="S788" s="60">
        <v>9.9499999999999993</v>
      </c>
      <c r="T788" s="60">
        <v>8517</v>
      </c>
      <c r="U788" s="60">
        <v>90.55</v>
      </c>
    </row>
    <row r="789" spans="1:21">
      <c r="A789" s="60" t="s">
        <v>1347</v>
      </c>
      <c r="B789" s="60" t="s">
        <v>1704</v>
      </c>
      <c r="C789" s="60" t="s">
        <v>3641</v>
      </c>
      <c r="D789" s="60">
        <v>709</v>
      </c>
      <c r="E789" s="60">
        <v>0.56999999999999995</v>
      </c>
      <c r="F789" s="60">
        <v>477</v>
      </c>
      <c r="G789" s="60">
        <v>0.54</v>
      </c>
      <c r="H789" s="60">
        <v>41.99</v>
      </c>
      <c r="I789" s="60">
        <v>2.65</v>
      </c>
      <c r="J789" s="60">
        <v>9.27</v>
      </c>
      <c r="O789" s="60" t="s">
        <v>1347</v>
      </c>
      <c r="P789" s="60" t="s">
        <v>1704</v>
      </c>
      <c r="Q789" s="60" t="s">
        <v>3641</v>
      </c>
      <c r="R789" s="60">
        <v>709</v>
      </c>
      <c r="S789" s="60">
        <v>0.56999999999999995</v>
      </c>
      <c r="T789" s="60">
        <v>477</v>
      </c>
      <c r="U789" s="60">
        <v>56.5</v>
      </c>
    </row>
    <row r="790" spans="1:21">
      <c r="A790" s="60" t="s">
        <v>1349</v>
      </c>
      <c r="B790" s="60" t="s">
        <v>1706</v>
      </c>
      <c r="C790" s="60" t="s">
        <v>4077</v>
      </c>
      <c r="D790" s="60">
        <v>18.2</v>
      </c>
      <c r="E790" s="60">
        <v>-2.15</v>
      </c>
      <c r="F790" s="60">
        <v>895</v>
      </c>
      <c r="G790" s="60">
        <v>0.13</v>
      </c>
      <c r="H790" s="60">
        <v>4.59</v>
      </c>
      <c r="I790" s="60">
        <v>12.63</v>
      </c>
      <c r="J790" s="60">
        <v>0</v>
      </c>
      <c r="O790" s="60" t="s">
        <v>1349</v>
      </c>
      <c r="P790" s="60" t="s">
        <v>1706</v>
      </c>
      <c r="Q790" s="60" t="s">
        <v>4077</v>
      </c>
      <c r="R790" s="60">
        <v>18.2</v>
      </c>
      <c r="S790" s="60">
        <v>-2.15</v>
      </c>
      <c r="T790" s="60">
        <v>895</v>
      </c>
      <c r="U790" s="60">
        <v>21.42</v>
      </c>
    </row>
    <row r="791" spans="1:21">
      <c r="A791" s="60" t="s">
        <v>1351</v>
      </c>
      <c r="B791" s="60" t="s">
        <v>3223</v>
      </c>
      <c r="C791" s="60" t="s">
        <v>3612</v>
      </c>
      <c r="D791" s="60">
        <v>6.09</v>
      </c>
      <c r="E791" s="60">
        <v>0</v>
      </c>
      <c r="F791" s="60">
        <v>48</v>
      </c>
      <c r="G791" s="60">
        <v>0</v>
      </c>
      <c r="H791" s="60">
        <v>0.44</v>
      </c>
      <c r="I791" s="60">
        <v>0</v>
      </c>
      <c r="J791" s="60">
        <v>0</v>
      </c>
      <c r="O791" s="60" t="s">
        <v>1351</v>
      </c>
      <c r="P791" s="60" t="s">
        <v>3223</v>
      </c>
      <c r="Q791" s="60" t="s">
        <v>3612</v>
      </c>
      <c r="R791" s="60">
        <v>6.09</v>
      </c>
      <c r="S791" s="60">
        <v>0</v>
      </c>
      <c r="T791" s="60">
        <v>48</v>
      </c>
      <c r="U791" s="60">
        <v>48.73</v>
      </c>
    </row>
    <row r="792" spans="1:21">
      <c r="A792" s="60" t="s">
        <v>1353</v>
      </c>
      <c r="B792" s="60" t="s">
        <v>1709</v>
      </c>
      <c r="C792" s="60" t="s">
        <v>4895</v>
      </c>
      <c r="D792" s="60">
        <v>36.799999999999997</v>
      </c>
      <c r="E792" s="60">
        <v>0.41</v>
      </c>
      <c r="F792" s="60">
        <v>262</v>
      </c>
      <c r="G792" s="60">
        <v>0.13</v>
      </c>
      <c r="H792" s="60">
        <v>0.38</v>
      </c>
      <c r="I792" s="60">
        <v>6.05</v>
      </c>
      <c r="J792" s="60">
        <v>0</v>
      </c>
      <c r="O792" s="60" t="s">
        <v>1353</v>
      </c>
      <c r="P792" s="60" t="s">
        <v>1709</v>
      </c>
      <c r="Q792" s="60" t="s">
        <v>4895</v>
      </c>
      <c r="R792" s="60">
        <v>36.799999999999997</v>
      </c>
      <c r="S792" s="60">
        <v>0.41</v>
      </c>
      <c r="T792" s="60">
        <v>262</v>
      </c>
      <c r="U792" s="60">
        <v>26.92</v>
      </c>
    </row>
    <row r="793" spans="1:21">
      <c r="A793" s="60" t="s">
        <v>1355</v>
      </c>
      <c r="B793" s="60" t="s">
        <v>1711</v>
      </c>
      <c r="C793" s="60" t="s">
        <v>4741</v>
      </c>
      <c r="D793" s="60">
        <v>39.5</v>
      </c>
      <c r="E793" s="60">
        <v>3.54</v>
      </c>
      <c r="F793" s="60">
        <v>331</v>
      </c>
      <c r="G793" s="60">
        <v>1.1499999999999999</v>
      </c>
      <c r="H793" s="60">
        <v>1.57</v>
      </c>
      <c r="I793" s="60">
        <v>14</v>
      </c>
      <c r="J793" s="60">
        <v>0</v>
      </c>
      <c r="O793" s="60" t="s">
        <v>1355</v>
      </c>
      <c r="P793" s="60" t="s">
        <v>1711</v>
      </c>
      <c r="Q793" s="60" t="s">
        <v>4741</v>
      </c>
      <c r="R793" s="60">
        <v>39.5</v>
      </c>
      <c r="S793" s="60">
        <v>3.54</v>
      </c>
      <c r="T793" s="60">
        <v>331</v>
      </c>
      <c r="U793" s="60">
        <v>26.15</v>
      </c>
    </row>
    <row r="794" spans="1:21">
      <c r="A794" s="60" t="s">
        <v>1356</v>
      </c>
      <c r="B794" s="60" t="s">
        <v>1713</v>
      </c>
      <c r="C794" s="60" t="s">
        <v>5016</v>
      </c>
      <c r="D794" s="60">
        <v>62.9</v>
      </c>
      <c r="E794" s="60">
        <v>0.64</v>
      </c>
      <c r="F794" s="60">
        <v>72</v>
      </c>
      <c r="G794" s="60">
        <v>0.1</v>
      </c>
      <c r="H794" s="60">
        <v>2.99</v>
      </c>
      <c r="I794" s="60">
        <v>11.42</v>
      </c>
      <c r="J794" s="60">
        <v>0.02</v>
      </c>
      <c r="O794" s="60" t="s">
        <v>1356</v>
      </c>
      <c r="P794" s="60" t="s">
        <v>1713</v>
      </c>
      <c r="Q794" s="60" t="s">
        <v>5016</v>
      </c>
      <c r="R794" s="60">
        <v>62.9</v>
      </c>
      <c r="S794" s="60">
        <v>0.64</v>
      </c>
      <c r="T794" s="60">
        <v>72</v>
      </c>
      <c r="U794" s="60">
        <v>22.99</v>
      </c>
    </row>
    <row r="795" spans="1:21">
      <c r="A795" s="60" t="s">
        <v>1358</v>
      </c>
      <c r="B795" s="60" t="s">
        <v>1715</v>
      </c>
      <c r="C795" s="60" t="s">
        <v>4078</v>
      </c>
      <c r="D795" s="60">
        <v>27.5</v>
      </c>
      <c r="E795" s="60">
        <v>1.29</v>
      </c>
      <c r="F795" s="60">
        <v>86</v>
      </c>
      <c r="G795" s="60">
        <v>0</v>
      </c>
      <c r="H795" s="60">
        <v>0.51</v>
      </c>
      <c r="I795" s="60">
        <v>8.58</v>
      </c>
      <c r="J795" s="60">
        <v>0</v>
      </c>
      <c r="O795" s="60" t="s">
        <v>1358</v>
      </c>
      <c r="P795" s="60" t="s">
        <v>1715</v>
      </c>
      <c r="Q795" s="60" t="s">
        <v>4078</v>
      </c>
      <c r="R795" s="60">
        <v>27.5</v>
      </c>
      <c r="S795" s="60">
        <v>1.29</v>
      </c>
      <c r="T795" s="60">
        <v>86</v>
      </c>
      <c r="U795" s="60">
        <v>38.090000000000003</v>
      </c>
    </row>
    <row r="796" spans="1:21">
      <c r="A796" s="60" t="s">
        <v>1360</v>
      </c>
      <c r="B796" s="60" t="s">
        <v>1717</v>
      </c>
      <c r="C796" s="60" t="s">
        <v>3973</v>
      </c>
      <c r="D796" s="60">
        <v>176.5</v>
      </c>
      <c r="E796" s="60">
        <v>2.3199999999999998</v>
      </c>
      <c r="F796" s="60">
        <v>12832</v>
      </c>
      <c r="G796" s="60">
        <v>3.79</v>
      </c>
      <c r="H796" s="60">
        <v>21.85</v>
      </c>
      <c r="I796" s="60">
        <v>41.26</v>
      </c>
      <c r="J796" s="60">
        <v>0.39</v>
      </c>
      <c r="O796" s="60" t="s">
        <v>1360</v>
      </c>
      <c r="P796" s="60" t="s">
        <v>1717</v>
      </c>
      <c r="Q796" s="60" t="s">
        <v>3973</v>
      </c>
      <c r="R796" s="60">
        <v>176.5</v>
      </c>
      <c r="S796" s="60">
        <v>2.3199999999999998</v>
      </c>
      <c r="T796" s="60">
        <v>12832</v>
      </c>
      <c r="U796" s="60">
        <v>20.09</v>
      </c>
    </row>
    <row r="797" spans="1:21">
      <c r="A797" s="60" t="s">
        <v>1362</v>
      </c>
      <c r="B797" s="60" t="s">
        <v>1719</v>
      </c>
      <c r="C797" s="60" t="s">
        <v>5178</v>
      </c>
      <c r="D797" s="60">
        <v>83.9</v>
      </c>
      <c r="E797" s="60">
        <v>-0.12</v>
      </c>
      <c r="F797" s="60">
        <v>204</v>
      </c>
      <c r="G797" s="60">
        <v>0.02</v>
      </c>
      <c r="H797" s="60">
        <v>13.11</v>
      </c>
      <c r="I797" s="60">
        <v>14.18</v>
      </c>
      <c r="J797" s="60">
        <v>0</v>
      </c>
      <c r="O797" s="60" t="s">
        <v>1362</v>
      </c>
      <c r="P797" s="60" t="s">
        <v>1719</v>
      </c>
      <c r="Q797" s="60" t="s">
        <v>5178</v>
      </c>
      <c r="R797" s="60">
        <v>83.9</v>
      </c>
      <c r="S797" s="60">
        <v>-0.12</v>
      </c>
      <c r="T797" s="60">
        <v>204</v>
      </c>
      <c r="U797" s="60">
        <v>21.32</v>
      </c>
    </row>
    <row r="798" spans="1:21">
      <c r="A798" s="60" t="s">
        <v>1364</v>
      </c>
      <c r="B798" s="60" t="s">
        <v>1721</v>
      </c>
      <c r="C798" s="60" t="s">
        <v>4896</v>
      </c>
      <c r="D798" s="60">
        <v>59.6</v>
      </c>
      <c r="E798" s="60">
        <v>1.88</v>
      </c>
      <c r="F798" s="60">
        <v>222</v>
      </c>
      <c r="G798" s="60">
        <v>0.25</v>
      </c>
      <c r="H798" s="60">
        <v>3.47</v>
      </c>
      <c r="I798" s="60">
        <v>45.77</v>
      </c>
      <c r="J798" s="60">
        <v>0</v>
      </c>
      <c r="O798" s="60" t="s">
        <v>1364</v>
      </c>
      <c r="P798" s="60" t="s">
        <v>1721</v>
      </c>
      <c r="Q798" s="60" t="s">
        <v>4896</v>
      </c>
      <c r="R798" s="60">
        <v>59.6</v>
      </c>
      <c r="S798" s="60">
        <v>1.88</v>
      </c>
      <c r="T798" s="60">
        <v>222</v>
      </c>
      <c r="U798" s="60">
        <v>30.75</v>
      </c>
    </row>
    <row r="799" spans="1:21">
      <c r="A799" s="60" t="s">
        <v>1366</v>
      </c>
      <c r="B799" s="60" t="s">
        <v>1723</v>
      </c>
      <c r="C799" s="60" t="s">
        <v>4195</v>
      </c>
      <c r="D799" s="60">
        <v>18.5</v>
      </c>
      <c r="E799" s="60">
        <v>0.27</v>
      </c>
      <c r="F799" s="60">
        <v>1701</v>
      </c>
      <c r="G799" s="60">
        <v>0.71</v>
      </c>
      <c r="H799" s="60">
        <v>2.4700000000000002</v>
      </c>
      <c r="I799" s="60">
        <v>34.880000000000003</v>
      </c>
      <c r="J799" s="60">
        <v>0</v>
      </c>
      <c r="O799" s="60" t="s">
        <v>1366</v>
      </c>
      <c r="P799" s="60" t="s">
        <v>1723</v>
      </c>
      <c r="Q799" s="60" t="s">
        <v>4195</v>
      </c>
      <c r="R799" s="60">
        <v>18.5</v>
      </c>
      <c r="S799" s="60">
        <v>0.27</v>
      </c>
      <c r="T799" s="60">
        <v>1701</v>
      </c>
      <c r="U799" s="60">
        <v>28.73</v>
      </c>
    </row>
    <row r="800" spans="1:21">
      <c r="A800" s="60" t="s">
        <v>1368</v>
      </c>
      <c r="B800" s="60" t="s">
        <v>1725</v>
      </c>
      <c r="C800" s="60" t="s">
        <v>5017</v>
      </c>
      <c r="D800" s="60">
        <v>71.2</v>
      </c>
      <c r="E800" s="60">
        <v>2.59</v>
      </c>
      <c r="F800" s="60">
        <v>1066</v>
      </c>
      <c r="G800" s="60">
        <v>0.1</v>
      </c>
      <c r="H800" s="60">
        <v>6.78</v>
      </c>
      <c r="I800" s="60">
        <v>23.09</v>
      </c>
      <c r="J800" s="60">
        <v>0.82</v>
      </c>
      <c r="O800" s="60" t="s">
        <v>1368</v>
      </c>
      <c r="P800" s="60" t="s">
        <v>1725</v>
      </c>
      <c r="Q800" s="60" t="s">
        <v>5017</v>
      </c>
      <c r="R800" s="60">
        <v>71.2</v>
      </c>
      <c r="S800" s="60">
        <v>2.59</v>
      </c>
      <c r="T800" s="60">
        <v>1066</v>
      </c>
      <c r="U800" s="60">
        <v>26.4</v>
      </c>
    </row>
    <row r="801" spans="1:21">
      <c r="A801" s="60" t="s">
        <v>1370</v>
      </c>
      <c r="B801" s="60" t="s">
        <v>1727</v>
      </c>
      <c r="C801" s="60" t="s">
        <v>5018</v>
      </c>
      <c r="D801" s="60">
        <v>193.5</v>
      </c>
      <c r="E801" s="60">
        <v>3.2</v>
      </c>
      <c r="F801" s="60">
        <v>1218</v>
      </c>
      <c r="G801" s="60">
        <v>2.0099999999999998</v>
      </c>
      <c r="H801" s="60">
        <v>22.53</v>
      </c>
      <c r="I801" s="60">
        <v>25.88</v>
      </c>
      <c r="J801" s="60">
        <v>0.69</v>
      </c>
      <c r="O801" s="60" t="s">
        <v>1370</v>
      </c>
      <c r="P801" s="60" t="s">
        <v>1727</v>
      </c>
      <c r="Q801" s="60" t="s">
        <v>5018</v>
      </c>
      <c r="R801" s="60">
        <v>193.5</v>
      </c>
      <c r="S801" s="60">
        <v>3.2</v>
      </c>
      <c r="T801" s="60">
        <v>1218</v>
      </c>
      <c r="U801" s="60">
        <v>36.659999999999997</v>
      </c>
    </row>
    <row r="802" spans="1:21">
      <c r="A802" s="60" t="s">
        <v>1372</v>
      </c>
      <c r="B802" s="60" t="s">
        <v>3224</v>
      </c>
      <c r="C802" s="60" t="s">
        <v>4675</v>
      </c>
      <c r="D802" s="60">
        <v>41.05</v>
      </c>
      <c r="E802" s="60">
        <v>2.37</v>
      </c>
      <c r="F802" s="60">
        <v>1</v>
      </c>
      <c r="G802" s="60">
        <v>0</v>
      </c>
      <c r="H802" s="60">
        <v>3.47</v>
      </c>
      <c r="I802" s="60">
        <v>0</v>
      </c>
      <c r="J802" s="60">
        <v>0</v>
      </c>
      <c r="O802" s="60" t="s">
        <v>1372</v>
      </c>
      <c r="P802" s="60" t="s">
        <v>3224</v>
      </c>
      <c r="Q802" s="60" t="s">
        <v>4675</v>
      </c>
      <c r="R802" s="60">
        <v>41.05</v>
      </c>
      <c r="S802" s="60">
        <v>2.37</v>
      </c>
      <c r="T802" s="60">
        <v>1</v>
      </c>
      <c r="U802" s="60">
        <v>64.98</v>
      </c>
    </row>
    <row r="803" spans="1:21">
      <c r="A803" s="60" t="s">
        <v>1374</v>
      </c>
      <c r="B803" s="60" t="s">
        <v>1730</v>
      </c>
      <c r="C803" s="60" t="s">
        <v>4676</v>
      </c>
      <c r="D803" s="60">
        <v>79.900000000000006</v>
      </c>
      <c r="E803" s="60">
        <v>1.52</v>
      </c>
      <c r="F803" s="60">
        <v>746</v>
      </c>
      <c r="G803" s="60">
        <v>2.4</v>
      </c>
      <c r="H803" s="60">
        <v>10.8</v>
      </c>
      <c r="I803" s="60">
        <v>28.29</v>
      </c>
      <c r="J803" s="60">
        <v>0</v>
      </c>
      <c r="O803" s="60" t="s">
        <v>1374</v>
      </c>
      <c r="P803" s="60" t="s">
        <v>1730</v>
      </c>
      <c r="Q803" s="60" t="s">
        <v>4676</v>
      </c>
      <c r="R803" s="60">
        <v>79.900000000000006</v>
      </c>
      <c r="S803" s="60">
        <v>1.52</v>
      </c>
      <c r="T803" s="60">
        <v>746</v>
      </c>
      <c r="U803" s="60">
        <v>13.67</v>
      </c>
    </row>
    <row r="804" spans="1:21">
      <c r="A804" s="60" t="s">
        <v>1376</v>
      </c>
      <c r="B804" s="60" t="s">
        <v>1732</v>
      </c>
      <c r="C804" s="60" t="s">
        <v>4448</v>
      </c>
      <c r="D804" s="60">
        <v>78.599999999999994</v>
      </c>
      <c r="E804" s="60">
        <v>0.9</v>
      </c>
      <c r="F804" s="60">
        <v>154</v>
      </c>
      <c r="G804" s="60">
        <v>0</v>
      </c>
      <c r="H804" s="60">
        <v>18.68</v>
      </c>
      <c r="I804" s="60">
        <v>21.32</v>
      </c>
      <c r="J804" s="60">
        <v>0</v>
      </c>
      <c r="O804" s="60" t="s">
        <v>1376</v>
      </c>
      <c r="P804" s="60" t="s">
        <v>1732</v>
      </c>
      <c r="Q804" s="60" t="s">
        <v>4448</v>
      </c>
      <c r="R804" s="60">
        <v>78.599999999999994</v>
      </c>
      <c r="S804" s="60">
        <v>0.9</v>
      </c>
      <c r="T804" s="60">
        <v>154</v>
      </c>
      <c r="U804" s="60">
        <v>53.46</v>
      </c>
    </row>
    <row r="805" spans="1:21">
      <c r="A805" s="60" t="s">
        <v>1378</v>
      </c>
      <c r="B805" s="60" t="s">
        <v>1734</v>
      </c>
      <c r="C805" s="60" t="s">
        <v>4828</v>
      </c>
      <c r="D805" s="60">
        <v>96.9</v>
      </c>
      <c r="E805" s="60">
        <v>0.94</v>
      </c>
      <c r="F805" s="60">
        <v>67</v>
      </c>
      <c r="G805" s="60">
        <v>0</v>
      </c>
      <c r="H805" s="60">
        <v>5.9</v>
      </c>
      <c r="I805" s="60">
        <v>5.46</v>
      </c>
      <c r="J805" s="60">
        <v>0</v>
      </c>
      <c r="O805" s="60" t="s">
        <v>1378</v>
      </c>
      <c r="P805" s="60" t="s">
        <v>1734</v>
      </c>
      <c r="Q805" s="60" t="s">
        <v>4828</v>
      </c>
      <c r="R805" s="60">
        <v>96.9</v>
      </c>
      <c r="S805" s="60">
        <v>0.94</v>
      </c>
      <c r="T805" s="60">
        <v>67</v>
      </c>
      <c r="U805" s="60">
        <v>45.85</v>
      </c>
    </row>
    <row r="806" spans="1:21">
      <c r="A806" s="60" t="s">
        <v>1380</v>
      </c>
      <c r="B806" s="60" t="s">
        <v>1736</v>
      </c>
      <c r="C806" s="60" t="s">
        <v>4079</v>
      </c>
      <c r="D806" s="60">
        <v>245.5</v>
      </c>
      <c r="E806" s="60">
        <v>6.28</v>
      </c>
      <c r="F806" s="60">
        <v>595</v>
      </c>
      <c r="G806" s="60">
        <v>0.03</v>
      </c>
      <c r="H806" s="60">
        <v>13.47</v>
      </c>
      <c r="I806" s="60">
        <v>15.53</v>
      </c>
      <c r="J806" s="60">
        <v>0</v>
      </c>
      <c r="O806" s="60" t="s">
        <v>1380</v>
      </c>
      <c r="P806" s="60" t="s">
        <v>1736</v>
      </c>
      <c r="Q806" s="60" t="s">
        <v>4079</v>
      </c>
      <c r="R806" s="60">
        <v>245.5</v>
      </c>
      <c r="S806" s="60">
        <v>6.28</v>
      </c>
      <c r="T806" s="60">
        <v>595</v>
      </c>
      <c r="U806" s="60">
        <v>11.22</v>
      </c>
    </row>
    <row r="807" spans="1:21">
      <c r="A807" s="60" t="s">
        <v>1382</v>
      </c>
      <c r="B807" s="60" t="s">
        <v>3225</v>
      </c>
      <c r="C807" s="60" t="s">
        <v>4829</v>
      </c>
      <c r="D807" s="60">
        <v>27.25</v>
      </c>
      <c r="E807" s="60">
        <v>2.44</v>
      </c>
      <c r="F807" s="60">
        <v>313</v>
      </c>
      <c r="G807" s="60">
        <v>0</v>
      </c>
      <c r="H807" s="60">
        <v>2.46</v>
      </c>
      <c r="I807" s="60">
        <v>0</v>
      </c>
      <c r="J807" s="60">
        <v>0</v>
      </c>
      <c r="O807" s="60" t="s">
        <v>1382</v>
      </c>
      <c r="P807" s="60" t="s">
        <v>3225</v>
      </c>
      <c r="Q807" s="60" t="s">
        <v>4829</v>
      </c>
      <c r="R807" s="60">
        <v>27.25</v>
      </c>
      <c r="S807" s="60">
        <v>2.44</v>
      </c>
      <c r="T807" s="60">
        <v>313</v>
      </c>
      <c r="U807" s="60">
        <v>69.16</v>
      </c>
    </row>
    <row r="808" spans="1:21">
      <c r="A808" s="60" t="s">
        <v>1384</v>
      </c>
      <c r="B808" s="60" t="s">
        <v>1738</v>
      </c>
      <c r="C808" s="60" t="s">
        <v>4677</v>
      </c>
      <c r="D808" s="60">
        <v>39.35</v>
      </c>
      <c r="E808" s="60">
        <v>9.61</v>
      </c>
      <c r="F808" s="60">
        <v>1642</v>
      </c>
      <c r="G808" s="60">
        <v>0</v>
      </c>
      <c r="H808" s="60">
        <v>4.72</v>
      </c>
      <c r="I808" s="60">
        <v>23.92</v>
      </c>
      <c r="J808" s="60">
        <v>2.14</v>
      </c>
      <c r="O808" s="60" t="s">
        <v>1384</v>
      </c>
      <c r="P808" s="60" t="s">
        <v>1738</v>
      </c>
      <c r="Q808" s="60" t="s">
        <v>4677</v>
      </c>
      <c r="R808" s="60">
        <v>39.35</v>
      </c>
      <c r="S808" s="60">
        <v>9.61</v>
      </c>
      <c r="T808" s="60">
        <v>1642</v>
      </c>
      <c r="U808" s="60">
        <v>21.68</v>
      </c>
    </row>
    <row r="809" spans="1:21">
      <c r="A809" s="60" t="s">
        <v>1386</v>
      </c>
      <c r="B809" s="60" t="s">
        <v>3226</v>
      </c>
      <c r="C809" s="60" t="s">
        <v>4980</v>
      </c>
      <c r="D809" s="60">
        <v>78.3</v>
      </c>
      <c r="E809" s="60">
        <v>-0.13</v>
      </c>
      <c r="F809" s="60">
        <v>18</v>
      </c>
      <c r="G809" s="60">
        <v>0</v>
      </c>
      <c r="H809" s="60">
        <v>42.07</v>
      </c>
      <c r="I809" s="60">
        <v>0</v>
      </c>
      <c r="J809" s="60">
        <v>0</v>
      </c>
      <c r="O809" s="60" t="s">
        <v>1386</v>
      </c>
      <c r="P809" s="60" t="s">
        <v>3226</v>
      </c>
      <c r="Q809" s="60" t="s">
        <v>4980</v>
      </c>
      <c r="R809" s="60">
        <v>78.3</v>
      </c>
      <c r="S809" s="60">
        <v>-0.13</v>
      </c>
      <c r="T809" s="60">
        <v>18</v>
      </c>
      <c r="U809" s="60">
        <v>47.76</v>
      </c>
    </row>
    <row r="810" spans="1:21">
      <c r="A810" s="60" t="s">
        <v>1388</v>
      </c>
      <c r="B810" s="60" t="s">
        <v>3227</v>
      </c>
      <c r="C810" s="60" t="s">
        <v>3646</v>
      </c>
      <c r="D810" s="60">
        <v>21.75</v>
      </c>
      <c r="E810" s="60">
        <v>1.87</v>
      </c>
      <c r="F810" s="60">
        <v>6064</v>
      </c>
      <c r="G810" s="60">
        <v>0</v>
      </c>
      <c r="H810" s="60">
        <v>13.65</v>
      </c>
      <c r="I810" s="60">
        <v>0</v>
      </c>
      <c r="J810" s="60">
        <v>0</v>
      </c>
      <c r="O810" s="60" t="s">
        <v>1388</v>
      </c>
      <c r="P810" s="60" t="s">
        <v>3227</v>
      </c>
      <c r="Q810" s="60" t="s">
        <v>3646</v>
      </c>
      <c r="R810" s="60">
        <v>21.75</v>
      </c>
      <c r="S810" s="60">
        <v>1.87</v>
      </c>
      <c r="T810" s="60">
        <v>6064</v>
      </c>
      <c r="U810" s="60">
        <v>36.93</v>
      </c>
    </row>
    <row r="811" spans="1:21">
      <c r="A811" s="60" t="s">
        <v>1390</v>
      </c>
      <c r="B811" s="60" t="s">
        <v>1741</v>
      </c>
      <c r="C811" s="60" t="s">
        <v>4742</v>
      </c>
      <c r="D811" s="60">
        <v>51.1</v>
      </c>
      <c r="E811" s="60">
        <v>-0.78</v>
      </c>
      <c r="F811" s="60">
        <v>75</v>
      </c>
      <c r="G811" s="60">
        <v>0</v>
      </c>
      <c r="H811" s="60">
        <v>0.56000000000000005</v>
      </c>
      <c r="I811" s="60">
        <v>8.14</v>
      </c>
      <c r="J811" s="60">
        <v>0</v>
      </c>
      <c r="O811" s="60" t="s">
        <v>1390</v>
      </c>
      <c r="P811" s="60" t="s">
        <v>1741</v>
      </c>
      <c r="Q811" s="60" t="s">
        <v>4742</v>
      </c>
      <c r="R811" s="60">
        <v>51.1</v>
      </c>
      <c r="S811" s="60">
        <v>-0.78</v>
      </c>
      <c r="T811" s="60">
        <v>75</v>
      </c>
      <c r="U811" s="60">
        <v>48.87</v>
      </c>
    </row>
    <row r="812" spans="1:21">
      <c r="A812" s="60" t="s">
        <v>1391</v>
      </c>
      <c r="B812" s="60" t="s">
        <v>1743</v>
      </c>
      <c r="C812" s="60" t="s">
        <v>5019</v>
      </c>
      <c r="D812" s="60">
        <v>56</v>
      </c>
      <c r="E812" s="60">
        <v>2.19</v>
      </c>
      <c r="F812" s="60">
        <v>244</v>
      </c>
      <c r="G812" s="60">
        <v>0.31</v>
      </c>
      <c r="H812" s="60">
        <v>1.48</v>
      </c>
      <c r="I812" s="60">
        <v>30.05</v>
      </c>
      <c r="J812" s="60">
        <v>0</v>
      </c>
      <c r="O812" s="60" t="s">
        <v>1391</v>
      </c>
      <c r="P812" s="60" t="s">
        <v>1743</v>
      </c>
      <c r="Q812" s="60" t="s">
        <v>5019</v>
      </c>
      <c r="R812" s="60">
        <v>56</v>
      </c>
      <c r="S812" s="60">
        <v>2.19</v>
      </c>
      <c r="T812" s="60">
        <v>244</v>
      </c>
      <c r="U812" s="60">
        <v>19.829999999999998</v>
      </c>
    </row>
    <row r="813" spans="1:21">
      <c r="A813" s="60" t="s">
        <v>1393</v>
      </c>
      <c r="B813" s="60" t="s">
        <v>1745</v>
      </c>
      <c r="C813" s="60" t="s">
        <v>4678</v>
      </c>
      <c r="D813" s="60">
        <v>28</v>
      </c>
      <c r="E813" s="60">
        <v>1.45</v>
      </c>
      <c r="F813" s="60">
        <v>560</v>
      </c>
      <c r="G813" s="60">
        <v>0.05</v>
      </c>
      <c r="H813" s="60">
        <v>7.53</v>
      </c>
      <c r="I813" s="60">
        <v>13.76</v>
      </c>
      <c r="J813" s="60">
        <v>0</v>
      </c>
      <c r="O813" s="60" t="s">
        <v>1393</v>
      </c>
      <c r="P813" s="60" t="s">
        <v>1745</v>
      </c>
      <c r="Q813" s="60" t="s">
        <v>4678</v>
      </c>
      <c r="R813" s="60">
        <v>28</v>
      </c>
      <c r="S813" s="60">
        <v>1.45</v>
      </c>
      <c r="T813" s="60">
        <v>560</v>
      </c>
      <c r="U813" s="60">
        <v>48.75</v>
      </c>
    </row>
    <row r="814" spans="1:21">
      <c r="A814" s="60" t="s">
        <v>1395</v>
      </c>
      <c r="B814" s="60" t="s">
        <v>1747</v>
      </c>
      <c r="C814" s="60" t="s">
        <v>3974</v>
      </c>
      <c r="D814" s="60">
        <v>80.8</v>
      </c>
      <c r="E814" s="60">
        <v>1.25</v>
      </c>
      <c r="F814" s="60">
        <v>1115</v>
      </c>
      <c r="G814" s="60">
        <v>1.2</v>
      </c>
      <c r="H814" s="60">
        <v>12.96</v>
      </c>
      <c r="I814" s="60">
        <v>20.61</v>
      </c>
      <c r="J814" s="60">
        <v>0</v>
      </c>
      <c r="O814" s="60" t="s">
        <v>1395</v>
      </c>
      <c r="P814" s="60" t="s">
        <v>1747</v>
      </c>
      <c r="Q814" s="60" t="s">
        <v>3974</v>
      </c>
      <c r="R814" s="60">
        <v>80.8</v>
      </c>
      <c r="S814" s="60">
        <v>1.25</v>
      </c>
      <c r="T814" s="60">
        <v>1115</v>
      </c>
      <c r="U814" s="60">
        <v>59.87</v>
      </c>
    </row>
    <row r="815" spans="1:21">
      <c r="A815" s="60" t="s">
        <v>1396</v>
      </c>
      <c r="B815" s="60" t="s">
        <v>1749</v>
      </c>
      <c r="C815" s="60" t="s">
        <v>5020</v>
      </c>
      <c r="D815" s="60">
        <v>140</v>
      </c>
      <c r="E815" s="60">
        <v>1.08</v>
      </c>
      <c r="F815" s="60">
        <v>396</v>
      </c>
      <c r="G815" s="60">
        <v>0.21</v>
      </c>
      <c r="H815" s="60">
        <v>2.91</v>
      </c>
      <c r="I815" s="60">
        <v>15.07</v>
      </c>
      <c r="J815" s="60">
        <v>0.56000000000000005</v>
      </c>
      <c r="O815" s="60" t="s">
        <v>1396</v>
      </c>
      <c r="P815" s="60" t="s">
        <v>1749</v>
      </c>
      <c r="Q815" s="60" t="s">
        <v>5020</v>
      </c>
      <c r="R815" s="60">
        <v>140</v>
      </c>
      <c r="S815" s="60">
        <v>1.08</v>
      </c>
      <c r="T815" s="60">
        <v>396</v>
      </c>
      <c r="U815" s="60">
        <v>24.47</v>
      </c>
    </row>
    <row r="816" spans="1:21">
      <c r="A816" s="60" t="s">
        <v>1398</v>
      </c>
      <c r="B816" s="60" t="s">
        <v>1751</v>
      </c>
      <c r="C816" s="60" t="s">
        <v>3975</v>
      </c>
      <c r="D816" s="60">
        <v>162.5</v>
      </c>
      <c r="E816" s="60">
        <v>2.2000000000000002</v>
      </c>
      <c r="F816" s="60">
        <v>3746</v>
      </c>
      <c r="G816" s="60">
        <v>3.16</v>
      </c>
      <c r="H816" s="60">
        <v>16.59</v>
      </c>
      <c r="I816" s="60">
        <v>34.549999999999997</v>
      </c>
      <c r="J816" s="60">
        <v>0</v>
      </c>
      <c r="O816" s="60" t="s">
        <v>1398</v>
      </c>
      <c r="P816" s="60" t="s">
        <v>1751</v>
      </c>
      <c r="Q816" s="60" t="s">
        <v>3975</v>
      </c>
      <c r="R816" s="60">
        <v>162.5</v>
      </c>
      <c r="S816" s="60">
        <v>2.2000000000000002</v>
      </c>
      <c r="T816" s="60">
        <v>3746</v>
      </c>
      <c r="U816" s="60">
        <v>31.12</v>
      </c>
    </row>
    <row r="817" spans="1:21">
      <c r="A817" s="60" t="s">
        <v>1400</v>
      </c>
      <c r="B817" s="60" t="s">
        <v>1753</v>
      </c>
      <c r="C817" s="60" t="s">
        <v>3649</v>
      </c>
      <c r="D817" s="60">
        <v>22.4</v>
      </c>
      <c r="E817" s="60">
        <v>1.82</v>
      </c>
      <c r="F817" s="60">
        <v>1324</v>
      </c>
      <c r="G817" s="60">
        <v>0.89</v>
      </c>
      <c r="H817" s="60">
        <v>5.29</v>
      </c>
      <c r="I817" s="60">
        <v>32.51</v>
      </c>
      <c r="J817" s="60">
        <v>0</v>
      </c>
      <c r="O817" s="60" t="s">
        <v>1400</v>
      </c>
      <c r="P817" s="60" t="s">
        <v>1753</v>
      </c>
      <c r="Q817" s="60" t="s">
        <v>3649</v>
      </c>
      <c r="R817" s="60">
        <v>22.4</v>
      </c>
      <c r="S817" s="60">
        <v>1.82</v>
      </c>
      <c r="T817" s="60">
        <v>1324</v>
      </c>
      <c r="U817" s="60">
        <v>48.05</v>
      </c>
    </row>
    <row r="818" spans="1:21">
      <c r="A818" s="60" t="s">
        <v>1402</v>
      </c>
      <c r="B818" s="60" t="s">
        <v>3228</v>
      </c>
      <c r="C818" s="60" t="s">
        <v>4196</v>
      </c>
      <c r="D818" s="60">
        <v>15.8</v>
      </c>
      <c r="E818" s="60">
        <v>-0.63</v>
      </c>
      <c r="F818" s="60">
        <v>49</v>
      </c>
      <c r="G818" s="60">
        <v>0</v>
      </c>
      <c r="H818" s="60">
        <v>0.18</v>
      </c>
      <c r="I818" s="60">
        <v>0</v>
      </c>
      <c r="J818" s="60">
        <v>0</v>
      </c>
      <c r="O818" s="60" t="s">
        <v>1402</v>
      </c>
      <c r="P818" s="60" t="s">
        <v>3228</v>
      </c>
      <c r="Q818" s="60" t="s">
        <v>4196</v>
      </c>
      <c r="R818" s="60">
        <v>15.8</v>
      </c>
      <c r="S818" s="60">
        <v>-0.63</v>
      </c>
      <c r="T818" s="60">
        <v>49</v>
      </c>
      <c r="U818" s="60">
        <v>60.45</v>
      </c>
    </row>
    <row r="819" spans="1:21">
      <c r="A819" s="60" t="s">
        <v>1404</v>
      </c>
      <c r="B819" s="60" t="s">
        <v>1756</v>
      </c>
      <c r="C819" s="60" t="s">
        <v>4743</v>
      </c>
      <c r="D819" s="60">
        <v>22.45</v>
      </c>
      <c r="E819" s="60">
        <v>-0.22</v>
      </c>
      <c r="F819" s="60">
        <v>227</v>
      </c>
      <c r="G819" s="60">
        <v>0.03</v>
      </c>
      <c r="H819" s="60">
        <v>5.82</v>
      </c>
      <c r="I819" s="60">
        <v>51.6</v>
      </c>
      <c r="J819" s="60">
        <v>2.16</v>
      </c>
      <c r="O819" s="60" t="s">
        <v>1404</v>
      </c>
      <c r="P819" s="60" t="s">
        <v>1756</v>
      </c>
      <c r="Q819" s="60" t="s">
        <v>4743</v>
      </c>
      <c r="R819" s="60">
        <v>22.45</v>
      </c>
      <c r="S819" s="60">
        <v>-0.22</v>
      </c>
      <c r="T819" s="60">
        <v>227</v>
      </c>
      <c r="U819" s="60">
        <v>46.07</v>
      </c>
    </row>
    <row r="820" spans="1:21">
      <c r="A820" s="60" t="s">
        <v>1405</v>
      </c>
      <c r="B820" s="60" t="s">
        <v>1758</v>
      </c>
      <c r="C820" s="60" t="s">
        <v>4127</v>
      </c>
      <c r="D820" s="60">
        <v>115</v>
      </c>
      <c r="E820" s="60">
        <v>-1.29</v>
      </c>
      <c r="F820" s="60">
        <v>4057</v>
      </c>
      <c r="G820" s="60">
        <v>1.18</v>
      </c>
      <c r="H820" s="60">
        <v>13.82</v>
      </c>
      <c r="I820" s="60">
        <v>18.579999999999998</v>
      </c>
      <c r="J820" s="60">
        <v>3.13</v>
      </c>
      <c r="O820" s="60" t="s">
        <v>1405</v>
      </c>
      <c r="P820" s="60" t="s">
        <v>1758</v>
      </c>
      <c r="Q820" s="60" t="s">
        <v>4127</v>
      </c>
      <c r="R820" s="60">
        <v>115</v>
      </c>
      <c r="S820" s="60">
        <v>-1.29</v>
      </c>
      <c r="T820" s="60">
        <v>4057</v>
      </c>
      <c r="U820" s="60">
        <v>50.49</v>
      </c>
    </row>
    <row r="821" spans="1:21">
      <c r="A821" s="60" t="s">
        <v>1407</v>
      </c>
      <c r="B821" s="60" t="s">
        <v>1760</v>
      </c>
      <c r="C821" s="60" t="s">
        <v>4897</v>
      </c>
      <c r="D821" s="60">
        <v>26.75</v>
      </c>
      <c r="E821" s="60">
        <v>-0.19</v>
      </c>
      <c r="F821" s="60">
        <v>57</v>
      </c>
      <c r="G821" s="60">
        <v>0.11</v>
      </c>
      <c r="H821" s="60">
        <v>0.23</v>
      </c>
      <c r="I821" s="60">
        <v>11.05</v>
      </c>
      <c r="J821" s="60">
        <v>0</v>
      </c>
      <c r="O821" s="60" t="s">
        <v>1407</v>
      </c>
      <c r="P821" s="60" t="s">
        <v>1760</v>
      </c>
      <c r="Q821" s="60" t="s">
        <v>4897</v>
      </c>
      <c r="R821" s="60">
        <v>26.75</v>
      </c>
      <c r="S821" s="60">
        <v>-0.19</v>
      </c>
      <c r="T821" s="60">
        <v>57</v>
      </c>
      <c r="U821" s="60">
        <v>67.84</v>
      </c>
    </row>
    <row r="822" spans="1:21">
      <c r="A822" s="60" t="s">
        <v>1409</v>
      </c>
      <c r="B822" s="60" t="s">
        <v>1762</v>
      </c>
      <c r="C822" s="60" t="s">
        <v>4197</v>
      </c>
      <c r="D822" s="60">
        <v>53.4</v>
      </c>
      <c r="E822" s="60">
        <v>6.59</v>
      </c>
      <c r="F822" s="60">
        <v>9941</v>
      </c>
      <c r="G822" s="60">
        <v>0.19</v>
      </c>
      <c r="H822" s="60">
        <v>9.84</v>
      </c>
      <c r="I822" s="60">
        <v>23.47</v>
      </c>
      <c r="J822" s="60">
        <v>0</v>
      </c>
      <c r="O822" s="60" t="s">
        <v>1409</v>
      </c>
      <c r="P822" s="60" t="s">
        <v>1762</v>
      </c>
      <c r="Q822" s="60" t="s">
        <v>4197</v>
      </c>
      <c r="R822" s="60">
        <v>53.4</v>
      </c>
      <c r="S822" s="60">
        <v>6.59</v>
      </c>
      <c r="T822" s="60">
        <v>9941</v>
      </c>
      <c r="U822" s="60">
        <v>38.29</v>
      </c>
    </row>
    <row r="823" spans="1:21">
      <c r="A823" s="60" t="s">
        <v>1411</v>
      </c>
      <c r="B823" s="60" t="s">
        <v>1764</v>
      </c>
      <c r="C823" s="60" t="s">
        <v>4198</v>
      </c>
      <c r="D823" s="60">
        <v>14.6</v>
      </c>
      <c r="E823" s="60">
        <v>-2.0099999999999998</v>
      </c>
      <c r="F823" s="60">
        <v>762</v>
      </c>
      <c r="G823" s="60">
        <v>0.33</v>
      </c>
      <c r="H823" s="60">
        <v>5.45</v>
      </c>
      <c r="I823" s="60">
        <v>8.5</v>
      </c>
      <c r="J823" s="60">
        <v>0</v>
      </c>
      <c r="O823" s="60" t="s">
        <v>1411</v>
      </c>
      <c r="P823" s="60" t="s">
        <v>1764</v>
      </c>
      <c r="Q823" s="60" t="s">
        <v>4198</v>
      </c>
      <c r="R823" s="60">
        <v>14.6</v>
      </c>
      <c r="S823" s="60">
        <v>-2.0099999999999998</v>
      </c>
      <c r="T823" s="60">
        <v>762</v>
      </c>
      <c r="U823" s="60">
        <v>20.92</v>
      </c>
    </row>
    <row r="824" spans="1:21">
      <c r="A824" s="60" t="s">
        <v>1413</v>
      </c>
      <c r="B824" s="60" t="s">
        <v>1766</v>
      </c>
      <c r="C824" s="60" t="s">
        <v>5508</v>
      </c>
      <c r="D824" s="60">
        <v>53.5</v>
      </c>
      <c r="E824" s="60">
        <v>-1.47</v>
      </c>
      <c r="F824" s="60">
        <v>91</v>
      </c>
      <c r="G824" s="60">
        <v>0.03</v>
      </c>
      <c r="H824" s="60">
        <v>1.06</v>
      </c>
      <c r="I824" s="60">
        <v>26.97</v>
      </c>
      <c r="J824" s="60">
        <v>0</v>
      </c>
      <c r="O824" s="60" t="s">
        <v>1413</v>
      </c>
      <c r="P824" s="60" t="s">
        <v>1766</v>
      </c>
      <c r="Q824" s="60" t="s">
        <v>5508</v>
      </c>
      <c r="R824" s="60">
        <v>53.5</v>
      </c>
      <c r="S824" s="60">
        <v>-1.47</v>
      </c>
      <c r="T824" s="60">
        <v>91</v>
      </c>
      <c r="U824" s="60">
        <v>44.18</v>
      </c>
    </row>
    <row r="825" spans="1:21">
      <c r="A825" s="60" t="s">
        <v>1414</v>
      </c>
      <c r="B825" s="60" t="s">
        <v>1768</v>
      </c>
      <c r="C825" s="60" t="s">
        <v>4744</v>
      </c>
      <c r="D825" s="60">
        <v>208.5</v>
      </c>
      <c r="E825" s="60">
        <v>-1.18</v>
      </c>
      <c r="F825" s="60">
        <v>34</v>
      </c>
      <c r="G825" s="60">
        <v>0</v>
      </c>
      <c r="H825" s="60">
        <v>10.45</v>
      </c>
      <c r="I825" s="60">
        <v>11.55</v>
      </c>
      <c r="J825" s="60">
        <v>0</v>
      </c>
      <c r="O825" s="60" t="s">
        <v>1414</v>
      </c>
      <c r="P825" s="60" t="s">
        <v>1768</v>
      </c>
      <c r="Q825" s="60" t="s">
        <v>4744</v>
      </c>
      <c r="R825" s="60">
        <v>208.5</v>
      </c>
      <c r="S825" s="60">
        <v>-1.18</v>
      </c>
      <c r="T825" s="60">
        <v>34</v>
      </c>
      <c r="U825" s="60">
        <v>48.62</v>
      </c>
    </row>
    <row r="826" spans="1:21">
      <c r="A826" s="60" t="s">
        <v>1416</v>
      </c>
      <c r="B826" s="60" t="s">
        <v>1770</v>
      </c>
      <c r="C826" s="60" t="s">
        <v>4786</v>
      </c>
      <c r="D826" s="60">
        <v>22.5</v>
      </c>
      <c r="E826" s="60">
        <v>-0.44</v>
      </c>
      <c r="F826" s="60">
        <v>229</v>
      </c>
      <c r="G826" s="60">
        <v>0.03</v>
      </c>
      <c r="H826" s="60">
        <v>2.83</v>
      </c>
      <c r="I826" s="60">
        <v>22.84</v>
      </c>
      <c r="J826" s="60">
        <v>0</v>
      </c>
      <c r="O826" s="60" t="s">
        <v>1416</v>
      </c>
      <c r="P826" s="60" t="s">
        <v>1770</v>
      </c>
      <c r="Q826" s="60" t="s">
        <v>4786</v>
      </c>
      <c r="R826" s="60">
        <v>22.5</v>
      </c>
      <c r="S826" s="60">
        <v>-0.44</v>
      </c>
      <c r="T826" s="60">
        <v>229</v>
      </c>
      <c r="U826" s="60">
        <v>26.65</v>
      </c>
    </row>
    <row r="827" spans="1:21">
      <c r="A827" s="60" t="s">
        <v>1418</v>
      </c>
      <c r="B827" s="60" t="s">
        <v>1772</v>
      </c>
      <c r="C827" s="60" t="s">
        <v>4283</v>
      </c>
      <c r="D827" s="60">
        <v>70.5</v>
      </c>
      <c r="E827" s="60">
        <v>-0.98</v>
      </c>
      <c r="F827" s="60">
        <v>58</v>
      </c>
      <c r="G827" s="60">
        <v>0</v>
      </c>
      <c r="H827" s="60">
        <v>3.8</v>
      </c>
      <c r="I827" s="60">
        <v>2.04</v>
      </c>
      <c r="J827" s="60">
        <v>0.17</v>
      </c>
      <c r="O827" s="60" t="s">
        <v>1418</v>
      </c>
      <c r="P827" s="60" t="s">
        <v>1772</v>
      </c>
      <c r="Q827" s="60" t="s">
        <v>4283</v>
      </c>
      <c r="R827" s="60">
        <v>70.5</v>
      </c>
      <c r="S827" s="60">
        <v>-0.98</v>
      </c>
      <c r="T827" s="60">
        <v>58</v>
      </c>
      <c r="U827" s="60">
        <v>59.89</v>
      </c>
    </row>
    <row r="828" spans="1:21">
      <c r="A828" s="60" t="s">
        <v>1420</v>
      </c>
      <c r="B828" s="60" t="s">
        <v>1774</v>
      </c>
      <c r="C828" s="60" t="s">
        <v>4080</v>
      </c>
      <c r="D828" s="60">
        <v>30.25</v>
      </c>
      <c r="E828" s="60">
        <v>1.51</v>
      </c>
      <c r="F828" s="60">
        <v>195</v>
      </c>
      <c r="G828" s="60">
        <v>0.06</v>
      </c>
      <c r="H828" s="60">
        <v>3.66</v>
      </c>
      <c r="I828" s="60">
        <v>6.71</v>
      </c>
      <c r="J828" s="60">
        <v>0</v>
      </c>
      <c r="O828" s="60" t="s">
        <v>1420</v>
      </c>
      <c r="P828" s="60" t="s">
        <v>1774</v>
      </c>
      <c r="Q828" s="60" t="s">
        <v>4080</v>
      </c>
      <c r="R828" s="60">
        <v>30.25</v>
      </c>
      <c r="S828" s="60">
        <v>1.51</v>
      </c>
      <c r="T828" s="60">
        <v>195</v>
      </c>
      <c r="U828" s="60">
        <v>54.02</v>
      </c>
    </row>
    <row r="829" spans="1:21">
      <c r="A829" s="60" t="s">
        <v>1422</v>
      </c>
      <c r="B829" s="60" t="s">
        <v>1776</v>
      </c>
      <c r="C829" s="60" t="s">
        <v>4787</v>
      </c>
      <c r="D829" s="60">
        <v>15.5</v>
      </c>
      <c r="E829" s="60">
        <v>-0.64</v>
      </c>
      <c r="F829" s="60">
        <v>18</v>
      </c>
      <c r="G829" s="60">
        <v>0</v>
      </c>
      <c r="H829" s="60">
        <v>0.62</v>
      </c>
      <c r="I829" s="60">
        <v>14.49</v>
      </c>
      <c r="J829" s="60">
        <v>0</v>
      </c>
      <c r="O829" s="60" t="s">
        <v>1422</v>
      </c>
      <c r="P829" s="60" t="s">
        <v>1776</v>
      </c>
      <c r="Q829" s="60" t="s">
        <v>4787</v>
      </c>
      <c r="R829" s="60">
        <v>15.5</v>
      </c>
      <c r="S829" s="60">
        <v>-0.64</v>
      </c>
      <c r="T829" s="60">
        <v>18</v>
      </c>
      <c r="U829" s="60">
        <v>52.6</v>
      </c>
    </row>
    <row r="830" spans="1:21">
      <c r="A830" s="60" t="s">
        <v>1423</v>
      </c>
      <c r="B830" s="60" t="s">
        <v>1778</v>
      </c>
      <c r="C830" s="60" t="s">
        <v>4898</v>
      </c>
      <c r="D830" s="60">
        <v>51</v>
      </c>
      <c r="E830" s="60">
        <v>9.91</v>
      </c>
      <c r="F830" s="60">
        <v>19223</v>
      </c>
      <c r="G830" s="60">
        <v>0.3</v>
      </c>
      <c r="H830" s="60">
        <v>46.84</v>
      </c>
      <c r="I830" s="60">
        <v>16.440000000000001</v>
      </c>
      <c r="J830" s="60">
        <v>0.11</v>
      </c>
      <c r="O830" s="60" t="s">
        <v>1423</v>
      </c>
      <c r="P830" s="60" t="s">
        <v>1778</v>
      </c>
      <c r="Q830" s="60" t="s">
        <v>4898</v>
      </c>
      <c r="R830" s="60">
        <v>51</v>
      </c>
      <c r="S830" s="60">
        <v>9.91</v>
      </c>
      <c r="T830" s="60">
        <v>19223</v>
      </c>
      <c r="U830" s="60">
        <v>55.67</v>
      </c>
    </row>
    <row r="831" spans="1:21">
      <c r="A831" s="60" t="s">
        <v>1424</v>
      </c>
      <c r="B831" s="60" t="s">
        <v>1780</v>
      </c>
      <c r="C831" s="60" t="s">
        <v>4745</v>
      </c>
      <c r="D831" s="60">
        <v>23.15</v>
      </c>
      <c r="E831" s="60">
        <v>1.76</v>
      </c>
      <c r="F831" s="60">
        <v>475</v>
      </c>
      <c r="G831" s="60">
        <v>1.06</v>
      </c>
      <c r="H831" s="60">
        <v>10.01</v>
      </c>
      <c r="I831" s="60">
        <v>14.57</v>
      </c>
      <c r="J831" s="60">
        <v>0</v>
      </c>
      <c r="O831" s="60" t="s">
        <v>1424</v>
      </c>
      <c r="P831" s="60" t="s">
        <v>1780</v>
      </c>
      <c r="Q831" s="60" t="s">
        <v>4745</v>
      </c>
      <c r="R831" s="60">
        <v>23.15</v>
      </c>
      <c r="S831" s="60">
        <v>1.76</v>
      </c>
      <c r="T831" s="60">
        <v>475</v>
      </c>
      <c r="U831" s="60">
        <v>35.18</v>
      </c>
    </row>
    <row r="832" spans="1:21">
      <c r="A832" s="60" t="s">
        <v>1426</v>
      </c>
      <c r="B832" s="60" t="s">
        <v>1782</v>
      </c>
      <c r="C832" s="60" t="s">
        <v>5021</v>
      </c>
      <c r="D832" s="60">
        <v>35.700000000000003</v>
      </c>
      <c r="E832" s="60">
        <v>0.28000000000000003</v>
      </c>
      <c r="F832" s="60">
        <v>96</v>
      </c>
      <c r="G832" s="60">
        <v>0</v>
      </c>
      <c r="H832" s="60">
        <v>0.24</v>
      </c>
      <c r="I832" s="60">
        <v>3.14</v>
      </c>
      <c r="J832" s="60">
        <v>0</v>
      </c>
      <c r="O832" s="60" t="s">
        <v>1426</v>
      </c>
      <c r="P832" s="60" t="s">
        <v>1782</v>
      </c>
      <c r="Q832" s="60" t="s">
        <v>5021</v>
      </c>
      <c r="R832" s="60">
        <v>35.700000000000003</v>
      </c>
      <c r="S832" s="60">
        <v>0.28000000000000003</v>
      </c>
      <c r="T832" s="60">
        <v>96</v>
      </c>
      <c r="U832" s="60">
        <v>58.28</v>
      </c>
    </row>
    <row r="833" spans="1:21">
      <c r="A833" s="60" t="s">
        <v>1427</v>
      </c>
      <c r="B833" s="60" t="s">
        <v>3229</v>
      </c>
      <c r="C833" s="60" t="s">
        <v>5179</v>
      </c>
      <c r="D833" s="60">
        <v>57.4</v>
      </c>
      <c r="E833" s="60">
        <v>-2.38</v>
      </c>
      <c r="F833" s="60">
        <v>0</v>
      </c>
      <c r="G833" s="60">
        <v>0</v>
      </c>
      <c r="H833" s="60">
        <v>0</v>
      </c>
      <c r="I833" s="60">
        <v>0</v>
      </c>
      <c r="J833" s="60">
        <v>0</v>
      </c>
      <c r="O833" s="60" t="s">
        <v>1427</v>
      </c>
      <c r="P833" s="60" t="s">
        <v>3229</v>
      </c>
      <c r="Q833" s="60" t="s">
        <v>5179</v>
      </c>
      <c r="R833" s="60">
        <v>57.4</v>
      </c>
      <c r="S833" s="60">
        <v>-2.38</v>
      </c>
      <c r="T833" s="60">
        <v>0</v>
      </c>
      <c r="U833" s="60">
        <v>82.33</v>
      </c>
    </row>
    <row r="834" spans="1:21">
      <c r="A834" s="60" t="s">
        <v>1429</v>
      </c>
      <c r="B834" s="60" t="s">
        <v>1784</v>
      </c>
      <c r="C834" s="60" t="s">
        <v>4788</v>
      </c>
      <c r="D834" s="60">
        <v>42</v>
      </c>
      <c r="E834" s="60">
        <v>-1.64</v>
      </c>
      <c r="F834" s="60">
        <v>2192</v>
      </c>
      <c r="G834" s="60">
        <v>1.67</v>
      </c>
      <c r="H834" s="60">
        <v>37.200000000000003</v>
      </c>
      <c r="I834" s="60">
        <v>15.55</v>
      </c>
      <c r="J834" s="60">
        <v>0</v>
      </c>
      <c r="O834" s="60" t="s">
        <v>1429</v>
      </c>
      <c r="P834" s="60" t="s">
        <v>1784</v>
      </c>
      <c r="Q834" s="60" t="s">
        <v>4788</v>
      </c>
      <c r="R834" s="60">
        <v>42</v>
      </c>
      <c r="S834" s="60">
        <v>-1.64</v>
      </c>
      <c r="T834" s="60">
        <v>2192</v>
      </c>
      <c r="U834" s="60">
        <v>51.27</v>
      </c>
    </row>
    <row r="835" spans="1:21">
      <c r="A835" s="60" t="s">
        <v>1431</v>
      </c>
      <c r="B835" s="60" t="s">
        <v>1786</v>
      </c>
      <c r="C835" s="60" t="s">
        <v>4899</v>
      </c>
      <c r="D835" s="60">
        <v>48.75</v>
      </c>
      <c r="E835" s="60">
        <v>3.72</v>
      </c>
      <c r="F835" s="60">
        <v>90</v>
      </c>
      <c r="G835" s="60">
        <v>0.09</v>
      </c>
      <c r="H835" s="60">
        <v>13.44</v>
      </c>
      <c r="I835" s="60">
        <v>40.28</v>
      </c>
      <c r="J835" s="60">
        <v>0</v>
      </c>
      <c r="O835" s="60" t="s">
        <v>1431</v>
      </c>
      <c r="P835" s="60" t="s">
        <v>1786</v>
      </c>
      <c r="Q835" s="60" t="s">
        <v>4899</v>
      </c>
      <c r="R835" s="60">
        <v>48.75</v>
      </c>
      <c r="S835" s="60">
        <v>3.72</v>
      </c>
      <c r="T835" s="60">
        <v>90</v>
      </c>
      <c r="U835" s="60">
        <v>80.8</v>
      </c>
    </row>
    <row r="836" spans="1:21">
      <c r="A836" s="60" t="s">
        <v>1433</v>
      </c>
      <c r="B836" s="60" t="s">
        <v>3230</v>
      </c>
      <c r="C836" s="60" t="s">
        <v>4830</v>
      </c>
      <c r="D836" s="60">
        <v>8.1199999999999992</v>
      </c>
      <c r="E836" s="60">
        <v>0.74</v>
      </c>
      <c r="F836" s="60">
        <v>25</v>
      </c>
      <c r="G836" s="60">
        <v>0</v>
      </c>
      <c r="H836" s="60">
        <v>0.4</v>
      </c>
      <c r="I836" s="60">
        <v>0</v>
      </c>
      <c r="J836" s="60">
        <v>0</v>
      </c>
      <c r="O836" s="60" t="s">
        <v>1433</v>
      </c>
      <c r="P836" s="60" t="s">
        <v>3230</v>
      </c>
      <c r="Q836" s="60" t="s">
        <v>4830</v>
      </c>
      <c r="R836" s="60">
        <v>8.1199999999999992</v>
      </c>
      <c r="S836" s="60">
        <v>0.74</v>
      </c>
      <c r="T836" s="60">
        <v>25</v>
      </c>
      <c r="U836" s="60">
        <v>13.9</v>
      </c>
    </row>
    <row r="837" spans="1:21">
      <c r="A837" s="60" t="s">
        <v>1434</v>
      </c>
      <c r="B837" s="60" t="s">
        <v>3231</v>
      </c>
      <c r="C837" s="60" t="s">
        <v>5022</v>
      </c>
      <c r="D837" s="60">
        <v>8.1300000000000008</v>
      </c>
      <c r="E837" s="60">
        <v>3.3</v>
      </c>
      <c r="F837" s="60">
        <v>219</v>
      </c>
      <c r="G837" s="60">
        <v>0</v>
      </c>
      <c r="H837" s="60">
        <v>5.25</v>
      </c>
      <c r="I837" s="60">
        <v>0</v>
      </c>
      <c r="J837" s="60">
        <v>0</v>
      </c>
      <c r="O837" s="60" t="s">
        <v>1434</v>
      </c>
      <c r="P837" s="60" t="s">
        <v>3231</v>
      </c>
      <c r="Q837" s="60" t="s">
        <v>5022</v>
      </c>
      <c r="R837" s="60">
        <v>8.1300000000000008</v>
      </c>
      <c r="S837" s="60">
        <v>3.3</v>
      </c>
      <c r="T837" s="60">
        <v>219</v>
      </c>
      <c r="U837" s="60">
        <v>47.49</v>
      </c>
    </row>
    <row r="838" spans="1:21">
      <c r="A838" s="60" t="s">
        <v>1436</v>
      </c>
      <c r="B838" s="60" t="s">
        <v>1790</v>
      </c>
      <c r="C838" s="60" t="s">
        <v>4199</v>
      </c>
      <c r="D838" s="60">
        <v>43.5</v>
      </c>
      <c r="E838" s="60">
        <v>1.75</v>
      </c>
      <c r="F838" s="60">
        <v>380</v>
      </c>
      <c r="G838" s="60">
        <v>0.05</v>
      </c>
      <c r="H838" s="60">
        <v>11.57</v>
      </c>
      <c r="I838" s="60">
        <v>11.84</v>
      </c>
      <c r="J838" s="60">
        <v>1.39</v>
      </c>
      <c r="O838" s="60" t="s">
        <v>1436</v>
      </c>
      <c r="P838" s="60" t="s">
        <v>1790</v>
      </c>
      <c r="Q838" s="60" t="s">
        <v>4199</v>
      </c>
      <c r="R838" s="60">
        <v>43.5</v>
      </c>
      <c r="S838" s="60">
        <v>1.75</v>
      </c>
      <c r="T838" s="60">
        <v>380</v>
      </c>
      <c r="U838" s="60">
        <v>33.57</v>
      </c>
    </row>
    <row r="839" spans="1:21">
      <c r="A839" s="60" t="s">
        <v>1438</v>
      </c>
      <c r="B839" s="60" t="s">
        <v>1792</v>
      </c>
      <c r="C839" s="60" t="s">
        <v>4900</v>
      </c>
      <c r="D839" s="60">
        <v>26.65</v>
      </c>
      <c r="E839" s="60">
        <v>1.33</v>
      </c>
      <c r="F839" s="60">
        <v>39</v>
      </c>
      <c r="G839" s="60">
        <v>0</v>
      </c>
      <c r="H839" s="60">
        <v>7.48</v>
      </c>
      <c r="I839" s="60">
        <v>27.21</v>
      </c>
      <c r="J839" s="60">
        <v>0</v>
      </c>
      <c r="O839" s="60" t="s">
        <v>1438</v>
      </c>
      <c r="P839" s="60" t="s">
        <v>1792</v>
      </c>
      <c r="Q839" s="60" t="s">
        <v>4900</v>
      </c>
      <c r="R839" s="60">
        <v>26.65</v>
      </c>
      <c r="S839" s="60">
        <v>1.33</v>
      </c>
      <c r="T839" s="60">
        <v>39</v>
      </c>
      <c r="U839" s="60">
        <v>22.67</v>
      </c>
    </row>
    <row r="840" spans="1:21">
      <c r="A840" s="60" t="s">
        <v>1440</v>
      </c>
      <c r="B840" s="60" t="s">
        <v>1794</v>
      </c>
      <c r="C840" s="60" t="s">
        <v>4746</v>
      </c>
      <c r="D840" s="60">
        <v>25.8</v>
      </c>
      <c r="E840" s="60">
        <v>4.45</v>
      </c>
      <c r="F840" s="60">
        <v>214</v>
      </c>
      <c r="G840" s="60">
        <v>0.54</v>
      </c>
      <c r="H840" s="60">
        <v>1.91</v>
      </c>
      <c r="I840" s="60">
        <v>3.65</v>
      </c>
      <c r="J840" s="60">
        <v>0</v>
      </c>
      <c r="O840" s="60" t="s">
        <v>1440</v>
      </c>
      <c r="P840" s="60" t="s">
        <v>1794</v>
      </c>
      <c r="Q840" s="60" t="s">
        <v>4746</v>
      </c>
      <c r="R840" s="60">
        <v>25.8</v>
      </c>
      <c r="S840" s="60">
        <v>4.45</v>
      </c>
      <c r="T840" s="60">
        <v>214</v>
      </c>
      <c r="U840" s="60">
        <v>63.52</v>
      </c>
    </row>
    <row r="841" spans="1:21">
      <c r="A841" s="60" t="s">
        <v>1442</v>
      </c>
      <c r="B841" s="60" t="s">
        <v>1796</v>
      </c>
      <c r="C841" s="60" t="s">
        <v>3556</v>
      </c>
      <c r="D841" s="60">
        <v>401</v>
      </c>
      <c r="E841" s="60">
        <v>2.2999999999999998</v>
      </c>
      <c r="F841" s="60">
        <v>1465</v>
      </c>
      <c r="G841" s="60">
        <v>2.02</v>
      </c>
      <c r="H841" s="60">
        <v>26.2</v>
      </c>
      <c r="I841" s="60">
        <v>12.53</v>
      </c>
      <c r="J841" s="60">
        <v>16.62</v>
      </c>
      <c r="O841" s="60" t="s">
        <v>1442</v>
      </c>
      <c r="P841" s="60" t="s">
        <v>1796</v>
      </c>
      <c r="Q841" s="60" t="s">
        <v>3556</v>
      </c>
      <c r="R841" s="60">
        <v>401</v>
      </c>
      <c r="S841" s="60">
        <v>2.2999999999999998</v>
      </c>
      <c r="T841" s="60">
        <v>1465</v>
      </c>
      <c r="U841" s="60">
        <v>63.73</v>
      </c>
    </row>
    <row r="842" spans="1:21">
      <c r="A842" s="60" t="s">
        <v>1444</v>
      </c>
      <c r="B842" s="60" t="s">
        <v>1798</v>
      </c>
      <c r="C842" s="60" t="s">
        <v>3976</v>
      </c>
      <c r="D842" s="60">
        <v>1145</v>
      </c>
      <c r="E842" s="60">
        <v>-1.29</v>
      </c>
      <c r="F842" s="60">
        <v>1396</v>
      </c>
      <c r="G842" s="60">
        <v>2.3199999999999998</v>
      </c>
      <c r="H842" s="60">
        <v>80.61</v>
      </c>
      <c r="I842" s="60">
        <v>9.58</v>
      </c>
      <c r="J842" s="60">
        <v>16.420000000000002</v>
      </c>
      <c r="O842" s="60" t="s">
        <v>1444</v>
      </c>
      <c r="P842" s="60" t="s">
        <v>1798</v>
      </c>
      <c r="Q842" s="60" t="s">
        <v>3976</v>
      </c>
      <c r="R842" s="60">
        <v>1145</v>
      </c>
      <c r="S842" s="60">
        <v>-1.29</v>
      </c>
      <c r="T842" s="60">
        <v>1396</v>
      </c>
      <c r="U842" s="60">
        <v>33.72</v>
      </c>
    </row>
    <row r="843" spans="1:21">
      <c r="A843" s="60" t="s">
        <v>1446</v>
      </c>
      <c r="B843" s="60" t="s">
        <v>1800</v>
      </c>
      <c r="C843" s="60" t="s">
        <v>5023</v>
      </c>
      <c r="D843" s="60">
        <v>38.299999999999997</v>
      </c>
      <c r="E843" s="60">
        <v>0</v>
      </c>
      <c r="F843" s="60">
        <v>292</v>
      </c>
      <c r="G843" s="60">
        <v>0.83</v>
      </c>
      <c r="H843" s="60">
        <v>2.1800000000000002</v>
      </c>
      <c r="I843" s="60">
        <v>17.3</v>
      </c>
      <c r="J843" s="60">
        <v>0</v>
      </c>
      <c r="O843" s="60" t="s">
        <v>1446</v>
      </c>
      <c r="P843" s="60" t="s">
        <v>1800</v>
      </c>
      <c r="Q843" s="60" t="s">
        <v>5023</v>
      </c>
      <c r="R843" s="60">
        <v>38.299999999999997</v>
      </c>
      <c r="S843" s="60">
        <v>0</v>
      </c>
      <c r="T843" s="60">
        <v>292</v>
      </c>
      <c r="U843" s="60">
        <v>58.8</v>
      </c>
    </row>
    <row r="844" spans="1:21">
      <c r="A844" s="60" t="s">
        <v>1447</v>
      </c>
      <c r="B844" s="60" t="s">
        <v>1802</v>
      </c>
      <c r="C844" s="60" t="s">
        <v>4831</v>
      </c>
      <c r="D844" s="60">
        <v>9.3000000000000007</v>
      </c>
      <c r="E844" s="60">
        <v>-0.43</v>
      </c>
      <c r="F844" s="60">
        <v>52</v>
      </c>
      <c r="G844" s="60">
        <v>0</v>
      </c>
      <c r="H844" s="60">
        <v>51.6</v>
      </c>
      <c r="I844" s="60">
        <v>0</v>
      </c>
      <c r="J844" s="60">
        <v>0.01</v>
      </c>
      <c r="O844" s="60" t="s">
        <v>1447</v>
      </c>
      <c r="P844" s="60" t="s">
        <v>1802</v>
      </c>
      <c r="Q844" s="60" t="s">
        <v>4831</v>
      </c>
      <c r="R844" s="60">
        <v>9.3000000000000007</v>
      </c>
      <c r="S844" s="60">
        <v>-0.43</v>
      </c>
      <c r="T844" s="60">
        <v>52</v>
      </c>
      <c r="U844" s="60">
        <v>69.209999999999994</v>
      </c>
    </row>
    <row r="845" spans="1:21">
      <c r="A845" s="60" t="s">
        <v>1449</v>
      </c>
      <c r="B845" s="60" t="s">
        <v>1804</v>
      </c>
      <c r="C845" s="60" t="s">
        <v>4284</v>
      </c>
      <c r="D845" s="60">
        <v>258.5</v>
      </c>
      <c r="E845" s="60">
        <v>1.97</v>
      </c>
      <c r="F845" s="60">
        <v>2448</v>
      </c>
      <c r="G845" s="60">
        <v>0.88</v>
      </c>
      <c r="H845" s="60">
        <v>44.36</v>
      </c>
      <c r="I845" s="60">
        <v>11.3</v>
      </c>
      <c r="J845" s="60">
        <v>1.72</v>
      </c>
      <c r="O845" s="60" t="s">
        <v>1449</v>
      </c>
      <c r="P845" s="60" t="s">
        <v>1804</v>
      </c>
      <c r="Q845" s="60" t="s">
        <v>4284</v>
      </c>
      <c r="R845" s="60">
        <v>258.5</v>
      </c>
      <c r="S845" s="60">
        <v>1.97</v>
      </c>
      <c r="T845" s="60">
        <v>2448</v>
      </c>
      <c r="U845" s="60">
        <v>52.77</v>
      </c>
    </row>
    <row r="846" spans="1:21">
      <c r="A846" s="60" t="s">
        <v>1451</v>
      </c>
      <c r="B846" s="60" t="s">
        <v>1806</v>
      </c>
      <c r="C846" s="60" t="s">
        <v>39</v>
      </c>
      <c r="D846" s="60">
        <v>33.4</v>
      </c>
      <c r="E846" s="60">
        <v>6.54</v>
      </c>
      <c r="F846" s="60">
        <v>791</v>
      </c>
      <c r="G846" s="60">
        <v>1.76</v>
      </c>
      <c r="H846" s="60">
        <v>5</v>
      </c>
      <c r="I846" s="60">
        <v>15.86</v>
      </c>
      <c r="J846" s="60">
        <v>0</v>
      </c>
      <c r="O846" s="60" t="s">
        <v>1451</v>
      </c>
      <c r="P846" s="60" t="s">
        <v>1806</v>
      </c>
      <c r="Q846" s="60" t="s">
        <v>39</v>
      </c>
      <c r="R846" s="60">
        <v>33.4</v>
      </c>
      <c r="S846" s="60">
        <v>6.54</v>
      </c>
      <c r="T846" s="60">
        <v>791</v>
      </c>
      <c r="U846" s="60">
        <v>48.72</v>
      </c>
    </row>
    <row r="847" spans="1:21">
      <c r="A847" s="60" t="s">
        <v>1453</v>
      </c>
      <c r="B847" s="60" t="s">
        <v>1808</v>
      </c>
      <c r="C847" s="60" t="s">
        <v>4081</v>
      </c>
      <c r="D847" s="60">
        <v>51.9</v>
      </c>
      <c r="E847" s="60">
        <v>2.98</v>
      </c>
      <c r="F847" s="60">
        <v>437</v>
      </c>
      <c r="G847" s="60">
        <v>1.47</v>
      </c>
      <c r="H847" s="60">
        <v>2.2799999999999998</v>
      </c>
      <c r="I847" s="60">
        <v>13.64</v>
      </c>
      <c r="J847" s="60">
        <v>0.45</v>
      </c>
      <c r="O847" s="60" t="s">
        <v>1453</v>
      </c>
      <c r="P847" s="60" t="s">
        <v>1808</v>
      </c>
      <c r="Q847" s="60" t="s">
        <v>4081</v>
      </c>
      <c r="R847" s="60">
        <v>51.9</v>
      </c>
      <c r="S847" s="60">
        <v>2.98</v>
      </c>
      <c r="T847" s="60">
        <v>437</v>
      </c>
      <c r="U847" s="60">
        <v>54.51</v>
      </c>
    </row>
    <row r="848" spans="1:21">
      <c r="A848" s="60" t="s">
        <v>1455</v>
      </c>
      <c r="B848" s="60" t="s">
        <v>1810</v>
      </c>
      <c r="C848" s="60" t="s">
        <v>4832</v>
      </c>
      <c r="D848" s="60">
        <v>27.65</v>
      </c>
      <c r="E848" s="60">
        <v>9.94</v>
      </c>
      <c r="F848" s="60">
        <v>1798</v>
      </c>
      <c r="G848" s="60">
        <v>0.24</v>
      </c>
      <c r="H848" s="60">
        <v>0.16</v>
      </c>
      <c r="I848" s="60">
        <v>34.700000000000003</v>
      </c>
      <c r="J848" s="60">
        <v>0</v>
      </c>
      <c r="O848" s="60" t="s">
        <v>1455</v>
      </c>
      <c r="P848" s="60" t="s">
        <v>1810</v>
      </c>
      <c r="Q848" s="60" t="s">
        <v>4832</v>
      </c>
      <c r="R848" s="60">
        <v>27.65</v>
      </c>
      <c r="S848" s="60">
        <v>9.94</v>
      </c>
      <c r="T848" s="60">
        <v>1798</v>
      </c>
      <c r="U848" s="60">
        <v>37.83</v>
      </c>
    </row>
    <row r="849" spans="1:21">
      <c r="A849" s="60" t="s">
        <v>1457</v>
      </c>
      <c r="B849" s="60" t="s">
        <v>1812</v>
      </c>
      <c r="C849" s="60" t="s">
        <v>1813</v>
      </c>
      <c r="D849" s="60">
        <v>42.25</v>
      </c>
      <c r="E849" s="60">
        <v>2.0499999999999998</v>
      </c>
      <c r="F849" s="60">
        <v>2523</v>
      </c>
      <c r="G849" s="60">
        <v>0.12</v>
      </c>
      <c r="H849" s="60">
        <v>37.22</v>
      </c>
      <c r="I849" s="60">
        <v>17.559999999999999</v>
      </c>
      <c r="J849" s="60">
        <v>0</v>
      </c>
      <c r="O849" s="60" t="s">
        <v>1457</v>
      </c>
      <c r="P849" s="60" t="s">
        <v>1812</v>
      </c>
      <c r="Q849" s="60" t="s">
        <v>1813</v>
      </c>
      <c r="R849" s="60">
        <v>42.25</v>
      </c>
      <c r="S849" s="60">
        <v>2.0499999999999998</v>
      </c>
      <c r="T849" s="60">
        <v>2523</v>
      </c>
      <c r="U849" s="60">
        <v>35.450000000000003</v>
      </c>
    </row>
    <row r="850" spans="1:21">
      <c r="A850" s="60" t="s">
        <v>1459</v>
      </c>
      <c r="B850" s="60" t="s">
        <v>1815</v>
      </c>
      <c r="C850" s="60" t="s">
        <v>4679</v>
      </c>
      <c r="D850" s="60">
        <v>258.5</v>
      </c>
      <c r="E850" s="60">
        <v>-4.79</v>
      </c>
      <c r="F850" s="60">
        <v>7672</v>
      </c>
      <c r="G850" s="60">
        <v>4.42</v>
      </c>
      <c r="H850" s="60">
        <v>63.69</v>
      </c>
      <c r="I850" s="60">
        <v>27.27</v>
      </c>
      <c r="J850" s="60">
        <v>7.5</v>
      </c>
      <c r="O850" s="60" t="s">
        <v>1459</v>
      </c>
      <c r="P850" s="60" t="s">
        <v>1815</v>
      </c>
      <c r="Q850" s="60" t="s">
        <v>4679</v>
      </c>
      <c r="R850" s="60">
        <v>258.5</v>
      </c>
      <c r="S850" s="60">
        <v>-4.79</v>
      </c>
      <c r="T850" s="60">
        <v>7672</v>
      </c>
      <c r="U850" s="60">
        <v>55.19</v>
      </c>
    </row>
    <row r="851" spans="1:21">
      <c r="A851" s="60" t="s">
        <v>1461</v>
      </c>
      <c r="B851" s="60" t="s">
        <v>1817</v>
      </c>
      <c r="C851" s="60" t="s">
        <v>4200</v>
      </c>
      <c r="D851" s="60">
        <v>84</v>
      </c>
      <c r="E851" s="60">
        <v>0.12</v>
      </c>
      <c r="F851" s="60">
        <v>33</v>
      </c>
      <c r="G851" s="60">
        <v>0</v>
      </c>
      <c r="H851" s="60">
        <v>12.17</v>
      </c>
      <c r="I851" s="60">
        <v>1.77</v>
      </c>
      <c r="J851" s="60">
        <v>0</v>
      </c>
      <c r="O851" s="60" t="s">
        <v>1461</v>
      </c>
      <c r="P851" s="60" t="s">
        <v>1817</v>
      </c>
      <c r="Q851" s="60" t="s">
        <v>4200</v>
      </c>
      <c r="R851" s="60">
        <v>84</v>
      </c>
      <c r="S851" s="60">
        <v>0.12</v>
      </c>
      <c r="T851" s="60">
        <v>33</v>
      </c>
      <c r="U851" s="60">
        <v>56.4</v>
      </c>
    </row>
    <row r="852" spans="1:21">
      <c r="A852" s="60" t="s">
        <v>1463</v>
      </c>
      <c r="B852" s="60" t="s">
        <v>1819</v>
      </c>
      <c r="C852" s="60" t="s">
        <v>4680</v>
      </c>
      <c r="D852" s="60">
        <v>257</v>
      </c>
      <c r="E852" s="60">
        <v>-0.19</v>
      </c>
      <c r="F852" s="60">
        <v>224</v>
      </c>
      <c r="G852" s="60">
        <v>1.1499999999999999</v>
      </c>
      <c r="H852" s="60">
        <v>13.48</v>
      </c>
      <c r="I852" s="60">
        <v>11.6</v>
      </c>
      <c r="J852" s="60">
        <v>2.93</v>
      </c>
      <c r="O852" s="60" t="s">
        <v>1463</v>
      </c>
      <c r="P852" s="60" t="s">
        <v>1819</v>
      </c>
      <c r="Q852" s="60" t="s">
        <v>4680</v>
      </c>
      <c r="R852" s="60">
        <v>257</v>
      </c>
      <c r="S852" s="60">
        <v>-0.19</v>
      </c>
      <c r="T852" s="60">
        <v>224</v>
      </c>
      <c r="U852" s="60">
        <v>45.67</v>
      </c>
    </row>
    <row r="853" spans="1:21">
      <c r="A853" s="60" t="s">
        <v>1465</v>
      </c>
      <c r="B853" s="60" t="s">
        <v>3232</v>
      </c>
      <c r="C853" s="60" t="s">
        <v>4128</v>
      </c>
      <c r="D853" s="60">
        <v>8.4600000000000009</v>
      </c>
      <c r="E853" s="60">
        <v>0.48</v>
      </c>
      <c r="F853" s="60">
        <v>3040</v>
      </c>
      <c r="G853" s="60">
        <v>0</v>
      </c>
      <c r="H853" s="60">
        <v>3.9</v>
      </c>
      <c r="I853" s="60">
        <v>0</v>
      </c>
      <c r="J853" s="60">
        <v>0.01</v>
      </c>
      <c r="O853" s="60" t="s">
        <v>1465</v>
      </c>
      <c r="P853" s="60" t="s">
        <v>3232</v>
      </c>
      <c r="Q853" s="60" t="s">
        <v>4128</v>
      </c>
      <c r="R853" s="60">
        <v>8.4600000000000009</v>
      </c>
      <c r="S853" s="60">
        <v>0.48</v>
      </c>
      <c r="T853" s="60">
        <v>3040</v>
      </c>
      <c r="U853" s="60">
        <v>71.09</v>
      </c>
    </row>
    <row r="854" spans="1:21">
      <c r="A854" s="60" t="s">
        <v>1466</v>
      </c>
      <c r="B854" s="60" t="s">
        <v>3233</v>
      </c>
      <c r="C854" s="60" t="s">
        <v>4833</v>
      </c>
      <c r="D854" s="60">
        <v>42.75</v>
      </c>
      <c r="E854" s="60">
        <v>-0.47</v>
      </c>
      <c r="F854" s="60">
        <v>50</v>
      </c>
      <c r="G854" s="60">
        <v>0</v>
      </c>
      <c r="H854" s="60">
        <v>0.08</v>
      </c>
      <c r="I854" s="60">
        <v>0</v>
      </c>
      <c r="J854" s="60">
        <v>0</v>
      </c>
      <c r="O854" s="60" t="s">
        <v>1466</v>
      </c>
      <c r="P854" s="60" t="s">
        <v>3233</v>
      </c>
      <c r="Q854" s="60" t="s">
        <v>4833</v>
      </c>
      <c r="R854" s="60">
        <v>42.75</v>
      </c>
      <c r="S854" s="60">
        <v>-0.47</v>
      </c>
      <c r="T854" s="60">
        <v>50</v>
      </c>
      <c r="U854" s="60">
        <v>42.74</v>
      </c>
    </row>
    <row r="855" spans="1:21">
      <c r="A855" s="60" t="s">
        <v>1468</v>
      </c>
      <c r="B855" s="60" t="s">
        <v>1822</v>
      </c>
      <c r="C855" s="60" t="s">
        <v>4789</v>
      </c>
      <c r="D855" s="60">
        <v>41.9</v>
      </c>
      <c r="E855" s="60">
        <v>9.9700000000000006</v>
      </c>
      <c r="F855" s="60">
        <v>719</v>
      </c>
      <c r="G855" s="60">
        <v>0.35</v>
      </c>
      <c r="H855" s="60">
        <v>2.5</v>
      </c>
      <c r="I855" s="60">
        <v>10.08</v>
      </c>
      <c r="J855" s="60">
        <v>0</v>
      </c>
      <c r="O855" s="60" t="s">
        <v>1468</v>
      </c>
      <c r="P855" s="60" t="s">
        <v>1822</v>
      </c>
      <c r="Q855" s="60" t="s">
        <v>4789</v>
      </c>
      <c r="R855" s="60">
        <v>41.9</v>
      </c>
      <c r="S855" s="60">
        <v>9.9700000000000006</v>
      </c>
      <c r="T855" s="60">
        <v>719</v>
      </c>
      <c r="U855" s="60">
        <v>63.49</v>
      </c>
    </row>
    <row r="856" spans="1:21">
      <c r="A856" s="60" t="s">
        <v>1469</v>
      </c>
      <c r="B856" s="60" t="s">
        <v>3234</v>
      </c>
      <c r="C856" s="60" t="s">
        <v>3639</v>
      </c>
      <c r="D856" s="60">
        <v>15.7</v>
      </c>
      <c r="E856" s="60">
        <v>0.64</v>
      </c>
      <c r="F856" s="60">
        <v>620</v>
      </c>
      <c r="G856" s="60">
        <v>0</v>
      </c>
      <c r="H856" s="60">
        <v>2.04</v>
      </c>
      <c r="I856" s="60">
        <v>0</v>
      </c>
      <c r="J856" s="60">
        <v>0.32</v>
      </c>
      <c r="O856" s="60" t="s">
        <v>1469</v>
      </c>
      <c r="P856" s="60" t="s">
        <v>3234</v>
      </c>
      <c r="Q856" s="60" t="s">
        <v>3639</v>
      </c>
      <c r="R856" s="60">
        <v>15.7</v>
      </c>
      <c r="S856" s="60">
        <v>0.64</v>
      </c>
      <c r="T856" s="60">
        <v>620</v>
      </c>
      <c r="U856" s="60">
        <v>5.95</v>
      </c>
    </row>
    <row r="857" spans="1:21">
      <c r="A857" s="60" t="s">
        <v>1471</v>
      </c>
      <c r="B857" s="60" t="s">
        <v>1825</v>
      </c>
      <c r="C857" s="60" t="s">
        <v>3529</v>
      </c>
      <c r="D857" s="60">
        <v>108</v>
      </c>
      <c r="E857" s="60">
        <v>-0.46</v>
      </c>
      <c r="F857" s="60">
        <v>369</v>
      </c>
      <c r="G857" s="60">
        <v>0.65</v>
      </c>
      <c r="H857" s="60">
        <v>4.09</v>
      </c>
      <c r="I857" s="60">
        <v>30.57</v>
      </c>
      <c r="J857" s="60">
        <v>0</v>
      </c>
      <c r="O857" s="60" t="s">
        <v>1471</v>
      </c>
      <c r="P857" s="60" t="s">
        <v>1825</v>
      </c>
      <c r="Q857" s="60" t="s">
        <v>3529</v>
      </c>
      <c r="R857" s="60">
        <v>108</v>
      </c>
      <c r="S857" s="60">
        <v>-0.46</v>
      </c>
      <c r="T857" s="60">
        <v>369</v>
      </c>
      <c r="U857" s="60">
        <v>32.82</v>
      </c>
    </row>
    <row r="858" spans="1:21">
      <c r="A858" s="60" t="s">
        <v>1473</v>
      </c>
      <c r="B858" s="60" t="s">
        <v>1827</v>
      </c>
      <c r="C858" s="60" t="s">
        <v>4901</v>
      </c>
      <c r="D858" s="60">
        <v>44</v>
      </c>
      <c r="E858" s="60">
        <v>0.23</v>
      </c>
      <c r="F858" s="60">
        <v>1155</v>
      </c>
      <c r="G858" s="60">
        <v>4.43</v>
      </c>
      <c r="H858" s="60">
        <v>2.33</v>
      </c>
      <c r="I858" s="60">
        <v>34.04</v>
      </c>
      <c r="J858" s="60">
        <v>0</v>
      </c>
      <c r="O858" s="60" t="s">
        <v>1473</v>
      </c>
      <c r="P858" s="60" t="s">
        <v>1827</v>
      </c>
      <c r="Q858" s="60" t="s">
        <v>4901</v>
      </c>
      <c r="R858" s="60">
        <v>44</v>
      </c>
      <c r="S858" s="60">
        <v>0.23</v>
      </c>
      <c r="T858" s="60">
        <v>1155</v>
      </c>
      <c r="U858" s="60">
        <v>16.940000000000001</v>
      </c>
    </row>
    <row r="859" spans="1:21">
      <c r="A859" s="60" t="s">
        <v>1475</v>
      </c>
      <c r="B859" s="60" t="s">
        <v>1829</v>
      </c>
      <c r="C859" s="60" t="s">
        <v>4790</v>
      </c>
      <c r="D859" s="60">
        <v>185.5</v>
      </c>
      <c r="E859" s="60">
        <v>3.63</v>
      </c>
      <c r="F859" s="60">
        <v>662</v>
      </c>
      <c r="G859" s="60">
        <v>1.91</v>
      </c>
      <c r="H859" s="60">
        <v>11.66</v>
      </c>
      <c r="I859" s="60">
        <v>14.18</v>
      </c>
      <c r="J859" s="60">
        <v>0</v>
      </c>
      <c r="O859" s="60" t="s">
        <v>1475</v>
      </c>
      <c r="P859" s="60" t="s">
        <v>1829</v>
      </c>
      <c r="Q859" s="60" t="s">
        <v>4790</v>
      </c>
      <c r="R859" s="60">
        <v>185.5</v>
      </c>
      <c r="S859" s="60">
        <v>3.63</v>
      </c>
      <c r="T859" s="60">
        <v>662</v>
      </c>
      <c r="U859" s="60">
        <v>57.74</v>
      </c>
    </row>
    <row r="860" spans="1:21">
      <c r="A860" s="60" t="s">
        <v>1477</v>
      </c>
      <c r="B860" s="60" t="s">
        <v>1831</v>
      </c>
      <c r="C860" s="60" t="s">
        <v>4747</v>
      </c>
      <c r="D860" s="60">
        <v>48.45</v>
      </c>
      <c r="E860" s="60">
        <v>-0.31</v>
      </c>
      <c r="F860" s="60">
        <v>170</v>
      </c>
      <c r="G860" s="60">
        <v>0.17</v>
      </c>
      <c r="H860" s="60">
        <v>1.19</v>
      </c>
      <c r="I860" s="60">
        <v>13.11</v>
      </c>
      <c r="J860" s="60">
        <v>0</v>
      </c>
      <c r="O860" s="60" t="s">
        <v>1477</v>
      </c>
      <c r="P860" s="60" t="s">
        <v>1831</v>
      </c>
      <c r="Q860" s="60" t="s">
        <v>4747</v>
      </c>
      <c r="R860" s="60">
        <v>48.45</v>
      </c>
      <c r="S860" s="60">
        <v>-0.31</v>
      </c>
      <c r="T860" s="60">
        <v>170</v>
      </c>
      <c r="U860" s="60">
        <v>57.35</v>
      </c>
    </row>
    <row r="861" spans="1:21">
      <c r="A861" s="60" t="s">
        <v>1479</v>
      </c>
      <c r="B861" s="60" t="s">
        <v>1833</v>
      </c>
      <c r="C861" s="60" t="s">
        <v>4129</v>
      </c>
      <c r="D861" s="60">
        <v>25.4</v>
      </c>
      <c r="E861" s="60">
        <v>2.0099999999999998</v>
      </c>
      <c r="F861" s="60">
        <v>1028</v>
      </c>
      <c r="G861" s="60">
        <v>0.05</v>
      </c>
      <c r="H861" s="60">
        <v>1.21</v>
      </c>
      <c r="I861" s="60">
        <v>12.08</v>
      </c>
      <c r="J861" s="60">
        <v>0</v>
      </c>
      <c r="O861" s="60" t="s">
        <v>1479</v>
      </c>
      <c r="P861" s="60" t="s">
        <v>1833</v>
      </c>
      <c r="Q861" s="60" t="s">
        <v>4129</v>
      </c>
      <c r="R861" s="60">
        <v>25.4</v>
      </c>
      <c r="S861" s="60">
        <v>2.0099999999999998</v>
      </c>
      <c r="T861" s="60">
        <v>1028</v>
      </c>
      <c r="U861" s="60">
        <v>61.46</v>
      </c>
    </row>
    <row r="862" spans="1:21">
      <c r="A862" s="60" t="s">
        <v>1481</v>
      </c>
      <c r="B862" s="60" t="s">
        <v>3235</v>
      </c>
      <c r="C862" s="60" t="s">
        <v>4029</v>
      </c>
      <c r="D862" s="60">
        <v>61</v>
      </c>
      <c r="E862" s="60">
        <v>-5.57</v>
      </c>
      <c r="F862" s="60">
        <v>6979</v>
      </c>
      <c r="G862" s="60">
        <v>12.63</v>
      </c>
      <c r="H862" s="60">
        <v>4.18</v>
      </c>
      <c r="I862" s="60">
        <v>14.8</v>
      </c>
      <c r="J862" s="60">
        <v>0.04</v>
      </c>
      <c r="O862" s="60" t="s">
        <v>1481</v>
      </c>
      <c r="P862" s="60" t="s">
        <v>3235</v>
      </c>
      <c r="Q862" s="60" t="s">
        <v>4029</v>
      </c>
      <c r="R862" s="60">
        <v>61</v>
      </c>
      <c r="S862" s="60">
        <v>-5.57</v>
      </c>
      <c r="T862" s="60">
        <v>6979</v>
      </c>
      <c r="U862" s="60">
        <v>89.2</v>
      </c>
    </row>
    <row r="863" spans="1:21">
      <c r="A863" s="60" t="s">
        <v>1483</v>
      </c>
      <c r="B863" s="60" t="s">
        <v>1835</v>
      </c>
      <c r="C863" s="60" t="s">
        <v>4243</v>
      </c>
      <c r="D863" s="60">
        <v>51</v>
      </c>
      <c r="E863" s="60">
        <v>0.99</v>
      </c>
      <c r="F863" s="60">
        <v>2084</v>
      </c>
      <c r="G863" s="60">
        <v>0</v>
      </c>
      <c r="H863" s="60">
        <v>36.840000000000003</v>
      </c>
      <c r="I863" s="60">
        <v>0.83</v>
      </c>
      <c r="J863" s="60">
        <v>4.8</v>
      </c>
      <c r="O863" s="60" t="s">
        <v>1483</v>
      </c>
      <c r="P863" s="60" t="s">
        <v>1835</v>
      </c>
      <c r="Q863" s="60" t="s">
        <v>4243</v>
      </c>
      <c r="R863" s="60">
        <v>51</v>
      </c>
      <c r="S863" s="60">
        <v>0.99</v>
      </c>
      <c r="T863" s="60">
        <v>2084</v>
      </c>
      <c r="U863" s="60">
        <v>73.19</v>
      </c>
    </row>
    <row r="864" spans="1:21">
      <c r="A864" s="60" t="s">
        <v>1485</v>
      </c>
      <c r="B864" s="60" t="s">
        <v>1837</v>
      </c>
      <c r="C864" s="60" t="s">
        <v>4333</v>
      </c>
      <c r="D864" s="60">
        <v>25.35</v>
      </c>
      <c r="E864" s="60">
        <v>0</v>
      </c>
      <c r="F864" s="60">
        <v>1050</v>
      </c>
      <c r="G864" s="60">
        <v>0.01</v>
      </c>
      <c r="H864" s="60">
        <v>21.95</v>
      </c>
      <c r="I864" s="60">
        <v>1.74</v>
      </c>
      <c r="J864" s="60">
        <v>0.01</v>
      </c>
      <c r="O864" s="60" t="s">
        <v>1485</v>
      </c>
      <c r="P864" s="60" t="s">
        <v>1837</v>
      </c>
      <c r="Q864" s="60" t="s">
        <v>4333</v>
      </c>
      <c r="R864" s="60">
        <v>25.35</v>
      </c>
      <c r="S864" s="60">
        <v>0</v>
      </c>
      <c r="T864" s="60">
        <v>1050</v>
      </c>
      <c r="U864" s="60">
        <v>73.459999999999994</v>
      </c>
    </row>
    <row r="865" spans="1:21">
      <c r="A865" s="60" t="s">
        <v>1486</v>
      </c>
      <c r="B865" s="60" t="s">
        <v>1839</v>
      </c>
      <c r="C865" s="60" t="s">
        <v>4130</v>
      </c>
      <c r="D865" s="60">
        <v>34.5</v>
      </c>
      <c r="E865" s="60">
        <v>5.5</v>
      </c>
      <c r="F865" s="60">
        <v>28583</v>
      </c>
      <c r="G865" s="60">
        <v>2.09</v>
      </c>
      <c r="H865" s="60">
        <v>8.3800000000000008</v>
      </c>
      <c r="I865" s="60">
        <v>16.79</v>
      </c>
      <c r="J865" s="60">
        <v>0.02</v>
      </c>
      <c r="O865" s="60" t="s">
        <v>1486</v>
      </c>
      <c r="P865" s="60" t="s">
        <v>1839</v>
      </c>
      <c r="Q865" s="60" t="s">
        <v>4130</v>
      </c>
      <c r="R865" s="60">
        <v>34.5</v>
      </c>
      <c r="S865" s="60">
        <v>5.5</v>
      </c>
      <c r="T865" s="60">
        <v>28583</v>
      </c>
      <c r="U865" s="60">
        <v>49.68</v>
      </c>
    </row>
    <row r="866" spans="1:21">
      <c r="A866" s="60" t="s">
        <v>1487</v>
      </c>
      <c r="B866" s="60" t="s">
        <v>1841</v>
      </c>
      <c r="C866" s="60" t="s">
        <v>3864</v>
      </c>
      <c r="D866" s="60">
        <v>43.7</v>
      </c>
      <c r="E866" s="60">
        <v>0.11</v>
      </c>
      <c r="F866" s="60">
        <v>137</v>
      </c>
      <c r="G866" s="60">
        <v>0</v>
      </c>
      <c r="H866" s="60">
        <v>13.39</v>
      </c>
      <c r="I866" s="60">
        <v>0.88</v>
      </c>
      <c r="J866" s="60">
        <v>0</v>
      </c>
      <c r="O866" s="60" t="s">
        <v>1487</v>
      </c>
      <c r="P866" s="60" t="s">
        <v>1841</v>
      </c>
      <c r="Q866" s="60" t="s">
        <v>3864</v>
      </c>
      <c r="R866" s="60">
        <v>43.7</v>
      </c>
      <c r="S866" s="60">
        <v>0.11</v>
      </c>
      <c r="T866" s="60">
        <v>137</v>
      </c>
      <c r="U866" s="60">
        <v>59.17</v>
      </c>
    </row>
    <row r="867" spans="1:21">
      <c r="A867" s="60" t="s">
        <v>1489</v>
      </c>
      <c r="B867" s="60" t="s">
        <v>1843</v>
      </c>
      <c r="C867" s="60" t="s">
        <v>4030</v>
      </c>
      <c r="D867" s="60">
        <v>34.5</v>
      </c>
      <c r="E867" s="60">
        <v>0.28999999999999998</v>
      </c>
      <c r="F867" s="60">
        <v>33242</v>
      </c>
      <c r="G867" s="60">
        <v>0.17</v>
      </c>
      <c r="H867" s="60">
        <v>12.63</v>
      </c>
      <c r="I867" s="60">
        <v>7.45</v>
      </c>
      <c r="J867" s="60">
        <v>0.02</v>
      </c>
      <c r="O867" s="60" t="s">
        <v>1489</v>
      </c>
      <c r="P867" s="60" t="s">
        <v>1843</v>
      </c>
      <c r="Q867" s="60" t="s">
        <v>4030</v>
      </c>
      <c r="R867" s="60">
        <v>34.5</v>
      </c>
      <c r="S867" s="60">
        <v>0.28999999999999998</v>
      </c>
      <c r="T867" s="60">
        <v>33242</v>
      </c>
      <c r="U867" s="60">
        <v>45.09</v>
      </c>
    </row>
    <row r="868" spans="1:21">
      <c r="A868" s="60" t="s">
        <v>1491</v>
      </c>
      <c r="B868" s="60" t="s">
        <v>1845</v>
      </c>
      <c r="C868" s="60" t="s">
        <v>3626</v>
      </c>
      <c r="D868" s="60">
        <v>153</v>
      </c>
      <c r="E868" s="60">
        <v>-1.92</v>
      </c>
      <c r="F868" s="60">
        <v>18604</v>
      </c>
      <c r="G868" s="60">
        <v>11.38</v>
      </c>
      <c r="H868" s="60">
        <v>23.14</v>
      </c>
      <c r="I868" s="60">
        <v>23.79</v>
      </c>
      <c r="J868" s="60">
        <v>11.47</v>
      </c>
      <c r="O868" s="60" t="s">
        <v>1491</v>
      </c>
      <c r="P868" s="60" t="s">
        <v>1845</v>
      </c>
      <c r="Q868" s="60" t="s">
        <v>3626</v>
      </c>
      <c r="R868" s="60">
        <v>153</v>
      </c>
      <c r="S868" s="60">
        <v>-1.92</v>
      </c>
      <c r="T868" s="60">
        <v>18604</v>
      </c>
      <c r="U868" s="60">
        <v>49.18</v>
      </c>
    </row>
    <row r="869" spans="1:21">
      <c r="A869" s="60" t="s">
        <v>1492</v>
      </c>
      <c r="B869" s="60" t="s">
        <v>1847</v>
      </c>
      <c r="C869" s="60" t="s">
        <v>3848</v>
      </c>
      <c r="D869" s="60">
        <v>92.1</v>
      </c>
      <c r="E869" s="60">
        <v>0.11</v>
      </c>
      <c r="F869" s="60">
        <v>380</v>
      </c>
      <c r="G869" s="60">
        <v>11.55</v>
      </c>
      <c r="H869" s="60">
        <v>8.6199999999999992</v>
      </c>
      <c r="I869" s="60">
        <v>28.51</v>
      </c>
      <c r="J869" s="60">
        <v>0.04</v>
      </c>
      <c r="O869" s="60" t="s">
        <v>1492</v>
      </c>
      <c r="P869" s="60" t="s">
        <v>1847</v>
      </c>
      <c r="Q869" s="60" t="s">
        <v>3848</v>
      </c>
      <c r="R869" s="60">
        <v>92.1</v>
      </c>
      <c r="S869" s="60">
        <v>0.11</v>
      </c>
      <c r="T869" s="60">
        <v>380</v>
      </c>
      <c r="U869" s="60">
        <v>35.43</v>
      </c>
    </row>
    <row r="870" spans="1:21">
      <c r="A870" s="60" t="s">
        <v>1494</v>
      </c>
      <c r="B870" s="60" t="s">
        <v>1849</v>
      </c>
      <c r="C870" s="60" t="s">
        <v>4748</v>
      </c>
      <c r="D870" s="60">
        <v>41.5</v>
      </c>
      <c r="E870" s="60">
        <v>-0.95</v>
      </c>
      <c r="F870" s="60">
        <v>1041</v>
      </c>
      <c r="G870" s="60">
        <v>0.06</v>
      </c>
      <c r="H870" s="60">
        <v>2.81</v>
      </c>
      <c r="I870" s="60">
        <v>4.96</v>
      </c>
      <c r="J870" s="60">
        <v>0</v>
      </c>
      <c r="O870" s="60" t="s">
        <v>1494</v>
      </c>
      <c r="P870" s="60" t="s">
        <v>1849</v>
      </c>
      <c r="Q870" s="60" t="s">
        <v>4748</v>
      </c>
      <c r="R870" s="60">
        <v>41.5</v>
      </c>
      <c r="S870" s="60">
        <v>-0.95</v>
      </c>
      <c r="T870" s="60">
        <v>1041</v>
      </c>
      <c r="U870" s="60">
        <v>77.17</v>
      </c>
    </row>
    <row r="871" spans="1:21">
      <c r="A871" s="60" t="s">
        <v>1496</v>
      </c>
      <c r="B871" s="60" t="s">
        <v>1851</v>
      </c>
      <c r="C871" s="60" t="s">
        <v>4902</v>
      </c>
      <c r="D871" s="60">
        <v>8.43</v>
      </c>
      <c r="E871" s="60">
        <v>-0.71</v>
      </c>
      <c r="F871" s="60">
        <v>431</v>
      </c>
      <c r="G871" s="60">
        <v>0</v>
      </c>
      <c r="H871" s="60">
        <v>2.2599999999999998</v>
      </c>
      <c r="I871" s="60">
        <v>0</v>
      </c>
      <c r="J871" s="60">
        <v>0</v>
      </c>
      <c r="O871" s="60" t="s">
        <v>1496</v>
      </c>
      <c r="P871" s="60" t="s">
        <v>1851</v>
      </c>
      <c r="Q871" s="60" t="s">
        <v>4902</v>
      </c>
      <c r="R871" s="60">
        <v>8.43</v>
      </c>
      <c r="S871" s="60">
        <v>-0.71</v>
      </c>
      <c r="T871" s="60">
        <v>431</v>
      </c>
      <c r="U871" s="60">
        <v>24.65</v>
      </c>
    </row>
    <row r="872" spans="1:21">
      <c r="A872" s="60" t="s">
        <v>1498</v>
      </c>
      <c r="B872" s="60" t="s">
        <v>1853</v>
      </c>
      <c r="C872" s="60" t="s">
        <v>3655</v>
      </c>
      <c r="D872" s="60">
        <v>106.5</v>
      </c>
      <c r="E872" s="60">
        <v>0.47</v>
      </c>
      <c r="F872" s="60">
        <v>13157</v>
      </c>
      <c r="G872" s="60">
        <v>0.08</v>
      </c>
      <c r="H872" s="60">
        <v>80.36</v>
      </c>
      <c r="I872" s="60">
        <v>0.93</v>
      </c>
      <c r="J872" s="60">
        <v>1.4</v>
      </c>
      <c r="O872" s="60" t="s">
        <v>1498</v>
      </c>
      <c r="P872" s="60" t="s">
        <v>1853</v>
      </c>
      <c r="Q872" s="60" t="s">
        <v>3655</v>
      </c>
      <c r="R872" s="60">
        <v>106.5</v>
      </c>
      <c r="S872" s="60">
        <v>0.47</v>
      </c>
      <c r="T872" s="60">
        <v>13157</v>
      </c>
      <c r="U872" s="60">
        <v>83.67</v>
      </c>
    </row>
    <row r="873" spans="1:21">
      <c r="A873" s="60" t="s">
        <v>1500</v>
      </c>
      <c r="B873" s="60" t="s">
        <v>1855</v>
      </c>
      <c r="C873" s="60" t="s">
        <v>4031</v>
      </c>
      <c r="D873" s="60">
        <v>33.15</v>
      </c>
      <c r="E873" s="60">
        <v>1.38</v>
      </c>
      <c r="F873" s="60">
        <v>913</v>
      </c>
      <c r="G873" s="60">
        <v>7.0000000000000007E-2</v>
      </c>
      <c r="H873" s="60">
        <v>1.96</v>
      </c>
      <c r="I873" s="60">
        <v>13.38</v>
      </c>
      <c r="J873" s="60">
        <v>0.08</v>
      </c>
      <c r="O873" s="60" t="s">
        <v>1500</v>
      </c>
      <c r="P873" s="60" t="s">
        <v>1855</v>
      </c>
      <c r="Q873" s="60" t="s">
        <v>4031</v>
      </c>
      <c r="R873" s="60">
        <v>33.15</v>
      </c>
      <c r="S873" s="60">
        <v>1.38</v>
      </c>
      <c r="T873" s="60">
        <v>913</v>
      </c>
      <c r="U873" s="60">
        <v>48.74</v>
      </c>
    </row>
    <row r="874" spans="1:21">
      <c r="A874" s="60" t="s">
        <v>1502</v>
      </c>
      <c r="B874" s="60" t="s">
        <v>3236</v>
      </c>
      <c r="C874" s="60" t="s">
        <v>4791</v>
      </c>
      <c r="D874" s="60">
        <v>35.65</v>
      </c>
      <c r="E874" s="60">
        <v>-0.97</v>
      </c>
      <c r="F874" s="60">
        <v>88</v>
      </c>
      <c r="G874" s="60">
        <v>0</v>
      </c>
      <c r="H874" s="60">
        <v>0.32</v>
      </c>
      <c r="I874" s="60">
        <v>0</v>
      </c>
      <c r="J874" s="60">
        <v>0</v>
      </c>
      <c r="O874" s="60" t="s">
        <v>1502</v>
      </c>
      <c r="P874" s="60" t="s">
        <v>3236</v>
      </c>
      <c r="Q874" s="60" t="s">
        <v>4791</v>
      </c>
      <c r="R874" s="60">
        <v>35.65</v>
      </c>
      <c r="S874" s="60">
        <v>-0.97</v>
      </c>
      <c r="T874" s="60">
        <v>88</v>
      </c>
      <c r="U874" s="60">
        <v>50.79</v>
      </c>
    </row>
    <row r="875" spans="1:21">
      <c r="A875" s="60" t="s">
        <v>1503</v>
      </c>
      <c r="B875" s="60" t="s">
        <v>1857</v>
      </c>
      <c r="C875" s="60" t="s">
        <v>4082</v>
      </c>
      <c r="D875" s="60">
        <v>80.400000000000006</v>
      </c>
      <c r="E875" s="60">
        <v>1.77</v>
      </c>
      <c r="F875" s="60">
        <v>12286</v>
      </c>
      <c r="G875" s="60">
        <v>0.13</v>
      </c>
      <c r="H875" s="60">
        <v>21.73</v>
      </c>
      <c r="I875" s="60">
        <v>16.64</v>
      </c>
      <c r="J875" s="60">
        <v>0.6</v>
      </c>
      <c r="O875" s="60" t="s">
        <v>1503</v>
      </c>
      <c r="P875" s="60" t="s">
        <v>1857</v>
      </c>
      <c r="Q875" s="60" t="s">
        <v>4082</v>
      </c>
      <c r="R875" s="60">
        <v>80.400000000000006</v>
      </c>
      <c r="S875" s="60">
        <v>1.77</v>
      </c>
      <c r="T875" s="60">
        <v>12286</v>
      </c>
      <c r="U875" s="60">
        <v>41.16</v>
      </c>
    </row>
    <row r="876" spans="1:21">
      <c r="A876" s="60" t="s">
        <v>1505</v>
      </c>
      <c r="B876" s="60" t="s">
        <v>1859</v>
      </c>
      <c r="C876" s="60" t="s">
        <v>3522</v>
      </c>
      <c r="D876" s="60">
        <v>20</v>
      </c>
      <c r="E876" s="60">
        <v>5.54</v>
      </c>
      <c r="F876" s="60">
        <v>256</v>
      </c>
      <c r="G876" s="60">
        <v>0.02</v>
      </c>
      <c r="H876" s="60">
        <v>1.24</v>
      </c>
      <c r="I876" s="60">
        <v>16.04</v>
      </c>
      <c r="J876" s="60">
        <v>0</v>
      </c>
      <c r="O876" s="60" t="s">
        <v>1505</v>
      </c>
      <c r="P876" s="60" t="s">
        <v>1859</v>
      </c>
      <c r="Q876" s="60" t="s">
        <v>3522</v>
      </c>
      <c r="R876" s="60">
        <v>20</v>
      </c>
      <c r="S876" s="60">
        <v>5.54</v>
      </c>
      <c r="T876" s="60">
        <v>256</v>
      </c>
      <c r="U876" s="60">
        <v>23.4</v>
      </c>
    </row>
    <row r="877" spans="1:21">
      <c r="A877" s="60" t="s">
        <v>1507</v>
      </c>
      <c r="B877" s="60" t="s">
        <v>1861</v>
      </c>
      <c r="C877" s="60" t="s">
        <v>3865</v>
      </c>
      <c r="D877" s="60">
        <v>57.7</v>
      </c>
      <c r="E877" s="60">
        <v>0</v>
      </c>
      <c r="F877" s="60">
        <v>166</v>
      </c>
      <c r="G877" s="60">
        <v>0</v>
      </c>
      <c r="H877" s="60">
        <v>5.64</v>
      </c>
      <c r="I877" s="60">
        <v>0.61</v>
      </c>
      <c r="J877" s="60">
        <v>0</v>
      </c>
      <c r="O877" s="60" t="s">
        <v>1507</v>
      </c>
      <c r="P877" s="60" t="s">
        <v>1861</v>
      </c>
      <c r="Q877" s="60" t="s">
        <v>3865</v>
      </c>
      <c r="R877" s="60">
        <v>57.7</v>
      </c>
      <c r="S877" s="60">
        <v>0</v>
      </c>
      <c r="T877" s="60">
        <v>166</v>
      </c>
      <c r="U877" s="60">
        <v>39.020000000000003</v>
      </c>
    </row>
    <row r="878" spans="1:21">
      <c r="A878" s="60" t="s">
        <v>1509</v>
      </c>
      <c r="B878" s="60" t="s">
        <v>1863</v>
      </c>
      <c r="C878" s="60" t="s">
        <v>3587</v>
      </c>
      <c r="D878" s="60">
        <v>69.099999999999994</v>
      </c>
      <c r="E878" s="60">
        <v>0.14000000000000001</v>
      </c>
      <c r="F878" s="60">
        <v>218</v>
      </c>
      <c r="G878" s="60">
        <v>0.01</v>
      </c>
      <c r="H878" s="60">
        <v>14.19</v>
      </c>
      <c r="I878" s="60">
        <v>5.14</v>
      </c>
      <c r="J878" s="60">
        <v>1.71</v>
      </c>
      <c r="O878" s="60" t="s">
        <v>1509</v>
      </c>
      <c r="P878" s="60" t="s">
        <v>1863</v>
      </c>
      <c r="Q878" s="60" t="s">
        <v>3587</v>
      </c>
      <c r="R878" s="60">
        <v>69.099999999999994</v>
      </c>
      <c r="S878" s="60">
        <v>0.14000000000000001</v>
      </c>
      <c r="T878" s="60">
        <v>218</v>
      </c>
      <c r="U878" s="60">
        <v>40.090000000000003</v>
      </c>
    </row>
    <row r="879" spans="1:21">
      <c r="A879" s="60" t="s">
        <v>1511</v>
      </c>
      <c r="B879" s="60" t="s">
        <v>1865</v>
      </c>
      <c r="C879" s="60" t="s">
        <v>3514</v>
      </c>
      <c r="D879" s="60">
        <v>28.45</v>
      </c>
      <c r="E879" s="60">
        <v>-0.18</v>
      </c>
      <c r="F879" s="60">
        <v>1292</v>
      </c>
      <c r="G879" s="60">
        <v>0.01</v>
      </c>
      <c r="H879" s="60">
        <v>1.99</v>
      </c>
      <c r="I879" s="60">
        <v>14.27</v>
      </c>
      <c r="J879" s="60">
        <v>0</v>
      </c>
      <c r="O879" s="60" t="s">
        <v>1511</v>
      </c>
      <c r="P879" s="60" t="s">
        <v>1865</v>
      </c>
      <c r="Q879" s="60" t="s">
        <v>3514</v>
      </c>
      <c r="R879" s="60">
        <v>28.45</v>
      </c>
      <c r="S879" s="60">
        <v>-0.18</v>
      </c>
      <c r="T879" s="60">
        <v>1292</v>
      </c>
      <c r="U879" s="60">
        <v>44.92</v>
      </c>
    </row>
    <row r="880" spans="1:21">
      <c r="A880" s="60" t="s">
        <v>1512</v>
      </c>
      <c r="B880" s="60" t="s">
        <v>1867</v>
      </c>
      <c r="C880" s="60" t="s">
        <v>4583</v>
      </c>
      <c r="D880" s="60">
        <v>111</v>
      </c>
      <c r="E880" s="60">
        <v>0</v>
      </c>
      <c r="F880" s="60">
        <v>30</v>
      </c>
      <c r="G880" s="60">
        <v>0</v>
      </c>
      <c r="H880" s="60">
        <v>31.77</v>
      </c>
      <c r="I880" s="60">
        <v>1.31</v>
      </c>
      <c r="J880" s="60">
        <v>0</v>
      </c>
      <c r="O880" s="60" t="s">
        <v>1512</v>
      </c>
      <c r="P880" s="60" t="s">
        <v>1867</v>
      </c>
      <c r="Q880" s="60" t="s">
        <v>4583</v>
      </c>
      <c r="R880" s="60">
        <v>111</v>
      </c>
      <c r="S880" s="60">
        <v>0</v>
      </c>
      <c r="T880" s="60">
        <v>30</v>
      </c>
      <c r="U880" s="60">
        <v>46.79</v>
      </c>
    </row>
    <row r="881" spans="1:21">
      <c r="A881" s="60" t="s">
        <v>1513</v>
      </c>
      <c r="B881" s="60" t="s">
        <v>3237</v>
      </c>
      <c r="C881" s="60" t="s">
        <v>38</v>
      </c>
      <c r="D881" s="60">
        <v>23</v>
      </c>
      <c r="E881" s="60">
        <v>0.44</v>
      </c>
      <c r="F881" s="60">
        <v>257</v>
      </c>
      <c r="G881" s="60">
        <v>0.01</v>
      </c>
      <c r="H881" s="60">
        <v>1.07</v>
      </c>
      <c r="I881" s="60">
        <v>3.42</v>
      </c>
      <c r="J881" s="60">
        <v>0</v>
      </c>
      <c r="O881" s="60" t="s">
        <v>1513</v>
      </c>
      <c r="P881" s="60" t="s">
        <v>3237</v>
      </c>
      <c r="Q881" s="60" t="s">
        <v>38</v>
      </c>
      <c r="R881" s="60">
        <v>23</v>
      </c>
      <c r="S881" s="60">
        <v>0.44</v>
      </c>
      <c r="T881" s="60">
        <v>257</v>
      </c>
      <c r="U881" s="60">
        <v>23.38</v>
      </c>
    </row>
    <row r="882" spans="1:21">
      <c r="A882" s="60" t="s">
        <v>1515</v>
      </c>
      <c r="B882" s="60" t="s">
        <v>1870</v>
      </c>
      <c r="C882" s="60" t="s">
        <v>4584</v>
      </c>
      <c r="D882" s="60">
        <v>13.85</v>
      </c>
      <c r="E882" s="60">
        <v>0.36</v>
      </c>
      <c r="F882" s="60">
        <v>42</v>
      </c>
      <c r="G882" s="60">
        <v>0</v>
      </c>
      <c r="H882" s="60">
        <v>0.3</v>
      </c>
      <c r="I882" s="60">
        <v>3.25</v>
      </c>
      <c r="J882" s="60">
        <v>0</v>
      </c>
      <c r="O882" s="60" t="s">
        <v>1515</v>
      </c>
      <c r="P882" s="60" t="s">
        <v>1870</v>
      </c>
      <c r="Q882" s="60" t="s">
        <v>4584</v>
      </c>
      <c r="R882" s="60">
        <v>13.85</v>
      </c>
      <c r="S882" s="60">
        <v>0.36</v>
      </c>
      <c r="T882" s="60">
        <v>42</v>
      </c>
      <c r="U882" s="60">
        <v>42.56</v>
      </c>
    </row>
    <row r="883" spans="1:21">
      <c r="A883" s="60" t="s">
        <v>1517</v>
      </c>
      <c r="B883" s="60" t="s">
        <v>1872</v>
      </c>
      <c r="C883" s="60" t="s">
        <v>4585</v>
      </c>
      <c r="D883" s="60">
        <v>22.6</v>
      </c>
      <c r="E883" s="60">
        <v>0.67</v>
      </c>
      <c r="F883" s="60">
        <v>38</v>
      </c>
      <c r="G883" s="60">
        <v>0</v>
      </c>
      <c r="H883" s="60">
        <v>1.45</v>
      </c>
      <c r="I883" s="60">
        <v>2.79</v>
      </c>
      <c r="J883" s="60">
        <v>0</v>
      </c>
      <c r="O883" s="60" t="s">
        <v>1517</v>
      </c>
      <c r="P883" s="60" t="s">
        <v>1872</v>
      </c>
      <c r="Q883" s="60" t="s">
        <v>4585</v>
      </c>
      <c r="R883" s="60">
        <v>22.6</v>
      </c>
      <c r="S883" s="60">
        <v>0.67</v>
      </c>
      <c r="T883" s="60">
        <v>38</v>
      </c>
      <c r="U883" s="60">
        <v>27.9</v>
      </c>
    </row>
    <row r="884" spans="1:21">
      <c r="A884" s="60" t="s">
        <v>1519</v>
      </c>
      <c r="B884" s="60" t="s">
        <v>1874</v>
      </c>
      <c r="C884" s="60" t="s">
        <v>5050</v>
      </c>
      <c r="D884" s="60">
        <v>14.15</v>
      </c>
      <c r="E884" s="60">
        <v>0.35</v>
      </c>
      <c r="F884" s="60">
        <v>133</v>
      </c>
      <c r="G884" s="60">
        <v>0</v>
      </c>
      <c r="H884" s="60">
        <v>0.6</v>
      </c>
      <c r="I884" s="60">
        <v>1.89</v>
      </c>
      <c r="J884" s="60">
        <v>0</v>
      </c>
      <c r="O884" s="60" t="s">
        <v>1519</v>
      </c>
      <c r="P884" s="60" t="s">
        <v>1874</v>
      </c>
      <c r="Q884" s="60" t="s">
        <v>5050</v>
      </c>
      <c r="R884" s="60">
        <v>14.15</v>
      </c>
      <c r="S884" s="60">
        <v>0.35</v>
      </c>
      <c r="T884" s="60">
        <v>133</v>
      </c>
      <c r="U884" s="60">
        <v>63.78</v>
      </c>
    </row>
    <row r="885" spans="1:21">
      <c r="A885" s="60" t="s">
        <v>1521</v>
      </c>
      <c r="B885" s="60" t="s">
        <v>1876</v>
      </c>
      <c r="C885" s="60" t="s">
        <v>4586</v>
      </c>
      <c r="D885" s="60">
        <v>22.7</v>
      </c>
      <c r="E885" s="60">
        <v>-0.22</v>
      </c>
      <c r="F885" s="60">
        <v>379</v>
      </c>
      <c r="G885" s="60">
        <v>0</v>
      </c>
      <c r="H885" s="60">
        <v>1.1299999999999999</v>
      </c>
      <c r="I885" s="60">
        <v>4.43</v>
      </c>
      <c r="J885" s="60">
        <v>0</v>
      </c>
      <c r="O885" s="60" t="s">
        <v>1521</v>
      </c>
      <c r="P885" s="60" t="s">
        <v>1876</v>
      </c>
      <c r="Q885" s="60" t="s">
        <v>4586</v>
      </c>
      <c r="R885" s="60">
        <v>22.7</v>
      </c>
      <c r="S885" s="60">
        <v>-0.22</v>
      </c>
      <c r="T885" s="60">
        <v>379</v>
      </c>
      <c r="U885" s="60">
        <v>38.1</v>
      </c>
    </row>
    <row r="886" spans="1:21">
      <c r="A886" s="60" t="s">
        <v>1523</v>
      </c>
      <c r="B886" s="60" t="s">
        <v>1878</v>
      </c>
      <c r="C886" s="60" t="s">
        <v>4587</v>
      </c>
      <c r="D886" s="60">
        <v>28.1</v>
      </c>
      <c r="E886" s="60">
        <v>0.36</v>
      </c>
      <c r="F886" s="60">
        <v>9</v>
      </c>
      <c r="G886" s="60">
        <v>0</v>
      </c>
      <c r="H886" s="60">
        <v>0.13</v>
      </c>
      <c r="I886" s="60">
        <v>1.73</v>
      </c>
      <c r="J886" s="60">
        <v>0</v>
      </c>
      <c r="O886" s="60" t="s">
        <v>1523</v>
      </c>
      <c r="P886" s="60" t="s">
        <v>1878</v>
      </c>
      <c r="Q886" s="60" t="s">
        <v>4587</v>
      </c>
      <c r="R886" s="60">
        <v>28.1</v>
      </c>
      <c r="S886" s="60">
        <v>0.36</v>
      </c>
      <c r="T886" s="60">
        <v>9</v>
      </c>
      <c r="U886" s="60">
        <v>57.28</v>
      </c>
    </row>
    <row r="887" spans="1:21">
      <c r="A887" s="60" t="s">
        <v>1525</v>
      </c>
      <c r="B887" s="60" t="s">
        <v>1880</v>
      </c>
      <c r="C887" s="60" t="s">
        <v>3866</v>
      </c>
      <c r="D887" s="60">
        <v>79.3</v>
      </c>
      <c r="E887" s="60">
        <v>0.25</v>
      </c>
      <c r="F887" s="60">
        <v>110</v>
      </c>
      <c r="G887" s="60">
        <v>0</v>
      </c>
      <c r="H887" s="60">
        <v>1.67</v>
      </c>
      <c r="I887" s="60">
        <v>4.7300000000000004</v>
      </c>
      <c r="J887" s="60">
        <v>0.01</v>
      </c>
      <c r="O887" s="60" t="s">
        <v>1525</v>
      </c>
      <c r="P887" s="60" t="s">
        <v>1880</v>
      </c>
      <c r="Q887" s="60" t="s">
        <v>3866</v>
      </c>
      <c r="R887" s="60">
        <v>79.3</v>
      </c>
      <c r="S887" s="60">
        <v>0.25</v>
      </c>
      <c r="T887" s="60">
        <v>110</v>
      </c>
      <c r="U887" s="60">
        <v>45.56</v>
      </c>
    </row>
    <row r="888" spans="1:21">
      <c r="A888" s="60" t="s">
        <v>1526</v>
      </c>
      <c r="B888" s="60" t="s">
        <v>1882</v>
      </c>
      <c r="C888" s="60" t="s">
        <v>4588</v>
      </c>
      <c r="D888" s="60">
        <v>38.9</v>
      </c>
      <c r="E888" s="60">
        <v>-0.26</v>
      </c>
      <c r="F888" s="60">
        <v>51</v>
      </c>
      <c r="G888" s="60">
        <v>0</v>
      </c>
      <c r="H888" s="60">
        <v>6.4</v>
      </c>
      <c r="I888" s="60">
        <v>4.6500000000000004</v>
      </c>
      <c r="J888" s="60">
        <v>0</v>
      </c>
      <c r="O888" s="60" t="s">
        <v>1526</v>
      </c>
      <c r="P888" s="60" t="s">
        <v>1882</v>
      </c>
      <c r="Q888" s="60" t="s">
        <v>4588</v>
      </c>
      <c r="R888" s="60">
        <v>38.9</v>
      </c>
      <c r="S888" s="60">
        <v>-0.26</v>
      </c>
      <c r="T888" s="60">
        <v>51</v>
      </c>
      <c r="U888" s="60">
        <v>65.42</v>
      </c>
    </row>
    <row r="889" spans="1:21">
      <c r="A889" s="60" t="s">
        <v>1528</v>
      </c>
      <c r="B889" s="60" t="s">
        <v>1884</v>
      </c>
      <c r="C889" s="60" t="s">
        <v>42</v>
      </c>
      <c r="D889" s="60">
        <v>19.600000000000001</v>
      </c>
      <c r="E889" s="60">
        <v>0.51</v>
      </c>
      <c r="F889" s="60">
        <v>286</v>
      </c>
      <c r="G889" s="60">
        <v>0.23</v>
      </c>
      <c r="H889" s="60">
        <v>2.0499999999999998</v>
      </c>
      <c r="I889" s="60">
        <v>14</v>
      </c>
      <c r="J889" s="60">
        <v>0</v>
      </c>
      <c r="O889" s="60" t="s">
        <v>1528</v>
      </c>
      <c r="P889" s="60" t="s">
        <v>1884</v>
      </c>
      <c r="Q889" s="60" t="s">
        <v>42</v>
      </c>
      <c r="R889" s="60">
        <v>19.600000000000001</v>
      </c>
      <c r="S889" s="60">
        <v>0.51</v>
      </c>
      <c r="T889" s="60">
        <v>286</v>
      </c>
      <c r="U889" s="60">
        <v>31.42</v>
      </c>
    </row>
    <row r="890" spans="1:21">
      <c r="A890" s="60" t="s">
        <v>1530</v>
      </c>
      <c r="B890" s="60" t="s">
        <v>1886</v>
      </c>
      <c r="C890" s="60" t="s">
        <v>4589</v>
      </c>
      <c r="D890" s="60">
        <v>62.3</v>
      </c>
      <c r="E890" s="60">
        <v>0</v>
      </c>
      <c r="F890" s="60">
        <v>1082</v>
      </c>
      <c r="G890" s="60">
        <v>0.01</v>
      </c>
      <c r="H890" s="60">
        <v>6.49</v>
      </c>
      <c r="I890" s="60">
        <v>11.19</v>
      </c>
      <c r="J890" s="60">
        <v>0.01</v>
      </c>
      <c r="O890" s="60" t="s">
        <v>1530</v>
      </c>
      <c r="P890" s="60" t="s">
        <v>1886</v>
      </c>
      <c r="Q890" s="60" t="s">
        <v>4589</v>
      </c>
      <c r="R890" s="60">
        <v>62.3</v>
      </c>
      <c r="S890" s="60">
        <v>0</v>
      </c>
      <c r="T890" s="60">
        <v>1082</v>
      </c>
      <c r="U890" s="60">
        <v>48.41</v>
      </c>
    </row>
    <row r="891" spans="1:21">
      <c r="A891" s="60" t="s">
        <v>1532</v>
      </c>
      <c r="B891" s="60" t="s">
        <v>1888</v>
      </c>
      <c r="C891" s="60" t="s">
        <v>4590</v>
      </c>
      <c r="D891" s="60">
        <v>71.5</v>
      </c>
      <c r="E891" s="60">
        <v>-2.19</v>
      </c>
      <c r="F891" s="60">
        <v>311</v>
      </c>
      <c r="G891" s="60">
        <v>0</v>
      </c>
      <c r="H891" s="60">
        <v>10.52</v>
      </c>
      <c r="I891" s="60">
        <v>5.76</v>
      </c>
      <c r="J891" s="60">
        <v>0</v>
      </c>
      <c r="O891" s="60" t="s">
        <v>1532</v>
      </c>
      <c r="P891" s="60" t="s">
        <v>1888</v>
      </c>
      <c r="Q891" s="60" t="s">
        <v>4590</v>
      </c>
      <c r="R891" s="60">
        <v>71.5</v>
      </c>
      <c r="S891" s="60">
        <v>-2.19</v>
      </c>
      <c r="T891" s="60">
        <v>311</v>
      </c>
      <c r="U891" s="60">
        <v>27.26</v>
      </c>
    </row>
    <row r="892" spans="1:21">
      <c r="A892" s="60" t="s">
        <v>1534</v>
      </c>
      <c r="B892" s="60" t="s">
        <v>3238</v>
      </c>
      <c r="C892" s="60" t="s">
        <v>3599</v>
      </c>
      <c r="D892" s="60">
        <v>11.8</v>
      </c>
      <c r="E892" s="60">
        <v>-0.42</v>
      </c>
      <c r="F892" s="60">
        <v>106</v>
      </c>
      <c r="G892" s="60">
        <v>0</v>
      </c>
      <c r="H892" s="60">
        <v>0.5</v>
      </c>
      <c r="I892" s="60">
        <v>0</v>
      </c>
      <c r="J892" s="60">
        <v>0</v>
      </c>
      <c r="O892" s="60" t="s">
        <v>1534</v>
      </c>
      <c r="P892" s="60" t="s">
        <v>3238</v>
      </c>
      <c r="Q892" s="60" t="s">
        <v>3599</v>
      </c>
      <c r="R892" s="60">
        <v>11.8</v>
      </c>
      <c r="S892" s="60">
        <v>-0.42</v>
      </c>
      <c r="T892" s="60">
        <v>106</v>
      </c>
      <c r="U892" s="60">
        <v>33.31</v>
      </c>
    </row>
    <row r="893" spans="1:21">
      <c r="A893" s="60" t="s">
        <v>1536</v>
      </c>
      <c r="B893" s="60" t="s">
        <v>3239</v>
      </c>
      <c r="C893" s="60" t="s">
        <v>4591</v>
      </c>
      <c r="D893" s="60">
        <v>66.2</v>
      </c>
      <c r="E893" s="60">
        <v>3.76</v>
      </c>
      <c r="F893" s="60">
        <v>11699</v>
      </c>
      <c r="G893" s="60">
        <v>0.05</v>
      </c>
      <c r="H893" s="60">
        <v>5.58</v>
      </c>
      <c r="I893" s="60">
        <v>8.92</v>
      </c>
      <c r="J893" s="60">
        <v>0</v>
      </c>
      <c r="O893" s="60" t="s">
        <v>1536</v>
      </c>
      <c r="P893" s="60" t="s">
        <v>3239</v>
      </c>
      <c r="Q893" s="60" t="s">
        <v>4591</v>
      </c>
      <c r="R893" s="60">
        <v>66.2</v>
      </c>
      <c r="S893" s="60">
        <v>3.76</v>
      </c>
      <c r="T893" s="60">
        <v>11699</v>
      </c>
      <c r="U893" s="60">
        <v>48.74</v>
      </c>
    </row>
    <row r="894" spans="1:21">
      <c r="A894" s="60" t="s">
        <v>1537</v>
      </c>
      <c r="B894" s="60" t="s">
        <v>1891</v>
      </c>
      <c r="C894" s="60" t="s">
        <v>4592</v>
      </c>
      <c r="D894" s="60">
        <v>30.2</v>
      </c>
      <c r="E894" s="60">
        <v>-0.82</v>
      </c>
      <c r="F894" s="60">
        <v>141</v>
      </c>
      <c r="G894" s="60">
        <v>0</v>
      </c>
      <c r="H894" s="60">
        <v>8.57</v>
      </c>
      <c r="I894" s="60">
        <v>3.67</v>
      </c>
      <c r="J894" s="60">
        <v>0.48</v>
      </c>
      <c r="O894" s="60" t="s">
        <v>1537</v>
      </c>
      <c r="P894" s="60" t="s">
        <v>1891</v>
      </c>
      <c r="Q894" s="60" t="s">
        <v>4592</v>
      </c>
      <c r="R894" s="60">
        <v>30.2</v>
      </c>
      <c r="S894" s="60">
        <v>-0.82</v>
      </c>
      <c r="T894" s="60">
        <v>141</v>
      </c>
      <c r="U894" s="60">
        <v>12.27</v>
      </c>
    </row>
    <row r="895" spans="1:21">
      <c r="A895" s="60" t="s">
        <v>1539</v>
      </c>
      <c r="B895" s="60" t="s">
        <v>1893</v>
      </c>
      <c r="C895" s="60" t="s">
        <v>4593</v>
      </c>
      <c r="D895" s="60">
        <v>22</v>
      </c>
      <c r="E895" s="60">
        <v>2.33</v>
      </c>
      <c r="F895" s="60">
        <v>284</v>
      </c>
      <c r="G895" s="60">
        <v>0</v>
      </c>
      <c r="H895" s="60">
        <v>0.59</v>
      </c>
      <c r="I895" s="60">
        <v>8.9499999999999993</v>
      </c>
      <c r="J895" s="60">
        <v>0</v>
      </c>
      <c r="O895" s="60" t="s">
        <v>1539</v>
      </c>
      <c r="P895" s="60" t="s">
        <v>1893</v>
      </c>
      <c r="Q895" s="60" t="s">
        <v>4593</v>
      </c>
      <c r="R895" s="60">
        <v>22</v>
      </c>
      <c r="S895" s="60">
        <v>2.33</v>
      </c>
      <c r="T895" s="60">
        <v>284</v>
      </c>
      <c r="U895" s="60">
        <v>32.090000000000003</v>
      </c>
    </row>
    <row r="896" spans="1:21">
      <c r="A896" s="60" t="s">
        <v>1541</v>
      </c>
      <c r="B896" s="60" t="s">
        <v>3240</v>
      </c>
      <c r="C896" s="60" t="s">
        <v>4594</v>
      </c>
      <c r="D896" s="60">
        <v>6</v>
      </c>
      <c r="E896" s="60">
        <v>-0.66</v>
      </c>
      <c r="F896" s="60">
        <v>14</v>
      </c>
      <c r="G896" s="60">
        <v>0</v>
      </c>
      <c r="H896" s="60">
        <v>0.01</v>
      </c>
      <c r="I896" s="60">
        <v>0</v>
      </c>
      <c r="J896" s="60">
        <v>0</v>
      </c>
      <c r="O896" s="60" t="s">
        <v>1541</v>
      </c>
      <c r="P896" s="60" t="s">
        <v>3240</v>
      </c>
      <c r="Q896" s="60" t="s">
        <v>4594</v>
      </c>
      <c r="R896" s="60">
        <v>6</v>
      </c>
      <c r="S896" s="60">
        <v>-0.66</v>
      </c>
      <c r="T896" s="60">
        <v>14</v>
      </c>
      <c r="U896" s="60">
        <v>50.63</v>
      </c>
    </row>
    <row r="897" spans="1:21">
      <c r="A897" s="60" t="s">
        <v>1543</v>
      </c>
      <c r="B897" s="60" t="s">
        <v>1895</v>
      </c>
      <c r="C897" s="60" t="s">
        <v>3867</v>
      </c>
      <c r="D897" s="60">
        <v>37.65</v>
      </c>
      <c r="E897" s="60">
        <v>1.48</v>
      </c>
      <c r="F897" s="60">
        <v>318</v>
      </c>
      <c r="G897" s="60">
        <v>1.53</v>
      </c>
      <c r="H897" s="60">
        <v>16.52</v>
      </c>
      <c r="I897" s="60">
        <v>23</v>
      </c>
      <c r="J897" s="60">
        <v>0</v>
      </c>
      <c r="O897" s="60" t="s">
        <v>1543</v>
      </c>
      <c r="P897" s="60" t="s">
        <v>1895</v>
      </c>
      <c r="Q897" s="60" t="s">
        <v>3867</v>
      </c>
      <c r="R897" s="60">
        <v>37.65</v>
      </c>
      <c r="S897" s="60">
        <v>1.48</v>
      </c>
      <c r="T897" s="60">
        <v>318</v>
      </c>
      <c r="U897" s="60">
        <v>20.28</v>
      </c>
    </row>
    <row r="898" spans="1:21">
      <c r="A898" s="60" t="s">
        <v>1544</v>
      </c>
      <c r="B898" s="60" t="s">
        <v>1897</v>
      </c>
      <c r="C898" s="60" t="s">
        <v>3868</v>
      </c>
      <c r="D898" s="60">
        <v>248</v>
      </c>
      <c r="E898" s="60">
        <v>-2.75</v>
      </c>
      <c r="F898" s="60">
        <v>415</v>
      </c>
      <c r="G898" s="60">
        <v>0.04</v>
      </c>
      <c r="H898" s="60">
        <v>69.819999999999993</v>
      </c>
      <c r="I898" s="60">
        <v>2.13</v>
      </c>
      <c r="J898" s="60">
        <v>0.32</v>
      </c>
      <c r="O898" s="60" t="s">
        <v>1544</v>
      </c>
      <c r="P898" s="60" t="s">
        <v>1897</v>
      </c>
      <c r="Q898" s="60" t="s">
        <v>3868</v>
      </c>
      <c r="R898" s="60">
        <v>248</v>
      </c>
      <c r="S898" s="60">
        <v>-2.75</v>
      </c>
      <c r="T898" s="60">
        <v>415</v>
      </c>
      <c r="U898" s="60">
        <v>55.34</v>
      </c>
    </row>
    <row r="899" spans="1:21">
      <c r="A899" s="60" t="s">
        <v>1546</v>
      </c>
      <c r="B899" s="60" t="s">
        <v>1899</v>
      </c>
      <c r="C899" s="60" t="s">
        <v>4595</v>
      </c>
      <c r="D899" s="60">
        <v>52.2</v>
      </c>
      <c r="E899" s="60">
        <v>0.57999999999999996</v>
      </c>
      <c r="F899" s="60">
        <v>6</v>
      </c>
      <c r="G899" s="60">
        <v>0</v>
      </c>
      <c r="H899" s="60">
        <v>1.17</v>
      </c>
      <c r="I899" s="60">
        <v>1.49</v>
      </c>
      <c r="J899" s="60">
        <v>0</v>
      </c>
      <c r="O899" s="60" t="s">
        <v>1546</v>
      </c>
      <c r="P899" s="60" t="s">
        <v>1899</v>
      </c>
      <c r="Q899" s="60" t="s">
        <v>4595</v>
      </c>
      <c r="R899" s="60">
        <v>52.2</v>
      </c>
      <c r="S899" s="60">
        <v>0.57999999999999996</v>
      </c>
      <c r="T899" s="60">
        <v>6</v>
      </c>
      <c r="U899" s="60">
        <v>50.16</v>
      </c>
    </row>
    <row r="900" spans="1:21">
      <c r="A900" s="60" t="s">
        <v>1548</v>
      </c>
      <c r="B900" s="60" t="s">
        <v>1901</v>
      </c>
      <c r="C900" s="60" t="s">
        <v>4596</v>
      </c>
      <c r="D900" s="60">
        <v>46.7</v>
      </c>
      <c r="E900" s="60">
        <v>0</v>
      </c>
      <c r="F900" s="60">
        <v>10</v>
      </c>
      <c r="G900" s="60">
        <v>7.0000000000000007E-2</v>
      </c>
      <c r="H900" s="60">
        <v>24.64</v>
      </c>
      <c r="I900" s="60">
        <v>32.07</v>
      </c>
      <c r="J900" s="60">
        <v>0</v>
      </c>
      <c r="O900" s="60" t="s">
        <v>1548</v>
      </c>
      <c r="P900" s="60" t="s">
        <v>1901</v>
      </c>
      <c r="Q900" s="60" t="s">
        <v>4596</v>
      </c>
      <c r="R900" s="60">
        <v>46.7</v>
      </c>
      <c r="S900" s="60">
        <v>0</v>
      </c>
      <c r="T900" s="60">
        <v>10</v>
      </c>
      <c r="U900" s="60">
        <v>48.17</v>
      </c>
    </row>
    <row r="901" spans="1:21">
      <c r="A901" s="60" t="s">
        <v>1550</v>
      </c>
      <c r="B901" s="60" t="s">
        <v>1903</v>
      </c>
      <c r="C901" s="60" t="s">
        <v>3869</v>
      </c>
      <c r="D901" s="60">
        <v>20.9</v>
      </c>
      <c r="E901" s="60">
        <v>0.72</v>
      </c>
      <c r="F901" s="60">
        <v>918</v>
      </c>
      <c r="G901" s="60">
        <v>1.1200000000000001</v>
      </c>
      <c r="H901" s="60">
        <v>69.12</v>
      </c>
      <c r="I901" s="60">
        <v>15.47</v>
      </c>
      <c r="J901" s="60">
        <v>0</v>
      </c>
      <c r="O901" s="60" t="s">
        <v>1550</v>
      </c>
      <c r="P901" s="60" t="s">
        <v>1903</v>
      </c>
      <c r="Q901" s="60" t="s">
        <v>3869</v>
      </c>
      <c r="R901" s="60">
        <v>20.9</v>
      </c>
      <c r="S901" s="60">
        <v>0.72</v>
      </c>
      <c r="T901" s="60">
        <v>918</v>
      </c>
      <c r="U901" s="60">
        <v>69.12</v>
      </c>
    </row>
    <row r="902" spans="1:21">
      <c r="A902" s="60" t="s">
        <v>1552</v>
      </c>
      <c r="B902" s="60" t="s">
        <v>1905</v>
      </c>
      <c r="C902" s="60" t="s">
        <v>3546</v>
      </c>
      <c r="D902" s="60">
        <v>44.05</v>
      </c>
      <c r="E902" s="60">
        <v>1.26</v>
      </c>
      <c r="F902" s="60">
        <v>1003</v>
      </c>
      <c r="G902" s="60">
        <v>0.3</v>
      </c>
      <c r="H902" s="60">
        <v>11.53</v>
      </c>
      <c r="I902" s="60">
        <v>18.54</v>
      </c>
      <c r="J902" s="60">
        <v>0</v>
      </c>
      <c r="O902" s="60" t="s">
        <v>1552</v>
      </c>
      <c r="P902" s="60" t="s">
        <v>1905</v>
      </c>
      <c r="Q902" s="60" t="s">
        <v>3546</v>
      </c>
      <c r="R902" s="60">
        <v>44.05</v>
      </c>
      <c r="S902" s="60">
        <v>1.26</v>
      </c>
      <c r="T902" s="60">
        <v>1003</v>
      </c>
      <c r="U902" s="60">
        <v>39.65</v>
      </c>
    </row>
    <row r="903" spans="1:21">
      <c r="A903" s="60" t="s">
        <v>1554</v>
      </c>
      <c r="B903" s="60" t="s">
        <v>3241</v>
      </c>
      <c r="C903" s="60" t="s">
        <v>4597</v>
      </c>
      <c r="D903" s="60">
        <v>68.599999999999994</v>
      </c>
      <c r="E903" s="60">
        <v>1.18</v>
      </c>
      <c r="F903" s="60">
        <v>864</v>
      </c>
      <c r="G903" s="60">
        <v>0</v>
      </c>
      <c r="H903" s="60">
        <v>6.86</v>
      </c>
      <c r="I903" s="60">
        <v>4.26</v>
      </c>
      <c r="J903" s="60">
        <v>0</v>
      </c>
      <c r="O903" s="60" t="s">
        <v>1554</v>
      </c>
      <c r="P903" s="60" t="s">
        <v>3241</v>
      </c>
      <c r="Q903" s="60" t="s">
        <v>4597</v>
      </c>
      <c r="R903" s="60">
        <v>68.599999999999994</v>
      </c>
      <c r="S903" s="60">
        <v>1.18</v>
      </c>
      <c r="T903" s="60">
        <v>864</v>
      </c>
      <c r="U903" s="60">
        <v>36.229999999999997</v>
      </c>
    </row>
    <row r="904" spans="1:21">
      <c r="A904" s="60" t="s">
        <v>1556</v>
      </c>
      <c r="B904" s="60" t="s">
        <v>1907</v>
      </c>
      <c r="C904" s="60" t="s">
        <v>3870</v>
      </c>
      <c r="D904" s="60">
        <v>41.15</v>
      </c>
      <c r="E904" s="60">
        <v>3.65</v>
      </c>
      <c r="F904" s="60">
        <v>65</v>
      </c>
      <c r="G904" s="60">
        <v>0</v>
      </c>
      <c r="H904" s="60">
        <v>72.25</v>
      </c>
      <c r="I904" s="60">
        <v>1.43</v>
      </c>
      <c r="J904" s="60">
        <v>0</v>
      </c>
      <c r="O904" s="60" t="s">
        <v>1556</v>
      </c>
      <c r="P904" s="60" t="s">
        <v>1907</v>
      </c>
      <c r="Q904" s="60" t="s">
        <v>3870</v>
      </c>
      <c r="R904" s="60">
        <v>41.15</v>
      </c>
      <c r="S904" s="60">
        <v>3.65</v>
      </c>
      <c r="T904" s="60">
        <v>65</v>
      </c>
      <c r="U904" s="60">
        <v>74.16</v>
      </c>
    </row>
    <row r="905" spans="1:21">
      <c r="A905" s="60" t="s">
        <v>1558</v>
      </c>
      <c r="B905" s="60" t="s">
        <v>1909</v>
      </c>
      <c r="C905" s="60" t="s">
        <v>4598</v>
      </c>
      <c r="D905" s="60">
        <v>26.15</v>
      </c>
      <c r="E905" s="60">
        <v>3.36</v>
      </c>
      <c r="F905" s="60">
        <v>115</v>
      </c>
      <c r="G905" s="60">
        <v>0</v>
      </c>
      <c r="H905" s="60">
        <v>0.21</v>
      </c>
      <c r="I905" s="60">
        <v>21.67</v>
      </c>
      <c r="J905" s="60">
        <v>0</v>
      </c>
      <c r="O905" s="60" t="s">
        <v>1558</v>
      </c>
      <c r="P905" s="60" t="s">
        <v>1909</v>
      </c>
      <c r="Q905" s="60" t="s">
        <v>4598</v>
      </c>
      <c r="R905" s="60">
        <v>26.15</v>
      </c>
      <c r="S905" s="60">
        <v>3.36</v>
      </c>
      <c r="T905" s="60">
        <v>115</v>
      </c>
      <c r="U905" s="60">
        <v>66.61</v>
      </c>
    </row>
    <row r="906" spans="1:21">
      <c r="A906" s="60" t="s">
        <v>1560</v>
      </c>
      <c r="B906" s="60" t="s">
        <v>3242</v>
      </c>
      <c r="C906" s="60" t="s">
        <v>5751</v>
      </c>
      <c r="D906" s="60">
        <v>59</v>
      </c>
      <c r="E906" s="60">
        <v>4.0599999999999996</v>
      </c>
      <c r="F906" s="60">
        <v>88</v>
      </c>
      <c r="G906" s="60">
        <v>0</v>
      </c>
      <c r="H906" s="60">
        <v>60.02</v>
      </c>
      <c r="I906" s="60">
        <v>0</v>
      </c>
      <c r="J906" s="60">
        <v>0</v>
      </c>
      <c r="O906" s="60" t="s">
        <v>1560</v>
      </c>
      <c r="P906" s="60" t="s">
        <v>3242</v>
      </c>
      <c r="Q906" s="60" t="s">
        <v>5751</v>
      </c>
      <c r="R906" s="60">
        <v>59</v>
      </c>
      <c r="S906" s="60">
        <v>4.0599999999999996</v>
      </c>
      <c r="T906" s="60">
        <v>88</v>
      </c>
      <c r="U906" s="60">
        <v>62.4</v>
      </c>
    </row>
    <row r="907" spans="1:21">
      <c r="A907" s="60" t="s">
        <v>1562</v>
      </c>
      <c r="B907" s="60" t="s">
        <v>1911</v>
      </c>
      <c r="C907" s="60" t="s">
        <v>3871</v>
      </c>
      <c r="D907" s="60">
        <v>23.3</v>
      </c>
      <c r="E907" s="60">
        <v>0.43</v>
      </c>
      <c r="F907" s="60">
        <v>118</v>
      </c>
      <c r="G907" s="60">
        <v>0.26</v>
      </c>
      <c r="H907" s="60">
        <v>1.5</v>
      </c>
      <c r="I907" s="60">
        <v>4.82</v>
      </c>
      <c r="J907" s="60">
        <v>0</v>
      </c>
      <c r="O907" s="60" t="s">
        <v>1562</v>
      </c>
      <c r="P907" s="60" t="s">
        <v>1911</v>
      </c>
      <c r="Q907" s="60" t="s">
        <v>3871</v>
      </c>
      <c r="R907" s="60">
        <v>23.3</v>
      </c>
      <c r="S907" s="60">
        <v>0.43</v>
      </c>
      <c r="T907" s="60">
        <v>118</v>
      </c>
      <c r="U907" s="60">
        <v>23.1</v>
      </c>
    </row>
    <row r="908" spans="1:21">
      <c r="A908" s="60" t="s">
        <v>1563</v>
      </c>
      <c r="B908" s="60" t="s">
        <v>3243</v>
      </c>
      <c r="C908" s="60" t="s">
        <v>4600</v>
      </c>
      <c r="D908" s="60">
        <v>14.8</v>
      </c>
      <c r="E908" s="60">
        <v>-1</v>
      </c>
      <c r="F908" s="60">
        <v>1598</v>
      </c>
      <c r="G908" s="60">
        <v>0</v>
      </c>
      <c r="H908" s="60">
        <v>3.85</v>
      </c>
      <c r="I908" s="60">
        <v>1.58</v>
      </c>
      <c r="J908" s="60">
        <v>0</v>
      </c>
      <c r="O908" s="60" t="s">
        <v>1563</v>
      </c>
      <c r="P908" s="60" t="s">
        <v>3243</v>
      </c>
      <c r="Q908" s="60" t="s">
        <v>4600</v>
      </c>
      <c r="R908" s="60">
        <v>14.8</v>
      </c>
      <c r="S908" s="60">
        <v>-1</v>
      </c>
      <c r="T908" s="60">
        <v>1598</v>
      </c>
      <c r="U908" s="60">
        <v>57.31</v>
      </c>
    </row>
    <row r="909" spans="1:21">
      <c r="A909" s="60" t="s">
        <v>1565</v>
      </c>
      <c r="B909" s="60" t="s">
        <v>3244</v>
      </c>
      <c r="C909" s="60" t="s">
        <v>4601</v>
      </c>
      <c r="D909" s="60">
        <v>25.5</v>
      </c>
      <c r="E909" s="60">
        <v>-0.39</v>
      </c>
      <c r="F909" s="60">
        <v>100</v>
      </c>
      <c r="G909" s="60">
        <v>0</v>
      </c>
      <c r="H909" s="60">
        <v>0.08</v>
      </c>
      <c r="I909" s="60">
        <v>0</v>
      </c>
      <c r="J909" s="60">
        <v>0</v>
      </c>
      <c r="O909" s="60" t="s">
        <v>1565</v>
      </c>
      <c r="P909" s="60" t="s">
        <v>3244</v>
      </c>
      <c r="Q909" s="60" t="s">
        <v>4601</v>
      </c>
      <c r="R909" s="60">
        <v>25.5</v>
      </c>
      <c r="S909" s="60">
        <v>-0.39</v>
      </c>
      <c r="T909" s="60">
        <v>100</v>
      </c>
      <c r="U909" s="60">
        <v>25.37</v>
      </c>
    </row>
    <row r="910" spans="1:21">
      <c r="A910" s="60" t="s">
        <v>1567</v>
      </c>
      <c r="B910" s="60" t="s">
        <v>1914</v>
      </c>
      <c r="C910" s="60" t="s">
        <v>4602</v>
      </c>
      <c r="D910" s="60">
        <v>28.5</v>
      </c>
      <c r="E910" s="60">
        <v>0.35</v>
      </c>
      <c r="F910" s="60">
        <v>97</v>
      </c>
      <c r="G910" s="60">
        <v>0</v>
      </c>
      <c r="H910" s="60">
        <v>0.13</v>
      </c>
      <c r="I910" s="60">
        <v>5.57</v>
      </c>
      <c r="J910" s="60">
        <v>0</v>
      </c>
      <c r="O910" s="60" t="s">
        <v>1567</v>
      </c>
      <c r="P910" s="60" t="s">
        <v>1914</v>
      </c>
      <c r="Q910" s="60" t="s">
        <v>4602</v>
      </c>
      <c r="R910" s="60">
        <v>28.5</v>
      </c>
      <c r="S910" s="60">
        <v>0.35</v>
      </c>
      <c r="T910" s="60">
        <v>97</v>
      </c>
      <c r="U910" s="60">
        <v>23.97</v>
      </c>
    </row>
    <row r="911" spans="1:21">
      <c r="A911" s="60" t="s">
        <v>1569</v>
      </c>
      <c r="B911" s="60" t="s">
        <v>1916</v>
      </c>
      <c r="C911" s="60" t="s">
        <v>4603</v>
      </c>
      <c r="D911" s="60">
        <v>57.6</v>
      </c>
      <c r="E911" s="60">
        <v>0.52</v>
      </c>
      <c r="F911" s="60">
        <v>347</v>
      </c>
      <c r="G911" s="60">
        <v>0.01</v>
      </c>
      <c r="H911" s="60">
        <v>4.88</v>
      </c>
      <c r="I911" s="60">
        <v>13.19</v>
      </c>
      <c r="J911" s="60">
        <v>0</v>
      </c>
      <c r="O911" s="60" t="s">
        <v>1569</v>
      </c>
      <c r="P911" s="60" t="s">
        <v>1916</v>
      </c>
      <c r="Q911" s="60" t="s">
        <v>4603</v>
      </c>
      <c r="R911" s="60">
        <v>57.6</v>
      </c>
      <c r="S911" s="60">
        <v>0.52</v>
      </c>
      <c r="T911" s="60">
        <v>347</v>
      </c>
      <c r="U911" s="60">
        <v>38.08</v>
      </c>
    </row>
    <row r="912" spans="1:21">
      <c r="A912" s="60" t="s">
        <v>1570</v>
      </c>
      <c r="B912" s="60" t="s">
        <v>1918</v>
      </c>
      <c r="C912" s="60" t="s">
        <v>4604</v>
      </c>
      <c r="D912" s="60">
        <v>86.3</v>
      </c>
      <c r="E912" s="60">
        <v>0.12</v>
      </c>
      <c r="F912" s="60">
        <v>21</v>
      </c>
      <c r="G912" s="60">
        <v>0</v>
      </c>
      <c r="H912" s="60">
        <v>2.66</v>
      </c>
      <c r="I912" s="60">
        <v>2.7</v>
      </c>
      <c r="J912" s="60">
        <v>0</v>
      </c>
      <c r="O912" s="60" t="s">
        <v>1570</v>
      </c>
      <c r="P912" s="60" t="s">
        <v>1918</v>
      </c>
      <c r="Q912" s="60" t="s">
        <v>4604</v>
      </c>
      <c r="R912" s="60">
        <v>86.3</v>
      </c>
      <c r="S912" s="60">
        <v>0.12</v>
      </c>
      <c r="T912" s="60">
        <v>21</v>
      </c>
      <c r="U912" s="60">
        <v>34.35</v>
      </c>
    </row>
    <row r="913" spans="1:21">
      <c r="A913" s="60" t="s">
        <v>1572</v>
      </c>
      <c r="B913" s="60" t="s">
        <v>1920</v>
      </c>
      <c r="C913" s="60" t="s">
        <v>3872</v>
      </c>
      <c r="D913" s="60">
        <v>37.049999999999997</v>
      </c>
      <c r="E913" s="60">
        <v>-0.67</v>
      </c>
      <c r="F913" s="60">
        <v>189</v>
      </c>
      <c r="G913" s="60">
        <v>0</v>
      </c>
      <c r="H913" s="60">
        <v>22.77</v>
      </c>
      <c r="I913" s="60">
        <v>7.5</v>
      </c>
      <c r="J913" s="60">
        <v>0.01</v>
      </c>
      <c r="O913" s="60" t="s">
        <v>1572</v>
      </c>
      <c r="P913" s="60" t="s">
        <v>1920</v>
      </c>
      <c r="Q913" s="60" t="s">
        <v>3872</v>
      </c>
      <c r="R913" s="60">
        <v>37.049999999999997</v>
      </c>
      <c r="S913" s="60">
        <v>-0.67</v>
      </c>
      <c r="T913" s="60">
        <v>189</v>
      </c>
      <c r="U913" s="60">
        <v>48.68</v>
      </c>
    </row>
    <row r="914" spans="1:21">
      <c r="A914" s="60" t="s">
        <v>1573</v>
      </c>
      <c r="B914" s="60" t="s">
        <v>3245</v>
      </c>
      <c r="C914" s="60" t="s">
        <v>3684</v>
      </c>
      <c r="D914" s="60">
        <v>19.05</v>
      </c>
      <c r="E914" s="60">
        <v>0.26</v>
      </c>
      <c r="F914" s="60">
        <v>474</v>
      </c>
      <c r="G914" s="60">
        <v>0.02</v>
      </c>
      <c r="H914" s="60">
        <v>9.24</v>
      </c>
      <c r="I914" s="60">
        <v>1.2</v>
      </c>
      <c r="J914" s="60">
        <v>0</v>
      </c>
      <c r="O914" s="60" t="s">
        <v>1573</v>
      </c>
      <c r="P914" s="60" t="s">
        <v>3245</v>
      </c>
      <c r="Q914" s="60" t="s">
        <v>3684</v>
      </c>
      <c r="R914" s="60">
        <v>19.05</v>
      </c>
      <c r="S914" s="60">
        <v>0.26</v>
      </c>
      <c r="T914" s="60">
        <v>474</v>
      </c>
      <c r="U914" s="60">
        <v>33.29</v>
      </c>
    </row>
    <row r="915" spans="1:21">
      <c r="A915" s="60" t="s">
        <v>1574</v>
      </c>
      <c r="B915" s="60" t="s">
        <v>1922</v>
      </c>
      <c r="C915" s="60" t="s">
        <v>4605</v>
      </c>
      <c r="D915" s="60">
        <v>28.1</v>
      </c>
      <c r="E915" s="60">
        <v>-2.2599999999999998</v>
      </c>
      <c r="F915" s="60">
        <v>507</v>
      </c>
      <c r="G915" s="60">
        <v>0.03</v>
      </c>
      <c r="H915" s="60">
        <v>5.84</v>
      </c>
      <c r="I915" s="60">
        <v>30.72</v>
      </c>
      <c r="J915" s="60">
        <v>0</v>
      </c>
      <c r="O915" s="60" t="s">
        <v>1574</v>
      </c>
      <c r="P915" s="60" t="s">
        <v>1922</v>
      </c>
      <c r="Q915" s="60" t="s">
        <v>4605</v>
      </c>
      <c r="R915" s="60">
        <v>28.1</v>
      </c>
      <c r="S915" s="60">
        <v>-2.2599999999999998</v>
      </c>
      <c r="T915" s="60">
        <v>507</v>
      </c>
      <c r="U915" s="60">
        <v>25.68</v>
      </c>
    </row>
    <row r="916" spans="1:21">
      <c r="A916" s="60" t="s">
        <v>1576</v>
      </c>
      <c r="B916" s="60" t="s">
        <v>1924</v>
      </c>
      <c r="C916" s="60" t="s">
        <v>3523</v>
      </c>
      <c r="D916" s="60">
        <v>85.7</v>
      </c>
      <c r="E916" s="60">
        <v>2.88</v>
      </c>
      <c r="F916" s="60">
        <v>384</v>
      </c>
      <c r="G916" s="60">
        <v>0.06</v>
      </c>
      <c r="H916" s="60">
        <v>17.37</v>
      </c>
      <c r="I916" s="60">
        <v>13.96</v>
      </c>
      <c r="J916" s="60">
        <v>0</v>
      </c>
      <c r="O916" s="60" t="s">
        <v>1576</v>
      </c>
      <c r="P916" s="60" t="s">
        <v>1924</v>
      </c>
      <c r="Q916" s="60" t="s">
        <v>3523</v>
      </c>
      <c r="R916" s="60">
        <v>85.7</v>
      </c>
      <c r="S916" s="60">
        <v>2.88</v>
      </c>
      <c r="T916" s="60">
        <v>384</v>
      </c>
      <c r="U916" s="60">
        <v>29.91</v>
      </c>
    </row>
    <row r="917" spans="1:21">
      <c r="A917" s="60" t="s">
        <v>1578</v>
      </c>
      <c r="B917" s="60" t="s">
        <v>1926</v>
      </c>
      <c r="C917" s="60" t="s">
        <v>32</v>
      </c>
      <c r="D917" s="60">
        <v>18</v>
      </c>
      <c r="E917" s="60">
        <v>0.56000000000000005</v>
      </c>
      <c r="F917" s="60">
        <v>36</v>
      </c>
      <c r="G917" s="60">
        <v>0</v>
      </c>
      <c r="H917" s="60">
        <v>0.89</v>
      </c>
      <c r="I917" s="60">
        <v>12.76</v>
      </c>
      <c r="J917" s="60">
        <v>0</v>
      </c>
      <c r="O917" s="60" t="s">
        <v>1578</v>
      </c>
      <c r="P917" s="60" t="s">
        <v>1926</v>
      </c>
      <c r="Q917" s="60" t="s">
        <v>32</v>
      </c>
      <c r="R917" s="60">
        <v>18</v>
      </c>
      <c r="S917" s="60">
        <v>0.56000000000000005</v>
      </c>
      <c r="T917" s="60">
        <v>36</v>
      </c>
      <c r="U917" s="60">
        <v>41.69</v>
      </c>
    </row>
    <row r="918" spans="1:21">
      <c r="A918" s="60" t="s">
        <v>1580</v>
      </c>
      <c r="B918" s="60" t="s">
        <v>1928</v>
      </c>
      <c r="C918" s="60" t="s">
        <v>4606</v>
      </c>
      <c r="D918" s="60">
        <v>106.5</v>
      </c>
      <c r="E918" s="60">
        <v>0</v>
      </c>
      <c r="F918" s="60">
        <v>363</v>
      </c>
      <c r="G918" s="60">
        <v>0</v>
      </c>
      <c r="H918" s="60">
        <v>11.66</v>
      </c>
      <c r="I918" s="60">
        <v>4.62</v>
      </c>
      <c r="J918" s="60">
        <v>0</v>
      </c>
      <c r="O918" s="60" t="s">
        <v>1580</v>
      </c>
      <c r="P918" s="60" t="s">
        <v>1928</v>
      </c>
      <c r="Q918" s="60" t="s">
        <v>4606</v>
      </c>
      <c r="R918" s="60">
        <v>106.5</v>
      </c>
      <c r="S918" s="60">
        <v>0</v>
      </c>
      <c r="T918" s="60">
        <v>363</v>
      </c>
      <c r="U918" s="60">
        <v>44.18</v>
      </c>
    </row>
    <row r="919" spans="1:21">
      <c r="A919" s="60" t="s">
        <v>1582</v>
      </c>
      <c r="B919" s="60" t="s">
        <v>1930</v>
      </c>
      <c r="C919" s="60" t="s">
        <v>4607</v>
      </c>
      <c r="D919" s="60">
        <v>70.5</v>
      </c>
      <c r="E919" s="60">
        <v>0</v>
      </c>
      <c r="F919" s="60">
        <v>54</v>
      </c>
      <c r="G919" s="60">
        <v>0</v>
      </c>
      <c r="H919" s="60">
        <v>0.75</v>
      </c>
      <c r="I919" s="60">
        <v>2.88</v>
      </c>
      <c r="J919" s="60">
        <v>0.01</v>
      </c>
      <c r="O919" s="60" t="s">
        <v>1582</v>
      </c>
      <c r="P919" s="60" t="s">
        <v>1930</v>
      </c>
      <c r="Q919" s="60" t="s">
        <v>4607</v>
      </c>
      <c r="R919" s="60">
        <v>70.5</v>
      </c>
      <c r="S919" s="60">
        <v>0</v>
      </c>
      <c r="T919" s="60">
        <v>54</v>
      </c>
      <c r="U919" s="60">
        <v>56.76</v>
      </c>
    </row>
    <row r="920" spans="1:21">
      <c r="A920" s="60" t="s">
        <v>1584</v>
      </c>
      <c r="B920" s="60" t="s">
        <v>3246</v>
      </c>
      <c r="C920" s="60" t="s">
        <v>4608</v>
      </c>
      <c r="D920" s="60">
        <v>18.45</v>
      </c>
      <c r="E920" s="60">
        <v>-0.27</v>
      </c>
      <c r="F920" s="60">
        <v>5</v>
      </c>
      <c r="G920" s="60">
        <v>0</v>
      </c>
      <c r="H920" s="60">
        <v>0.1</v>
      </c>
      <c r="I920" s="60">
        <v>0</v>
      </c>
      <c r="J920" s="60">
        <v>0</v>
      </c>
      <c r="O920" s="60" t="s">
        <v>1584</v>
      </c>
      <c r="P920" s="60" t="s">
        <v>3246</v>
      </c>
      <c r="Q920" s="60" t="s">
        <v>4608</v>
      </c>
      <c r="R920" s="60">
        <v>18.45</v>
      </c>
      <c r="S920" s="60">
        <v>-0.27</v>
      </c>
      <c r="T920" s="60">
        <v>5</v>
      </c>
      <c r="U920" s="60">
        <v>47.82</v>
      </c>
    </row>
    <row r="921" spans="1:21">
      <c r="A921" s="60" t="s">
        <v>1585</v>
      </c>
      <c r="B921" s="60" t="s">
        <v>3247</v>
      </c>
      <c r="C921" s="60" t="s">
        <v>4609</v>
      </c>
      <c r="D921" s="60">
        <v>18.55</v>
      </c>
      <c r="E921" s="60">
        <v>0</v>
      </c>
      <c r="F921" s="60">
        <v>19</v>
      </c>
      <c r="G921" s="60">
        <v>0</v>
      </c>
      <c r="H921" s="60">
        <v>0.05</v>
      </c>
      <c r="I921" s="60">
        <v>0</v>
      </c>
      <c r="J921" s="60">
        <v>0</v>
      </c>
      <c r="O921" s="60" t="s">
        <v>1585</v>
      </c>
      <c r="P921" s="60" t="s">
        <v>3247</v>
      </c>
      <c r="Q921" s="60" t="s">
        <v>4609</v>
      </c>
      <c r="R921" s="60">
        <v>18.55</v>
      </c>
      <c r="S921" s="60">
        <v>0</v>
      </c>
      <c r="T921" s="60">
        <v>19</v>
      </c>
      <c r="U921" s="60">
        <v>47.56</v>
      </c>
    </row>
    <row r="922" spans="1:21">
      <c r="A922" s="60" t="s">
        <v>1587</v>
      </c>
      <c r="B922" s="60" t="s">
        <v>1932</v>
      </c>
      <c r="C922" s="60" t="s">
        <v>3873</v>
      </c>
      <c r="D922" s="60">
        <v>76.099999999999994</v>
      </c>
      <c r="E922" s="60">
        <v>1.33</v>
      </c>
      <c r="F922" s="60">
        <v>70</v>
      </c>
      <c r="G922" s="60">
        <v>0.04</v>
      </c>
      <c r="H922" s="60">
        <v>63.81</v>
      </c>
      <c r="I922" s="60">
        <v>8.98</v>
      </c>
      <c r="J922" s="60">
        <v>0</v>
      </c>
      <c r="O922" s="60" t="s">
        <v>1587</v>
      </c>
      <c r="P922" s="60" t="s">
        <v>1932</v>
      </c>
      <c r="Q922" s="60" t="s">
        <v>3873</v>
      </c>
      <c r="R922" s="60">
        <v>76.099999999999994</v>
      </c>
      <c r="S922" s="60">
        <v>1.33</v>
      </c>
      <c r="T922" s="60">
        <v>70</v>
      </c>
      <c r="U922" s="60">
        <v>65.569999999999993</v>
      </c>
    </row>
    <row r="923" spans="1:21">
      <c r="A923" s="60" t="s">
        <v>1589</v>
      </c>
      <c r="B923" s="60" t="s">
        <v>3248</v>
      </c>
      <c r="C923" s="60" t="s">
        <v>3600</v>
      </c>
      <c r="D923" s="60">
        <v>36</v>
      </c>
      <c r="E923" s="60">
        <v>2.27</v>
      </c>
      <c r="F923" s="60">
        <v>953</v>
      </c>
      <c r="G923" s="60">
        <v>0</v>
      </c>
      <c r="H923" s="60">
        <v>1.08</v>
      </c>
      <c r="I923" s="60">
        <v>0</v>
      </c>
      <c r="J923" s="60">
        <v>0</v>
      </c>
      <c r="O923" s="60" t="s">
        <v>1589</v>
      </c>
      <c r="P923" s="60" t="s">
        <v>3248</v>
      </c>
      <c r="Q923" s="60" t="s">
        <v>3600</v>
      </c>
      <c r="R923" s="60">
        <v>36</v>
      </c>
      <c r="S923" s="60">
        <v>2.27</v>
      </c>
      <c r="T923" s="60">
        <v>953</v>
      </c>
      <c r="U923" s="60">
        <v>65.739999999999995</v>
      </c>
    </row>
    <row r="924" spans="1:21">
      <c r="A924" s="60" t="s">
        <v>1591</v>
      </c>
      <c r="B924" s="60" t="s">
        <v>3249</v>
      </c>
      <c r="C924" s="60" t="s">
        <v>4610</v>
      </c>
      <c r="D924" s="60">
        <v>6.08</v>
      </c>
      <c r="E924" s="60">
        <v>-1.1399999999999999</v>
      </c>
      <c r="F924" s="60">
        <v>28</v>
      </c>
      <c r="G924" s="60">
        <v>0</v>
      </c>
      <c r="H924" s="60">
        <v>13.04</v>
      </c>
      <c r="I924" s="60">
        <v>0</v>
      </c>
      <c r="J924" s="60">
        <v>0</v>
      </c>
      <c r="O924" s="60" t="s">
        <v>1591</v>
      </c>
      <c r="P924" s="60" t="s">
        <v>3249</v>
      </c>
      <c r="Q924" s="60" t="s">
        <v>4610</v>
      </c>
      <c r="R924" s="60">
        <v>6.08</v>
      </c>
      <c r="S924" s="60">
        <v>-1.1399999999999999</v>
      </c>
      <c r="T924" s="60">
        <v>28</v>
      </c>
      <c r="U924" s="60">
        <v>66</v>
      </c>
    </row>
    <row r="925" spans="1:21">
      <c r="A925" s="60" t="s">
        <v>1593</v>
      </c>
      <c r="B925" s="60" t="s">
        <v>1934</v>
      </c>
      <c r="C925" s="60" t="s">
        <v>4503</v>
      </c>
      <c r="D925" s="60">
        <v>134.5</v>
      </c>
      <c r="E925" s="60">
        <v>-0.37</v>
      </c>
      <c r="F925" s="60">
        <v>25</v>
      </c>
      <c r="G925" s="60">
        <v>0</v>
      </c>
      <c r="H925" s="60">
        <v>0.43</v>
      </c>
      <c r="I925" s="60">
        <v>0.08</v>
      </c>
      <c r="J925" s="60">
        <v>0</v>
      </c>
      <c r="O925" s="60" t="s">
        <v>1593</v>
      </c>
      <c r="P925" s="60" t="s">
        <v>1934</v>
      </c>
      <c r="Q925" s="60" t="s">
        <v>4503</v>
      </c>
      <c r="R925" s="60">
        <v>134.5</v>
      </c>
      <c r="S925" s="60">
        <v>-0.37</v>
      </c>
      <c r="T925" s="60">
        <v>25</v>
      </c>
      <c r="U925" s="60">
        <v>59.05</v>
      </c>
    </row>
    <row r="926" spans="1:21">
      <c r="A926" s="60" t="s">
        <v>1595</v>
      </c>
      <c r="B926" s="60" t="s">
        <v>1936</v>
      </c>
      <c r="C926" s="60" t="s">
        <v>4504</v>
      </c>
      <c r="D926" s="60">
        <v>13.75</v>
      </c>
      <c r="E926" s="60">
        <v>1.1000000000000001</v>
      </c>
      <c r="F926" s="60">
        <v>91</v>
      </c>
      <c r="G926" s="60">
        <v>0</v>
      </c>
      <c r="H926" s="60">
        <v>0.65</v>
      </c>
      <c r="I926" s="60">
        <v>2.5</v>
      </c>
      <c r="J926" s="60">
        <v>0</v>
      </c>
      <c r="O926" s="60" t="s">
        <v>1595</v>
      </c>
      <c r="P926" s="60" t="s">
        <v>1936</v>
      </c>
      <c r="Q926" s="60" t="s">
        <v>4504</v>
      </c>
      <c r="R926" s="60">
        <v>13.75</v>
      </c>
      <c r="S926" s="60">
        <v>1.1000000000000001</v>
      </c>
      <c r="T926" s="60">
        <v>91</v>
      </c>
      <c r="U926" s="60">
        <v>59.62</v>
      </c>
    </row>
    <row r="927" spans="1:21">
      <c r="A927" s="60" t="s">
        <v>1597</v>
      </c>
      <c r="B927" s="60" t="s">
        <v>1938</v>
      </c>
      <c r="C927" s="60" t="s">
        <v>4505</v>
      </c>
      <c r="D927" s="60">
        <v>29.6</v>
      </c>
      <c r="E927" s="60">
        <v>9.83</v>
      </c>
      <c r="F927" s="60">
        <v>6857</v>
      </c>
      <c r="G927" s="60">
        <v>0</v>
      </c>
      <c r="H927" s="60">
        <v>0.15</v>
      </c>
      <c r="I927" s="60">
        <v>13.34</v>
      </c>
      <c r="J927" s="60">
        <v>0</v>
      </c>
      <c r="O927" s="60" t="s">
        <v>1597</v>
      </c>
      <c r="P927" s="60" t="s">
        <v>1938</v>
      </c>
      <c r="Q927" s="60" t="s">
        <v>4505</v>
      </c>
      <c r="R927" s="60">
        <v>29.6</v>
      </c>
      <c r="S927" s="60">
        <v>9.83</v>
      </c>
      <c r="T927" s="60">
        <v>6857</v>
      </c>
      <c r="U927" s="60">
        <v>71.489999999999995</v>
      </c>
    </row>
    <row r="928" spans="1:21">
      <c r="A928" s="60" t="s">
        <v>1599</v>
      </c>
      <c r="B928" s="60" t="s">
        <v>3250</v>
      </c>
      <c r="C928" s="60" t="s">
        <v>4506</v>
      </c>
      <c r="D928" s="60">
        <v>6.45</v>
      </c>
      <c r="E928" s="60">
        <v>-4.4400000000000004</v>
      </c>
      <c r="F928" s="60">
        <v>1</v>
      </c>
      <c r="G928" s="60">
        <v>0</v>
      </c>
      <c r="H928" s="60">
        <v>0.02</v>
      </c>
      <c r="I928" s="60">
        <v>0</v>
      </c>
      <c r="J928" s="60">
        <v>0</v>
      </c>
      <c r="O928" s="60" t="s">
        <v>1599</v>
      </c>
      <c r="P928" s="60" t="s">
        <v>3250</v>
      </c>
      <c r="Q928" s="60" t="s">
        <v>4506</v>
      </c>
      <c r="R928" s="60">
        <v>6.45</v>
      </c>
      <c r="S928" s="60">
        <v>-4.4400000000000004</v>
      </c>
      <c r="T928" s="60">
        <v>1</v>
      </c>
      <c r="U928" s="60">
        <v>66.38</v>
      </c>
    </row>
    <row r="929" spans="1:21">
      <c r="A929" s="60" t="s">
        <v>1601</v>
      </c>
      <c r="B929" s="60" t="s">
        <v>1941</v>
      </c>
      <c r="C929" s="60" t="s">
        <v>4507</v>
      </c>
      <c r="D929" s="60">
        <v>32.1</v>
      </c>
      <c r="E929" s="60">
        <v>0.16</v>
      </c>
      <c r="F929" s="60">
        <v>3</v>
      </c>
      <c r="G929" s="60">
        <v>0</v>
      </c>
      <c r="H929" s="60">
        <v>0.04</v>
      </c>
      <c r="I929" s="60">
        <v>0.04</v>
      </c>
      <c r="J929" s="60">
        <v>0</v>
      </c>
      <c r="O929" s="60" t="s">
        <v>1601</v>
      </c>
      <c r="P929" s="60" t="s">
        <v>1941</v>
      </c>
      <c r="Q929" s="60" t="s">
        <v>4507</v>
      </c>
      <c r="R929" s="60">
        <v>32.1</v>
      </c>
      <c r="S929" s="60">
        <v>0.16</v>
      </c>
      <c r="T929" s="60">
        <v>3</v>
      </c>
      <c r="U929" s="60">
        <v>72.7</v>
      </c>
    </row>
    <row r="930" spans="1:21">
      <c r="A930" s="60" t="s">
        <v>1603</v>
      </c>
      <c r="B930" s="60" t="s">
        <v>1943</v>
      </c>
      <c r="C930" s="60" t="s">
        <v>3665</v>
      </c>
      <c r="D930" s="60">
        <v>15.2</v>
      </c>
      <c r="E930" s="60">
        <v>0.33</v>
      </c>
      <c r="F930" s="60">
        <v>945</v>
      </c>
      <c r="G930" s="60">
        <v>0.03</v>
      </c>
      <c r="H930" s="60">
        <v>5.88</v>
      </c>
      <c r="I930" s="60">
        <v>5.32</v>
      </c>
      <c r="J930" s="60">
        <v>0</v>
      </c>
      <c r="O930" s="60" t="s">
        <v>1603</v>
      </c>
      <c r="P930" s="60" t="s">
        <v>1943</v>
      </c>
      <c r="Q930" s="60" t="s">
        <v>3665</v>
      </c>
      <c r="R930" s="60">
        <v>15.2</v>
      </c>
      <c r="S930" s="60">
        <v>0.33</v>
      </c>
      <c r="T930" s="60">
        <v>945</v>
      </c>
      <c r="U930" s="60">
        <v>48.86</v>
      </c>
    </row>
    <row r="931" spans="1:21">
      <c r="A931" s="60" t="s">
        <v>1605</v>
      </c>
      <c r="B931" s="60" t="s">
        <v>1945</v>
      </c>
      <c r="C931" s="60" t="s">
        <v>4510</v>
      </c>
      <c r="D931" s="60">
        <v>34.299999999999997</v>
      </c>
      <c r="E931" s="60">
        <v>-0.72</v>
      </c>
      <c r="F931" s="60">
        <v>84</v>
      </c>
      <c r="G931" s="60">
        <v>0</v>
      </c>
      <c r="H931" s="60">
        <v>5.72</v>
      </c>
      <c r="I931" s="60">
        <v>3.06</v>
      </c>
      <c r="J931" s="60">
        <v>0.01</v>
      </c>
      <c r="O931" s="60" t="s">
        <v>1605</v>
      </c>
      <c r="P931" s="60" t="s">
        <v>1945</v>
      </c>
      <c r="Q931" s="60" t="s">
        <v>4510</v>
      </c>
      <c r="R931" s="60">
        <v>34.299999999999997</v>
      </c>
      <c r="S931" s="60">
        <v>-0.72</v>
      </c>
      <c r="T931" s="60">
        <v>84</v>
      </c>
      <c r="U931" s="60">
        <v>51.94</v>
      </c>
    </row>
    <row r="932" spans="1:21">
      <c r="A932" s="60" t="s">
        <v>1607</v>
      </c>
      <c r="B932" s="60" t="s">
        <v>3251</v>
      </c>
      <c r="C932" s="60" t="s">
        <v>4511</v>
      </c>
      <c r="D932" s="60">
        <v>6.48</v>
      </c>
      <c r="E932" s="60">
        <v>4.01</v>
      </c>
      <c r="F932" s="60">
        <v>326</v>
      </c>
      <c r="G932" s="60">
        <v>0</v>
      </c>
      <c r="H932" s="60">
        <v>0.18</v>
      </c>
      <c r="I932" s="60">
        <v>0</v>
      </c>
      <c r="J932" s="60">
        <v>0</v>
      </c>
      <c r="O932" s="60" t="s">
        <v>1607</v>
      </c>
      <c r="P932" s="60" t="s">
        <v>3251</v>
      </c>
      <c r="Q932" s="60" t="s">
        <v>4511</v>
      </c>
      <c r="R932" s="60">
        <v>6.48</v>
      </c>
      <c r="S932" s="60">
        <v>4.01</v>
      </c>
      <c r="T932" s="60">
        <v>326</v>
      </c>
      <c r="U932" s="60">
        <v>17.510000000000002</v>
      </c>
    </row>
    <row r="933" spans="1:21">
      <c r="A933" s="60" t="s">
        <v>1609</v>
      </c>
      <c r="B933" s="60" t="s">
        <v>1947</v>
      </c>
      <c r="C933" s="60" t="s">
        <v>3544</v>
      </c>
      <c r="D933" s="60">
        <v>11.7</v>
      </c>
      <c r="E933" s="60">
        <v>0.43</v>
      </c>
      <c r="F933" s="60">
        <v>266</v>
      </c>
      <c r="G933" s="60">
        <v>0.08</v>
      </c>
      <c r="H933" s="60">
        <v>0.6</v>
      </c>
      <c r="I933" s="60">
        <v>11.9</v>
      </c>
      <c r="J933" s="60">
        <v>0</v>
      </c>
      <c r="O933" s="60" t="s">
        <v>1609</v>
      </c>
      <c r="P933" s="60" t="s">
        <v>1947</v>
      </c>
      <c r="Q933" s="60" t="s">
        <v>3544</v>
      </c>
      <c r="R933" s="60">
        <v>11.7</v>
      </c>
      <c r="S933" s="60">
        <v>0.43</v>
      </c>
      <c r="T933" s="60">
        <v>266</v>
      </c>
      <c r="U933" s="60">
        <v>50.1</v>
      </c>
    </row>
    <row r="934" spans="1:21">
      <c r="A934" s="60" t="s">
        <v>1610</v>
      </c>
      <c r="B934" s="60" t="s">
        <v>3252</v>
      </c>
      <c r="C934" s="60" t="s">
        <v>4512</v>
      </c>
      <c r="D934" s="60">
        <v>12.05</v>
      </c>
      <c r="E934" s="60">
        <v>0</v>
      </c>
      <c r="F934" s="60">
        <v>17</v>
      </c>
      <c r="G934" s="60">
        <v>0</v>
      </c>
      <c r="H934" s="60">
        <v>5.69</v>
      </c>
      <c r="I934" s="60">
        <v>0</v>
      </c>
      <c r="J934" s="60">
        <v>0</v>
      </c>
      <c r="O934" s="60" t="s">
        <v>1610</v>
      </c>
      <c r="P934" s="60" t="s">
        <v>3252</v>
      </c>
      <c r="Q934" s="60" t="s">
        <v>4512</v>
      </c>
      <c r="R934" s="60">
        <v>12.05</v>
      </c>
      <c r="S934" s="60">
        <v>0</v>
      </c>
      <c r="T934" s="60">
        <v>17</v>
      </c>
      <c r="U934" s="60">
        <v>54.7</v>
      </c>
    </row>
    <row r="935" spans="1:21">
      <c r="A935" s="60" t="s">
        <v>1612</v>
      </c>
      <c r="B935" s="60" t="s">
        <v>1950</v>
      </c>
      <c r="C935" s="60" t="s">
        <v>3769</v>
      </c>
      <c r="D935" s="60">
        <v>7.89</v>
      </c>
      <c r="E935" s="60">
        <v>4.92</v>
      </c>
      <c r="F935" s="60">
        <v>4721</v>
      </c>
      <c r="G935" s="60">
        <v>0.14000000000000001</v>
      </c>
      <c r="H935" s="60">
        <v>19.55</v>
      </c>
      <c r="I935" s="60">
        <v>15.84</v>
      </c>
      <c r="J935" s="60">
        <v>0</v>
      </c>
      <c r="O935" s="60" t="s">
        <v>1612</v>
      </c>
      <c r="P935" s="60" t="s">
        <v>1950</v>
      </c>
      <c r="Q935" s="60" t="s">
        <v>3769</v>
      </c>
      <c r="R935" s="60">
        <v>7.89</v>
      </c>
      <c r="S935" s="60">
        <v>4.92</v>
      </c>
      <c r="T935" s="60">
        <v>4721</v>
      </c>
      <c r="U935" s="60">
        <v>64.92</v>
      </c>
    </row>
    <row r="936" spans="1:21">
      <c r="A936" s="60" t="s">
        <v>1614</v>
      </c>
      <c r="B936" s="60" t="s">
        <v>1952</v>
      </c>
      <c r="C936" s="60" t="s">
        <v>5051</v>
      </c>
      <c r="D936" s="60">
        <v>110</v>
      </c>
      <c r="E936" s="60">
        <v>-0.9</v>
      </c>
      <c r="F936" s="60">
        <v>29</v>
      </c>
      <c r="G936" s="60">
        <v>0.1</v>
      </c>
      <c r="H936" s="60">
        <v>0.02</v>
      </c>
      <c r="I936" s="60">
        <v>1.01</v>
      </c>
      <c r="J936" s="60">
        <v>0</v>
      </c>
      <c r="O936" s="60" t="s">
        <v>1614</v>
      </c>
      <c r="P936" s="60" t="s">
        <v>1952</v>
      </c>
      <c r="Q936" s="60" t="s">
        <v>5051</v>
      </c>
      <c r="R936" s="60">
        <v>110</v>
      </c>
      <c r="S936" s="60">
        <v>-0.9</v>
      </c>
      <c r="T936" s="60">
        <v>29</v>
      </c>
      <c r="U936" s="60">
        <v>77.040000000000006</v>
      </c>
    </row>
    <row r="937" spans="1:21">
      <c r="A937" s="60" t="s">
        <v>1616</v>
      </c>
      <c r="B937" s="60" t="s">
        <v>1954</v>
      </c>
      <c r="C937" s="60" t="s">
        <v>4513</v>
      </c>
      <c r="D937" s="60">
        <v>35.200000000000003</v>
      </c>
      <c r="E937" s="60">
        <v>0.14000000000000001</v>
      </c>
      <c r="F937" s="60">
        <v>75</v>
      </c>
      <c r="G937" s="60">
        <v>0</v>
      </c>
      <c r="H937" s="60">
        <v>4.1399999999999997</v>
      </c>
      <c r="I937" s="60">
        <v>1.01</v>
      </c>
      <c r="J937" s="60">
        <v>0</v>
      </c>
      <c r="O937" s="60" t="s">
        <v>1616</v>
      </c>
      <c r="P937" s="60" t="s">
        <v>1954</v>
      </c>
      <c r="Q937" s="60" t="s">
        <v>4513</v>
      </c>
      <c r="R937" s="60">
        <v>35.200000000000003</v>
      </c>
      <c r="S937" s="60">
        <v>0.14000000000000001</v>
      </c>
      <c r="T937" s="60">
        <v>75</v>
      </c>
      <c r="U937" s="60">
        <v>33.97</v>
      </c>
    </row>
    <row r="938" spans="1:21">
      <c r="A938" s="60" t="s">
        <v>1618</v>
      </c>
      <c r="B938" s="60" t="s">
        <v>3253</v>
      </c>
      <c r="C938" s="60" t="s">
        <v>4514</v>
      </c>
      <c r="D938" s="60">
        <v>10</v>
      </c>
      <c r="E938" s="60">
        <v>0</v>
      </c>
      <c r="F938" s="60">
        <v>0</v>
      </c>
      <c r="G938" s="60">
        <v>0</v>
      </c>
      <c r="H938" s="60">
        <v>1.92</v>
      </c>
      <c r="I938" s="60">
        <v>0</v>
      </c>
      <c r="J938" s="60">
        <v>0</v>
      </c>
      <c r="O938" s="60" t="s">
        <v>1618</v>
      </c>
      <c r="P938" s="60" t="s">
        <v>3253</v>
      </c>
      <c r="Q938" s="60" t="s">
        <v>4514</v>
      </c>
      <c r="R938" s="60">
        <v>10</v>
      </c>
      <c r="S938" s="60">
        <v>0</v>
      </c>
      <c r="T938" s="60">
        <v>0</v>
      </c>
      <c r="U938" s="60">
        <v>80.19</v>
      </c>
    </row>
    <row r="939" spans="1:21">
      <c r="A939" s="60" t="s">
        <v>1620</v>
      </c>
      <c r="B939" s="60" t="s">
        <v>1956</v>
      </c>
      <c r="C939" s="60" t="s">
        <v>4515</v>
      </c>
      <c r="D939" s="60">
        <v>30.3</v>
      </c>
      <c r="E939" s="60">
        <v>-0.66</v>
      </c>
      <c r="F939" s="60">
        <v>9</v>
      </c>
      <c r="G939" s="60">
        <v>0</v>
      </c>
      <c r="H939" s="60">
        <v>0.28999999999999998</v>
      </c>
      <c r="I939" s="60">
        <v>8.26</v>
      </c>
      <c r="J939" s="60">
        <v>0</v>
      </c>
      <c r="O939" s="60" t="s">
        <v>1620</v>
      </c>
      <c r="P939" s="60" t="s">
        <v>1956</v>
      </c>
      <c r="Q939" s="60" t="s">
        <v>4515</v>
      </c>
      <c r="R939" s="60">
        <v>30.3</v>
      </c>
      <c r="S939" s="60">
        <v>-0.66</v>
      </c>
      <c r="T939" s="60">
        <v>9</v>
      </c>
      <c r="U939" s="60">
        <v>54.6</v>
      </c>
    </row>
    <row r="940" spans="1:21">
      <c r="A940" s="60" t="s">
        <v>1622</v>
      </c>
      <c r="B940" s="60" t="s">
        <v>1958</v>
      </c>
      <c r="C940" s="60" t="s">
        <v>3770</v>
      </c>
      <c r="D940" s="60">
        <v>23.75</v>
      </c>
      <c r="E940" s="60">
        <v>9.4499999999999993</v>
      </c>
      <c r="F940" s="60">
        <v>3669</v>
      </c>
      <c r="G940" s="60">
        <v>0.03</v>
      </c>
      <c r="H940" s="60">
        <v>5.38</v>
      </c>
      <c r="I940" s="60">
        <v>4.57</v>
      </c>
      <c r="J940" s="60">
        <v>0</v>
      </c>
      <c r="O940" s="60" t="s">
        <v>1622</v>
      </c>
      <c r="P940" s="60" t="s">
        <v>1958</v>
      </c>
      <c r="Q940" s="60" t="s">
        <v>3770</v>
      </c>
      <c r="R940" s="60">
        <v>23.75</v>
      </c>
      <c r="S940" s="60">
        <v>9.4499999999999993</v>
      </c>
      <c r="T940" s="60">
        <v>3669</v>
      </c>
      <c r="U940" s="60">
        <v>54.16</v>
      </c>
    </row>
    <row r="941" spans="1:21">
      <c r="A941" s="60" t="s">
        <v>1624</v>
      </c>
      <c r="B941" s="60" t="s">
        <v>1960</v>
      </c>
      <c r="C941" s="60" t="s">
        <v>4516</v>
      </c>
      <c r="D941" s="60">
        <v>40.15</v>
      </c>
      <c r="E941" s="60">
        <v>-0.12</v>
      </c>
      <c r="F941" s="60">
        <v>3</v>
      </c>
      <c r="G941" s="60">
        <v>0</v>
      </c>
      <c r="H941" s="60">
        <v>0.02</v>
      </c>
      <c r="I941" s="60">
        <v>0.59</v>
      </c>
      <c r="J941" s="60">
        <v>0</v>
      </c>
      <c r="O941" s="60" t="s">
        <v>1624</v>
      </c>
      <c r="P941" s="60" t="s">
        <v>1960</v>
      </c>
      <c r="Q941" s="60" t="s">
        <v>4516</v>
      </c>
      <c r="R941" s="60">
        <v>40.15</v>
      </c>
      <c r="S941" s="60">
        <v>-0.12</v>
      </c>
      <c r="T941" s="60">
        <v>3</v>
      </c>
      <c r="U941" s="60">
        <v>81.44</v>
      </c>
    </row>
    <row r="942" spans="1:21">
      <c r="A942" s="60" t="s">
        <v>1626</v>
      </c>
      <c r="B942" s="60" t="s">
        <v>1962</v>
      </c>
      <c r="C942" s="60" t="s">
        <v>5130</v>
      </c>
      <c r="D942" s="60">
        <v>23.7</v>
      </c>
      <c r="E942" s="60">
        <v>0</v>
      </c>
      <c r="F942" s="60">
        <v>12</v>
      </c>
      <c r="G942" s="60">
        <v>0</v>
      </c>
      <c r="H942" s="60">
        <v>2.3199999999999998</v>
      </c>
      <c r="I942" s="60">
        <v>0.87</v>
      </c>
      <c r="J942" s="60">
        <v>0</v>
      </c>
      <c r="O942" s="60" t="s">
        <v>1626</v>
      </c>
      <c r="P942" s="60" t="s">
        <v>1962</v>
      </c>
      <c r="Q942" s="60" t="s">
        <v>5130</v>
      </c>
      <c r="R942" s="60">
        <v>23.7</v>
      </c>
      <c r="S942" s="60">
        <v>0</v>
      </c>
      <c r="T942" s="60">
        <v>12</v>
      </c>
      <c r="U942" s="60">
        <v>54.64</v>
      </c>
    </row>
    <row r="943" spans="1:21">
      <c r="A943" s="60" t="s">
        <v>1628</v>
      </c>
      <c r="B943" s="60" t="s">
        <v>1964</v>
      </c>
      <c r="C943" s="60" t="s">
        <v>4517</v>
      </c>
      <c r="D943" s="60">
        <v>14.65</v>
      </c>
      <c r="E943" s="60">
        <v>-2.33</v>
      </c>
      <c r="F943" s="60">
        <v>108</v>
      </c>
      <c r="G943" s="60">
        <v>0</v>
      </c>
      <c r="H943" s="60">
        <v>0.91</v>
      </c>
      <c r="I943" s="60">
        <v>4.83</v>
      </c>
      <c r="J943" s="60">
        <v>0</v>
      </c>
      <c r="O943" s="60" t="s">
        <v>1628</v>
      </c>
      <c r="P943" s="60" t="s">
        <v>1964</v>
      </c>
      <c r="Q943" s="60" t="s">
        <v>4517</v>
      </c>
      <c r="R943" s="60">
        <v>14.65</v>
      </c>
      <c r="S943" s="60">
        <v>-2.33</v>
      </c>
      <c r="T943" s="60">
        <v>108</v>
      </c>
      <c r="U943" s="60">
        <v>45.7</v>
      </c>
    </row>
    <row r="944" spans="1:21">
      <c r="A944" s="60" t="s">
        <v>1630</v>
      </c>
      <c r="B944" s="60" t="s">
        <v>1966</v>
      </c>
      <c r="C944" s="60" t="s">
        <v>4518</v>
      </c>
      <c r="D944" s="60">
        <v>31.8</v>
      </c>
      <c r="E944" s="60">
        <v>0</v>
      </c>
      <c r="F944" s="60">
        <v>20</v>
      </c>
      <c r="G944" s="60">
        <v>0.21</v>
      </c>
      <c r="H944" s="60">
        <v>0.28000000000000003</v>
      </c>
      <c r="I944" s="60">
        <v>3.77</v>
      </c>
      <c r="J944" s="60">
        <v>0</v>
      </c>
      <c r="O944" s="60" t="s">
        <v>1630</v>
      </c>
      <c r="P944" s="60" t="s">
        <v>1966</v>
      </c>
      <c r="Q944" s="60" t="s">
        <v>4518</v>
      </c>
      <c r="R944" s="60">
        <v>31.8</v>
      </c>
      <c r="S944" s="60">
        <v>0</v>
      </c>
      <c r="T944" s="60">
        <v>20</v>
      </c>
      <c r="U944" s="60">
        <v>47.97</v>
      </c>
    </row>
    <row r="945" spans="1:21">
      <c r="A945" s="60" t="s">
        <v>1632</v>
      </c>
      <c r="B945" s="60" t="s">
        <v>1968</v>
      </c>
      <c r="C945" s="60" t="s">
        <v>3771</v>
      </c>
      <c r="D945" s="60">
        <v>135</v>
      </c>
      <c r="E945" s="60">
        <v>-1.82</v>
      </c>
      <c r="F945" s="60">
        <v>213</v>
      </c>
      <c r="G945" s="60">
        <v>0.1</v>
      </c>
      <c r="H945" s="60">
        <v>2.57</v>
      </c>
      <c r="I945" s="60">
        <v>4.6399999999999997</v>
      </c>
      <c r="J945" s="60">
        <v>0.35</v>
      </c>
      <c r="O945" s="60" t="s">
        <v>1632</v>
      </c>
      <c r="P945" s="60" t="s">
        <v>1968</v>
      </c>
      <c r="Q945" s="60" t="s">
        <v>3771</v>
      </c>
      <c r="R945" s="60">
        <v>135</v>
      </c>
      <c r="S945" s="60">
        <v>-1.82</v>
      </c>
      <c r="T945" s="60">
        <v>213</v>
      </c>
      <c r="U945" s="60">
        <v>55.24</v>
      </c>
    </row>
    <row r="946" spans="1:21">
      <c r="A946" s="60" t="s">
        <v>1634</v>
      </c>
      <c r="B946" s="60" t="s">
        <v>1970</v>
      </c>
      <c r="C946" s="60" t="s">
        <v>3772</v>
      </c>
      <c r="D946" s="60">
        <v>141</v>
      </c>
      <c r="E946" s="60">
        <v>0</v>
      </c>
      <c r="F946" s="60">
        <v>6</v>
      </c>
      <c r="G946" s="60">
        <v>0</v>
      </c>
      <c r="H946" s="60">
        <v>63.75</v>
      </c>
      <c r="I946" s="60">
        <v>3.53</v>
      </c>
      <c r="J946" s="60">
        <v>0</v>
      </c>
      <c r="O946" s="60" t="s">
        <v>1634</v>
      </c>
      <c r="P946" s="60" t="s">
        <v>1970</v>
      </c>
      <c r="Q946" s="60" t="s">
        <v>3772</v>
      </c>
      <c r="R946" s="60">
        <v>141</v>
      </c>
      <c r="S946" s="60">
        <v>0</v>
      </c>
      <c r="T946" s="60">
        <v>6</v>
      </c>
      <c r="U946" s="60">
        <v>74.540000000000006</v>
      </c>
    </row>
    <row r="947" spans="1:21">
      <c r="A947" s="60" t="s">
        <v>1636</v>
      </c>
      <c r="B947" s="60" t="s">
        <v>5522</v>
      </c>
      <c r="C947" s="60" t="s">
        <v>5211</v>
      </c>
      <c r="D947" s="60">
        <v>50.5</v>
      </c>
      <c r="E947" s="60">
        <v>4.34</v>
      </c>
      <c r="F947" s="60">
        <v>990</v>
      </c>
      <c r="G947" s="60">
        <v>0</v>
      </c>
      <c r="H947" s="60">
        <v>0.72</v>
      </c>
      <c r="I947" s="60">
        <v>0</v>
      </c>
      <c r="J947" s="60">
        <v>0</v>
      </c>
      <c r="O947" s="60" t="s">
        <v>1636</v>
      </c>
      <c r="P947" s="60" t="s">
        <v>5522</v>
      </c>
      <c r="Q947" s="60" t="s">
        <v>5211</v>
      </c>
      <c r="R947" s="60">
        <v>50.5</v>
      </c>
      <c r="S947" s="60">
        <v>4.34</v>
      </c>
      <c r="T947" s="60">
        <v>990</v>
      </c>
      <c r="U947" s="60">
        <v>32.74</v>
      </c>
    </row>
    <row r="948" spans="1:21">
      <c r="A948" s="60" t="s">
        <v>1638</v>
      </c>
      <c r="B948" s="60" t="s">
        <v>1972</v>
      </c>
      <c r="C948" s="60" t="s">
        <v>4532</v>
      </c>
      <c r="D948" s="60">
        <v>41.3</v>
      </c>
      <c r="E948" s="60">
        <v>-0.96</v>
      </c>
      <c r="F948" s="60">
        <v>12</v>
      </c>
      <c r="G948" s="60">
        <v>0</v>
      </c>
      <c r="H948" s="60">
        <v>1.04</v>
      </c>
      <c r="I948" s="60">
        <v>0</v>
      </c>
      <c r="J948" s="60">
        <v>0</v>
      </c>
      <c r="O948" s="60" t="s">
        <v>1638</v>
      </c>
      <c r="P948" s="60" t="s">
        <v>1972</v>
      </c>
      <c r="Q948" s="60" t="s">
        <v>4532</v>
      </c>
      <c r="R948" s="60">
        <v>41.3</v>
      </c>
      <c r="S948" s="60">
        <v>-0.96</v>
      </c>
      <c r="T948" s="60">
        <v>12</v>
      </c>
      <c r="U948" s="60">
        <v>47.42</v>
      </c>
    </row>
    <row r="949" spans="1:21">
      <c r="A949" s="60" t="s">
        <v>1640</v>
      </c>
      <c r="B949" s="60" t="s">
        <v>1974</v>
      </c>
      <c r="C949" s="60" t="s">
        <v>4533</v>
      </c>
      <c r="D949" s="60">
        <v>26.75</v>
      </c>
      <c r="E949" s="60">
        <v>-0.19</v>
      </c>
      <c r="F949" s="60">
        <v>395</v>
      </c>
      <c r="G949" s="60">
        <v>1.79</v>
      </c>
      <c r="H949" s="60">
        <v>2.76</v>
      </c>
      <c r="I949" s="60">
        <v>13.54</v>
      </c>
      <c r="J949" s="60">
        <v>0</v>
      </c>
      <c r="O949" s="60" t="s">
        <v>1640</v>
      </c>
      <c r="P949" s="60" t="s">
        <v>1974</v>
      </c>
      <c r="Q949" s="60" t="s">
        <v>4533</v>
      </c>
      <c r="R949" s="60">
        <v>26.75</v>
      </c>
      <c r="S949" s="60">
        <v>-0.19</v>
      </c>
      <c r="T949" s="60">
        <v>395</v>
      </c>
      <c r="U949" s="60">
        <v>50.24</v>
      </c>
    </row>
    <row r="950" spans="1:21">
      <c r="A950" s="60" t="s">
        <v>1642</v>
      </c>
      <c r="B950" s="60" t="s">
        <v>1976</v>
      </c>
      <c r="C950" s="60" t="s">
        <v>4534</v>
      </c>
      <c r="D950" s="60">
        <v>65</v>
      </c>
      <c r="E950" s="60">
        <v>-0.15</v>
      </c>
      <c r="F950" s="60">
        <v>100</v>
      </c>
      <c r="G950" s="60">
        <v>0</v>
      </c>
      <c r="H950" s="60">
        <v>6.14</v>
      </c>
      <c r="I950" s="60">
        <v>0.11</v>
      </c>
      <c r="J950" s="60">
        <v>0.7</v>
      </c>
      <c r="O950" s="60" t="s">
        <v>1642</v>
      </c>
      <c r="P950" s="60" t="s">
        <v>1976</v>
      </c>
      <c r="Q950" s="60" t="s">
        <v>4534</v>
      </c>
      <c r="R950" s="60">
        <v>65</v>
      </c>
      <c r="S950" s="60">
        <v>-0.15</v>
      </c>
      <c r="T950" s="60">
        <v>100</v>
      </c>
      <c r="U950" s="60">
        <v>79.19</v>
      </c>
    </row>
    <row r="951" spans="1:21">
      <c r="A951" s="60" t="s">
        <v>1644</v>
      </c>
      <c r="B951" s="60" t="s">
        <v>1978</v>
      </c>
      <c r="C951" s="60" t="s">
        <v>4535</v>
      </c>
      <c r="D951" s="60">
        <v>11.15</v>
      </c>
      <c r="E951" s="60">
        <v>0</v>
      </c>
      <c r="F951" s="60">
        <v>84</v>
      </c>
      <c r="G951" s="60">
        <v>0</v>
      </c>
      <c r="H951" s="60">
        <v>2.97</v>
      </c>
      <c r="I951" s="60">
        <v>4.07</v>
      </c>
      <c r="J951" s="60">
        <v>0</v>
      </c>
      <c r="O951" s="60" t="s">
        <v>1644</v>
      </c>
      <c r="P951" s="60" t="s">
        <v>1978</v>
      </c>
      <c r="Q951" s="60" t="s">
        <v>4535</v>
      </c>
      <c r="R951" s="60">
        <v>11.15</v>
      </c>
      <c r="S951" s="60">
        <v>0</v>
      </c>
      <c r="T951" s="60">
        <v>84</v>
      </c>
      <c r="U951" s="60">
        <v>44.31</v>
      </c>
    </row>
    <row r="952" spans="1:21">
      <c r="A952" s="60" t="s">
        <v>1646</v>
      </c>
      <c r="B952" s="60" t="s">
        <v>1980</v>
      </c>
      <c r="C952" s="60" t="s">
        <v>4536</v>
      </c>
      <c r="D952" s="60">
        <v>16.399999999999999</v>
      </c>
      <c r="E952" s="60">
        <v>4.46</v>
      </c>
      <c r="F952" s="60">
        <v>1448</v>
      </c>
      <c r="G952" s="60">
        <v>1.33</v>
      </c>
      <c r="H952" s="60">
        <v>2.6</v>
      </c>
      <c r="I952" s="60">
        <v>7.48</v>
      </c>
      <c r="J952" s="60">
        <v>0</v>
      </c>
      <c r="O952" s="60" t="s">
        <v>1646</v>
      </c>
      <c r="P952" s="60" t="s">
        <v>1980</v>
      </c>
      <c r="Q952" s="60" t="s">
        <v>4536</v>
      </c>
      <c r="R952" s="60">
        <v>16.399999999999999</v>
      </c>
      <c r="S952" s="60">
        <v>4.46</v>
      </c>
      <c r="T952" s="60">
        <v>1448</v>
      </c>
      <c r="U952" s="60">
        <v>38.409999999999997</v>
      </c>
    </row>
    <row r="953" spans="1:21">
      <c r="A953" s="60" t="s">
        <v>1648</v>
      </c>
      <c r="B953" s="60" t="s">
        <v>1982</v>
      </c>
      <c r="C953" s="60" t="s">
        <v>4537</v>
      </c>
      <c r="D953" s="60">
        <v>28.95</v>
      </c>
      <c r="E953" s="60">
        <v>0</v>
      </c>
      <c r="F953" s="60">
        <v>9</v>
      </c>
      <c r="G953" s="60">
        <v>0.01</v>
      </c>
      <c r="H953" s="60">
        <v>1.96</v>
      </c>
      <c r="I953" s="60">
        <v>63.06</v>
      </c>
      <c r="J953" s="60">
        <v>0</v>
      </c>
      <c r="O953" s="60" t="s">
        <v>1648</v>
      </c>
      <c r="P953" s="60" t="s">
        <v>1982</v>
      </c>
      <c r="Q953" s="60" t="s">
        <v>4537</v>
      </c>
      <c r="R953" s="60">
        <v>28.95</v>
      </c>
      <c r="S953" s="60">
        <v>0</v>
      </c>
      <c r="T953" s="60">
        <v>9</v>
      </c>
      <c r="U953" s="60">
        <v>70.91</v>
      </c>
    </row>
    <row r="954" spans="1:21">
      <c r="A954" s="60" t="s">
        <v>1650</v>
      </c>
      <c r="B954" s="60" t="s">
        <v>1984</v>
      </c>
      <c r="C954" s="60" t="s">
        <v>3801</v>
      </c>
      <c r="D954" s="60">
        <v>16.75</v>
      </c>
      <c r="E954" s="60">
        <v>-0.59</v>
      </c>
      <c r="F954" s="60">
        <v>221</v>
      </c>
      <c r="G954" s="60">
        <v>0.01</v>
      </c>
      <c r="H954" s="60">
        <v>7.6</v>
      </c>
      <c r="I954" s="60">
        <v>4.07</v>
      </c>
      <c r="J954" s="60">
        <v>0</v>
      </c>
      <c r="O954" s="60" t="s">
        <v>1650</v>
      </c>
      <c r="P954" s="60" t="s">
        <v>1984</v>
      </c>
      <c r="Q954" s="60" t="s">
        <v>3801</v>
      </c>
      <c r="R954" s="60">
        <v>16.75</v>
      </c>
      <c r="S954" s="60">
        <v>-0.59</v>
      </c>
      <c r="T954" s="60">
        <v>221</v>
      </c>
      <c r="U954" s="60">
        <v>43.97</v>
      </c>
    </row>
    <row r="955" spans="1:21">
      <c r="A955" s="60" t="s">
        <v>1652</v>
      </c>
      <c r="B955" s="60" t="s">
        <v>1986</v>
      </c>
      <c r="C955" s="60" t="s">
        <v>4538</v>
      </c>
      <c r="D955" s="60">
        <v>27.4</v>
      </c>
      <c r="E955" s="60">
        <v>0</v>
      </c>
      <c r="F955" s="60">
        <v>7</v>
      </c>
      <c r="G955" s="60">
        <v>0</v>
      </c>
      <c r="H955" s="60">
        <v>2.0499999999999998</v>
      </c>
      <c r="I955" s="60">
        <v>0.03</v>
      </c>
      <c r="J955" s="60">
        <v>0</v>
      </c>
      <c r="O955" s="60" t="s">
        <v>1652</v>
      </c>
      <c r="P955" s="60" t="s">
        <v>1986</v>
      </c>
      <c r="Q955" s="60" t="s">
        <v>4538</v>
      </c>
      <c r="R955" s="60">
        <v>27.4</v>
      </c>
      <c r="S955" s="60">
        <v>0</v>
      </c>
      <c r="T955" s="60">
        <v>7</v>
      </c>
      <c r="U955" s="60">
        <v>54.2</v>
      </c>
    </row>
    <row r="956" spans="1:21">
      <c r="A956" s="60" t="s">
        <v>1654</v>
      </c>
      <c r="B956" s="60" t="s">
        <v>1988</v>
      </c>
      <c r="C956" s="60" t="s">
        <v>4539</v>
      </c>
      <c r="D956" s="60">
        <v>41.25</v>
      </c>
      <c r="E956" s="60">
        <v>-0.84</v>
      </c>
      <c r="F956" s="60">
        <v>104</v>
      </c>
      <c r="G956" s="60">
        <v>0</v>
      </c>
      <c r="H956" s="60">
        <v>1.1000000000000001</v>
      </c>
      <c r="I956" s="60">
        <v>2.9</v>
      </c>
      <c r="J956" s="60">
        <v>0</v>
      </c>
      <c r="O956" s="60" t="s">
        <v>1654</v>
      </c>
      <c r="P956" s="60" t="s">
        <v>1988</v>
      </c>
      <c r="Q956" s="60" t="s">
        <v>4539</v>
      </c>
      <c r="R956" s="60">
        <v>41.25</v>
      </c>
      <c r="S956" s="60">
        <v>-0.84</v>
      </c>
      <c r="T956" s="60">
        <v>104</v>
      </c>
      <c r="U956" s="60">
        <v>59.91</v>
      </c>
    </row>
    <row r="957" spans="1:21">
      <c r="A957" s="60" t="s">
        <v>1656</v>
      </c>
      <c r="B957" s="60" t="s">
        <v>3254</v>
      </c>
      <c r="C957" s="60" t="s">
        <v>5131</v>
      </c>
      <c r="D957" s="60">
        <v>13.25</v>
      </c>
      <c r="E957" s="60">
        <v>1.53</v>
      </c>
      <c r="F957" s="60">
        <v>864</v>
      </c>
      <c r="G957" s="60">
        <v>0</v>
      </c>
      <c r="H957" s="60">
        <v>16.440000000000001</v>
      </c>
      <c r="I957" s="60">
        <v>0</v>
      </c>
      <c r="J957" s="60">
        <v>0</v>
      </c>
      <c r="O957" s="60" t="s">
        <v>1656</v>
      </c>
      <c r="P957" s="60" t="s">
        <v>3254</v>
      </c>
      <c r="Q957" s="60" t="s">
        <v>5131</v>
      </c>
      <c r="R957" s="60">
        <v>13.25</v>
      </c>
      <c r="S957" s="60">
        <v>1.53</v>
      </c>
      <c r="T957" s="60">
        <v>864</v>
      </c>
      <c r="U957" s="60">
        <v>52.98</v>
      </c>
    </row>
    <row r="958" spans="1:21">
      <c r="A958" s="60" t="s">
        <v>1658</v>
      </c>
      <c r="B958" s="60" t="s">
        <v>3255</v>
      </c>
      <c r="C958" s="60" t="s">
        <v>4540</v>
      </c>
      <c r="D958" s="60">
        <v>8.8699999999999992</v>
      </c>
      <c r="E958" s="60">
        <v>-1.99</v>
      </c>
      <c r="F958" s="60">
        <v>143</v>
      </c>
      <c r="G958" s="60">
        <v>0</v>
      </c>
      <c r="H958" s="60">
        <v>4.5</v>
      </c>
      <c r="I958" s="60">
        <v>0</v>
      </c>
      <c r="J958" s="60">
        <v>0</v>
      </c>
      <c r="O958" s="60" t="s">
        <v>1658</v>
      </c>
      <c r="P958" s="60" t="s">
        <v>3255</v>
      </c>
      <c r="Q958" s="60" t="s">
        <v>4540</v>
      </c>
      <c r="R958" s="60">
        <v>8.8699999999999992</v>
      </c>
      <c r="S958" s="60">
        <v>-1.99</v>
      </c>
      <c r="T958" s="60">
        <v>143</v>
      </c>
      <c r="U958" s="60">
        <v>39.47</v>
      </c>
    </row>
    <row r="959" spans="1:21">
      <c r="A959" s="60" t="s">
        <v>1660</v>
      </c>
      <c r="B959" s="60" t="s">
        <v>1992</v>
      </c>
      <c r="C959" s="60" t="s">
        <v>3802</v>
      </c>
      <c r="D959" s="60">
        <v>19</v>
      </c>
      <c r="E959" s="60">
        <v>0.26</v>
      </c>
      <c r="F959" s="60">
        <v>624</v>
      </c>
      <c r="G959" s="60">
        <v>0</v>
      </c>
      <c r="H959" s="60">
        <v>12.62</v>
      </c>
      <c r="I959" s="60">
        <v>0.8</v>
      </c>
      <c r="J959" s="60">
        <v>0</v>
      </c>
      <c r="O959" s="60" t="s">
        <v>1660</v>
      </c>
      <c r="P959" s="60" t="s">
        <v>1992</v>
      </c>
      <c r="Q959" s="60" t="s">
        <v>3802</v>
      </c>
      <c r="R959" s="60">
        <v>19</v>
      </c>
      <c r="S959" s="60">
        <v>0.26</v>
      </c>
      <c r="T959" s="60">
        <v>624</v>
      </c>
      <c r="U959" s="60">
        <v>61.05</v>
      </c>
    </row>
    <row r="960" spans="1:21">
      <c r="A960" s="60" t="s">
        <v>1662</v>
      </c>
      <c r="B960" s="60" t="s">
        <v>1994</v>
      </c>
      <c r="C960" s="60" t="s">
        <v>4541</v>
      </c>
      <c r="D960" s="60">
        <v>11.65</v>
      </c>
      <c r="E960" s="60">
        <v>1.3</v>
      </c>
      <c r="F960" s="60">
        <v>142</v>
      </c>
      <c r="G960" s="60">
        <v>0.01</v>
      </c>
      <c r="H960" s="60">
        <v>0.85</v>
      </c>
      <c r="I960" s="60">
        <v>5.74</v>
      </c>
      <c r="J960" s="60">
        <v>0</v>
      </c>
      <c r="O960" s="60" t="s">
        <v>1662</v>
      </c>
      <c r="P960" s="60" t="s">
        <v>1994</v>
      </c>
      <c r="Q960" s="60" t="s">
        <v>4541</v>
      </c>
      <c r="R960" s="60">
        <v>11.65</v>
      </c>
      <c r="S960" s="60">
        <v>1.3</v>
      </c>
      <c r="T960" s="60">
        <v>142</v>
      </c>
      <c r="U960" s="60">
        <v>54.83</v>
      </c>
    </row>
    <row r="961" spans="1:21">
      <c r="A961" s="60" t="s">
        <v>1663</v>
      </c>
      <c r="B961" s="60" t="s">
        <v>1996</v>
      </c>
      <c r="C961" s="60" t="s">
        <v>4542</v>
      </c>
      <c r="D961" s="60">
        <v>13.1</v>
      </c>
      <c r="E961" s="60">
        <v>3.56</v>
      </c>
      <c r="F961" s="60">
        <v>579</v>
      </c>
      <c r="G961" s="60">
        <v>0.05</v>
      </c>
      <c r="H961" s="60">
        <v>0.81</v>
      </c>
      <c r="I961" s="60">
        <v>24.81</v>
      </c>
      <c r="J961" s="60">
        <v>0</v>
      </c>
      <c r="O961" s="60" t="s">
        <v>1663</v>
      </c>
      <c r="P961" s="60" t="s">
        <v>1996</v>
      </c>
      <c r="Q961" s="60" t="s">
        <v>4542</v>
      </c>
      <c r="R961" s="60">
        <v>13.1</v>
      </c>
      <c r="S961" s="60">
        <v>3.56</v>
      </c>
      <c r="T961" s="60">
        <v>579</v>
      </c>
      <c r="U961" s="60">
        <v>33.72</v>
      </c>
    </row>
    <row r="962" spans="1:21">
      <c r="A962" s="60" t="s">
        <v>1665</v>
      </c>
      <c r="B962" s="60" t="s">
        <v>1998</v>
      </c>
      <c r="C962" s="60" t="s">
        <v>4543</v>
      </c>
      <c r="D962" s="60">
        <v>33.799999999999997</v>
      </c>
      <c r="E962" s="60">
        <v>0.6</v>
      </c>
      <c r="F962" s="60">
        <v>14</v>
      </c>
      <c r="G962" s="60">
        <v>0</v>
      </c>
      <c r="H962" s="60">
        <v>0.04</v>
      </c>
      <c r="I962" s="60">
        <v>0</v>
      </c>
      <c r="J962" s="60">
        <v>0</v>
      </c>
      <c r="O962" s="60" t="s">
        <v>1665</v>
      </c>
      <c r="P962" s="60" t="s">
        <v>1998</v>
      </c>
      <c r="Q962" s="60" t="s">
        <v>4543</v>
      </c>
      <c r="R962" s="60">
        <v>33.799999999999997</v>
      </c>
      <c r="S962" s="60">
        <v>0.6</v>
      </c>
      <c r="T962" s="60">
        <v>14</v>
      </c>
      <c r="U962" s="60">
        <v>74.83</v>
      </c>
    </row>
    <row r="963" spans="1:21">
      <c r="A963" s="60" t="s">
        <v>1667</v>
      </c>
      <c r="B963" s="60" t="s">
        <v>2000</v>
      </c>
      <c r="C963" s="60" t="s">
        <v>3676</v>
      </c>
      <c r="D963" s="60">
        <v>134.5</v>
      </c>
      <c r="E963" s="60">
        <v>0.37</v>
      </c>
      <c r="F963" s="60">
        <v>45</v>
      </c>
      <c r="G963" s="60">
        <v>0</v>
      </c>
      <c r="H963" s="60">
        <v>16.11</v>
      </c>
      <c r="I963" s="60">
        <v>2.48</v>
      </c>
      <c r="J963" s="60">
        <v>0.61</v>
      </c>
      <c r="O963" s="60" t="s">
        <v>1667</v>
      </c>
      <c r="P963" s="60" t="s">
        <v>2000</v>
      </c>
      <c r="Q963" s="60" t="s">
        <v>3676</v>
      </c>
      <c r="R963" s="60">
        <v>134.5</v>
      </c>
      <c r="S963" s="60">
        <v>0.37</v>
      </c>
      <c r="T963" s="60">
        <v>45</v>
      </c>
      <c r="U963" s="60">
        <v>44.49</v>
      </c>
    </row>
    <row r="964" spans="1:21">
      <c r="A964" s="60" t="s">
        <v>1669</v>
      </c>
      <c r="B964" s="60" t="s">
        <v>2002</v>
      </c>
      <c r="C964" s="60" t="s">
        <v>4544</v>
      </c>
      <c r="D964" s="60">
        <v>20.25</v>
      </c>
      <c r="E964" s="60">
        <v>-0.25</v>
      </c>
      <c r="F964" s="60">
        <v>10</v>
      </c>
      <c r="G964" s="60">
        <v>0</v>
      </c>
      <c r="H964" s="60">
        <v>0.15</v>
      </c>
      <c r="I964" s="60">
        <v>0.43</v>
      </c>
      <c r="J964" s="60">
        <v>0</v>
      </c>
      <c r="O964" s="60" t="s">
        <v>1669</v>
      </c>
      <c r="P964" s="60" t="s">
        <v>2002</v>
      </c>
      <c r="Q964" s="60" t="s">
        <v>4544</v>
      </c>
      <c r="R964" s="60">
        <v>20.25</v>
      </c>
      <c r="S964" s="60">
        <v>-0.25</v>
      </c>
      <c r="T964" s="60">
        <v>10</v>
      </c>
      <c r="U964" s="60">
        <v>76.62</v>
      </c>
    </row>
    <row r="965" spans="1:21">
      <c r="A965" s="60" t="s">
        <v>1671</v>
      </c>
      <c r="B965" s="60" t="s">
        <v>2004</v>
      </c>
      <c r="C965" s="60" t="s">
        <v>3803</v>
      </c>
      <c r="D965" s="60">
        <v>49.2</v>
      </c>
      <c r="E965" s="60">
        <v>1.55</v>
      </c>
      <c r="F965" s="60">
        <v>62</v>
      </c>
      <c r="G965" s="60">
        <v>0</v>
      </c>
      <c r="H965" s="60">
        <v>2.94</v>
      </c>
      <c r="I965" s="60">
        <v>7.21</v>
      </c>
      <c r="J965" s="60">
        <v>0</v>
      </c>
      <c r="O965" s="60" t="s">
        <v>1671</v>
      </c>
      <c r="P965" s="60" t="s">
        <v>2004</v>
      </c>
      <c r="Q965" s="60" t="s">
        <v>3803</v>
      </c>
      <c r="R965" s="60">
        <v>49.2</v>
      </c>
      <c r="S965" s="60">
        <v>1.55</v>
      </c>
      <c r="T965" s="60">
        <v>62</v>
      </c>
      <c r="U965" s="60">
        <v>50.38</v>
      </c>
    </row>
    <row r="966" spans="1:21">
      <c r="A966" s="60" t="s">
        <v>1673</v>
      </c>
      <c r="B966" s="60" t="s">
        <v>2006</v>
      </c>
      <c r="C966" s="60" t="s">
        <v>5132</v>
      </c>
      <c r="D966" s="60">
        <v>24.9</v>
      </c>
      <c r="E966" s="60">
        <v>-0.2</v>
      </c>
      <c r="F966" s="60">
        <v>204</v>
      </c>
      <c r="G966" s="60">
        <v>0.04</v>
      </c>
      <c r="H966" s="60">
        <v>2.68</v>
      </c>
      <c r="I966" s="60">
        <v>5.12</v>
      </c>
      <c r="J966" s="60">
        <v>0</v>
      </c>
      <c r="O966" s="60" t="s">
        <v>1673</v>
      </c>
      <c r="P966" s="60" t="s">
        <v>2006</v>
      </c>
      <c r="Q966" s="60" t="s">
        <v>5132</v>
      </c>
      <c r="R966" s="60">
        <v>24.9</v>
      </c>
      <c r="S966" s="60">
        <v>-0.2</v>
      </c>
      <c r="T966" s="60">
        <v>204</v>
      </c>
      <c r="U966" s="60">
        <v>39.14</v>
      </c>
    </row>
    <row r="967" spans="1:21">
      <c r="A967" s="60" t="s">
        <v>1675</v>
      </c>
      <c r="B967" s="60" t="s">
        <v>3256</v>
      </c>
      <c r="C967" s="60" t="s">
        <v>4903</v>
      </c>
      <c r="D967" s="60">
        <v>26.6</v>
      </c>
      <c r="E967" s="60">
        <v>-0.37</v>
      </c>
      <c r="F967" s="60">
        <v>3</v>
      </c>
      <c r="G967" s="60">
        <v>0</v>
      </c>
      <c r="H967" s="60">
        <v>4.07</v>
      </c>
      <c r="I967" s="60">
        <v>0</v>
      </c>
      <c r="J967" s="60">
        <v>0</v>
      </c>
      <c r="O967" s="60" t="s">
        <v>1675</v>
      </c>
      <c r="P967" s="60" t="s">
        <v>3256</v>
      </c>
      <c r="Q967" s="60" t="s">
        <v>4903</v>
      </c>
      <c r="R967" s="60">
        <v>26.6</v>
      </c>
      <c r="S967" s="60">
        <v>-0.37</v>
      </c>
      <c r="T967" s="60">
        <v>3</v>
      </c>
      <c r="U967" s="60">
        <v>45.19</v>
      </c>
    </row>
    <row r="968" spans="1:21">
      <c r="A968" s="60" t="s">
        <v>1677</v>
      </c>
      <c r="B968" s="60" t="s">
        <v>2008</v>
      </c>
      <c r="C968" s="60" t="s">
        <v>4545</v>
      </c>
      <c r="D968" s="60">
        <v>18.8</v>
      </c>
      <c r="E968" s="60">
        <v>0</v>
      </c>
      <c r="F968" s="60">
        <v>43</v>
      </c>
      <c r="G968" s="60">
        <v>0.05</v>
      </c>
      <c r="H968" s="60">
        <v>6.55</v>
      </c>
      <c r="I968" s="60">
        <v>7.23</v>
      </c>
      <c r="J968" s="60">
        <v>0</v>
      </c>
      <c r="O968" s="60" t="s">
        <v>1677</v>
      </c>
      <c r="P968" s="60" t="s">
        <v>2008</v>
      </c>
      <c r="Q968" s="60" t="s">
        <v>4545</v>
      </c>
      <c r="R968" s="60">
        <v>18.8</v>
      </c>
      <c r="S968" s="60">
        <v>0</v>
      </c>
      <c r="T968" s="60">
        <v>43</v>
      </c>
      <c r="U968" s="60">
        <v>58.81</v>
      </c>
    </row>
    <row r="969" spans="1:21">
      <c r="A969" s="60" t="s">
        <v>1679</v>
      </c>
      <c r="B969" s="60" t="s">
        <v>2010</v>
      </c>
      <c r="C969" s="60" t="s">
        <v>4201</v>
      </c>
      <c r="D969" s="60">
        <v>28.65</v>
      </c>
      <c r="E969" s="60">
        <v>4.18</v>
      </c>
      <c r="F969" s="60">
        <v>231</v>
      </c>
      <c r="G969" s="60">
        <v>0</v>
      </c>
      <c r="H969" s="60">
        <v>34.11</v>
      </c>
      <c r="I969" s="60">
        <v>6.63</v>
      </c>
      <c r="J969" s="60">
        <v>0</v>
      </c>
      <c r="O969" s="60" t="s">
        <v>1679</v>
      </c>
      <c r="P969" s="60" t="s">
        <v>2010</v>
      </c>
      <c r="Q969" s="60" t="s">
        <v>4201</v>
      </c>
      <c r="R969" s="60">
        <v>28.65</v>
      </c>
      <c r="S969" s="60">
        <v>4.18</v>
      </c>
      <c r="T969" s="60">
        <v>231</v>
      </c>
      <c r="U969" s="60">
        <v>70.760000000000005</v>
      </c>
    </row>
    <row r="970" spans="1:21">
      <c r="A970" s="60" t="s">
        <v>1681</v>
      </c>
      <c r="B970" s="60" t="s">
        <v>2012</v>
      </c>
      <c r="C970" s="60" t="s">
        <v>4546</v>
      </c>
      <c r="D970" s="60">
        <v>88.6</v>
      </c>
      <c r="E970" s="60">
        <v>0.68</v>
      </c>
      <c r="F970" s="60">
        <v>15</v>
      </c>
      <c r="G970" s="60">
        <v>0</v>
      </c>
      <c r="H970" s="60">
        <v>6.99</v>
      </c>
      <c r="I970" s="60">
        <v>1.58</v>
      </c>
      <c r="J970" s="60">
        <v>0.17</v>
      </c>
      <c r="O970" s="60" t="s">
        <v>1681</v>
      </c>
      <c r="P970" s="60" t="s">
        <v>2012</v>
      </c>
      <c r="Q970" s="60" t="s">
        <v>4546</v>
      </c>
      <c r="R970" s="60">
        <v>88.6</v>
      </c>
      <c r="S970" s="60">
        <v>0.68</v>
      </c>
      <c r="T970" s="60">
        <v>15</v>
      </c>
      <c r="U970" s="60">
        <v>60.04</v>
      </c>
    </row>
    <row r="971" spans="1:21">
      <c r="A971" s="60" t="s">
        <v>1683</v>
      </c>
      <c r="B971" s="60" t="s">
        <v>2014</v>
      </c>
      <c r="C971" s="60" t="s">
        <v>4547</v>
      </c>
      <c r="D971" s="60">
        <v>23.3</v>
      </c>
      <c r="E971" s="60">
        <v>1.08</v>
      </c>
      <c r="F971" s="60">
        <v>68</v>
      </c>
      <c r="G971" s="60">
        <v>0</v>
      </c>
      <c r="H971" s="60">
        <v>0.88</v>
      </c>
      <c r="I971" s="60">
        <v>1.84</v>
      </c>
      <c r="J971" s="60">
        <v>0</v>
      </c>
      <c r="O971" s="60" t="s">
        <v>1683</v>
      </c>
      <c r="P971" s="60" t="s">
        <v>2014</v>
      </c>
      <c r="Q971" s="60" t="s">
        <v>4547</v>
      </c>
      <c r="R971" s="60">
        <v>23.3</v>
      </c>
      <c r="S971" s="60">
        <v>1.08</v>
      </c>
      <c r="T971" s="60">
        <v>68</v>
      </c>
      <c r="U971" s="60">
        <v>48.44</v>
      </c>
    </row>
    <row r="972" spans="1:21">
      <c r="A972" s="60" t="s">
        <v>1684</v>
      </c>
      <c r="B972" s="60" t="s">
        <v>2016</v>
      </c>
      <c r="C972" s="60" t="s">
        <v>3936</v>
      </c>
      <c r="D972" s="60">
        <v>188</v>
      </c>
      <c r="E972" s="60">
        <v>-0.27</v>
      </c>
      <c r="F972" s="60">
        <v>634</v>
      </c>
      <c r="G972" s="60">
        <v>0.12</v>
      </c>
      <c r="H972" s="60">
        <v>57.19</v>
      </c>
      <c r="I972" s="60">
        <v>4.07</v>
      </c>
      <c r="J972" s="60">
        <v>2.23</v>
      </c>
      <c r="O972" s="60" t="s">
        <v>1684</v>
      </c>
      <c r="P972" s="60" t="s">
        <v>2016</v>
      </c>
      <c r="Q972" s="60" t="s">
        <v>3936</v>
      </c>
      <c r="R972" s="60">
        <v>188</v>
      </c>
      <c r="S972" s="60">
        <v>-0.27</v>
      </c>
      <c r="T972" s="60">
        <v>634</v>
      </c>
      <c r="U972" s="60">
        <v>74.52</v>
      </c>
    </row>
    <row r="973" spans="1:21">
      <c r="A973" s="60" t="s">
        <v>1686</v>
      </c>
      <c r="B973" s="60" t="s">
        <v>2018</v>
      </c>
      <c r="C973" s="60" t="s">
        <v>3804</v>
      </c>
      <c r="D973" s="60">
        <v>31.45</v>
      </c>
      <c r="E973" s="60">
        <v>0</v>
      </c>
      <c r="F973" s="60">
        <v>46</v>
      </c>
      <c r="G973" s="60">
        <v>0</v>
      </c>
      <c r="H973" s="60">
        <v>50.62</v>
      </c>
      <c r="I973" s="60">
        <v>2.4300000000000002</v>
      </c>
      <c r="J973" s="60">
        <v>0</v>
      </c>
      <c r="O973" s="60" t="s">
        <v>1686</v>
      </c>
      <c r="P973" s="60" t="s">
        <v>2018</v>
      </c>
      <c r="Q973" s="60" t="s">
        <v>3804</v>
      </c>
      <c r="R973" s="60">
        <v>31.45</v>
      </c>
      <c r="S973" s="60">
        <v>0</v>
      </c>
      <c r="T973" s="60">
        <v>46</v>
      </c>
      <c r="U973" s="60">
        <v>48.85</v>
      </c>
    </row>
    <row r="974" spans="1:21">
      <c r="A974" s="60" t="s">
        <v>1688</v>
      </c>
      <c r="B974" s="60" t="s">
        <v>3257</v>
      </c>
      <c r="C974" s="60" t="s">
        <v>5024</v>
      </c>
      <c r="D974" s="60">
        <v>30.6</v>
      </c>
      <c r="E974" s="60">
        <v>0.82</v>
      </c>
      <c r="F974" s="60">
        <v>42</v>
      </c>
      <c r="G974" s="60">
        <v>0</v>
      </c>
      <c r="H974" s="60">
        <v>23.86</v>
      </c>
      <c r="I974" s="60">
        <v>0</v>
      </c>
      <c r="J974" s="60">
        <v>0</v>
      </c>
      <c r="O974" s="60" t="s">
        <v>1688</v>
      </c>
      <c r="P974" s="60" t="s">
        <v>3257</v>
      </c>
      <c r="Q974" s="60" t="s">
        <v>5024</v>
      </c>
      <c r="R974" s="60">
        <v>30.6</v>
      </c>
      <c r="S974" s="60">
        <v>0.82</v>
      </c>
      <c r="T974" s="60">
        <v>42</v>
      </c>
      <c r="U974" s="60">
        <v>32.11</v>
      </c>
    </row>
    <row r="975" spans="1:21">
      <c r="A975" s="60" t="s">
        <v>1689</v>
      </c>
      <c r="B975" s="60" t="s">
        <v>2020</v>
      </c>
      <c r="C975" s="60" t="s">
        <v>3805</v>
      </c>
      <c r="D975" s="60">
        <v>52.6</v>
      </c>
      <c r="E975" s="60">
        <v>0.19</v>
      </c>
      <c r="F975" s="60">
        <v>27</v>
      </c>
      <c r="G975" s="60">
        <v>0.09</v>
      </c>
      <c r="H975" s="60">
        <v>0.38</v>
      </c>
      <c r="I975" s="60">
        <v>3.54</v>
      </c>
      <c r="J975" s="60">
        <v>0</v>
      </c>
      <c r="O975" s="60" t="s">
        <v>1689</v>
      </c>
      <c r="P975" s="60" t="s">
        <v>2020</v>
      </c>
      <c r="Q975" s="60" t="s">
        <v>3805</v>
      </c>
      <c r="R975" s="60">
        <v>52.6</v>
      </c>
      <c r="S975" s="60">
        <v>0.19</v>
      </c>
      <c r="T975" s="60">
        <v>27</v>
      </c>
      <c r="U975" s="60">
        <v>80.84</v>
      </c>
    </row>
    <row r="976" spans="1:21">
      <c r="A976" s="60" t="s">
        <v>1691</v>
      </c>
      <c r="B976" s="60" t="s">
        <v>2022</v>
      </c>
      <c r="C976" s="60" t="s">
        <v>5133</v>
      </c>
      <c r="D976" s="60">
        <v>30.9</v>
      </c>
      <c r="E976" s="60">
        <v>0</v>
      </c>
      <c r="F976" s="60">
        <v>0</v>
      </c>
      <c r="G976" s="60">
        <v>0</v>
      </c>
      <c r="H976" s="60">
        <v>11.62</v>
      </c>
      <c r="I976" s="60">
        <v>0.69</v>
      </c>
      <c r="J976" s="60">
        <v>0</v>
      </c>
      <c r="O976" s="60" t="s">
        <v>1691</v>
      </c>
      <c r="P976" s="60" t="s">
        <v>2022</v>
      </c>
      <c r="Q976" s="60" t="s">
        <v>5133</v>
      </c>
      <c r="R976" s="60">
        <v>30.9</v>
      </c>
      <c r="S976" s="60">
        <v>0</v>
      </c>
      <c r="T976" s="60">
        <v>0</v>
      </c>
      <c r="U976" s="60">
        <v>77.239999999999995</v>
      </c>
    </row>
    <row r="977" spans="1:21">
      <c r="A977" s="60" t="s">
        <v>1693</v>
      </c>
      <c r="B977" s="60" t="s">
        <v>2024</v>
      </c>
      <c r="C977" s="60" t="s">
        <v>3937</v>
      </c>
      <c r="D977" s="60">
        <v>66.400000000000006</v>
      </c>
      <c r="E977" s="60">
        <v>1.84</v>
      </c>
      <c r="F977" s="60">
        <v>210</v>
      </c>
      <c r="G977" s="60">
        <v>0</v>
      </c>
      <c r="H977" s="60">
        <v>40.08</v>
      </c>
      <c r="I977" s="60">
        <v>1.67</v>
      </c>
      <c r="J977" s="60">
        <v>0</v>
      </c>
      <c r="O977" s="60" t="s">
        <v>1693</v>
      </c>
      <c r="P977" s="60" t="s">
        <v>2024</v>
      </c>
      <c r="Q977" s="60" t="s">
        <v>3937</v>
      </c>
      <c r="R977" s="60">
        <v>66.400000000000006</v>
      </c>
      <c r="S977" s="60">
        <v>1.84</v>
      </c>
      <c r="T977" s="60">
        <v>210</v>
      </c>
      <c r="U977" s="60">
        <v>44.24</v>
      </c>
    </row>
    <row r="978" spans="1:21">
      <c r="A978" s="60" t="s">
        <v>1695</v>
      </c>
      <c r="B978" s="60" t="s">
        <v>2026</v>
      </c>
      <c r="C978" s="60" t="s">
        <v>3806</v>
      </c>
      <c r="D978" s="60">
        <v>42.6</v>
      </c>
      <c r="E978" s="60">
        <v>0</v>
      </c>
      <c r="F978" s="60">
        <v>79</v>
      </c>
      <c r="G978" s="60">
        <v>0</v>
      </c>
      <c r="H978" s="60">
        <v>82.77</v>
      </c>
      <c r="I978" s="60">
        <v>1.82</v>
      </c>
      <c r="J978" s="60">
        <v>0</v>
      </c>
      <c r="O978" s="60" t="s">
        <v>1695</v>
      </c>
      <c r="P978" s="60" t="s">
        <v>2026</v>
      </c>
      <c r="Q978" s="60" t="s">
        <v>3806</v>
      </c>
      <c r="R978" s="60">
        <v>42.6</v>
      </c>
      <c r="S978" s="60">
        <v>0</v>
      </c>
      <c r="T978" s="60">
        <v>79</v>
      </c>
      <c r="U978" s="60">
        <v>83.52</v>
      </c>
    </row>
    <row r="979" spans="1:21">
      <c r="A979" s="60" t="s">
        <v>1697</v>
      </c>
      <c r="B979" s="60" t="s">
        <v>2028</v>
      </c>
      <c r="C979" s="60" t="s">
        <v>3512</v>
      </c>
      <c r="D979" s="60">
        <v>29.3</v>
      </c>
      <c r="E979" s="60">
        <v>1.03</v>
      </c>
      <c r="F979" s="60">
        <v>228</v>
      </c>
      <c r="G979" s="60">
        <v>0</v>
      </c>
      <c r="H979" s="60">
        <v>0.15</v>
      </c>
      <c r="I979" s="60">
        <v>5.23</v>
      </c>
      <c r="J979" s="60">
        <v>0</v>
      </c>
      <c r="O979" s="60" t="s">
        <v>1697</v>
      </c>
      <c r="P979" s="60" t="s">
        <v>2028</v>
      </c>
      <c r="Q979" s="60" t="s">
        <v>3512</v>
      </c>
      <c r="R979" s="60">
        <v>29.3</v>
      </c>
      <c r="S979" s="60">
        <v>1.03</v>
      </c>
      <c r="T979" s="60">
        <v>228</v>
      </c>
      <c r="U979" s="60">
        <v>56.94</v>
      </c>
    </row>
    <row r="980" spans="1:21">
      <c r="A980" s="60" t="s">
        <v>1699</v>
      </c>
      <c r="B980" s="60" t="s">
        <v>2030</v>
      </c>
      <c r="C980" s="60" t="s">
        <v>3807</v>
      </c>
      <c r="D980" s="60">
        <v>17.45</v>
      </c>
      <c r="E980" s="60">
        <v>-1.69</v>
      </c>
      <c r="F980" s="60">
        <v>38</v>
      </c>
      <c r="G980" s="60">
        <v>0</v>
      </c>
      <c r="H980" s="60">
        <v>1.6</v>
      </c>
      <c r="I980" s="60">
        <v>4.0599999999999996</v>
      </c>
      <c r="J980" s="60">
        <v>0</v>
      </c>
      <c r="O980" s="60" t="s">
        <v>1699</v>
      </c>
      <c r="P980" s="60" t="s">
        <v>2030</v>
      </c>
      <c r="Q980" s="60" t="s">
        <v>3807</v>
      </c>
      <c r="R980" s="60">
        <v>17.45</v>
      </c>
      <c r="S980" s="60">
        <v>-1.69</v>
      </c>
      <c r="T980" s="60">
        <v>38</v>
      </c>
      <c r="U980" s="60">
        <v>63.1</v>
      </c>
    </row>
    <row r="981" spans="1:21">
      <c r="A981" s="60" t="s">
        <v>1701</v>
      </c>
      <c r="B981" s="60" t="s">
        <v>2032</v>
      </c>
      <c r="C981" s="60" t="s">
        <v>4548</v>
      </c>
      <c r="D981" s="60">
        <v>30.6</v>
      </c>
      <c r="E981" s="60">
        <v>0.33</v>
      </c>
      <c r="F981" s="60">
        <v>9</v>
      </c>
      <c r="G981" s="60">
        <v>0</v>
      </c>
      <c r="H981" s="60">
        <v>3.58</v>
      </c>
      <c r="I981" s="60">
        <v>0.94</v>
      </c>
      <c r="J981" s="60">
        <v>0</v>
      </c>
      <c r="O981" s="60" t="s">
        <v>1701</v>
      </c>
      <c r="P981" s="60" t="s">
        <v>2032</v>
      </c>
      <c r="Q981" s="60" t="s">
        <v>4548</v>
      </c>
      <c r="R981" s="60">
        <v>30.6</v>
      </c>
      <c r="S981" s="60">
        <v>0.33</v>
      </c>
      <c r="T981" s="60">
        <v>9</v>
      </c>
      <c r="U981" s="60">
        <v>61.49</v>
      </c>
    </row>
    <row r="982" spans="1:21">
      <c r="A982" s="60" t="s">
        <v>1703</v>
      </c>
      <c r="B982" s="60" t="s">
        <v>2034</v>
      </c>
      <c r="C982" s="60" t="s">
        <v>3808</v>
      </c>
      <c r="D982" s="60">
        <v>41.25</v>
      </c>
      <c r="E982" s="60">
        <v>-0.36</v>
      </c>
      <c r="F982" s="60">
        <v>350</v>
      </c>
      <c r="G982" s="60">
        <v>0.27</v>
      </c>
      <c r="H982" s="60">
        <v>1.92</v>
      </c>
      <c r="I982" s="60">
        <v>11.33</v>
      </c>
      <c r="J982" s="60">
        <v>0</v>
      </c>
      <c r="O982" s="60" t="s">
        <v>1703</v>
      </c>
      <c r="P982" s="60" t="s">
        <v>2034</v>
      </c>
      <c r="Q982" s="60" t="s">
        <v>3808</v>
      </c>
      <c r="R982" s="60">
        <v>41.25</v>
      </c>
      <c r="S982" s="60">
        <v>-0.36</v>
      </c>
      <c r="T982" s="60">
        <v>350</v>
      </c>
      <c r="U982" s="60">
        <v>44.69</v>
      </c>
    </row>
    <row r="983" spans="1:21">
      <c r="A983" s="60" t="s">
        <v>1705</v>
      </c>
      <c r="B983" s="60" t="s">
        <v>2036</v>
      </c>
      <c r="C983" s="60" t="s">
        <v>3809</v>
      </c>
      <c r="D983" s="60">
        <v>42.6</v>
      </c>
      <c r="E983" s="60">
        <v>-0.7</v>
      </c>
      <c r="F983" s="60">
        <v>71</v>
      </c>
      <c r="G983" s="60">
        <v>0.02</v>
      </c>
      <c r="H983" s="60">
        <v>0.48</v>
      </c>
      <c r="I983" s="60">
        <v>7.44</v>
      </c>
      <c r="J983" s="60">
        <v>0</v>
      </c>
      <c r="O983" s="60" t="s">
        <v>1705</v>
      </c>
      <c r="P983" s="60" t="s">
        <v>2036</v>
      </c>
      <c r="Q983" s="60" t="s">
        <v>3809</v>
      </c>
      <c r="R983" s="60">
        <v>42.6</v>
      </c>
      <c r="S983" s="60">
        <v>-0.7</v>
      </c>
      <c r="T983" s="60">
        <v>71</v>
      </c>
      <c r="U983" s="60">
        <v>70.489999999999995</v>
      </c>
    </row>
    <row r="984" spans="1:21">
      <c r="A984" s="60" t="s">
        <v>1707</v>
      </c>
      <c r="B984" s="60" t="s">
        <v>2038</v>
      </c>
      <c r="C984" s="60" t="s">
        <v>4549</v>
      </c>
      <c r="D984" s="60">
        <v>63.3</v>
      </c>
      <c r="E984" s="60">
        <v>-1.56</v>
      </c>
      <c r="F984" s="60">
        <v>34</v>
      </c>
      <c r="G984" s="60">
        <v>0</v>
      </c>
      <c r="H984" s="60">
        <v>6.63</v>
      </c>
      <c r="I984" s="60">
        <v>3.61</v>
      </c>
      <c r="J984" s="60">
        <v>0</v>
      </c>
      <c r="O984" s="60" t="s">
        <v>1707</v>
      </c>
      <c r="P984" s="60" t="s">
        <v>2038</v>
      </c>
      <c r="Q984" s="60" t="s">
        <v>4549</v>
      </c>
      <c r="R984" s="60">
        <v>63.3</v>
      </c>
      <c r="S984" s="60">
        <v>-1.56</v>
      </c>
      <c r="T984" s="60">
        <v>34</v>
      </c>
      <c r="U984" s="60">
        <v>59.11</v>
      </c>
    </row>
    <row r="985" spans="1:21">
      <c r="A985" s="60" t="s">
        <v>1708</v>
      </c>
      <c r="B985" s="60" t="s">
        <v>2040</v>
      </c>
      <c r="C985" s="60" t="s">
        <v>3810</v>
      </c>
      <c r="D985" s="60">
        <v>97.5</v>
      </c>
      <c r="E985" s="60">
        <v>-0.51</v>
      </c>
      <c r="F985" s="60">
        <v>32</v>
      </c>
      <c r="G985" s="60">
        <v>0.28999999999999998</v>
      </c>
      <c r="H985" s="60">
        <v>71.13</v>
      </c>
      <c r="I985" s="60">
        <v>5.65</v>
      </c>
      <c r="J985" s="60">
        <v>0</v>
      </c>
      <c r="O985" s="60" t="s">
        <v>1708</v>
      </c>
      <c r="P985" s="60" t="s">
        <v>2040</v>
      </c>
      <c r="Q985" s="60" t="s">
        <v>3810</v>
      </c>
      <c r="R985" s="60">
        <v>97.5</v>
      </c>
      <c r="S985" s="60">
        <v>-0.51</v>
      </c>
      <c r="T985" s="60">
        <v>32</v>
      </c>
      <c r="U985" s="60">
        <v>55.36</v>
      </c>
    </row>
    <row r="986" spans="1:21">
      <c r="A986" s="60" t="s">
        <v>1710</v>
      </c>
      <c r="B986" s="60" t="s">
        <v>2042</v>
      </c>
      <c r="C986" s="60" t="s">
        <v>3811</v>
      </c>
      <c r="D986" s="60">
        <v>104</v>
      </c>
      <c r="E986" s="60">
        <v>0</v>
      </c>
      <c r="F986" s="60">
        <v>99</v>
      </c>
      <c r="G986" s="60">
        <v>0.02</v>
      </c>
      <c r="H986" s="60">
        <v>1.08</v>
      </c>
      <c r="I986" s="60">
        <v>4.34</v>
      </c>
      <c r="J986" s="60">
        <v>0.11</v>
      </c>
      <c r="O986" s="60" t="s">
        <v>1710</v>
      </c>
      <c r="P986" s="60" t="s">
        <v>2042</v>
      </c>
      <c r="Q986" s="60" t="s">
        <v>3811</v>
      </c>
      <c r="R986" s="60">
        <v>104</v>
      </c>
      <c r="S986" s="60">
        <v>0</v>
      </c>
      <c r="T986" s="60">
        <v>99</v>
      </c>
      <c r="U986" s="60">
        <v>42.84</v>
      </c>
    </row>
    <row r="987" spans="1:21">
      <c r="A987" s="60" t="s">
        <v>1712</v>
      </c>
      <c r="B987" s="60" t="s">
        <v>2044</v>
      </c>
      <c r="C987" s="60" t="s">
        <v>3812</v>
      </c>
      <c r="D987" s="60">
        <v>110.5</v>
      </c>
      <c r="E987" s="60">
        <v>3.27</v>
      </c>
      <c r="F987" s="60">
        <v>141</v>
      </c>
      <c r="G987" s="60">
        <v>0.01</v>
      </c>
      <c r="H987" s="60">
        <v>0.94</v>
      </c>
      <c r="I987" s="60">
        <v>5.9</v>
      </c>
      <c r="J987" s="60">
        <v>0.03</v>
      </c>
      <c r="O987" s="60" t="s">
        <v>1712</v>
      </c>
      <c r="P987" s="60" t="s">
        <v>2044</v>
      </c>
      <c r="Q987" s="60" t="s">
        <v>3812</v>
      </c>
      <c r="R987" s="60">
        <v>110.5</v>
      </c>
      <c r="S987" s="60">
        <v>3.27</v>
      </c>
      <c r="T987" s="60">
        <v>141</v>
      </c>
      <c r="U987" s="60">
        <v>62.85</v>
      </c>
    </row>
    <row r="988" spans="1:21">
      <c r="A988" s="60" t="s">
        <v>1714</v>
      </c>
      <c r="B988" s="60" t="s">
        <v>2046</v>
      </c>
      <c r="C988" s="60" t="s">
        <v>4550</v>
      </c>
      <c r="D988" s="60">
        <v>89</v>
      </c>
      <c r="E988" s="60">
        <v>-0.22</v>
      </c>
      <c r="F988" s="60">
        <v>34</v>
      </c>
      <c r="G988" s="60">
        <v>0</v>
      </c>
      <c r="H988" s="60">
        <v>2.73</v>
      </c>
      <c r="I988" s="60">
        <v>0.84</v>
      </c>
      <c r="J988" s="60">
        <v>0</v>
      </c>
      <c r="O988" s="60" t="s">
        <v>1714</v>
      </c>
      <c r="P988" s="60" t="s">
        <v>2046</v>
      </c>
      <c r="Q988" s="60" t="s">
        <v>4550</v>
      </c>
      <c r="R988" s="60">
        <v>89</v>
      </c>
      <c r="S988" s="60">
        <v>-0.22</v>
      </c>
      <c r="T988" s="60">
        <v>34</v>
      </c>
      <c r="U988" s="60">
        <v>46.87</v>
      </c>
    </row>
    <row r="989" spans="1:21">
      <c r="A989" s="60" t="s">
        <v>1716</v>
      </c>
      <c r="B989" s="60" t="s">
        <v>2048</v>
      </c>
      <c r="C989" s="60" t="s">
        <v>3938</v>
      </c>
      <c r="D989" s="60">
        <v>35.700000000000003</v>
      </c>
      <c r="E989" s="60">
        <v>-0.28000000000000003</v>
      </c>
      <c r="F989" s="60">
        <v>6</v>
      </c>
      <c r="G989" s="60">
        <v>0</v>
      </c>
      <c r="H989" s="60">
        <v>26.14</v>
      </c>
      <c r="I989" s="60">
        <v>1.1599999999999999</v>
      </c>
      <c r="J989" s="60">
        <v>0</v>
      </c>
      <c r="O989" s="60" t="s">
        <v>1716</v>
      </c>
      <c r="P989" s="60" t="s">
        <v>2048</v>
      </c>
      <c r="Q989" s="60" t="s">
        <v>3938</v>
      </c>
      <c r="R989" s="60">
        <v>35.700000000000003</v>
      </c>
      <c r="S989" s="60">
        <v>-0.28000000000000003</v>
      </c>
      <c r="T989" s="60">
        <v>6</v>
      </c>
      <c r="U989" s="60">
        <v>57.46</v>
      </c>
    </row>
    <row r="990" spans="1:21">
      <c r="A990" s="60" t="s">
        <v>1718</v>
      </c>
      <c r="B990" s="60" t="s">
        <v>3258</v>
      </c>
      <c r="C990" s="60" t="s">
        <v>4560</v>
      </c>
      <c r="D990" s="60">
        <v>7.55</v>
      </c>
      <c r="E990" s="60">
        <v>0.27</v>
      </c>
      <c r="F990" s="60">
        <v>3</v>
      </c>
      <c r="G990" s="60">
        <v>0</v>
      </c>
      <c r="H990" s="60">
        <v>0</v>
      </c>
      <c r="I990" s="60">
        <v>0</v>
      </c>
      <c r="J990" s="60">
        <v>0</v>
      </c>
      <c r="O990" s="60" t="s">
        <v>1718</v>
      </c>
      <c r="P990" s="60" t="s">
        <v>3258</v>
      </c>
      <c r="Q990" s="60" t="s">
        <v>4560</v>
      </c>
      <c r="R990" s="60">
        <v>7.55</v>
      </c>
      <c r="S990" s="60">
        <v>0.27</v>
      </c>
      <c r="T990" s="60">
        <v>3</v>
      </c>
      <c r="U990" s="60">
        <v>63.66</v>
      </c>
    </row>
    <row r="991" spans="1:21">
      <c r="A991" s="60" t="s">
        <v>1720</v>
      </c>
      <c r="B991" s="60" t="s">
        <v>2051</v>
      </c>
      <c r="C991" s="60" t="s">
        <v>3602</v>
      </c>
      <c r="D991" s="60">
        <v>14.9</v>
      </c>
      <c r="E991" s="60">
        <v>-0.67</v>
      </c>
      <c r="F991" s="60">
        <v>396</v>
      </c>
      <c r="G991" s="60">
        <v>0.09</v>
      </c>
      <c r="H991" s="60">
        <v>49.88</v>
      </c>
      <c r="I991" s="60">
        <v>13.44</v>
      </c>
      <c r="J991" s="60">
        <v>0</v>
      </c>
      <c r="O991" s="60" t="s">
        <v>1720</v>
      </c>
      <c r="P991" s="60" t="s">
        <v>2051</v>
      </c>
      <c r="Q991" s="60" t="s">
        <v>3602</v>
      </c>
      <c r="R991" s="60">
        <v>14.9</v>
      </c>
      <c r="S991" s="60">
        <v>-0.67</v>
      </c>
      <c r="T991" s="60">
        <v>396</v>
      </c>
      <c r="U991" s="60">
        <v>54.53</v>
      </c>
    </row>
    <row r="992" spans="1:21">
      <c r="A992" s="60" t="s">
        <v>1722</v>
      </c>
      <c r="B992" s="60" t="s">
        <v>2053</v>
      </c>
      <c r="C992" s="60" t="s">
        <v>4562</v>
      </c>
      <c r="D992" s="60">
        <v>18.899999999999999</v>
      </c>
      <c r="E992" s="60">
        <v>0</v>
      </c>
      <c r="F992" s="60">
        <v>1</v>
      </c>
      <c r="G992" s="60">
        <v>0</v>
      </c>
      <c r="H992" s="60">
        <v>30.99</v>
      </c>
      <c r="I992" s="60">
        <v>0.96</v>
      </c>
      <c r="J992" s="60">
        <v>0</v>
      </c>
      <c r="O992" s="60" t="s">
        <v>1722</v>
      </c>
      <c r="P992" s="60" t="s">
        <v>2053</v>
      </c>
      <c r="Q992" s="60" t="s">
        <v>4562</v>
      </c>
      <c r="R992" s="60">
        <v>18.899999999999999</v>
      </c>
      <c r="S992" s="60">
        <v>0</v>
      </c>
      <c r="T992" s="60">
        <v>1</v>
      </c>
      <c r="U992" s="60">
        <v>57.72</v>
      </c>
    </row>
    <row r="993" spans="1:21">
      <c r="A993" s="60" t="s">
        <v>1724</v>
      </c>
      <c r="B993" s="60" t="s">
        <v>2055</v>
      </c>
      <c r="C993" s="60" t="s">
        <v>4563</v>
      </c>
      <c r="D993" s="60">
        <v>12.75</v>
      </c>
      <c r="E993" s="60">
        <v>0.79</v>
      </c>
      <c r="F993" s="60">
        <v>359</v>
      </c>
      <c r="G993" s="60">
        <v>0</v>
      </c>
      <c r="H993" s="60">
        <v>1.41</v>
      </c>
      <c r="I993" s="60">
        <v>7</v>
      </c>
      <c r="J993" s="60">
        <v>0</v>
      </c>
      <c r="O993" s="60" t="s">
        <v>1724</v>
      </c>
      <c r="P993" s="60" t="s">
        <v>2055</v>
      </c>
      <c r="Q993" s="60" t="s">
        <v>4563</v>
      </c>
      <c r="R993" s="60">
        <v>12.75</v>
      </c>
      <c r="S993" s="60">
        <v>0.79</v>
      </c>
      <c r="T993" s="60">
        <v>359</v>
      </c>
      <c r="U993" s="60">
        <v>60.62</v>
      </c>
    </row>
    <row r="994" spans="1:21">
      <c r="A994" s="60" t="s">
        <v>1726</v>
      </c>
      <c r="B994" s="60" t="s">
        <v>2057</v>
      </c>
      <c r="C994" s="60" t="s">
        <v>4564</v>
      </c>
      <c r="D994" s="60">
        <v>20.350000000000001</v>
      </c>
      <c r="E994" s="60">
        <v>2.0099999999999998</v>
      </c>
      <c r="F994" s="60">
        <v>613</v>
      </c>
      <c r="G994" s="60">
        <v>4.08</v>
      </c>
      <c r="H994" s="60">
        <v>2.95</v>
      </c>
      <c r="I994" s="60">
        <v>11.01</v>
      </c>
      <c r="J994" s="60">
        <v>0</v>
      </c>
      <c r="O994" s="60" t="s">
        <v>1726</v>
      </c>
      <c r="P994" s="60" t="s">
        <v>2057</v>
      </c>
      <c r="Q994" s="60" t="s">
        <v>4564</v>
      </c>
      <c r="R994" s="60">
        <v>20.350000000000001</v>
      </c>
      <c r="S994" s="60">
        <v>2.0099999999999998</v>
      </c>
      <c r="T994" s="60">
        <v>613</v>
      </c>
      <c r="U994" s="60">
        <v>57.39</v>
      </c>
    </row>
    <row r="995" spans="1:21">
      <c r="A995" s="60" t="s">
        <v>1728</v>
      </c>
      <c r="B995" s="60" t="s">
        <v>2060</v>
      </c>
      <c r="C995" s="60" t="s">
        <v>4565</v>
      </c>
      <c r="D995" s="60">
        <v>15.45</v>
      </c>
      <c r="E995" s="60">
        <v>3</v>
      </c>
      <c r="F995" s="60">
        <v>6063</v>
      </c>
      <c r="G995" s="60">
        <v>1.27</v>
      </c>
      <c r="H995" s="60">
        <v>4.07</v>
      </c>
      <c r="I995" s="60">
        <v>17.170000000000002</v>
      </c>
      <c r="J995" s="60">
        <v>0</v>
      </c>
      <c r="O995" s="60" t="s">
        <v>1728</v>
      </c>
      <c r="P995" s="60" t="s">
        <v>2060</v>
      </c>
      <c r="Q995" s="60" t="s">
        <v>4565</v>
      </c>
      <c r="R995" s="60">
        <v>15.45</v>
      </c>
      <c r="S995" s="60">
        <v>3</v>
      </c>
      <c r="T995" s="60">
        <v>6063</v>
      </c>
      <c r="U995" s="60">
        <v>26.28</v>
      </c>
    </row>
    <row r="996" spans="1:21">
      <c r="A996" s="60" t="s">
        <v>1729</v>
      </c>
      <c r="B996" s="60" t="s">
        <v>2062</v>
      </c>
      <c r="C996" s="60" t="s">
        <v>4566</v>
      </c>
      <c r="D996" s="60">
        <v>14.5</v>
      </c>
      <c r="E996" s="60">
        <v>0</v>
      </c>
      <c r="F996" s="60">
        <v>77</v>
      </c>
      <c r="G996" s="60">
        <v>0.01</v>
      </c>
      <c r="H996" s="60">
        <v>0.45</v>
      </c>
      <c r="I996" s="60">
        <v>51.72</v>
      </c>
      <c r="J996" s="60">
        <v>0</v>
      </c>
      <c r="O996" s="60" t="s">
        <v>1729</v>
      </c>
      <c r="P996" s="60" t="s">
        <v>2062</v>
      </c>
      <c r="Q996" s="60" t="s">
        <v>4566</v>
      </c>
      <c r="R996" s="60">
        <v>14.5</v>
      </c>
      <c r="S996" s="60">
        <v>0</v>
      </c>
      <c r="T996" s="60">
        <v>77</v>
      </c>
      <c r="U996" s="60">
        <v>33.200000000000003</v>
      </c>
    </row>
    <row r="997" spans="1:21">
      <c r="A997" s="60" t="s">
        <v>1731</v>
      </c>
      <c r="B997" s="60" t="s">
        <v>2064</v>
      </c>
      <c r="C997" s="60" t="s">
        <v>3849</v>
      </c>
      <c r="D997" s="60">
        <v>14.65</v>
      </c>
      <c r="E997" s="60">
        <v>-0.68</v>
      </c>
      <c r="F997" s="60">
        <v>175</v>
      </c>
      <c r="G997" s="60">
        <v>0.49</v>
      </c>
      <c r="H997" s="60">
        <v>4.54</v>
      </c>
      <c r="I997" s="60">
        <v>17.57</v>
      </c>
      <c r="J997" s="60">
        <v>0.01</v>
      </c>
      <c r="O997" s="60" t="s">
        <v>1731</v>
      </c>
      <c r="P997" s="60" t="s">
        <v>2064</v>
      </c>
      <c r="Q997" s="60" t="s">
        <v>3849</v>
      </c>
      <c r="R997" s="60">
        <v>14.65</v>
      </c>
      <c r="S997" s="60">
        <v>-0.68</v>
      </c>
      <c r="T997" s="60">
        <v>175</v>
      </c>
      <c r="U997" s="60">
        <v>49.61</v>
      </c>
    </row>
    <row r="998" spans="1:21">
      <c r="A998" s="60" t="s">
        <v>1733</v>
      </c>
      <c r="B998" s="60" t="s">
        <v>2066</v>
      </c>
      <c r="C998" s="60" t="s">
        <v>4567</v>
      </c>
      <c r="D998" s="60">
        <v>162</v>
      </c>
      <c r="E998" s="60">
        <v>-2.7</v>
      </c>
      <c r="F998" s="60">
        <v>7884</v>
      </c>
      <c r="G998" s="60">
        <v>14.34</v>
      </c>
      <c r="H998" s="60">
        <v>2.5</v>
      </c>
      <c r="I998" s="60">
        <v>53.53</v>
      </c>
      <c r="J998" s="60">
        <v>0.02</v>
      </c>
      <c r="O998" s="60" t="s">
        <v>1733</v>
      </c>
      <c r="P998" s="60" t="s">
        <v>2066</v>
      </c>
      <c r="Q998" s="60" t="s">
        <v>4567</v>
      </c>
      <c r="R998" s="60">
        <v>162</v>
      </c>
      <c r="S998" s="60">
        <v>-2.7</v>
      </c>
      <c r="T998" s="60">
        <v>7884</v>
      </c>
      <c r="U998" s="60">
        <v>33.83</v>
      </c>
    </row>
    <row r="999" spans="1:21">
      <c r="A999" s="60" t="s">
        <v>1735</v>
      </c>
      <c r="B999" s="60" t="s">
        <v>2068</v>
      </c>
      <c r="C999" s="60" t="s">
        <v>3850</v>
      </c>
      <c r="D999" s="60">
        <v>42.3</v>
      </c>
      <c r="E999" s="60">
        <v>0.24</v>
      </c>
      <c r="F999" s="60">
        <v>648</v>
      </c>
      <c r="G999" s="60">
        <v>0.15</v>
      </c>
      <c r="H999" s="60">
        <v>10.050000000000001</v>
      </c>
      <c r="I999" s="60">
        <v>6.63</v>
      </c>
      <c r="J999" s="60">
        <v>0.05</v>
      </c>
      <c r="O999" s="60" t="s">
        <v>1735</v>
      </c>
      <c r="P999" s="60" t="s">
        <v>2068</v>
      </c>
      <c r="Q999" s="60" t="s">
        <v>3850</v>
      </c>
      <c r="R999" s="60">
        <v>42.3</v>
      </c>
      <c r="S999" s="60">
        <v>0.24</v>
      </c>
      <c r="T999" s="60">
        <v>648</v>
      </c>
      <c r="U999" s="60">
        <v>34.21</v>
      </c>
    </row>
    <row r="1000" spans="1:21">
      <c r="A1000" s="60" t="s">
        <v>1737</v>
      </c>
      <c r="B1000" s="60" t="s">
        <v>3259</v>
      </c>
      <c r="C1000" s="60" t="s">
        <v>37</v>
      </c>
      <c r="D1000" s="60">
        <v>39.799999999999997</v>
      </c>
      <c r="E1000" s="60">
        <v>3.11</v>
      </c>
      <c r="F1000" s="60">
        <v>836</v>
      </c>
      <c r="G1000" s="60">
        <v>0</v>
      </c>
      <c r="H1000" s="60">
        <v>0.61</v>
      </c>
      <c r="I1000" s="60">
        <v>0</v>
      </c>
      <c r="J1000" s="60">
        <v>0</v>
      </c>
      <c r="O1000" s="60" t="s">
        <v>1737</v>
      </c>
      <c r="P1000" s="60" t="s">
        <v>3259</v>
      </c>
      <c r="Q1000" s="60" t="s">
        <v>37</v>
      </c>
      <c r="R1000" s="60">
        <v>39.799999999999997</v>
      </c>
      <c r="S1000" s="60">
        <v>3.11</v>
      </c>
      <c r="T1000" s="60">
        <v>836</v>
      </c>
      <c r="U1000" s="60">
        <v>39.520000000000003</v>
      </c>
    </row>
    <row r="1001" spans="1:21">
      <c r="A1001" s="60" t="s">
        <v>1739</v>
      </c>
      <c r="B1001" s="60" t="s">
        <v>2070</v>
      </c>
      <c r="C1001" s="60" t="s">
        <v>4611</v>
      </c>
      <c r="D1001" s="60">
        <v>80.2</v>
      </c>
      <c r="E1001" s="60">
        <v>-0.37</v>
      </c>
      <c r="F1001" s="60">
        <v>37</v>
      </c>
      <c r="G1001" s="60">
        <v>0.12</v>
      </c>
      <c r="H1001" s="60">
        <v>14.72</v>
      </c>
      <c r="I1001" s="60">
        <v>20.79</v>
      </c>
      <c r="J1001" s="60">
        <v>0</v>
      </c>
      <c r="O1001" s="60" t="s">
        <v>1739</v>
      </c>
      <c r="P1001" s="60" t="s">
        <v>2070</v>
      </c>
      <c r="Q1001" s="60" t="s">
        <v>4611</v>
      </c>
      <c r="R1001" s="60">
        <v>80.2</v>
      </c>
      <c r="S1001" s="60">
        <v>-0.37</v>
      </c>
      <c r="T1001" s="60">
        <v>37</v>
      </c>
      <c r="U1001" s="60">
        <v>60.77</v>
      </c>
    </row>
    <row r="1002" spans="1:21">
      <c r="A1002" s="60" t="s">
        <v>1740</v>
      </c>
      <c r="B1002" s="60" t="s">
        <v>3260</v>
      </c>
      <c r="C1002" s="60" t="s">
        <v>4792</v>
      </c>
      <c r="D1002" s="60">
        <v>13.1</v>
      </c>
      <c r="E1002" s="60">
        <v>1.95</v>
      </c>
      <c r="F1002" s="60">
        <v>282</v>
      </c>
      <c r="G1002" s="60">
        <v>0</v>
      </c>
      <c r="H1002" s="60">
        <v>0.01</v>
      </c>
      <c r="I1002" s="60">
        <v>0</v>
      </c>
      <c r="J1002" s="60">
        <v>0</v>
      </c>
      <c r="O1002" s="60" t="s">
        <v>1740</v>
      </c>
      <c r="P1002" s="60" t="s">
        <v>3260</v>
      </c>
      <c r="Q1002" s="60" t="s">
        <v>4792</v>
      </c>
      <c r="R1002" s="60">
        <v>13.1</v>
      </c>
      <c r="S1002" s="60">
        <v>1.95</v>
      </c>
      <c r="T1002" s="60">
        <v>282</v>
      </c>
      <c r="U1002" s="60">
        <v>48.86</v>
      </c>
    </row>
    <row r="1003" spans="1:21">
      <c r="A1003" s="60" t="s">
        <v>1742</v>
      </c>
      <c r="B1003" s="60" t="s">
        <v>2072</v>
      </c>
      <c r="C1003" s="60" t="s">
        <v>3622</v>
      </c>
      <c r="D1003" s="60">
        <v>58.7</v>
      </c>
      <c r="E1003" s="60">
        <v>0.69</v>
      </c>
      <c r="F1003" s="60">
        <v>195</v>
      </c>
      <c r="G1003" s="60">
        <v>0</v>
      </c>
      <c r="H1003" s="60">
        <v>1.52</v>
      </c>
      <c r="I1003" s="60">
        <v>10.32</v>
      </c>
      <c r="J1003" s="60">
        <v>0</v>
      </c>
      <c r="O1003" s="60" t="s">
        <v>1742</v>
      </c>
      <c r="P1003" s="60" t="s">
        <v>2072</v>
      </c>
      <c r="Q1003" s="60" t="s">
        <v>3622</v>
      </c>
      <c r="R1003" s="60">
        <v>58.7</v>
      </c>
      <c r="S1003" s="60">
        <v>0.69</v>
      </c>
      <c r="T1003" s="60">
        <v>195</v>
      </c>
      <c r="U1003" s="60">
        <v>22.11</v>
      </c>
    </row>
    <row r="1004" spans="1:21">
      <c r="A1004" s="60" t="s">
        <v>1744</v>
      </c>
      <c r="B1004" s="60" t="s">
        <v>2074</v>
      </c>
      <c r="C1004" s="60" t="s">
        <v>4612</v>
      </c>
      <c r="D1004" s="60">
        <v>171</v>
      </c>
      <c r="E1004" s="60">
        <v>1.18</v>
      </c>
      <c r="F1004" s="60">
        <v>556</v>
      </c>
      <c r="G1004" s="60">
        <v>0.09</v>
      </c>
      <c r="H1004" s="60">
        <v>6.08</v>
      </c>
      <c r="I1004" s="60">
        <v>12.58</v>
      </c>
      <c r="J1004" s="60">
        <v>0</v>
      </c>
      <c r="O1004" s="60" t="s">
        <v>1744</v>
      </c>
      <c r="P1004" s="60" t="s">
        <v>2074</v>
      </c>
      <c r="Q1004" s="60" t="s">
        <v>4612</v>
      </c>
      <c r="R1004" s="60">
        <v>171</v>
      </c>
      <c r="S1004" s="60">
        <v>1.18</v>
      </c>
      <c r="T1004" s="60">
        <v>556</v>
      </c>
      <c r="U1004" s="60">
        <v>42.49</v>
      </c>
    </row>
    <row r="1005" spans="1:21">
      <c r="A1005" s="60" t="s">
        <v>1746</v>
      </c>
      <c r="B1005" s="60" t="s">
        <v>2076</v>
      </c>
      <c r="C1005" s="60" t="s">
        <v>3874</v>
      </c>
      <c r="D1005" s="60">
        <v>66.599999999999994</v>
      </c>
      <c r="E1005" s="60">
        <v>-1.04</v>
      </c>
      <c r="F1005" s="60">
        <v>38</v>
      </c>
      <c r="G1005" s="60">
        <v>0</v>
      </c>
      <c r="H1005" s="60">
        <v>23.15</v>
      </c>
      <c r="I1005" s="60">
        <v>6.63</v>
      </c>
      <c r="J1005" s="60">
        <v>0</v>
      </c>
      <c r="O1005" s="60" t="s">
        <v>1746</v>
      </c>
      <c r="P1005" s="60" t="s">
        <v>2076</v>
      </c>
      <c r="Q1005" s="60" t="s">
        <v>3874</v>
      </c>
      <c r="R1005" s="60">
        <v>66.599999999999994</v>
      </c>
      <c r="S1005" s="60">
        <v>-1.04</v>
      </c>
      <c r="T1005" s="60">
        <v>38</v>
      </c>
      <c r="U1005" s="60">
        <v>49.28</v>
      </c>
    </row>
    <row r="1006" spans="1:21">
      <c r="A1006" s="60" t="s">
        <v>1748</v>
      </c>
      <c r="B1006" s="60" t="s">
        <v>2078</v>
      </c>
      <c r="C1006" s="60" t="s">
        <v>3851</v>
      </c>
      <c r="D1006" s="60">
        <v>150</v>
      </c>
      <c r="E1006" s="60">
        <v>-4.46</v>
      </c>
      <c r="F1006" s="60">
        <v>7289</v>
      </c>
      <c r="G1006" s="60">
        <v>4.12</v>
      </c>
      <c r="H1006" s="60">
        <v>7</v>
      </c>
      <c r="I1006" s="60">
        <v>38.83</v>
      </c>
      <c r="J1006" s="60">
        <v>1.83</v>
      </c>
      <c r="O1006" s="60" t="s">
        <v>1748</v>
      </c>
      <c r="P1006" s="60" t="s">
        <v>2078</v>
      </c>
      <c r="Q1006" s="60" t="s">
        <v>3851</v>
      </c>
      <c r="R1006" s="60">
        <v>150</v>
      </c>
      <c r="S1006" s="60">
        <v>-4.46</v>
      </c>
      <c r="T1006" s="60">
        <v>7289</v>
      </c>
      <c r="U1006" s="60">
        <v>33</v>
      </c>
    </row>
    <row r="1007" spans="1:21">
      <c r="A1007" s="60" t="s">
        <v>1750</v>
      </c>
      <c r="B1007" s="60" t="s">
        <v>2080</v>
      </c>
      <c r="C1007" s="60" t="s">
        <v>4568</v>
      </c>
      <c r="D1007" s="60">
        <v>27</v>
      </c>
      <c r="E1007" s="60">
        <v>1.1200000000000001</v>
      </c>
      <c r="F1007" s="60">
        <v>52</v>
      </c>
      <c r="G1007" s="60">
        <v>0</v>
      </c>
      <c r="H1007" s="60">
        <v>0.14000000000000001</v>
      </c>
      <c r="I1007" s="60">
        <v>0.9</v>
      </c>
      <c r="J1007" s="60">
        <v>0</v>
      </c>
      <c r="O1007" s="60" t="s">
        <v>1750</v>
      </c>
      <c r="P1007" s="60" t="s">
        <v>2080</v>
      </c>
      <c r="Q1007" s="60" t="s">
        <v>4568</v>
      </c>
      <c r="R1007" s="60">
        <v>27</v>
      </c>
      <c r="S1007" s="60">
        <v>1.1200000000000001</v>
      </c>
      <c r="T1007" s="60">
        <v>52</v>
      </c>
      <c r="U1007" s="60">
        <v>46.58</v>
      </c>
    </row>
    <row r="1008" spans="1:21">
      <c r="A1008" s="60" t="s">
        <v>1752</v>
      </c>
      <c r="B1008" s="60" t="s">
        <v>3261</v>
      </c>
      <c r="C1008" s="60" t="s">
        <v>4613</v>
      </c>
      <c r="D1008" s="60">
        <v>299.5</v>
      </c>
      <c r="E1008" s="60">
        <v>5.83</v>
      </c>
      <c r="F1008" s="60">
        <v>7084</v>
      </c>
      <c r="G1008" s="60">
        <v>0</v>
      </c>
      <c r="H1008" s="60">
        <v>13.69</v>
      </c>
      <c r="I1008" s="60">
        <v>0</v>
      </c>
      <c r="J1008" s="60">
        <v>0</v>
      </c>
      <c r="O1008" s="60" t="s">
        <v>1752</v>
      </c>
      <c r="P1008" s="60" t="s">
        <v>3261</v>
      </c>
      <c r="Q1008" s="60" t="s">
        <v>4613</v>
      </c>
      <c r="R1008" s="60">
        <v>299.5</v>
      </c>
      <c r="S1008" s="60">
        <v>5.83</v>
      </c>
      <c r="T1008" s="60">
        <v>7084</v>
      </c>
      <c r="U1008" s="60">
        <v>50.84</v>
      </c>
    </row>
    <row r="1009" spans="1:21">
      <c r="A1009" s="60" t="s">
        <v>1754</v>
      </c>
      <c r="B1009" s="60" t="s">
        <v>2082</v>
      </c>
      <c r="C1009" s="60" t="s">
        <v>4614</v>
      </c>
      <c r="D1009" s="60">
        <v>26.85</v>
      </c>
      <c r="E1009" s="60">
        <v>0</v>
      </c>
      <c r="F1009" s="60">
        <v>60</v>
      </c>
      <c r="G1009" s="60">
        <v>0</v>
      </c>
      <c r="H1009" s="60">
        <v>0.37</v>
      </c>
      <c r="I1009" s="60">
        <v>26.82</v>
      </c>
      <c r="J1009" s="60">
        <v>0</v>
      </c>
      <c r="O1009" s="60" t="s">
        <v>1754</v>
      </c>
      <c r="P1009" s="60" t="s">
        <v>2082</v>
      </c>
      <c r="Q1009" s="60" t="s">
        <v>4614</v>
      </c>
      <c r="R1009" s="60">
        <v>26.85</v>
      </c>
      <c r="S1009" s="60">
        <v>0</v>
      </c>
      <c r="T1009" s="60">
        <v>60</v>
      </c>
      <c r="U1009" s="60">
        <v>38.81</v>
      </c>
    </row>
    <row r="1010" spans="1:21">
      <c r="A1010" s="60" t="s">
        <v>1755</v>
      </c>
      <c r="B1010" s="60" t="s">
        <v>2084</v>
      </c>
      <c r="C1010" s="60" t="s">
        <v>4615</v>
      </c>
      <c r="D1010" s="60">
        <v>23.8</v>
      </c>
      <c r="E1010" s="60">
        <v>-0.83</v>
      </c>
      <c r="F1010" s="60">
        <v>21</v>
      </c>
      <c r="G1010" s="60">
        <v>0</v>
      </c>
      <c r="H1010" s="60">
        <v>15.11</v>
      </c>
      <c r="I1010" s="60">
        <v>3.52</v>
      </c>
      <c r="J1010" s="60">
        <v>0</v>
      </c>
      <c r="O1010" s="60" t="s">
        <v>1755</v>
      </c>
      <c r="P1010" s="60" t="s">
        <v>2084</v>
      </c>
      <c r="Q1010" s="60" t="s">
        <v>4615</v>
      </c>
      <c r="R1010" s="60">
        <v>23.8</v>
      </c>
      <c r="S1010" s="60">
        <v>-0.83</v>
      </c>
      <c r="T1010" s="60">
        <v>21</v>
      </c>
      <c r="U1010" s="60">
        <v>47.67</v>
      </c>
    </row>
    <row r="1011" spans="1:21">
      <c r="A1011" s="60" t="s">
        <v>1757</v>
      </c>
      <c r="B1011" s="60" t="s">
        <v>2086</v>
      </c>
      <c r="C1011" s="60" t="s">
        <v>52</v>
      </c>
      <c r="D1011" s="60">
        <v>57.2</v>
      </c>
      <c r="E1011" s="60">
        <v>1.06</v>
      </c>
      <c r="F1011" s="60">
        <v>1361</v>
      </c>
      <c r="G1011" s="60">
        <v>0.18</v>
      </c>
      <c r="H1011" s="60">
        <v>5.29</v>
      </c>
      <c r="I1011" s="60">
        <v>26.66</v>
      </c>
      <c r="J1011" s="60">
        <v>0</v>
      </c>
      <c r="O1011" s="60" t="s">
        <v>1757</v>
      </c>
      <c r="P1011" s="60" t="s">
        <v>2086</v>
      </c>
      <c r="Q1011" s="60" t="s">
        <v>52</v>
      </c>
      <c r="R1011" s="60">
        <v>57.2</v>
      </c>
      <c r="S1011" s="60">
        <v>1.06</v>
      </c>
      <c r="T1011" s="60">
        <v>1361</v>
      </c>
      <c r="U1011" s="60">
        <v>23.01</v>
      </c>
    </row>
    <row r="1012" spans="1:21">
      <c r="A1012" s="60" t="s">
        <v>1759</v>
      </c>
      <c r="B1012" s="60" t="s">
        <v>2088</v>
      </c>
      <c r="C1012" s="60" t="s">
        <v>4616</v>
      </c>
      <c r="D1012" s="60">
        <v>35.6</v>
      </c>
      <c r="E1012" s="60">
        <v>0.28000000000000003</v>
      </c>
      <c r="F1012" s="60">
        <v>9</v>
      </c>
      <c r="G1012" s="60">
        <v>0</v>
      </c>
      <c r="H1012" s="60">
        <v>1.52</v>
      </c>
      <c r="I1012" s="60">
        <v>1.85</v>
      </c>
      <c r="J1012" s="60">
        <v>0</v>
      </c>
      <c r="O1012" s="60" t="s">
        <v>1759</v>
      </c>
      <c r="P1012" s="60" t="s">
        <v>2088</v>
      </c>
      <c r="Q1012" s="60" t="s">
        <v>4616</v>
      </c>
      <c r="R1012" s="60">
        <v>35.6</v>
      </c>
      <c r="S1012" s="60">
        <v>0.28000000000000003</v>
      </c>
      <c r="T1012" s="60">
        <v>9</v>
      </c>
      <c r="U1012" s="60">
        <v>33.22</v>
      </c>
    </row>
    <row r="1013" spans="1:21">
      <c r="A1013" s="60" t="s">
        <v>1761</v>
      </c>
      <c r="B1013" s="60" t="s">
        <v>3262</v>
      </c>
      <c r="C1013" s="60" t="s">
        <v>4569</v>
      </c>
      <c r="D1013" s="60">
        <v>38</v>
      </c>
      <c r="E1013" s="60">
        <v>0</v>
      </c>
      <c r="F1013" s="60">
        <v>19</v>
      </c>
      <c r="G1013" s="60">
        <v>0</v>
      </c>
      <c r="H1013" s="60">
        <v>0.02</v>
      </c>
      <c r="I1013" s="60">
        <v>0</v>
      </c>
      <c r="J1013" s="60">
        <v>0</v>
      </c>
      <c r="O1013" s="60" t="s">
        <v>1761</v>
      </c>
      <c r="P1013" s="60" t="s">
        <v>3262</v>
      </c>
      <c r="Q1013" s="60" t="s">
        <v>4569</v>
      </c>
      <c r="R1013" s="60">
        <v>38</v>
      </c>
      <c r="S1013" s="60">
        <v>0</v>
      </c>
      <c r="T1013" s="60">
        <v>19</v>
      </c>
      <c r="U1013" s="60">
        <v>29.01</v>
      </c>
    </row>
    <row r="1014" spans="1:21">
      <c r="A1014" s="60" t="s">
        <v>1763</v>
      </c>
      <c r="B1014" s="60" t="s">
        <v>2090</v>
      </c>
      <c r="C1014" s="60" t="s">
        <v>3852</v>
      </c>
      <c r="D1014" s="60">
        <v>82.9</v>
      </c>
      <c r="E1014" s="60">
        <v>1.22</v>
      </c>
      <c r="F1014" s="60">
        <v>461</v>
      </c>
      <c r="G1014" s="60">
        <v>0.05</v>
      </c>
      <c r="H1014" s="60">
        <v>30.08</v>
      </c>
      <c r="I1014" s="60">
        <v>6.76</v>
      </c>
      <c r="J1014" s="60">
        <v>0</v>
      </c>
      <c r="O1014" s="60" t="s">
        <v>1763</v>
      </c>
      <c r="P1014" s="60" t="s">
        <v>2090</v>
      </c>
      <c r="Q1014" s="60" t="s">
        <v>3852</v>
      </c>
      <c r="R1014" s="60">
        <v>82.9</v>
      </c>
      <c r="S1014" s="60">
        <v>1.22</v>
      </c>
      <c r="T1014" s="60">
        <v>461</v>
      </c>
      <c r="U1014" s="60">
        <v>72.650000000000006</v>
      </c>
    </row>
    <row r="1015" spans="1:21">
      <c r="A1015" s="60" t="s">
        <v>1765</v>
      </c>
      <c r="B1015" s="60" t="s">
        <v>2092</v>
      </c>
      <c r="C1015" s="60" t="s">
        <v>3679</v>
      </c>
      <c r="D1015" s="60">
        <v>99.9</v>
      </c>
      <c r="E1015" s="60">
        <v>-0.1</v>
      </c>
      <c r="F1015" s="60">
        <v>163</v>
      </c>
      <c r="G1015" s="60">
        <v>0.12</v>
      </c>
      <c r="H1015" s="60">
        <v>5.56</v>
      </c>
      <c r="I1015" s="60">
        <v>19.440000000000001</v>
      </c>
      <c r="J1015" s="60">
        <v>0</v>
      </c>
      <c r="O1015" s="60" t="s">
        <v>1765</v>
      </c>
      <c r="P1015" s="60" t="s">
        <v>2092</v>
      </c>
      <c r="Q1015" s="60" t="s">
        <v>3679</v>
      </c>
      <c r="R1015" s="60">
        <v>99.9</v>
      </c>
      <c r="S1015" s="60">
        <v>-0.1</v>
      </c>
      <c r="T1015" s="60">
        <v>163</v>
      </c>
      <c r="U1015" s="60">
        <v>34.04</v>
      </c>
    </row>
    <row r="1016" spans="1:21">
      <c r="A1016" s="60" t="s">
        <v>1767</v>
      </c>
      <c r="B1016" s="60" t="s">
        <v>2094</v>
      </c>
      <c r="C1016" s="60" t="s">
        <v>3853</v>
      </c>
      <c r="D1016" s="60">
        <v>100</v>
      </c>
      <c r="E1016" s="60">
        <v>0.4</v>
      </c>
      <c r="F1016" s="60">
        <v>76</v>
      </c>
      <c r="G1016" s="60">
        <v>0.11</v>
      </c>
      <c r="H1016" s="60">
        <v>65.67</v>
      </c>
      <c r="I1016" s="60">
        <v>8.9700000000000006</v>
      </c>
      <c r="J1016" s="60">
        <v>0</v>
      </c>
      <c r="O1016" s="60" t="s">
        <v>1767</v>
      </c>
      <c r="P1016" s="60" t="s">
        <v>2094</v>
      </c>
      <c r="Q1016" s="60" t="s">
        <v>3853</v>
      </c>
      <c r="R1016" s="60">
        <v>100</v>
      </c>
      <c r="S1016" s="60">
        <v>0.4</v>
      </c>
      <c r="T1016" s="60">
        <v>76</v>
      </c>
      <c r="U1016" s="60">
        <v>69.42</v>
      </c>
    </row>
    <row r="1017" spans="1:21">
      <c r="A1017" s="60" t="s">
        <v>1769</v>
      </c>
      <c r="B1017" s="60" t="s">
        <v>2096</v>
      </c>
      <c r="C1017" s="60" t="s">
        <v>3854</v>
      </c>
      <c r="D1017" s="60">
        <v>60.5</v>
      </c>
      <c r="E1017" s="60">
        <v>0</v>
      </c>
      <c r="F1017" s="60">
        <v>3</v>
      </c>
      <c r="G1017" s="60">
        <v>0</v>
      </c>
      <c r="H1017" s="60">
        <v>37.979999999999997</v>
      </c>
      <c r="I1017" s="60">
        <v>0.98</v>
      </c>
      <c r="J1017" s="60">
        <v>0</v>
      </c>
      <c r="O1017" s="60" t="s">
        <v>1769</v>
      </c>
      <c r="P1017" s="60" t="s">
        <v>2096</v>
      </c>
      <c r="Q1017" s="60" t="s">
        <v>3854</v>
      </c>
      <c r="R1017" s="60">
        <v>60.5</v>
      </c>
      <c r="S1017" s="60">
        <v>0</v>
      </c>
      <c r="T1017" s="60">
        <v>3</v>
      </c>
      <c r="U1017" s="60">
        <v>71.25</v>
      </c>
    </row>
    <row r="1018" spans="1:21">
      <c r="A1018" s="60" t="s">
        <v>1771</v>
      </c>
      <c r="B1018" s="60" t="s">
        <v>2098</v>
      </c>
      <c r="C1018" s="60" t="s">
        <v>3855</v>
      </c>
      <c r="D1018" s="60">
        <v>137.5</v>
      </c>
      <c r="E1018" s="60">
        <v>0.73</v>
      </c>
      <c r="F1018" s="60">
        <v>68</v>
      </c>
      <c r="G1018" s="60">
        <v>0</v>
      </c>
      <c r="H1018" s="60">
        <v>17.100000000000001</v>
      </c>
      <c r="I1018" s="60">
        <v>0.3</v>
      </c>
      <c r="J1018" s="60">
        <v>0</v>
      </c>
      <c r="O1018" s="60" t="s">
        <v>1771</v>
      </c>
      <c r="P1018" s="60" t="s">
        <v>2098</v>
      </c>
      <c r="Q1018" s="60" t="s">
        <v>3855</v>
      </c>
      <c r="R1018" s="60">
        <v>137.5</v>
      </c>
      <c r="S1018" s="60">
        <v>0.73</v>
      </c>
      <c r="T1018" s="60">
        <v>68</v>
      </c>
      <c r="U1018" s="60">
        <v>73.86</v>
      </c>
    </row>
    <row r="1019" spans="1:21">
      <c r="A1019" s="60" t="s">
        <v>1773</v>
      </c>
      <c r="B1019" s="60" t="s">
        <v>3263</v>
      </c>
      <c r="C1019" s="60" t="s">
        <v>4570</v>
      </c>
      <c r="D1019" s="60">
        <v>28.1</v>
      </c>
      <c r="E1019" s="60">
        <v>-2.6</v>
      </c>
      <c r="F1019" s="60">
        <v>1</v>
      </c>
      <c r="G1019" s="60">
        <v>0</v>
      </c>
      <c r="H1019" s="60">
        <v>2.79</v>
      </c>
      <c r="I1019" s="60">
        <v>0</v>
      </c>
      <c r="J1019" s="60">
        <v>0</v>
      </c>
      <c r="O1019" s="60" t="s">
        <v>1773</v>
      </c>
      <c r="P1019" s="60" t="s">
        <v>3263</v>
      </c>
      <c r="Q1019" s="60" t="s">
        <v>4570</v>
      </c>
      <c r="R1019" s="60">
        <v>28.1</v>
      </c>
      <c r="S1019" s="60">
        <v>-2.6</v>
      </c>
      <c r="T1019" s="60">
        <v>1</v>
      </c>
      <c r="U1019" s="60">
        <v>47.55</v>
      </c>
    </row>
    <row r="1020" spans="1:21">
      <c r="A1020" s="60" t="s">
        <v>1775</v>
      </c>
      <c r="B1020" s="60" t="s">
        <v>2100</v>
      </c>
      <c r="C1020" s="60" t="s">
        <v>2101</v>
      </c>
      <c r="D1020" s="60">
        <v>5.47</v>
      </c>
      <c r="E1020" s="60">
        <v>-9.8800000000000008</v>
      </c>
      <c r="F1020" s="60">
        <v>8</v>
      </c>
      <c r="G1020" s="60">
        <v>0</v>
      </c>
      <c r="H1020" s="60">
        <v>41.08</v>
      </c>
      <c r="I1020" s="60">
        <v>0</v>
      </c>
      <c r="J1020" s="60">
        <v>0.01</v>
      </c>
      <c r="O1020" s="60" t="s">
        <v>1775</v>
      </c>
      <c r="P1020" s="60" t="s">
        <v>2100</v>
      </c>
      <c r="Q1020" s="60" t="s">
        <v>2101</v>
      </c>
      <c r="R1020" s="60">
        <v>5.47</v>
      </c>
      <c r="S1020" s="60">
        <v>-9.8800000000000008</v>
      </c>
      <c r="T1020" s="60">
        <v>8</v>
      </c>
      <c r="U1020" s="60">
        <v>48.91</v>
      </c>
    </row>
    <row r="1021" spans="1:21">
      <c r="A1021" s="60" t="s">
        <v>1777</v>
      </c>
      <c r="B1021" s="60" t="s">
        <v>2103</v>
      </c>
      <c r="C1021" s="60" t="s">
        <v>5093</v>
      </c>
      <c r="D1021" s="60">
        <v>8.2799999999999994</v>
      </c>
      <c r="E1021" s="60">
        <v>0.36</v>
      </c>
      <c r="F1021" s="60">
        <v>51</v>
      </c>
      <c r="G1021" s="60">
        <v>0</v>
      </c>
      <c r="H1021" s="60">
        <v>5.24</v>
      </c>
      <c r="I1021" s="60">
        <v>38.159999999999997</v>
      </c>
      <c r="J1021" s="60">
        <v>0</v>
      </c>
      <c r="O1021" s="60" t="s">
        <v>1777</v>
      </c>
      <c r="P1021" s="60" t="s">
        <v>2103</v>
      </c>
      <c r="Q1021" s="60" t="s">
        <v>5093</v>
      </c>
      <c r="R1021" s="60">
        <v>8.2799999999999994</v>
      </c>
      <c r="S1021" s="60">
        <v>0.36</v>
      </c>
      <c r="T1021" s="60">
        <v>51</v>
      </c>
      <c r="U1021" s="60">
        <v>53.31</v>
      </c>
    </row>
    <row r="1022" spans="1:21">
      <c r="A1022" s="60" t="s">
        <v>1779</v>
      </c>
      <c r="B1022" s="60" t="s">
        <v>3264</v>
      </c>
      <c r="C1022" s="60" t="s">
        <v>5180</v>
      </c>
      <c r="D1022" s="60">
        <v>9.3000000000000007</v>
      </c>
      <c r="E1022" s="60">
        <v>1.53</v>
      </c>
      <c r="F1022" s="60">
        <v>4</v>
      </c>
      <c r="G1022" s="60">
        <v>0</v>
      </c>
      <c r="H1022" s="60">
        <v>9.57</v>
      </c>
      <c r="I1022" s="60">
        <v>0</v>
      </c>
      <c r="J1022" s="60">
        <v>0</v>
      </c>
      <c r="O1022" s="60" t="s">
        <v>1779</v>
      </c>
      <c r="P1022" s="60" t="s">
        <v>3264</v>
      </c>
      <c r="Q1022" s="60" t="s">
        <v>5180</v>
      </c>
      <c r="R1022" s="60">
        <v>9.3000000000000007</v>
      </c>
      <c r="S1022" s="60">
        <v>1.53</v>
      </c>
      <c r="T1022" s="60">
        <v>4</v>
      </c>
      <c r="U1022" s="60">
        <v>52.81</v>
      </c>
    </row>
    <row r="1023" spans="1:21">
      <c r="A1023" s="60" t="s">
        <v>1781</v>
      </c>
      <c r="B1023" s="60" t="s">
        <v>2106</v>
      </c>
      <c r="C1023" s="60" t="s">
        <v>4422</v>
      </c>
      <c r="D1023" s="60">
        <v>29.8</v>
      </c>
      <c r="E1023" s="60">
        <v>0.68</v>
      </c>
      <c r="F1023" s="60">
        <v>197</v>
      </c>
      <c r="G1023" s="60">
        <v>0.47</v>
      </c>
      <c r="H1023" s="60">
        <v>73.099999999999994</v>
      </c>
      <c r="I1023" s="60">
        <v>5.86</v>
      </c>
      <c r="J1023" s="60">
        <v>0</v>
      </c>
      <c r="O1023" s="60" t="s">
        <v>1781</v>
      </c>
      <c r="P1023" s="60" t="s">
        <v>2106</v>
      </c>
      <c r="Q1023" s="60" t="s">
        <v>4422</v>
      </c>
      <c r="R1023" s="60">
        <v>29.8</v>
      </c>
      <c r="S1023" s="60">
        <v>0.68</v>
      </c>
      <c r="T1023" s="60">
        <v>197</v>
      </c>
      <c r="U1023" s="60">
        <v>60.26</v>
      </c>
    </row>
    <row r="1024" spans="1:21">
      <c r="A1024" s="60" t="s">
        <v>1783</v>
      </c>
      <c r="B1024" s="60" t="s">
        <v>3265</v>
      </c>
      <c r="C1024" s="60" t="s">
        <v>4834</v>
      </c>
      <c r="D1024" s="60">
        <v>12</v>
      </c>
      <c r="E1024" s="60">
        <v>-0.83</v>
      </c>
      <c r="F1024" s="60">
        <v>485</v>
      </c>
      <c r="G1024" s="60">
        <v>0</v>
      </c>
      <c r="H1024" s="60">
        <v>0.35</v>
      </c>
      <c r="I1024" s="60">
        <v>0</v>
      </c>
      <c r="J1024" s="60">
        <v>0</v>
      </c>
      <c r="O1024" s="60" t="s">
        <v>1783</v>
      </c>
      <c r="P1024" s="60" t="s">
        <v>3265</v>
      </c>
      <c r="Q1024" s="60" t="s">
        <v>4834</v>
      </c>
      <c r="R1024" s="60">
        <v>12</v>
      </c>
      <c r="S1024" s="60">
        <v>-0.83</v>
      </c>
      <c r="T1024" s="60">
        <v>485</v>
      </c>
      <c r="U1024" s="60">
        <v>11.91</v>
      </c>
    </row>
    <row r="1025" spans="1:21">
      <c r="A1025" s="60" t="s">
        <v>1785</v>
      </c>
      <c r="B1025" s="60" t="s">
        <v>2109</v>
      </c>
      <c r="C1025" s="60" t="s">
        <v>4131</v>
      </c>
      <c r="D1025" s="60">
        <v>63.4</v>
      </c>
      <c r="E1025" s="60">
        <v>-1.0900000000000001</v>
      </c>
      <c r="F1025" s="60">
        <v>2881</v>
      </c>
      <c r="G1025" s="60">
        <v>0</v>
      </c>
      <c r="H1025" s="60">
        <v>21.79</v>
      </c>
      <c r="I1025" s="60">
        <v>0.02</v>
      </c>
      <c r="J1025" s="60">
        <v>1.27</v>
      </c>
      <c r="O1025" s="60" t="s">
        <v>1785</v>
      </c>
      <c r="P1025" s="60" t="s">
        <v>2109</v>
      </c>
      <c r="Q1025" s="60" t="s">
        <v>4131</v>
      </c>
      <c r="R1025" s="60">
        <v>63.4</v>
      </c>
      <c r="S1025" s="60">
        <v>-1.0900000000000001</v>
      </c>
      <c r="T1025" s="60">
        <v>2881</v>
      </c>
      <c r="U1025" s="60">
        <v>88.9</v>
      </c>
    </row>
    <row r="1026" spans="1:21">
      <c r="A1026" s="60" t="s">
        <v>1787</v>
      </c>
      <c r="B1026" s="60" t="s">
        <v>2111</v>
      </c>
      <c r="C1026" s="60" t="s">
        <v>4835</v>
      </c>
      <c r="D1026" s="60">
        <v>51.4</v>
      </c>
      <c r="E1026" s="60">
        <v>0.98</v>
      </c>
      <c r="F1026" s="60">
        <v>4</v>
      </c>
      <c r="G1026" s="60">
        <v>0</v>
      </c>
      <c r="H1026" s="60">
        <v>18.46</v>
      </c>
      <c r="I1026" s="60">
        <v>1.86</v>
      </c>
      <c r="J1026" s="60">
        <v>0</v>
      </c>
      <c r="O1026" s="60" t="s">
        <v>1787</v>
      </c>
      <c r="P1026" s="60" t="s">
        <v>2111</v>
      </c>
      <c r="Q1026" s="60" t="s">
        <v>4835</v>
      </c>
      <c r="R1026" s="60">
        <v>51.4</v>
      </c>
      <c r="S1026" s="60">
        <v>0.98</v>
      </c>
      <c r="T1026" s="60">
        <v>4</v>
      </c>
      <c r="U1026" s="60">
        <v>65.94</v>
      </c>
    </row>
    <row r="1027" spans="1:21">
      <c r="A1027" s="60" t="s">
        <v>1788</v>
      </c>
      <c r="B1027" s="60" t="s">
        <v>2113</v>
      </c>
      <c r="C1027" s="60" t="s">
        <v>4132</v>
      </c>
      <c r="D1027" s="60">
        <v>28.25</v>
      </c>
      <c r="E1027" s="60">
        <v>0.18</v>
      </c>
      <c r="F1027" s="60">
        <v>4257</v>
      </c>
      <c r="G1027" s="60">
        <v>2.76</v>
      </c>
      <c r="H1027" s="60">
        <v>5.62</v>
      </c>
      <c r="I1027" s="60">
        <v>15.15</v>
      </c>
      <c r="J1027" s="60">
        <v>0</v>
      </c>
      <c r="O1027" s="60" t="s">
        <v>1788</v>
      </c>
      <c r="P1027" s="60" t="s">
        <v>2113</v>
      </c>
      <c r="Q1027" s="60" t="s">
        <v>4132</v>
      </c>
      <c r="R1027" s="60">
        <v>28.25</v>
      </c>
      <c r="S1027" s="60">
        <v>0.18</v>
      </c>
      <c r="T1027" s="60">
        <v>4257</v>
      </c>
      <c r="U1027" s="60">
        <v>15.98</v>
      </c>
    </row>
    <row r="1028" spans="1:21">
      <c r="A1028" s="60" t="s">
        <v>1789</v>
      </c>
      <c r="B1028" s="60" t="s">
        <v>2115</v>
      </c>
      <c r="C1028" s="60" t="s">
        <v>5052</v>
      </c>
      <c r="D1028" s="60">
        <v>25.7</v>
      </c>
      <c r="E1028" s="60">
        <v>0.19</v>
      </c>
      <c r="F1028" s="60">
        <v>51</v>
      </c>
      <c r="G1028" s="60">
        <v>0</v>
      </c>
      <c r="H1028" s="60">
        <v>0.12</v>
      </c>
      <c r="I1028" s="60">
        <v>0.79</v>
      </c>
      <c r="J1028" s="60">
        <v>0</v>
      </c>
      <c r="O1028" s="60" t="s">
        <v>1789</v>
      </c>
      <c r="P1028" s="60" t="s">
        <v>2115</v>
      </c>
      <c r="Q1028" s="60" t="s">
        <v>5052</v>
      </c>
      <c r="R1028" s="60">
        <v>25.7</v>
      </c>
      <c r="S1028" s="60">
        <v>0.19</v>
      </c>
      <c r="T1028" s="60">
        <v>51</v>
      </c>
      <c r="U1028" s="60">
        <v>85.11</v>
      </c>
    </row>
    <row r="1029" spans="1:21">
      <c r="A1029" s="60" t="s">
        <v>1791</v>
      </c>
      <c r="B1029" s="60" t="s">
        <v>2117</v>
      </c>
      <c r="C1029" s="60" t="s">
        <v>4836</v>
      </c>
      <c r="D1029" s="60">
        <v>34.15</v>
      </c>
      <c r="E1029" s="60">
        <v>7.22</v>
      </c>
      <c r="F1029" s="60">
        <v>3309</v>
      </c>
      <c r="G1029" s="60">
        <v>0.02</v>
      </c>
      <c r="H1029" s="60">
        <v>2.34</v>
      </c>
      <c r="I1029" s="60">
        <v>18.09</v>
      </c>
      <c r="J1029" s="60">
        <v>0</v>
      </c>
      <c r="O1029" s="60" t="s">
        <v>1791</v>
      </c>
      <c r="P1029" s="60" t="s">
        <v>2117</v>
      </c>
      <c r="Q1029" s="60" t="s">
        <v>4836</v>
      </c>
      <c r="R1029" s="60">
        <v>34.15</v>
      </c>
      <c r="S1029" s="60">
        <v>7.22</v>
      </c>
      <c r="T1029" s="60">
        <v>3309</v>
      </c>
      <c r="U1029" s="60">
        <v>39.07</v>
      </c>
    </row>
    <row r="1030" spans="1:21">
      <c r="A1030" s="60" t="s">
        <v>1793</v>
      </c>
      <c r="B1030" s="60" t="s">
        <v>2119</v>
      </c>
      <c r="C1030" s="60" t="s">
        <v>4837</v>
      </c>
      <c r="D1030" s="60">
        <v>23.2</v>
      </c>
      <c r="E1030" s="60">
        <v>-0.43</v>
      </c>
      <c r="F1030" s="60">
        <v>237</v>
      </c>
      <c r="G1030" s="60">
        <v>0.05</v>
      </c>
      <c r="H1030" s="60">
        <v>4.78</v>
      </c>
      <c r="I1030" s="60">
        <v>17.62</v>
      </c>
      <c r="J1030" s="60">
        <v>0.04</v>
      </c>
      <c r="O1030" s="60" t="s">
        <v>1793</v>
      </c>
      <c r="P1030" s="60" t="s">
        <v>2119</v>
      </c>
      <c r="Q1030" s="60" t="s">
        <v>4837</v>
      </c>
      <c r="R1030" s="60">
        <v>23.2</v>
      </c>
      <c r="S1030" s="60">
        <v>-0.43</v>
      </c>
      <c r="T1030" s="60">
        <v>237</v>
      </c>
      <c r="U1030" s="60">
        <v>34.31</v>
      </c>
    </row>
    <row r="1031" spans="1:21">
      <c r="A1031" s="60" t="s">
        <v>1795</v>
      </c>
      <c r="B1031" s="60" t="s">
        <v>3266</v>
      </c>
      <c r="C1031" s="60" t="s">
        <v>4617</v>
      </c>
      <c r="D1031" s="60">
        <v>27.8</v>
      </c>
      <c r="E1031" s="60">
        <v>2.96</v>
      </c>
      <c r="F1031" s="60">
        <v>7</v>
      </c>
      <c r="G1031" s="60">
        <v>0</v>
      </c>
      <c r="H1031" s="60">
        <v>0.02</v>
      </c>
      <c r="I1031" s="60">
        <v>0</v>
      </c>
      <c r="J1031" s="60">
        <v>0</v>
      </c>
      <c r="O1031" s="60" t="s">
        <v>1795</v>
      </c>
      <c r="P1031" s="60" t="s">
        <v>3266</v>
      </c>
      <c r="Q1031" s="60" t="s">
        <v>4617</v>
      </c>
      <c r="R1031" s="60">
        <v>27.8</v>
      </c>
      <c r="S1031" s="60">
        <v>2.96</v>
      </c>
      <c r="T1031" s="60">
        <v>7</v>
      </c>
      <c r="U1031" s="60">
        <v>45.98</v>
      </c>
    </row>
    <row r="1032" spans="1:21">
      <c r="A1032" s="60" t="s">
        <v>1797</v>
      </c>
      <c r="B1032" s="60" t="s">
        <v>2121</v>
      </c>
      <c r="C1032" s="60" t="s">
        <v>4202</v>
      </c>
      <c r="D1032" s="60">
        <v>175.5</v>
      </c>
      <c r="E1032" s="60">
        <v>3.24</v>
      </c>
      <c r="F1032" s="60">
        <v>927</v>
      </c>
      <c r="G1032" s="60">
        <v>0.08</v>
      </c>
      <c r="H1032" s="60">
        <v>31.85</v>
      </c>
      <c r="I1032" s="60">
        <v>21.05</v>
      </c>
      <c r="J1032" s="60">
        <v>0</v>
      </c>
      <c r="O1032" s="60" t="s">
        <v>1797</v>
      </c>
      <c r="P1032" s="60" t="s">
        <v>2121</v>
      </c>
      <c r="Q1032" s="60" t="s">
        <v>4202</v>
      </c>
      <c r="R1032" s="60">
        <v>175.5</v>
      </c>
      <c r="S1032" s="60">
        <v>3.24</v>
      </c>
      <c r="T1032" s="60">
        <v>927</v>
      </c>
      <c r="U1032" s="60">
        <v>41.26</v>
      </c>
    </row>
    <row r="1033" spans="1:21">
      <c r="A1033" s="60" t="s">
        <v>1799</v>
      </c>
      <c r="B1033" s="60" t="s">
        <v>2123</v>
      </c>
      <c r="C1033" s="60" t="s">
        <v>4203</v>
      </c>
      <c r="D1033" s="60">
        <v>55.1</v>
      </c>
      <c r="E1033" s="60">
        <v>-0.72</v>
      </c>
      <c r="F1033" s="60">
        <v>6192</v>
      </c>
      <c r="G1033" s="60">
        <v>0.09</v>
      </c>
      <c r="H1033" s="60">
        <v>49.96</v>
      </c>
      <c r="I1033" s="60">
        <v>10.23</v>
      </c>
      <c r="J1033" s="60">
        <v>0.45</v>
      </c>
      <c r="O1033" s="60" t="s">
        <v>1799</v>
      </c>
      <c r="P1033" s="60" t="s">
        <v>2123</v>
      </c>
      <c r="Q1033" s="60" t="s">
        <v>4203</v>
      </c>
      <c r="R1033" s="60">
        <v>55.1</v>
      </c>
      <c r="S1033" s="60">
        <v>-0.72</v>
      </c>
      <c r="T1033" s="60">
        <v>6192</v>
      </c>
      <c r="U1033" s="60">
        <v>56.99</v>
      </c>
    </row>
    <row r="1034" spans="1:21">
      <c r="A1034" s="60" t="s">
        <v>1801</v>
      </c>
      <c r="B1034" s="60" t="s">
        <v>2125</v>
      </c>
      <c r="C1034" s="60" t="s">
        <v>4032</v>
      </c>
      <c r="D1034" s="60">
        <v>38.35</v>
      </c>
      <c r="E1034" s="60">
        <v>9.89</v>
      </c>
      <c r="F1034" s="60">
        <v>20166</v>
      </c>
      <c r="G1034" s="60">
        <v>1.87</v>
      </c>
      <c r="H1034" s="60">
        <v>2.19</v>
      </c>
      <c r="I1034" s="60">
        <v>21.31</v>
      </c>
      <c r="J1034" s="60">
        <v>0</v>
      </c>
      <c r="O1034" s="60" t="s">
        <v>1801</v>
      </c>
      <c r="P1034" s="60" t="s">
        <v>2125</v>
      </c>
      <c r="Q1034" s="60" t="s">
        <v>4032</v>
      </c>
      <c r="R1034" s="60">
        <v>38.35</v>
      </c>
      <c r="S1034" s="60">
        <v>9.89</v>
      </c>
      <c r="T1034" s="60">
        <v>20166</v>
      </c>
      <c r="U1034" s="60">
        <v>33.89</v>
      </c>
    </row>
    <row r="1035" spans="1:21">
      <c r="A1035" s="60" t="s">
        <v>1803</v>
      </c>
      <c r="B1035" s="60" t="s">
        <v>2127</v>
      </c>
      <c r="C1035" s="60" t="s">
        <v>3977</v>
      </c>
      <c r="D1035" s="60">
        <v>137.5</v>
      </c>
      <c r="E1035" s="60">
        <v>1.48</v>
      </c>
      <c r="F1035" s="60">
        <v>9890</v>
      </c>
      <c r="G1035" s="60">
        <v>1.7</v>
      </c>
      <c r="H1035" s="60">
        <v>12.4</v>
      </c>
      <c r="I1035" s="60">
        <v>21.31</v>
      </c>
      <c r="J1035" s="60">
        <v>5.0599999999999996</v>
      </c>
      <c r="O1035" s="60" t="s">
        <v>1803</v>
      </c>
      <c r="P1035" s="60" t="s">
        <v>2127</v>
      </c>
      <c r="Q1035" s="60" t="s">
        <v>3977</v>
      </c>
      <c r="R1035" s="60">
        <v>137.5</v>
      </c>
      <c r="S1035" s="60">
        <v>1.48</v>
      </c>
      <c r="T1035" s="60">
        <v>9890</v>
      </c>
      <c r="U1035" s="60">
        <v>65.989999999999995</v>
      </c>
    </row>
    <row r="1036" spans="1:21">
      <c r="A1036" s="60" t="s">
        <v>1805</v>
      </c>
      <c r="B1036" s="60" t="s">
        <v>3267</v>
      </c>
      <c r="C1036" s="60" t="s">
        <v>4749</v>
      </c>
      <c r="D1036" s="60">
        <v>13.85</v>
      </c>
      <c r="E1036" s="60">
        <v>0</v>
      </c>
      <c r="F1036" s="60">
        <v>10</v>
      </c>
      <c r="G1036" s="60">
        <v>0</v>
      </c>
      <c r="H1036" s="60">
        <v>32.69</v>
      </c>
      <c r="I1036" s="60">
        <v>0</v>
      </c>
      <c r="J1036" s="60">
        <v>0</v>
      </c>
      <c r="O1036" s="60" t="s">
        <v>1805</v>
      </c>
      <c r="P1036" s="60" t="s">
        <v>3267</v>
      </c>
      <c r="Q1036" s="60" t="s">
        <v>4749</v>
      </c>
      <c r="R1036" s="60">
        <v>13.85</v>
      </c>
      <c r="S1036" s="60">
        <v>0</v>
      </c>
      <c r="T1036" s="60">
        <v>10</v>
      </c>
      <c r="U1036" s="60">
        <v>54.46</v>
      </c>
    </row>
    <row r="1037" spans="1:21">
      <c r="A1037" s="60" t="s">
        <v>1807</v>
      </c>
      <c r="B1037" s="60" t="s">
        <v>2130</v>
      </c>
      <c r="C1037" s="60" t="s">
        <v>4204</v>
      </c>
      <c r="D1037" s="60">
        <v>102.5</v>
      </c>
      <c r="E1037" s="60">
        <v>-0.49</v>
      </c>
      <c r="F1037" s="60">
        <v>16422</v>
      </c>
      <c r="G1037" s="60">
        <v>1.39</v>
      </c>
      <c r="H1037" s="60">
        <v>28.42</v>
      </c>
      <c r="I1037" s="60">
        <v>29.91</v>
      </c>
      <c r="J1037" s="60">
        <v>3.71</v>
      </c>
      <c r="O1037" s="60" t="s">
        <v>1807</v>
      </c>
      <c r="P1037" s="60" t="s">
        <v>2130</v>
      </c>
      <c r="Q1037" s="60" t="s">
        <v>4204</v>
      </c>
      <c r="R1037" s="60">
        <v>102.5</v>
      </c>
      <c r="S1037" s="60">
        <v>-0.49</v>
      </c>
      <c r="T1037" s="60">
        <v>16422</v>
      </c>
      <c r="U1037" s="60">
        <v>59.47</v>
      </c>
    </row>
    <row r="1038" spans="1:21">
      <c r="A1038" s="60" t="s">
        <v>1809</v>
      </c>
      <c r="B1038" s="60" t="s">
        <v>2132</v>
      </c>
      <c r="C1038" s="60" t="s">
        <v>3828</v>
      </c>
      <c r="D1038" s="60">
        <v>26.2</v>
      </c>
      <c r="E1038" s="60">
        <v>0.96</v>
      </c>
      <c r="F1038" s="60">
        <v>517</v>
      </c>
      <c r="G1038" s="60">
        <v>0.06</v>
      </c>
      <c r="H1038" s="60">
        <v>6.29</v>
      </c>
      <c r="I1038" s="60">
        <v>14.77</v>
      </c>
      <c r="J1038" s="60">
        <v>0</v>
      </c>
      <c r="O1038" s="60" t="s">
        <v>1809</v>
      </c>
      <c r="P1038" s="60" t="s">
        <v>2132</v>
      </c>
      <c r="Q1038" s="60" t="s">
        <v>3828</v>
      </c>
      <c r="R1038" s="60">
        <v>26.2</v>
      </c>
      <c r="S1038" s="60">
        <v>0.96</v>
      </c>
      <c r="T1038" s="60">
        <v>517</v>
      </c>
      <c r="U1038" s="60">
        <v>56.99</v>
      </c>
    </row>
    <row r="1039" spans="1:21">
      <c r="A1039" s="60" t="s">
        <v>1811</v>
      </c>
      <c r="B1039" s="60" t="s">
        <v>2134</v>
      </c>
      <c r="C1039" s="60" t="s">
        <v>4750</v>
      </c>
      <c r="D1039" s="60">
        <v>19.25</v>
      </c>
      <c r="E1039" s="60">
        <v>-0.26</v>
      </c>
      <c r="F1039" s="60">
        <v>37</v>
      </c>
      <c r="G1039" s="60">
        <v>0</v>
      </c>
      <c r="H1039" s="60">
        <v>34.82</v>
      </c>
      <c r="I1039" s="60">
        <v>5.61</v>
      </c>
      <c r="J1039" s="60">
        <v>0</v>
      </c>
      <c r="O1039" s="60" t="s">
        <v>1811</v>
      </c>
      <c r="P1039" s="60" t="s">
        <v>2134</v>
      </c>
      <c r="Q1039" s="60" t="s">
        <v>4750</v>
      </c>
      <c r="R1039" s="60">
        <v>19.25</v>
      </c>
      <c r="S1039" s="60">
        <v>-0.26</v>
      </c>
      <c r="T1039" s="60">
        <v>37</v>
      </c>
      <c r="U1039" s="60">
        <v>54.2</v>
      </c>
    </row>
    <row r="1040" spans="1:21">
      <c r="A1040" s="60" t="s">
        <v>1814</v>
      </c>
      <c r="B1040" s="60" t="s">
        <v>2136</v>
      </c>
      <c r="C1040" s="60" t="s">
        <v>4793</v>
      </c>
      <c r="D1040" s="60">
        <v>35.15</v>
      </c>
      <c r="E1040" s="60">
        <v>0.43</v>
      </c>
      <c r="F1040" s="60">
        <v>86</v>
      </c>
      <c r="G1040" s="60">
        <v>0</v>
      </c>
      <c r="H1040" s="60">
        <v>3.71</v>
      </c>
      <c r="I1040" s="60">
        <v>8.1300000000000008</v>
      </c>
      <c r="J1040" s="60">
        <v>0</v>
      </c>
      <c r="O1040" s="60" t="s">
        <v>1814</v>
      </c>
      <c r="P1040" s="60" t="s">
        <v>2136</v>
      </c>
      <c r="Q1040" s="60" t="s">
        <v>4793</v>
      </c>
      <c r="R1040" s="60">
        <v>35.15</v>
      </c>
      <c r="S1040" s="60">
        <v>0.43</v>
      </c>
      <c r="T1040" s="60">
        <v>86</v>
      </c>
      <c r="U1040" s="60">
        <v>59.95</v>
      </c>
    </row>
    <row r="1041" spans="1:21">
      <c r="A1041" s="60" t="s">
        <v>1816</v>
      </c>
      <c r="B1041" s="60" t="s">
        <v>3268</v>
      </c>
      <c r="C1041" s="60" t="s">
        <v>4083</v>
      </c>
      <c r="D1041" s="60">
        <v>36.25</v>
      </c>
      <c r="E1041" s="60">
        <v>0.97</v>
      </c>
      <c r="F1041" s="60">
        <v>2591</v>
      </c>
      <c r="G1041" s="60">
        <v>0</v>
      </c>
      <c r="H1041" s="60">
        <v>0.76</v>
      </c>
      <c r="I1041" s="60">
        <v>0</v>
      </c>
      <c r="J1041" s="60">
        <v>0</v>
      </c>
      <c r="O1041" s="60" t="s">
        <v>1816</v>
      </c>
      <c r="P1041" s="60" t="s">
        <v>3268</v>
      </c>
      <c r="Q1041" s="60" t="s">
        <v>4083</v>
      </c>
      <c r="R1041" s="60">
        <v>36.25</v>
      </c>
      <c r="S1041" s="60">
        <v>0.97</v>
      </c>
      <c r="T1041" s="60">
        <v>2591</v>
      </c>
      <c r="U1041" s="60">
        <v>29.09</v>
      </c>
    </row>
    <row r="1042" spans="1:21">
      <c r="A1042" s="60" t="s">
        <v>1818</v>
      </c>
      <c r="B1042" s="60" t="s">
        <v>2139</v>
      </c>
      <c r="C1042" s="60" t="s">
        <v>4084</v>
      </c>
      <c r="D1042" s="60">
        <v>78</v>
      </c>
      <c r="E1042" s="60">
        <v>1.96</v>
      </c>
      <c r="F1042" s="60">
        <v>432</v>
      </c>
      <c r="G1042" s="60">
        <v>0.04</v>
      </c>
      <c r="H1042" s="60">
        <v>26.55</v>
      </c>
      <c r="I1042" s="60">
        <v>13.04</v>
      </c>
      <c r="J1042" s="60">
        <v>0.17</v>
      </c>
      <c r="O1042" s="60" t="s">
        <v>1818</v>
      </c>
      <c r="P1042" s="60" t="s">
        <v>2139</v>
      </c>
      <c r="Q1042" s="60" t="s">
        <v>4084</v>
      </c>
      <c r="R1042" s="60">
        <v>78</v>
      </c>
      <c r="S1042" s="60">
        <v>1.96</v>
      </c>
      <c r="T1042" s="60">
        <v>432</v>
      </c>
      <c r="U1042" s="60">
        <v>45.98</v>
      </c>
    </row>
    <row r="1043" spans="1:21">
      <c r="A1043" s="60" t="s">
        <v>1820</v>
      </c>
      <c r="B1043" s="60" t="s">
        <v>2141</v>
      </c>
      <c r="C1043" s="60" t="s">
        <v>4033</v>
      </c>
      <c r="D1043" s="60">
        <v>68.2</v>
      </c>
      <c r="E1043" s="60">
        <v>0.15</v>
      </c>
      <c r="F1043" s="60">
        <v>4196</v>
      </c>
      <c r="G1043" s="60">
        <v>0.01</v>
      </c>
      <c r="H1043" s="60">
        <v>32.979999999999997</v>
      </c>
      <c r="I1043" s="60">
        <v>2.1</v>
      </c>
      <c r="J1043" s="60">
        <v>2.64</v>
      </c>
      <c r="O1043" s="60" t="s">
        <v>1820</v>
      </c>
      <c r="P1043" s="60" t="s">
        <v>2141</v>
      </c>
      <c r="Q1043" s="60" t="s">
        <v>4033</v>
      </c>
      <c r="R1043" s="60">
        <v>68.2</v>
      </c>
      <c r="S1043" s="60">
        <v>0.15</v>
      </c>
      <c r="T1043" s="60">
        <v>4196</v>
      </c>
      <c r="U1043" s="60">
        <v>65.12</v>
      </c>
    </row>
    <row r="1044" spans="1:21">
      <c r="A1044" s="60" t="s">
        <v>1821</v>
      </c>
      <c r="B1044" s="60" t="s">
        <v>2143</v>
      </c>
      <c r="C1044" s="60" t="s">
        <v>4904</v>
      </c>
      <c r="D1044" s="60">
        <v>20.7</v>
      </c>
      <c r="E1044" s="60">
        <v>2.48</v>
      </c>
      <c r="F1044" s="60">
        <v>289</v>
      </c>
      <c r="G1044" s="60">
        <v>0.04</v>
      </c>
      <c r="H1044" s="60">
        <v>2.74</v>
      </c>
      <c r="I1044" s="60">
        <v>18.809999999999999</v>
      </c>
      <c r="J1044" s="60">
        <v>0</v>
      </c>
      <c r="O1044" s="60" t="s">
        <v>1821</v>
      </c>
      <c r="P1044" s="60" t="s">
        <v>2143</v>
      </c>
      <c r="Q1044" s="60" t="s">
        <v>4904</v>
      </c>
      <c r="R1044" s="60">
        <v>20.7</v>
      </c>
      <c r="S1044" s="60">
        <v>2.48</v>
      </c>
      <c r="T1044" s="60">
        <v>289</v>
      </c>
      <c r="U1044" s="60">
        <v>13.29</v>
      </c>
    </row>
    <row r="1045" spans="1:21">
      <c r="A1045" s="60" t="s">
        <v>1823</v>
      </c>
      <c r="B1045" s="60" t="s">
        <v>2145</v>
      </c>
      <c r="C1045" s="60" t="s">
        <v>4085</v>
      </c>
      <c r="D1045" s="60">
        <v>46.7</v>
      </c>
      <c r="E1045" s="60">
        <v>0.21</v>
      </c>
      <c r="F1045" s="60">
        <v>176</v>
      </c>
      <c r="G1045" s="60">
        <v>0</v>
      </c>
      <c r="H1045" s="60">
        <v>17.7</v>
      </c>
      <c r="I1045" s="60">
        <v>5.34</v>
      </c>
      <c r="J1045" s="60">
        <v>0.01</v>
      </c>
      <c r="O1045" s="60" t="s">
        <v>1823</v>
      </c>
      <c r="P1045" s="60" t="s">
        <v>2145</v>
      </c>
      <c r="Q1045" s="60" t="s">
        <v>4085</v>
      </c>
      <c r="R1045" s="60">
        <v>46.7</v>
      </c>
      <c r="S1045" s="60">
        <v>0.21</v>
      </c>
      <c r="T1045" s="60">
        <v>176</v>
      </c>
      <c r="U1045" s="60">
        <v>52.84</v>
      </c>
    </row>
    <row r="1046" spans="1:21">
      <c r="A1046" s="60" t="s">
        <v>1824</v>
      </c>
      <c r="B1046" s="60" t="s">
        <v>2147</v>
      </c>
      <c r="C1046" s="60" t="s">
        <v>3683</v>
      </c>
      <c r="D1046" s="60">
        <v>30.3</v>
      </c>
      <c r="E1046" s="60">
        <v>-9.9600000000000009</v>
      </c>
      <c r="F1046" s="60">
        <v>312</v>
      </c>
      <c r="G1046" s="60">
        <v>6.83</v>
      </c>
      <c r="H1046" s="60">
        <v>38.08</v>
      </c>
      <c r="I1046" s="60">
        <v>11.84</v>
      </c>
      <c r="J1046" s="60">
        <v>0</v>
      </c>
      <c r="O1046" s="60" t="s">
        <v>1824</v>
      </c>
      <c r="P1046" s="60" t="s">
        <v>2147</v>
      </c>
      <c r="Q1046" s="60" t="s">
        <v>3683</v>
      </c>
      <c r="R1046" s="60">
        <v>30.3</v>
      </c>
      <c r="S1046" s="60">
        <v>-9.9600000000000009</v>
      </c>
      <c r="T1046" s="60">
        <v>312</v>
      </c>
      <c r="U1046" s="60">
        <v>45.65</v>
      </c>
    </row>
    <row r="1047" spans="1:21">
      <c r="A1047" s="60" t="s">
        <v>1826</v>
      </c>
      <c r="B1047" s="60" t="s">
        <v>3269</v>
      </c>
      <c r="C1047" s="60" t="s">
        <v>4794</v>
      </c>
      <c r="D1047" s="60">
        <v>20.100000000000001</v>
      </c>
      <c r="E1047" s="60">
        <v>-0.5</v>
      </c>
      <c r="F1047" s="60">
        <v>142</v>
      </c>
      <c r="G1047" s="60">
        <v>0</v>
      </c>
      <c r="H1047" s="60">
        <v>0.6</v>
      </c>
      <c r="I1047" s="60">
        <v>0</v>
      </c>
      <c r="J1047" s="60">
        <v>0</v>
      </c>
      <c r="O1047" s="60" t="s">
        <v>1826</v>
      </c>
      <c r="P1047" s="60" t="s">
        <v>3269</v>
      </c>
      <c r="Q1047" s="60" t="s">
        <v>4794</v>
      </c>
      <c r="R1047" s="60">
        <v>20.100000000000001</v>
      </c>
      <c r="S1047" s="60">
        <v>-0.5</v>
      </c>
      <c r="T1047" s="60">
        <v>142</v>
      </c>
      <c r="U1047" s="60">
        <v>60.5</v>
      </c>
    </row>
    <row r="1048" spans="1:21">
      <c r="A1048" s="60" t="s">
        <v>1828</v>
      </c>
      <c r="B1048" s="60" t="s">
        <v>3270</v>
      </c>
      <c r="C1048" s="60" t="s">
        <v>4681</v>
      </c>
      <c r="D1048" s="60">
        <v>69.7</v>
      </c>
      <c r="E1048" s="60">
        <v>3.87</v>
      </c>
      <c r="F1048" s="60">
        <v>254</v>
      </c>
      <c r="G1048" s="60">
        <v>0.08</v>
      </c>
      <c r="H1048" s="60">
        <v>4.33</v>
      </c>
      <c r="I1048" s="60">
        <v>6.92</v>
      </c>
      <c r="J1048" s="60">
        <v>0</v>
      </c>
      <c r="O1048" s="60" t="s">
        <v>1828</v>
      </c>
      <c r="P1048" s="60" t="s">
        <v>3270</v>
      </c>
      <c r="Q1048" s="60" t="s">
        <v>4681</v>
      </c>
      <c r="R1048" s="60">
        <v>69.7</v>
      </c>
      <c r="S1048" s="60">
        <v>3.87</v>
      </c>
      <c r="T1048" s="60">
        <v>254</v>
      </c>
      <c r="U1048" s="60">
        <v>52.03</v>
      </c>
    </row>
    <row r="1049" spans="1:21">
      <c r="A1049" s="60" t="s">
        <v>1830</v>
      </c>
      <c r="B1049" s="60" t="s">
        <v>3271</v>
      </c>
      <c r="C1049" s="60" t="s">
        <v>5181</v>
      </c>
      <c r="D1049" s="60">
        <v>35.25</v>
      </c>
      <c r="E1049" s="60">
        <v>-2.08</v>
      </c>
      <c r="F1049" s="60">
        <v>99</v>
      </c>
      <c r="G1049" s="60">
        <v>0</v>
      </c>
      <c r="H1049" s="60">
        <v>19.239999999999998</v>
      </c>
      <c r="I1049" s="60">
        <v>0</v>
      </c>
      <c r="J1049" s="60">
        <v>0</v>
      </c>
      <c r="O1049" s="60" t="s">
        <v>1830</v>
      </c>
      <c r="P1049" s="60" t="s">
        <v>3271</v>
      </c>
      <c r="Q1049" s="60" t="s">
        <v>5181</v>
      </c>
      <c r="R1049" s="60">
        <v>35.25</v>
      </c>
      <c r="S1049" s="60">
        <v>-2.08</v>
      </c>
      <c r="T1049" s="60">
        <v>99</v>
      </c>
      <c r="U1049" s="60">
        <v>24.67</v>
      </c>
    </row>
    <row r="1050" spans="1:21">
      <c r="A1050" s="60" t="s">
        <v>1832</v>
      </c>
      <c r="B1050" s="60" t="s">
        <v>3272</v>
      </c>
      <c r="C1050" s="60" t="s">
        <v>5134</v>
      </c>
      <c r="D1050" s="60">
        <v>19.3</v>
      </c>
      <c r="E1050" s="60">
        <v>-0.77</v>
      </c>
      <c r="F1050" s="60">
        <v>275</v>
      </c>
      <c r="G1050" s="60">
        <v>0</v>
      </c>
      <c r="H1050" s="60">
        <v>18.059999999999999</v>
      </c>
      <c r="I1050" s="60">
        <v>0</v>
      </c>
      <c r="J1050" s="60">
        <v>0</v>
      </c>
      <c r="O1050" s="60" t="s">
        <v>1832</v>
      </c>
      <c r="P1050" s="60" t="s">
        <v>3272</v>
      </c>
      <c r="Q1050" s="60" t="s">
        <v>5134</v>
      </c>
      <c r="R1050" s="60">
        <v>19.3</v>
      </c>
      <c r="S1050" s="60">
        <v>-0.77</v>
      </c>
      <c r="T1050" s="60">
        <v>275</v>
      </c>
      <c r="U1050" s="60">
        <v>28.8</v>
      </c>
    </row>
    <row r="1051" spans="1:21">
      <c r="A1051" s="60" t="s">
        <v>1834</v>
      </c>
      <c r="B1051" s="60" t="s">
        <v>2150</v>
      </c>
      <c r="C1051" s="60" t="s">
        <v>3978</v>
      </c>
      <c r="D1051" s="60">
        <v>75.099999999999994</v>
      </c>
      <c r="E1051" s="60">
        <v>-0.13</v>
      </c>
      <c r="F1051" s="60">
        <v>1393</v>
      </c>
      <c r="G1051" s="60">
        <v>0.4</v>
      </c>
      <c r="H1051" s="60">
        <v>7.49</v>
      </c>
      <c r="I1051" s="60">
        <v>19.690000000000001</v>
      </c>
      <c r="J1051" s="60">
        <v>0</v>
      </c>
      <c r="O1051" s="60" t="s">
        <v>1834</v>
      </c>
      <c r="P1051" s="60" t="s">
        <v>2150</v>
      </c>
      <c r="Q1051" s="60" t="s">
        <v>3978</v>
      </c>
      <c r="R1051" s="60">
        <v>75.099999999999994</v>
      </c>
      <c r="S1051" s="60">
        <v>-0.13</v>
      </c>
      <c r="T1051" s="60">
        <v>1393</v>
      </c>
      <c r="U1051" s="60">
        <v>50.33</v>
      </c>
    </row>
    <row r="1052" spans="1:21">
      <c r="A1052" s="60" t="s">
        <v>1836</v>
      </c>
      <c r="B1052" s="60" t="s">
        <v>2152</v>
      </c>
      <c r="C1052" s="60" t="s">
        <v>4981</v>
      </c>
      <c r="D1052" s="60">
        <v>87.4</v>
      </c>
      <c r="E1052" s="60">
        <v>0.34</v>
      </c>
      <c r="F1052" s="60">
        <v>117</v>
      </c>
      <c r="G1052" s="60">
        <v>0</v>
      </c>
      <c r="H1052" s="60">
        <v>12.25</v>
      </c>
      <c r="I1052" s="60">
        <v>9.07</v>
      </c>
      <c r="J1052" s="60">
        <v>0.7</v>
      </c>
      <c r="O1052" s="60" t="s">
        <v>1836</v>
      </c>
      <c r="P1052" s="60" t="s">
        <v>2152</v>
      </c>
      <c r="Q1052" s="60" t="s">
        <v>4981</v>
      </c>
      <c r="R1052" s="60">
        <v>87.4</v>
      </c>
      <c r="S1052" s="60">
        <v>0.34</v>
      </c>
      <c r="T1052" s="60">
        <v>117</v>
      </c>
      <c r="U1052" s="60">
        <v>37.729999999999997</v>
      </c>
    </row>
    <row r="1053" spans="1:21">
      <c r="A1053" s="60" t="s">
        <v>1838</v>
      </c>
      <c r="B1053" s="60" t="s">
        <v>2154</v>
      </c>
      <c r="C1053" s="60" t="s">
        <v>4086</v>
      </c>
      <c r="D1053" s="60">
        <v>25.6</v>
      </c>
      <c r="E1053" s="60">
        <v>1.59</v>
      </c>
      <c r="F1053" s="60">
        <v>3195</v>
      </c>
      <c r="G1053" s="60">
        <v>0.18</v>
      </c>
      <c r="H1053" s="60">
        <v>9.4</v>
      </c>
      <c r="I1053" s="60">
        <v>26.2</v>
      </c>
      <c r="J1053" s="60">
        <v>0</v>
      </c>
      <c r="O1053" s="60" t="s">
        <v>1838</v>
      </c>
      <c r="P1053" s="60" t="s">
        <v>2154</v>
      </c>
      <c r="Q1053" s="60" t="s">
        <v>4086</v>
      </c>
      <c r="R1053" s="60">
        <v>25.6</v>
      </c>
      <c r="S1053" s="60">
        <v>1.59</v>
      </c>
      <c r="T1053" s="60">
        <v>3195</v>
      </c>
      <c r="U1053" s="60">
        <v>23.73</v>
      </c>
    </row>
    <row r="1054" spans="1:21">
      <c r="A1054" s="60" t="s">
        <v>1840</v>
      </c>
      <c r="B1054" s="60" t="s">
        <v>2156</v>
      </c>
      <c r="C1054" s="60" t="s">
        <v>4205</v>
      </c>
      <c r="D1054" s="60">
        <v>102.5</v>
      </c>
      <c r="E1054" s="60">
        <v>2.5</v>
      </c>
      <c r="F1054" s="60">
        <v>3748</v>
      </c>
      <c r="G1054" s="60">
        <v>0.01</v>
      </c>
      <c r="H1054" s="60">
        <v>61.28</v>
      </c>
      <c r="I1054" s="60">
        <v>6.28</v>
      </c>
      <c r="J1054" s="60">
        <v>0.3</v>
      </c>
      <c r="O1054" s="60" t="s">
        <v>1840</v>
      </c>
      <c r="P1054" s="60" t="s">
        <v>2156</v>
      </c>
      <c r="Q1054" s="60" t="s">
        <v>4205</v>
      </c>
      <c r="R1054" s="60">
        <v>102.5</v>
      </c>
      <c r="S1054" s="60">
        <v>2.5</v>
      </c>
      <c r="T1054" s="60">
        <v>3748</v>
      </c>
      <c r="U1054" s="60">
        <v>70.86</v>
      </c>
    </row>
    <row r="1055" spans="1:21">
      <c r="A1055" s="60" t="s">
        <v>1842</v>
      </c>
      <c r="B1055" s="60" t="s">
        <v>2158</v>
      </c>
      <c r="C1055" s="60" t="s">
        <v>4087</v>
      </c>
      <c r="D1055" s="60">
        <v>13.25</v>
      </c>
      <c r="E1055" s="60">
        <v>1.1499999999999999</v>
      </c>
      <c r="F1055" s="60">
        <v>10561</v>
      </c>
      <c r="G1055" s="60">
        <v>0.34</v>
      </c>
      <c r="H1055" s="60">
        <v>7.36</v>
      </c>
      <c r="I1055" s="60">
        <v>15.06</v>
      </c>
      <c r="J1055" s="60">
        <v>0</v>
      </c>
      <c r="O1055" s="60" t="s">
        <v>1842</v>
      </c>
      <c r="P1055" s="60" t="s">
        <v>2158</v>
      </c>
      <c r="Q1055" s="60" t="s">
        <v>4087</v>
      </c>
      <c r="R1055" s="60">
        <v>13.25</v>
      </c>
      <c r="S1055" s="60">
        <v>1.1499999999999999</v>
      </c>
      <c r="T1055" s="60">
        <v>10561</v>
      </c>
      <c r="U1055" s="60">
        <v>36.57</v>
      </c>
    </row>
    <row r="1056" spans="1:21">
      <c r="A1056" s="60" t="s">
        <v>1844</v>
      </c>
      <c r="B1056" s="60" t="s">
        <v>2160</v>
      </c>
      <c r="C1056" s="60" t="s">
        <v>3979</v>
      </c>
      <c r="D1056" s="60">
        <v>265.5</v>
      </c>
      <c r="E1056" s="60">
        <v>-1.1200000000000001</v>
      </c>
      <c r="F1056" s="60">
        <v>8860</v>
      </c>
      <c r="G1056" s="60">
        <v>3.58</v>
      </c>
      <c r="H1056" s="60">
        <v>9.68</v>
      </c>
      <c r="I1056" s="60">
        <v>28.23</v>
      </c>
      <c r="J1056" s="60">
        <v>1.51</v>
      </c>
      <c r="O1056" s="60" t="s">
        <v>1844</v>
      </c>
      <c r="P1056" s="60" t="s">
        <v>2160</v>
      </c>
      <c r="Q1056" s="60" t="s">
        <v>3979</v>
      </c>
      <c r="R1056" s="60">
        <v>265.5</v>
      </c>
      <c r="S1056" s="60">
        <v>-1.1200000000000001</v>
      </c>
      <c r="T1056" s="60">
        <v>8860</v>
      </c>
      <c r="U1056" s="60">
        <v>39.369999999999997</v>
      </c>
    </row>
    <row r="1057" spans="1:21">
      <c r="A1057" s="60" t="s">
        <v>1846</v>
      </c>
      <c r="B1057" s="60" t="s">
        <v>2162</v>
      </c>
      <c r="C1057" s="60" t="s">
        <v>4682</v>
      </c>
      <c r="D1057" s="60">
        <v>2130</v>
      </c>
      <c r="E1057" s="60">
        <v>0.95</v>
      </c>
      <c r="F1057" s="60">
        <v>562</v>
      </c>
      <c r="G1057" s="60">
        <v>0.71</v>
      </c>
      <c r="H1057" s="60">
        <v>75.8</v>
      </c>
      <c r="I1057" s="60">
        <v>3.44</v>
      </c>
      <c r="J1057" s="60">
        <v>4.5</v>
      </c>
      <c r="O1057" s="60" t="s">
        <v>1846</v>
      </c>
      <c r="P1057" s="60" t="s">
        <v>2162</v>
      </c>
      <c r="Q1057" s="60" t="s">
        <v>4682</v>
      </c>
      <c r="R1057" s="60">
        <v>2130</v>
      </c>
      <c r="S1057" s="60">
        <v>0.95</v>
      </c>
      <c r="T1057" s="60">
        <v>562</v>
      </c>
      <c r="U1057" s="60">
        <v>36.56</v>
      </c>
    </row>
    <row r="1058" spans="1:21">
      <c r="A1058" s="60" t="s">
        <v>1848</v>
      </c>
      <c r="B1058" s="60" t="s">
        <v>2164</v>
      </c>
      <c r="C1058" s="60" t="s">
        <v>3980</v>
      </c>
      <c r="D1058" s="60">
        <v>47.5</v>
      </c>
      <c r="E1058" s="60">
        <v>9.9499999999999993</v>
      </c>
      <c r="F1058" s="60">
        <v>4943</v>
      </c>
      <c r="G1058" s="60">
        <v>19.87</v>
      </c>
      <c r="H1058" s="60">
        <v>8.51</v>
      </c>
      <c r="I1058" s="60">
        <v>46.04</v>
      </c>
      <c r="J1058" s="60">
        <v>0</v>
      </c>
      <c r="O1058" s="60" t="s">
        <v>1848</v>
      </c>
      <c r="P1058" s="60" t="s">
        <v>2164</v>
      </c>
      <c r="Q1058" s="60" t="s">
        <v>3980</v>
      </c>
      <c r="R1058" s="60">
        <v>47.5</v>
      </c>
      <c r="S1058" s="60">
        <v>9.9499999999999993</v>
      </c>
      <c r="T1058" s="60">
        <v>4943</v>
      </c>
      <c r="U1058" s="60">
        <v>11.88</v>
      </c>
    </row>
    <row r="1059" spans="1:21">
      <c r="A1059" s="60" t="s">
        <v>1850</v>
      </c>
      <c r="B1059" s="60" t="s">
        <v>2166</v>
      </c>
      <c r="C1059" s="60" t="s">
        <v>3981</v>
      </c>
      <c r="D1059" s="60">
        <v>316.5</v>
      </c>
      <c r="E1059" s="60">
        <v>-2.91</v>
      </c>
      <c r="F1059" s="60">
        <v>1987</v>
      </c>
      <c r="G1059" s="60">
        <v>5.34</v>
      </c>
      <c r="H1059" s="60">
        <v>44.17</v>
      </c>
      <c r="I1059" s="60">
        <v>18.75</v>
      </c>
      <c r="J1059" s="60">
        <v>1.82</v>
      </c>
      <c r="O1059" s="60" t="s">
        <v>1850</v>
      </c>
      <c r="P1059" s="60" t="s">
        <v>2166</v>
      </c>
      <c r="Q1059" s="60" t="s">
        <v>3981</v>
      </c>
      <c r="R1059" s="60">
        <v>316.5</v>
      </c>
      <c r="S1059" s="60">
        <v>-2.91</v>
      </c>
      <c r="T1059" s="60">
        <v>1987</v>
      </c>
      <c r="U1059" s="60">
        <v>22.79</v>
      </c>
    </row>
    <row r="1060" spans="1:21">
      <c r="A1060" s="60" t="s">
        <v>1852</v>
      </c>
      <c r="B1060" s="60" t="s">
        <v>2168</v>
      </c>
      <c r="C1060" s="60" t="s">
        <v>2169</v>
      </c>
      <c r="D1060" s="60">
        <v>82</v>
      </c>
      <c r="E1060" s="60">
        <v>-0.36</v>
      </c>
      <c r="F1060" s="60">
        <v>594</v>
      </c>
      <c r="G1060" s="60">
        <v>0.12</v>
      </c>
      <c r="H1060" s="60">
        <v>15.59</v>
      </c>
      <c r="I1060" s="60">
        <v>50.32</v>
      </c>
      <c r="J1060" s="60">
        <v>0.62</v>
      </c>
      <c r="O1060" s="60" t="s">
        <v>1852</v>
      </c>
      <c r="P1060" s="60" t="s">
        <v>2168</v>
      </c>
      <c r="Q1060" s="60" t="s">
        <v>2169</v>
      </c>
      <c r="R1060" s="60">
        <v>82</v>
      </c>
      <c r="S1060" s="60">
        <v>-0.36</v>
      </c>
      <c r="T1060" s="60">
        <v>594</v>
      </c>
      <c r="U1060" s="60">
        <v>6.57</v>
      </c>
    </row>
    <row r="1061" spans="1:21">
      <c r="A1061" s="60" t="s">
        <v>1854</v>
      </c>
      <c r="B1061" s="60" t="s">
        <v>2171</v>
      </c>
      <c r="C1061" s="60" t="s">
        <v>4795</v>
      </c>
      <c r="D1061" s="60">
        <v>31.55</v>
      </c>
      <c r="E1061" s="60">
        <v>0.64</v>
      </c>
      <c r="F1061" s="60">
        <v>42</v>
      </c>
      <c r="G1061" s="60">
        <v>0</v>
      </c>
      <c r="H1061" s="60">
        <v>0.95</v>
      </c>
      <c r="I1061" s="60">
        <v>4.3</v>
      </c>
      <c r="J1061" s="60">
        <v>0</v>
      </c>
      <c r="O1061" s="60" t="s">
        <v>1854</v>
      </c>
      <c r="P1061" s="60" t="s">
        <v>2171</v>
      </c>
      <c r="Q1061" s="60" t="s">
        <v>4795</v>
      </c>
      <c r="R1061" s="60">
        <v>31.55</v>
      </c>
      <c r="S1061" s="60">
        <v>0.64</v>
      </c>
      <c r="T1061" s="60">
        <v>42</v>
      </c>
      <c r="U1061" s="60">
        <v>35.68</v>
      </c>
    </row>
    <row r="1062" spans="1:21">
      <c r="A1062" s="60" t="s">
        <v>1856</v>
      </c>
      <c r="B1062" s="60" t="s">
        <v>2173</v>
      </c>
      <c r="C1062" s="60" t="s">
        <v>4683</v>
      </c>
      <c r="D1062" s="60">
        <v>26.85</v>
      </c>
      <c r="E1062" s="60">
        <v>9.82</v>
      </c>
      <c r="F1062" s="60">
        <v>2415</v>
      </c>
      <c r="G1062" s="60">
        <v>0.2</v>
      </c>
      <c r="H1062" s="60">
        <v>1.6</v>
      </c>
      <c r="I1062" s="60">
        <v>14.77</v>
      </c>
      <c r="J1062" s="60">
        <v>0</v>
      </c>
      <c r="O1062" s="60" t="s">
        <v>1856</v>
      </c>
      <c r="P1062" s="60" t="s">
        <v>2173</v>
      </c>
      <c r="Q1062" s="60" t="s">
        <v>4683</v>
      </c>
      <c r="R1062" s="60">
        <v>26.85</v>
      </c>
      <c r="S1062" s="60">
        <v>9.82</v>
      </c>
      <c r="T1062" s="60">
        <v>2415</v>
      </c>
      <c r="U1062" s="60">
        <v>24.84</v>
      </c>
    </row>
    <row r="1063" spans="1:21">
      <c r="A1063" s="60" t="s">
        <v>1858</v>
      </c>
      <c r="B1063" s="60" t="s">
        <v>2175</v>
      </c>
      <c r="C1063" s="60" t="s">
        <v>4905</v>
      </c>
      <c r="D1063" s="60">
        <v>54.3</v>
      </c>
      <c r="E1063" s="60">
        <v>0.56000000000000005</v>
      </c>
      <c r="F1063" s="60">
        <v>88</v>
      </c>
      <c r="G1063" s="60">
        <v>0</v>
      </c>
      <c r="H1063" s="60">
        <v>8.82</v>
      </c>
      <c r="I1063" s="60">
        <v>2.1800000000000002</v>
      </c>
      <c r="J1063" s="60">
        <v>0</v>
      </c>
      <c r="O1063" s="60" t="s">
        <v>1858</v>
      </c>
      <c r="P1063" s="60" t="s">
        <v>2175</v>
      </c>
      <c r="Q1063" s="60" t="s">
        <v>4905</v>
      </c>
      <c r="R1063" s="60">
        <v>54.3</v>
      </c>
      <c r="S1063" s="60">
        <v>0.56000000000000005</v>
      </c>
      <c r="T1063" s="60">
        <v>88</v>
      </c>
      <c r="U1063" s="60">
        <v>42.57</v>
      </c>
    </row>
    <row r="1064" spans="1:21">
      <c r="A1064" s="60" t="s">
        <v>1860</v>
      </c>
      <c r="B1064" s="60" t="s">
        <v>2177</v>
      </c>
      <c r="C1064" s="60" t="s">
        <v>3596</v>
      </c>
      <c r="D1064" s="60">
        <v>78.400000000000006</v>
      </c>
      <c r="E1064" s="60">
        <v>3.29</v>
      </c>
      <c r="F1064" s="60">
        <v>47247</v>
      </c>
      <c r="G1064" s="60">
        <v>7.98</v>
      </c>
      <c r="H1064" s="60">
        <v>1.41</v>
      </c>
      <c r="I1064" s="60">
        <v>29.17</v>
      </c>
      <c r="J1064" s="60">
        <v>0</v>
      </c>
      <c r="O1064" s="60" t="s">
        <v>1860</v>
      </c>
      <c r="P1064" s="60" t="s">
        <v>2177</v>
      </c>
      <c r="Q1064" s="60" t="s">
        <v>3596</v>
      </c>
      <c r="R1064" s="60">
        <v>78.400000000000006</v>
      </c>
      <c r="S1064" s="60">
        <v>3.29</v>
      </c>
      <c r="T1064" s="60">
        <v>47247</v>
      </c>
      <c r="U1064" s="60">
        <v>25.28</v>
      </c>
    </row>
    <row r="1065" spans="1:21">
      <c r="A1065" s="60" t="s">
        <v>1862</v>
      </c>
      <c r="B1065" s="60" t="s">
        <v>2179</v>
      </c>
      <c r="C1065" s="60" t="s">
        <v>4133</v>
      </c>
      <c r="D1065" s="60">
        <v>88.5</v>
      </c>
      <c r="E1065" s="60">
        <v>2.5499999999999998</v>
      </c>
      <c r="F1065" s="60">
        <v>140</v>
      </c>
      <c r="G1065" s="60">
        <v>7.0000000000000007E-2</v>
      </c>
      <c r="H1065" s="60">
        <v>39.17</v>
      </c>
      <c r="I1065" s="60">
        <v>12.62</v>
      </c>
      <c r="J1065" s="60">
        <v>0</v>
      </c>
      <c r="O1065" s="60" t="s">
        <v>1862</v>
      </c>
      <c r="P1065" s="60" t="s">
        <v>2179</v>
      </c>
      <c r="Q1065" s="60" t="s">
        <v>4133</v>
      </c>
      <c r="R1065" s="60">
        <v>88.5</v>
      </c>
      <c r="S1065" s="60">
        <v>2.5499999999999998</v>
      </c>
      <c r="T1065" s="60">
        <v>140</v>
      </c>
      <c r="U1065" s="60">
        <v>40.909999999999997</v>
      </c>
    </row>
    <row r="1066" spans="1:21">
      <c r="A1066" s="60" t="s">
        <v>1864</v>
      </c>
      <c r="B1066" s="60" t="s">
        <v>2181</v>
      </c>
      <c r="C1066" s="60" t="s">
        <v>4838</v>
      </c>
      <c r="D1066" s="60">
        <v>19.649999999999999</v>
      </c>
      <c r="E1066" s="60">
        <v>2.34</v>
      </c>
      <c r="F1066" s="60">
        <v>2277</v>
      </c>
      <c r="G1066" s="60">
        <v>0.46</v>
      </c>
      <c r="H1066" s="60">
        <v>3.85</v>
      </c>
      <c r="I1066" s="60">
        <v>19.37</v>
      </c>
      <c r="J1066" s="60">
        <v>0</v>
      </c>
      <c r="O1066" s="60" t="s">
        <v>1864</v>
      </c>
      <c r="P1066" s="60" t="s">
        <v>2181</v>
      </c>
      <c r="Q1066" s="60" t="s">
        <v>4838</v>
      </c>
      <c r="R1066" s="60">
        <v>19.649999999999999</v>
      </c>
      <c r="S1066" s="60">
        <v>2.34</v>
      </c>
      <c r="T1066" s="60">
        <v>2277</v>
      </c>
      <c r="U1066" s="60">
        <v>32.76</v>
      </c>
    </row>
    <row r="1067" spans="1:21">
      <c r="A1067" s="60" t="s">
        <v>1866</v>
      </c>
      <c r="B1067" s="60" t="s">
        <v>3273</v>
      </c>
      <c r="C1067" s="60" t="s">
        <v>4751</v>
      </c>
      <c r="D1067" s="60">
        <v>51.7</v>
      </c>
      <c r="E1067" s="60">
        <v>0</v>
      </c>
      <c r="F1067" s="60">
        <v>37</v>
      </c>
      <c r="G1067" s="60">
        <v>0</v>
      </c>
      <c r="H1067" s="60">
        <v>2.69</v>
      </c>
      <c r="I1067" s="60">
        <v>0</v>
      </c>
      <c r="J1067" s="60">
        <v>0</v>
      </c>
      <c r="O1067" s="60" t="s">
        <v>1866</v>
      </c>
      <c r="P1067" s="60" t="s">
        <v>3273</v>
      </c>
      <c r="Q1067" s="60" t="s">
        <v>4751</v>
      </c>
      <c r="R1067" s="60">
        <v>51.7</v>
      </c>
      <c r="S1067" s="60">
        <v>0</v>
      </c>
      <c r="T1067" s="60">
        <v>37</v>
      </c>
      <c r="U1067" s="60">
        <v>21.67</v>
      </c>
    </row>
    <row r="1068" spans="1:21">
      <c r="A1068" s="60" t="s">
        <v>1868</v>
      </c>
      <c r="B1068" s="60" t="s">
        <v>2184</v>
      </c>
      <c r="C1068" s="60" t="s">
        <v>4684</v>
      </c>
      <c r="D1068" s="60">
        <v>51.8</v>
      </c>
      <c r="E1068" s="60">
        <v>1.97</v>
      </c>
      <c r="F1068" s="60">
        <v>158</v>
      </c>
      <c r="G1068" s="60">
        <v>0</v>
      </c>
      <c r="H1068" s="60">
        <v>11.97</v>
      </c>
      <c r="I1068" s="60">
        <v>11.38</v>
      </c>
      <c r="J1068" s="60">
        <v>0.01</v>
      </c>
      <c r="O1068" s="60" t="s">
        <v>1868</v>
      </c>
      <c r="P1068" s="60" t="s">
        <v>2184</v>
      </c>
      <c r="Q1068" s="60" t="s">
        <v>4684</v>
      </c>
      <c r="R1068" s="60">
        <v>51.8</v>
      </c>
      <c r="S1068" s="60">
        <v>1.97</v>
      </c>
      <c r="T1068" s="60">
        <v>158</v>
      </c>
      <c r="U1068" s="60">
        <v>44.81</v>
      </c>
    </row>
    <row r="1069" spans="1:21">
      <c r="A1069" s="60" t="s">
        <v>1869</v>
      </c>
      <c r="B1069" s="60" t="s">
        <v>2186</v>
      </c>
      <c r="C1069" s="60" t="s">
        <v>4258</v>
      </c>
      <c r="D1069" s="60">
        <v>53.9</v>
      </c>
      <c r="E1069" s="60">
        <v>1.1299999999999999</v>
      </c>
      <c r="F1069" s="60">
        <v>23</v>
      </c>
      <c r="G1069" s="60">
        <v>0</v>
      </c>
      <c r="H1069" s="60">
        <v>1.64</v>
      </c>
      <c r="I1069" s="60">
        <v>5.28</v>
      </c>
      <c r="J1069" s="60">
        <v>0</v>
      </c>
      <c r="O1069" s="60" t="s">
        <v>1869</v>
      </c>
      <c r="P1069" s="60" t="s">
        <v>2186</v>
      </c>
      <c r="Q1069" s="60" t="s">
        <v>4258</v>
      </c>
      <c r="R1069" s="60">
        <v>53.9</v>
      </c>
      <c r="S1069" s="60">
        <v>1.1299999999999999</v>
      </c>
      <c r="T1069" s="60">
        <v>23</v>
      </c>
      <c r="U1069" s="60">
        <v>79.62</v>
      </c>
    </row>
    <row r="1070" spans="1:21">
      <c r="A1070" s="60" t="s">
        <v>1871</v>
      </c>
      <c r="B1070" s="60" t="s">
        <v>2188</v>
      </c>
      <c r="C1070" s="60" t="s">
        <v>4796</v>
      </c>
      <c r="D1070" s="60">
        <v>34.6</v>
      </c>
      <c r="E1070" s="60">
        <v>-0.43</v>
      </c>
      <c r="F1070" s="60">
        <v>25</v>
      </c>
      <c r="G1070" s="60">
        <v>0</v>
      </c>
      <c r="H1070" s="60">
        <v>4.5</v>
      </c>
      <c r="I1070" s="60">
        <v>44.78</v>
      </c>
      <c r="J1070" s="60">
        <v>0</v>
      </c>
      <c r="O1070" s="60" t="s">
        <v>1871</v>
      </c>
      <c r="P1070" s="60" t="s">
        <v>2188</v>
      </c>
      <c r="Q1070" s="60" t="s">
        <v>4796</v>
      </c>
      <c r="R1070" s="60">
        <v>34.6</v>
      </c>
      <c r="S1070" s="60">
        <v>-0.43</v>
      </c>
      <c r="T1070" s="60">
        <v>25</v>
      </c>
      <c r="U1070" s="60">
        <v>53.94</v>
      </c>
    </row>
    <row r="1071" spans="1:21">
      <c r="A1071" s="60" t="s">
        <v>1873</v>
      </c>
      <c r="B1071" s="60" t="s">
        <v>2190</v>
      </c>
      <c r="C1071" s="60" t="s">
        <v>4207</v>
      </c>
      <c r="D1071" s="60">
        <v>42.15</v>
      </c>
      <c r="E1071" s="60">
        <v>1.32</v>
      </c>
      <c r="F1071" s="60">
        <v>68</v>
      </c>
      <c r="G1071" s="60">
        <v>0.01</v>
      </c>
      <c r="H1071" s="60">
        <v>4.49</v>
      </c>
      <c r="I1071" s="60">
        <v>7.12</v>
      </c>
      <c r="J1071" s="60">
        <v>0.66</v>
      </c>
      <c r="O1071" s="60" t="s">
        <v>1873</v>
      </c>
      <c r="P1071" s="60" t="s">
        <v>2190</v>
      </c>
      <c r="Q1071" s="60" t="s">
        <v>4207</v>
      </c>
      <c r="R1071" s="60">
        <v>42.15</v>
      </c>
      <c r="S1071" s="60">
        <v>1.32</v>
      </c>
      <c r="T1071" s="60">
        <v>68</v>
      </c>
      <c r="U1071" s="60">
        <v>30.36</v>
      </c>
    </row>
    <row r="1072" spans="1:21">
      <c r="A1072" s="60" t="s">
        <v>1875</v>
      </c>
      <c r="B1072" s="60" t="s">
        <v>2192</v>
      </c>
      <c r="C1072" s="60" t="s">
        <v>3898</v>
      </c>
      <c r="D1072" s="60">
        <v>58.4</v>
      </c>
      <c r="E1072" s="60">
        <v>0.34</v>
      </c>
      <c r="F1072" s="60">
        <v>15</v>
      </c>
      <c r="G1072" s="60">
        <v>0</v>
      </c>
      <c r="H1072" s="60">
        <v>3.59</v>
      </c>
      <c r="I1072" s="60">
        <v>0.6</v>
      </c>
      <c r="J1072" s="60">
        <v>0</v>
      </c>
      <c r="O1072" s="60" t="s">
        <v>1875</v>
      </c>
      <c r="P1072" s="60" t="s">
        <v>2192</v>
      </c>
      <c r="Q1072" s="60" t="s">
        <v>3898</v>
      </c>
      <c r="R1072" s="60">
        <v>58.4</v>
      </c>
      <c r="S1072" s="60">
        <v>0.34</v>
      </c>
      <c r="T1072" s="60">
        <v>15</v>
      </c>
      <c r="U1072" s="60">
        <v>81.34</v>
      </c>
    </row>
    <row r="1073" spans="1:21">
      <c r="A1073" s="60" t="s">
        <v>1877</v>
      </c>
      <c r="B1073" s="60" t="s">
        <v>2194</v>
      </c>
      <c r="C1073" s="60" t="s">
        <v>3627</v>
      </c>
      <c r="D1073" s="60">
        <v>21.1</v>
      </c>
      <c r="E1073" s="60">
        <v>0.24</v>
      </c>
      <c r="F1073" s="60">
        <v>2112</v>
      </c>
      <c r="G1073" s="60">
        <v>0.06</v>
      </c>
      <c r="H1073" s="60">
        <v>8.56</v>
      </c>
      <c r="I1073" s="60">
        <v>16.04</v>
      </c>
      <c r="J1073" s="60">
        <v>0.14000000000000001</v>
      </c>
      <c r="O1073" s="60" t="s">
        <v>1877</v>
      </c>
      <c r="P1073" s="60" t="s">
        <v>2194</v>
      </c>
      <c r="Q1073" s="60" t="s">
        <v>3627</v>
      </c>
      <c r="R1073" s="60">
        <v>21.1</v>
      </c>
      <c r="S1073" s="60">
        <v>0.24</v>
      </c>
      <c r="T1073" s="60">
        <v>2112</v>
      </c>
      <c r="U1073" s="60">
        <v>38.9</v>
      </c>
    </row>
    <row r="1074" spans="1:21">
      <c r="A1074" s="60" t="s">
        <v>1879</v>
      </c>
      <c r="B1074" s="60" t="s">
        <v>2196</v>
      </c>
      <c r="C1074" s="60" t="s">
        <v>4652</v>
      </c>
      <c r="D1074" s="60">
        <v>33.799999999999997</v>
      </c>
      <c r="E1074" s="60">
        <v>6.62</v>
      </c>
      <c r="F1074" s="60">
        <v>2126</v>
      </c>
      <c r="G1074" s="60">
        <v>0.27</v>
      </c>
      <c r="H1074" s="60">
        <v>1.34</v>
      </c>
      <c r="I1074" s="60">
        <v>34.67</v>
      </c>
      <c r="J1074" s="60">
        <v>0</v>
      </c>
      <c r="O1074" s="60" t="s">
        <v>1879</v>
      </c>
      <c r="P1074" s="60" t="s">
        <v>2196</v>
      </c>
      <c r="Q1074" s="60" t="s">
        <v>4652</v>
      </c>
      <c r="R1074" s="60">
        <v>33.799999999999997</v>
      </c>
      <c r="S1074" s="60">
        <v>6.62</v>
      </c>
      <c r="T1074" s="60">
        <v>2126</v>
      </c>
      <c r="U1074" s="60">
        <v>31.31</v>
      </c>
    </row>
    <row r="1075" spans="1:21">
      <c r="A1075" s="60" t="s">
        <v>1881</v>
      </c>
      <c r="B1075" s="60" t="s">
        <v>2198</v>
      </c>
      <c r="C1075" s="60" t="s">
        <v>4653</v>
      </c>
      <c r="D1075" s="60">
        <v>37.35</v>
      </c>
      <c r="E1075" s="60">
        <v>-1.19</v>
      </c>
      <c r="F1075" s="60">
        <v>37</v>
      </c>
      <c r="G1075" s="60">
        <v>0</v>
      </c>
      <c r="H1075" s="60">
        <v>3.03</v>
      </c>
      <c r="I1075" s="60">
        <v>1.43</v>
      </c>
      <c r="J1075" s="60">
        <v>0</v>
      </c>
      <c r="O1075" s="60" t="s">
        <v>1881</v>
      </c>
      <c r="P1075" s="60" t="s">
        <v>2198</v>
      </c>
      <c r="Q1075" s="60" t="s">
        <v>4653</v>
      </c>
      <c r="R1075" s="60">
        <v>37.35</v>
      </c>
      <c r="S1075" s="60">
        <v>-1.19</v>
      </c>
      <c r="T1075" s="60">
        <v>37</v>
      </c>
      <c r="U1075" s="60">
        <v>77.83</v>
      </c>
    </row>
    <row r="1076" spans="1:21">
      <c r="A1076" s="60" t="s">
        <v>1883</v>
      </c>
      <c r="B1076" s="60" t="s">
        <v>2200</v>
      </c>
      <c r="C1076" s="60" t="s">
        <v>3581</v>
      </c>
      <c r="D1076" s="60">
        <v>21.4</v>
      </c>
      <c r="E1076" s="60">
        <v>0</v>
      </c>
      <c r="F1076" s="60">
        <v>1653</v>
      </c>
      <c r="G1076" s="60">
        <v>0.7</v>
      </c>
      <c r="H1076" s="60">
        <v>2.78</v>
      </c>
      <c r="I1076" s="60">
        <v>35.75</v>
      </c>
      <c r="J1076" s="60">
        <v>0</v>
      </c>
      <c r="O1076" s="60" t="s">
        <v>1883</v>
      </c>
      <c r="P1076" s="60" t="s">
        <v>2200</v>
      </c>
      <c r="Q1076" s="60" t="s">
        <v>3581</v>
      </c>
      <c r="R1076" s="60">
        <v>21.4</v>
      </c>
      <c r="S1076" s="60">
        <v>0</v>
      </c>
      <c r="T1076" s="60">
        <v>1653</v>
      </c>
      <c r="U1076" s="60">
        <v>23.38</v>
      </c>
    </row>
    <row r="1077" spans="1:21">
      <c r="A1077" s="60" t="s">
        <v>1885</v>
      </c>
      <c r="B1077" s="60" t="s">
        <v>2202</v>
      </c>
      <c r="C1077" s="60" t="s">
        <v>4654</v>
      </c>
      <c r="D1077" s="60">
        <v>36.450000000000003</v>
      </c>
      <c r="E1077" s="60">
        <v>0.41</v>
      </c>
      <c r="F1077" s="60">
        <v>41</v>
      </c>
      <c r="G1077" s="60">
        <v>0</v>
      </c>
      <c r="H1077" s="60">
        <v>7.47</v>
      </c>
      <c r="I1077" s="60">
        <v>0.4</v>
      </c>
      <c r="J1077" s="60">
        <v>0</v>
      </c>
      <c r="O1077" s="60" t="s">
        <v>1885</v>
      </c>
      <c r="P1077" s="60" t="s">
        <v>2202</v>
      </c>
      <c r="Q1077" s="60" t="s">
        <v>4654</v>
      </c>
      <c r="R1077" s="60">
        <v>36.450000000000003</v>
      </c>
      <c r="S1077" s="60">
        <v>0.41</v>
      </c>
      <c r="T1077" s="60">
        <v>41</v>
      </c>
      <c r="U1077" s="60">
        <v>45.23</v>
      </c>
    </row>
    <row r="1078" spans="1:21">
      <c r="A1078" s="60" t="s">
        <v>1887</v>
      </c>
      <c r="B1078" s="60" t="s">
        <v>2204</v>
      </c>
      <c r="C1078" s="60" t="s">
        <v>4655</v>
      </c>
      <c r="D1078" s="60">
        <v>37.75</v>
      </c>
      <c r="E1078" s="60">
        <v>0</v>
      </c>
      <c r="F1078" s="60">
        <v>33</v>
      </c>
      <c r="G1078" s="60">
        <v>0</v>
      </c>
      <c r="H1078" s="60">
        <v>0.7</v>
      </c>
      <c r="I1078" s="60">
        <v>2.4700000000000002</v>
      </c>
      <c r="J1078" s="60">
        <v>0</v>
      </c>
      <c r="O1078" s="60" t="s">
        <v>1887</v>
      </c>
      <c r="P1078" s="60" t="s">
        <v>2204</v>
      </c>
      <c r="Q1078" s="60" t="s">
        <v>4655</v>
      </c>
      <c r="R1078" s="60">
        <v>37.75</v>
      </c>
      <c r="S1078" s="60">
        <v>0</v>
      </c>
      <c r="T1078" s="60">
        <v>33</v>
      </c>
      <c r="U1078" s="60">
        <v>58.27</v>
      </c>
    </row>
    <row r="1079" spans="1:21">
      <c r="A1079" s="60" t="s">
        <v>1889</v>
      </c>
      <c r="B1079" s="60" t="s">
        <v>2206</v>
      </c>
      <c r="C1079" s="60" t="s">
        <v>4660</v>
      </c>
      <c r="D1079" s="60">
        <v>19.899999999999999</v>
      </c>
      <c r="E1079" s="60">
        <v>-0.25</v>
      </c>
      <c r="F1079" s="60">
        <v>28</v>
      </c>
      <c r="G1079" s="60">
        <v>0</v>
      </c>
      <c r="H1079" s="60">
        <v>0.06</v>
      </c>
      <c r="I1079" s="60">
        <v>0.49</v>
      </c>
      <c r="J1079" s="60">
        <v>0</v>
      </c>
      <c r="O1079" s="60" t="s">
        <v>1889</v>
      </c>
      <c r="P1079" s="60" t="s">
        <v>2206</v>
      </c>
      <c r="Q1079" s="60" t="s">
        <v>4660</v>
      </c>
      <c r="R1079" s="60">
        <v>19.899999999999999</v>
      </c>
      <c r="S1079" s="60">
        <v>-0.25</v>
      </c>
      <c r="T1079" s="60">
        <v>28</v>
      </c>
      <c r="U1079" s="60">
        <v>82.14</v>
      </c>
    </row>
    <row r="1080" spans="1:21">
      <c r="A1080" s="60" t="s">
        <v>1890</v>
      </c>
      <c r="B1080" s="60" t="s">
        <v>2208</v>
      </c>
      <c r="C1080" s="60" t="s">
        <v>4982</v>
      </c>
      <c r="D1080" s="60">
        <v>26</v>
      </c>
      <c r="E1080" s="60">
        <v>0.57999999999999996</v>
      </c>
      <c r="F1080" s="60">
        <v>25</v>
      </c>
      <c r="G1080" s="60">
        <v>0</v>
      </c>
      <c r="H1080" s="60">
        <v>5.77</v>
      </c>
      <c r="I1080" s="60">
        <v>24.82</v>
      </c>
      <c r="J1080" s="60">
        <v>0</v>
      </c>
      <c r="O1080" s="60" t="s">
        <v>1890</v>
      </c>
      <c r="P1080" s="60" t="s">
        <v>2208</v>
      </c>
      <c r="Q1080" s="60" t="s">
        <v>4982</v>
      </c>
      <c r="R1080" s="60">
        <v>26</v>
      </c>
      <c r="S1080" s="60">
        <v>0.57999999999999996</v>
      </c>
      <c r="T1080" s="60">
        <v>25</v>
      </c>
      <c r="U1080" s="60">
        <v>32.47</v>
      </c>
    </row>
    <row r="1081" spans="1:21">
      <c r="A1081" s="60" t="s">
        <v>1892</v>
      </c>
      <c r="B1081" s="60" t="s">
        <v>3274</v>
      </c>
      <c r="C1081" s="60" t="s">
        <v>4983</v>
      </c>
      <c r="D1081" s="60">
        <v>19.100000000000001</v>
      </c>
      <c r="E1081" s="60">
        <v>-2.0499999999999998</v>
      </c>
      <c r="F1081" s="60">
        <v>113</v>
      </c>
      <c r="G1081" s="60">
        <v>0</v>
      </c>
      <c r="H1081" s="60">
        <v>0.64</v>
      </c>
      <c r="I1081" s="60">
        <v>21.95</v>
      </c>
      <c r="J1081" s="60">
        <v>0</v>
      </c>
      <c r="O1081" s="60" t="s">
        <v>1892</v>
      </c>
      <c r="P1081" s="60" t="s">
        <v>3274</v>
      </c>
      <c r="Q1081" s="60" t="s">
        <v>4983</v>
      </c>
      <c r="R1081" s="60">
        <v>19.100000000000001</v>
      </c>
      <c r="S1081" s="60">
        <v>-2.0499999999999998</v>
      </c>
      <c r="T1081" s="60">
        <v>113</v>
      </c>
      <c r="U1081" s="60">
        <v>61.34</v>
      </c>
    </row>
    <row r="1082" spans="1:21">
      <c r="A1082" s="60" t="s">
        <v>1894</v>
      </c>
      <c r="B1082" s="60" t="s">
        <v>2211</v>
      </c>
      <c r="C1082" s="60" t="s">
        <v>4259</v>
      </c>
      <c r="D1082" s="60">
        <v>89.6</v>
      </c>
      <c r="E1082" s="60">
        <v>-1.86</v>
      </c>
      <c r="F1082" s="60">
        <v>89</v>
      </c>
      <c r="G1082" s="60">
        <v>0.02</v>
      </c>
      <c r="H1082" s="60">
        <v>17.399999999999999</v>
      </c>
      <c r="I1082" s="60">
        <v>4.25</v>
      </c>
      <c r="J1082" s="60">
        <v>0</v>
      </c>
      <c r="O1082" s="60" t="s">
        <v>1894</v>
      </c>
      <c r="P1082" s="60" t="s">
        <v>2211</v>
      </c>
      <c r="Q1082" s="60" t="s">
        <v>4259</v>
      </c>
      <c r="R1082" s="60">
        <v>89.6</v>
      </c>
      <c r="S1082" s="60">
        <v>-1.86</v>
      </c>
      <c r="T1082" s="60">
        <v>89</v>
      </c>
      <c r="U1082" s="60">
        <v>46.22</v>
      </c>
    </row>
    <row r="1083" spans="1:21">
      <c r="A1083" s="60" t="s">
        <v>1896</v>
      </c>
      <c r="B1083" s="60" t="s">
        <v>3275</v>
      </c>
      <c r="C1083" s="60" t="s">
        <v>5025</v>
      </c>
      <c r="D1083" s="60">
        <v>12.35</v>
      </c>
      <c r="E1083" s="60">
        <v>0</v>
      </c>
      <c r="F1083" s="60">
        <v>0</v>
      </c>
      <c r="G1083" s="60">
        <v>0</v>
      </c>
      <c r="H1083" s="60">
        <v>0</v>
      </c>
      <c r="I1083" s="60">
        <v>0</v>
      </c>
      <c r="J1083" s="60">
        <v>0</v>
      </c>
      <c r="O1083" s="60" t="s">
        <v>1896</v>
      </c>
      <c r="P1083" s="60" t="s">
        <v>3275</v>
      </c>
      <c r="Q1083" s="60" t="s">
        <v>5025</v>
      </c>
      <c r="R1083" s="60">
        <v>12.35</v>
      </c>
      <c r="S1083" s="60">
        <v>0</v>
      </c>
      <c r="T1083" s="60">
        <v>0</v>
      </c>
      <c r="U1083" s="60">
        <v>52.7</v>
      </c>
    </row>
    <row r="1084" spans="1:21">
      <c r="A1084" s="60" t="s">
        <v>1898</v>
      </c>
      <c r="B1084" s="60" t="s">
        <v>2213</v>
      </c>
      <c r="C1084" s="60" t="s">
        <v>5053</v>
      </c>
      <c r="D1084" s="60">
        <v>16</v>
      </c>
      <c r="E1084" s="60">
        <v>0</v>
      </c>
      <c r="F1084" s="60">
        <v>8424</v>
      </c>
      <c r="G1084" s="60">
        <v>0</v>
      </c>
      <c r="H1084" s="60">
        <v>11.02</v>
      </c>
      <c r="I1084" s="60">
        <v>0.5</v>
      </c>
      <c r="J1084" s="60">
        <v>0</v>
      </c>
      <c r="O1084" s="60" t="s">
        <v>1898</v>
      </c>
      <c r="P1084" s="60" t="s">
        <v>2213</v>
      </c>
      <c r="Q1084" s="60" t="s">
        <v>5053</v>
      </c>
      <c r="R1084" s="60">
        <v>16</v>
      </c>
      <c r="S1084" s="60">
        <v>0</v>
      </c>
      <c r="T1084" s="60">
        <v>8424</v>
      </c>
      <c r="U1084" s="60">
        <v>78.5</v>
      </c>
    </row>
    <row r="1085" spans="1:21">
      <c r="A1085" s="60" t="s">
        <v>1900</v>
      </c>
      <c r="B1085" s="60" t="s">
        <v>3276</v>
      </c>
      <c r="C1085" s="60" t="s">
        <v>4984</v>
      </c>
      <c r="D1085" s="60">
        <v>70.3</v>
      </c>
      <c r="E1085" s="60">
        <v>3.38</v>
      </c>
      <c r="F1085" s="60">
        <v>137</v>
      </c>
      <c r="G1085" s="60">
        <v>0</v>
      </c>
      <c r="H1085" s="60">
        <v>0.08</v>
      </c>
      <c r="I1085" s="60">
        <v>0</v>
      </c>
      <c r="J1085" s="60">
        <v>0</v>
      </c>
      <c r="O1085" s="60" t="s">
        <v>1900</v>
      </c>
      <c r="P1085" s="60" t="s">
        <v>3276</v>
      </c>
      <c r="Q1085" s="60" t="s">
        <v>4984</v>
      </c>
      <c r="R1085" s="60">
        <v>70.3</v>
      </c>
      <c r="S1085" s="60">
        <v>3.38</v>
      </c>
      <c r="T1085" s="60">
        <v>137</v>
      </c>
      <c r="U1085" s="60">
        <v>54.42</v>
      </c>
    </row>
    <row r="1086" spans="1:21">
      <c r="A1086" s="60" t="s">
        <v>1902</v>
      </c>
      <c r="B1086" s="60" t="s">
        <v>3277</v>
      </c>
      <c r="C1086" s="60" t="s">
        <v>4985</v>
      </c>
      <c r="D1086" s="60">
        <v>21.7</v>
      </c>
      <c r="E1086" s="60">
        <v>-2.4700000000000002</v>
      </c>
      <c r="F1086" s="60">
        <v>504</v>
      </c>
      <c r="G1086" s="60">
        <v>0</v>
      </c>
      <c r="H1086" s="60">
        <v>9.0399999999999991</v>
      </c>
      <c r="I1086" s="60">
        <v>0</v>
      </c>
      <c r="J1086" s="60">
        <v>0</v>
      </c>
      <c r="O1086" s="60" t="s">
        <v>1902</v>
      </c>
      <c r="P1086" s="60" t="s">
        <v>3277</v>
      </c>
      <c r="Q1086" s="60" t="s">
        <v>4985</v>
      </c>
      <c r="R1086" s="60">
        <v>21.7</v>
      </c>
      <c r="S1086" s="60">
        <v>-2.4700000000000002</v>
      </c>
      <c r="T1086" s="60">
        <v>504</v>
      </c>
      <c r="U1086" s="60">
        <v>37.43</v>
      </c>
    </row>
    <row r="1087" spans="1:21">
      <c r="A1087" s="60" t="s">
        <v>1904</v>
      </c>
      <c r="B1087" s="60" t="s">
        <v>2216</v>
      </c>
      <c r="C1087" s="60" t="s">
        <v>4986</v>
      </c>
      <c r="D1087" s="60">
        <v>22.45</v>
      </c>
      <c r="E1087" s="60">
        <v>1.35</v>
      </c>
      <c r="F1087" s="60">
        <v>418</v>
      </c>
      <c r="G1087" s="60">
        <v>1.84</v>
      </c>
      <c r="H1087" s="60">
        <v>11.69</v>
      </c>
      <c r="I1087" s="60">
        <v>11.88</v>
      </c>
      <c r="J1087" s="60">
        <v>0</v>
      </c>
      <c r="O1087" s="60" t="s">
        <v>1904</v>
      </c>
      <c r="P1087" s="60" t="s">
        <v>2216</v>
      </c>
      <c r="Q1087" s="60" t="s">
        <v>4986</v>
      </c>
      <c r="R1087" s="60">
        <v>22.45</v>
      </c>
      <c r="S1087" s="60">
        <v>1.35</v>
      </c>
      <c r="T1087" s="60">
        <v>418</v>
      </c>
      <c r="U1087" s="60">
        <v>34.24</v>
      </c>
    </row>
    <row r="1088" spans="1:21">
      <c r="A1088" s="60" t="s">
        <v>1906</v>
      </c>
      <c r="B1088" s="60" t="s">
        <v>2218</v>
      </c>
      <c r="C1088" s="60" t="s">
        <v>4987</v>
      </c>
      <c r="D1088" s="60">
        <v>46.1</v>
      </c>
      <c r="E1088" s="60">
        <v>-0.32</v>
      </c>
      <c r="F1088" s="60">
        <v>6</v>
      </c>
      <c r="G1088" s="60">
        <v>0</v>
      </c>
      <c r="H1088" s="60">
        <v>32.700000000000003</v>
      </c>
      <c r="I1088" s="60">
        <v>1.51</v>
      </c>
      <c r="J1088" s="60">
        <v>0</v>
      </c>
      <c r="O1088" s="60" t="s">
        <v>1906</v>
      </c>
      <c r="P1088" s="60" t="s">
        <v>2218</v>
      </c>
      <c r="Q1088" s="60" t="s">
        <v>4987</v>
      </c>
      <c r="R1088" s="60">
        <v>46.1</v>
      </c>
      <c r="S1088" s="60">
        <v>-0.32</v>
      </c>
      <c r="T1088" s="60">
        <v>6</v>
      </c>
      <c r="U1088" s="60">
        <v>67.81</v>
      </c>
    </row>
    <row r="1089" spans="1:21">
      <c r="A1089" s="60" t="s">
        <v>1908</v>
      </c>
      <c r="B1089" s="60" t="s">
        <v>2220</v>
      </c>
      <c r="C1089" s="60" t="s">
        <v>5054</v>
      </c>
      <c r="D1089" s="60">
        <v>22.2</v>
      </c>
      <c r="E1089" s="60">
        <v>-0.45</v>
      </c>
      <c r="F1089" s="60">
        <v>208</v>
      </c>
      <c r="G1089" s="60">
        <v>0</v>
      </c>
      <c r="H1089" s="60">
        <v>1.24</v>
      </c>
      <c r="I1089" s="60">
        <v>1.28</v>
      </c>
      <c r="J1089" s="60">
        <v>0</v>
      </c>
      <c r="O1089" s="60" t="s">
        <v>1908</v>
      </c>
      <c r="P1089" s="60" t="s">
        <v>2220</v>
      </c>
      <c r="Q1089" s="60" t="s">
        <v>5054</v>
      </c>
      <c r="R1089" s="60">
        <v>22.2</v>
      </c>
      <c r="S1089" s="60">
        <v>-0.45</v>
      </c>
      <c r="T1089" s="60">
        <v>208</v>
      </c>
      <c r="U1089" s="60">
        <v>80.83</v>
      </c>
    </row>
    <row r="1090" spans="1:21">
      <c r="A1090" s="60" t="s">
        <v>1910</v>
      </c>
      <c r="B1090" s="60" t="s">
        <v>2222</v>
      </c>
      <c r="C1090" s="60" t="s">
        <v>4034</v>
      </c>
      <c r="D1090" s="60">
        <v>72.599999999999994</v>
      </c>
      <c r="E1090" s="60">
        <v>0.55000000000000004</v>
      </c>
      <c r="F1090" s="60">
        <v>104</v>
      </c>
      <c r="G1090" s="60">
        <v>0.38</v>
      </c>
      <c r="H1090" s="60">
        <v>24.98</v>
      </c>
      <c r="I1090" s="60">
        <v>12.95</v>
      </c>
      <c r="J1090" s="60">
        <v>0</v>
      </c>
      <c r="O1090" s="60" t="s">
        <v>1910</v>
      </c>
      <c r="P1090" s="60" t="s">
        <v>2222</v>
      </c>
      <c r="Q1090" s="60" t="s">
        <v>4034</v>
      </c>
      <c r="R1090" s="60">
        <v>72.599999999999994</v>
      </c>
      <c r="S1090" s="60">
        <v>0.55000000000000004</v>
      </c>
      <c r="T1090" s="60">
        <v>104</v>
      </c>
      <c r="U1090" s="60">
        <v>48.16</v>
      </c>
    </row>
    <row r="1091" spans="1:21">
      <c r="A1091" s="60" t="s">
        <v>1912</v>
      </c>
      <c r="B1091" s="60" t="s">
        <v>2224</v>
      </c>
      <c r="C1091" s="60" t="s">
        <v>4797</v>
      </c>
      <c r="D1091" s="60">
        <v>35.549999999999997</v>
      </c>
      <c r="E1091" s="60">
        <v>0.42</v>
      </c>
      <c r="F1091" s="60">
        <v>96</v>
      </c>
      <c r="G1091" s="60">
        <v>0</v>
      </c>
      <c r="H1091" s="60">
        <v>2.2000000000000002</v>
      </c>
      <c r="I1091" s="60">
        <v>10.33</v>
      </c>
      <c r="J1091" s="60">
        <v>1.39</v>
      </c>
      <c r="O1091" s="60" t="s">
        <v>1912</v>
      </c>
      <c r="P1091" s="60" t="s">
        <v>2224</v>
      </c>
      <c r="Q1091" s="60" t="s">
        <v>4797</v>
      </c>
      <c r="R1091" s="60">
        <v>35.549999999999997</v>
      </c>
      <c r="S1091" s="60">
        <v>0.42</v>
      </c>
      <c r="T1091" s="60">
        <v>96</v>
      </c>
      <c r="U1091" s="60">
        <v>24.26</v>
      </c>
    </row>
    <row r="1092" spans="1:21">
      <c r="A1092" s="60" t="s">
        <v>1913</v>
      </c>
      <c r="B1092" s="60" t="s">
        <v>5523</v>
      </c>
      <c r="C1092" s="60" t="s">
        <v>5303</v>
      </c>
      <c r="D1092" s="60">
        <v>216</v>
      </c>
      <c r="E1092" s="60">
        <v>-0.23</v>
      </c>
      <c r="F1092" s="60">
        <v>1178</v>
      </c>
      <c r="G1092" s="60">
        <v>0</v>
      </c>
      <c r="H1092" s="60">
        <v>5.5</v>
      </c>
      <c r="I1092" s="60">
        <v>0</v>
      </c>
      <c r="J1092" s="60">
        <v>0</v>
      </c>
      <c r="O1092" s="60" t="s">
        <v>1913</v>
      </c>
      <c r="P1092" s="60" t="s">
        <v>5523</v>
      </c>
      <c r="Q1092" s="60" t="s">
        <v>5303</v>
      </c>
      <c r="R1092" s="60">
        <v>216</v>
      </c>
      <c r="S1092" s="60">
        <v>-0.23</v>
      </c>
      <c r="T1092" s="60">
        <v>1178</v>
      </c>
      <c r="U1092" s="60">
        <v>20.5</v>
      </c>
    </row>
    <row r="1093" spans="1:21">
      <c r="A1093" s="60" t="s">
        <v>1915</v>
      </c>
      <c r="B1093" s="60" t="s">
        <v>2226</v>
      </c>
      <c r="C1093" s="60" t="s">
        <v>4752</v>
      </c>
      <c r="D1093" s="60">
        <v>53.6</v>
      </c>
      <c r="E1093" s="60">
        <v>2.29</v>
      </c>
      <c r="F1093" s="60">
        <v>197</v>
      </c>
      <c r="G1093" s="60">
        <v>0.01</v>
      </c>
      <c r="H1093" s="60">
        <v>42.65</v>
      </c>
      <c r="I1093" s="60">
        <v>20.68</v>
      </c>
      <c r="J1093" s="60">
        <v>0</v>
      </c>
      <c r="O1093" s="60" t="s">
        <v>1915</v>
      </c>
      <c r="P1093" s="60" t="s">
        <v>2226</v>
      </c>
      <c r="Q1093" s="60" t="s">
        <v>4752</v>
      </c>
      <c r="R1093" s="60">
        <v>53.6</v>
      </c>
      <c r="S1093" s="60">
        <v>2.29</v>
      </c>
      <c r="T1093" s="60">
        <v>197</v>
      </c>
      <c r="U1093" s="60">
        <v>53.28</v>
      </c>
    </row>
    <row r="1094" spans="1:21">
      <c r="A1094" s="60" t="s">
        <v>1917</v>
      </c>
      <c r="B1094" s="60" t="s">
        <v>2228</v>
      </c>
      <c r="C1094" s="60" t="s">
        <v>4285</v>
      </c>
      <c r="D1094" s="60">
        <v>20.6</v>
      </c>
      <c r="E1094" s="60">
        <v>-1.9</v>
      </c>
      <c r="F1094" s="60">
        <v>98</v>
      </c>
      <c r="G1094" s="60">
        <v>0</v>
      </c>
      <c r="H1094" s="60">
        <v>55.88</v>
      </c>
      <c r="I1094" s="60">
        <v>11.41</v>
      </c>
      <c r="J1094" s="60">
        <v>0.02</v>
      </c>
      <c r="O1094" s="60" t="s">
        <v>1917</v>
      </c>
      <c r="P1094" s="60" t="s">
        <v>2228</v>
      </c>
      <c r="Q1094" s="60" t="s">
        <v>4285</v>
      </c>
      <c r="R1094" s="60">
        <v>20.6</v>
      </c>
      <c r="S1094" s="60">
        <v>-1.9</v>
      </c>
      <c r="T1094" s="60">
        <v>98</v>
      </c>
      <c r="U1094" s="60">
        <v>61.09</v>
      </c>
    </row>
    <row r="1095" spans="1:21">
      <c r="A1095" s="60" t="s">
        <v>1919</v>
      </c>
      <c r="B1095" s="60" t="s">
        <v>3278</v>
      </c>
      <c r="C1095" s="60" t="s">
        <v>4906</v>
      </c>
      <c r="D1095" s="60">
        <v>45.55</v>
      </c>
      <c r="E1095" s="60">
        <v>-1.41</v>
      </c>
      <c r="F1095" s="60">
        <v>2600</v>
      </c>
      <c r="G1095" s="60">
        <v>0</v>
      </c>
      <c r="H1095" s="60">
        <v>19.93</v>
      </c>
      <c r="I1095" s="60">
        <v>0</v>
      </c>
      <c r="J1095" s="60">
        <v>0</v>
      </c>
      <c r="O1095" s="60" t="s">
        <v>1919</v>
      </c>
      <c r="P1095" s="60" t="s">
        <v>3278</v>
      </c>
      <c r="Q1095" s="60" t="s">
        <v>4906</v>
      </c>
      <c r="R1095" s="60">
        <v>45.55</v>
      </c>
      <c r="S1095" s="60">
        <v>-1.41</v>
      </c>
      <c r="T1095" s="60">
        <v>2600</v>
      </c>
      <c r="U1095" s="60">
        <v>21.87</v>
      </c>
    </row>
    <row r="1096" spans="1:21">
      <c r="A1096" s="60" t="s">
        <v>1921</v>
      </c>
      <c r="B1096" s="60" t="s">
        <v>2230</v>
      </c>
      <c r="C1096" s="60" t="s">
        <v>4798</v>
      </c>
      <c r="D1096" s="60">
        <v>36.65</v>
      </c>
      <c r="E1096" s="60">
        <v>-1.74</v>
      </c>
      <c r="F1096" s="60">
        <v>5756</v>
      </c>
      <c r="G1096" s="60">
        <v>0.02</v>
      </c>
      <c r="H1096" s="60">
        <v>3.61</v>
      </c>
      <c r="I1096" s="60">
        <v>30.4</v>
      </c>
      <c r="J1096" s="60">
        <v>0.73</v>
      </c>
      <c r="O1096" s="60" t="s">
        <v>1921</v>
      </c>
      <c r="P1096" s="60" t="s">
        <v>2230</v>
      </c>
      <c r="Q1096" s="60" t="s">
        <v>4798</v>
      </c>
      <c r="R1096" s="60">
        <v>36.65</v>
      </c>
      <c r="S1096" s="60">
        <v>-1.74</v>
      </c>
      <c r="T1096" s="60">
        <v>5756</v>
      </c>
      <c r="U1096" s="60">
        <v>15.55</v>
      </c>
    </row>
    <row r="1097" spans="1:21">
      <c r="A1097" s="60" t="s">
        <v>1923</v>
      </c>
      <c r="B1097" s="60" t="s">
        <v>2232</v>
      </c>
      <c r="C1097" s="60" t="s">
        <v>4088</v>
      </c>
      <c r="D1097" s="60">
        <v>116</v>
      </c>
      <c r="E1097" s="60">
        <v>0</v>
      </c>
      <c r="F1097" s="60">
        <v>435</v>
      </c>
      <c r="G1097" s="60">
        <v>0.04</v>
      </c>
      <c r="H1097" s="60">
        <v>9.11</v>
      </c>
      <c r="I1097" s="60">
        <v>8.39</v>
      </c>
      <c r="J1097" s="60">
        <v>0</v>
      </c>
      <c r="O1097" s="60" t="s">
        <v>1923</v>
      </c>
      <c r="P1097" s="60" t="s">
        <v>2232</v>
      </c>
      <c r="Q1097" s="60" t="s">
        <v>4088</v>
      </c>
      <c r="R1097" s="60">
        <v>116</v>
      </c>
      <c r="S1097" s="60">
        <v>0</v>
      </c>
      <c r="T1097" s="60">
        <v>435</v>
      </c>
      <c r="U1097" s="60">
        <v>65.12</v>
      </c>
    </row>
    <row r="1098" spans="1:21">
      <c r="A1098" s="60" t="s">
        <v>1925</v>
      </c>
      <c r="B1098" s="60" t="s">
        <v>5524</v>
      </c>
      <c r="C1098" s="60" t="s">
        <v>5304</v>
      </c>
      <c r="D1098" s="60">
        <v>184.5</v>
      </c>
      <c r="E1098" s="60">
        <v>3.07</v>
      </c>
      <c r="F1098" s="60">
        <v>2087</v>
      </c>
      <c r="G1098" s="60">
        <v>0</v>
      </c>
      <c r="H1098" s="60">
        <v>3.18</v>
      </c>
      <c r="I1098" s="60">
        <v>0</v>
      </c>
      <c r="J1098" s="60">
        <v>0</v>
      </c>
      <c r="O1098" s="60" t="s">
        <v>1925</v>
      </c>
      <c r="P1098" s="60" t="s">
        <v>5524</v>
      </c>
      <c r="Q1098" s="60" t="s">
        <v>5304</v>
      </c>
      <c r="R1098" s="60">
        <v>184.5</v>
      </c>
      <c r="S1098" s="60">
        <v>3.07</v>
      </c>
      <c r="T1098" s="60">
        <v>2087</v>
      </c>
      <c r="U1098" s="60">
        <v>63.66</v>
      </c>
    </row>
    <row r="1099" spans="1:21">
      <c r="A1099" s="60" t="s">
        <v>1927</v>
      </c>
      <c r="B1099" s="60" t="s">
        <v>2234</v>
      </c>
      <c r="C1099" s="60" t="s">
        <v>4089</v>
      </c>
      <c r="D1099" s="60">
        <v>70.8</v>
      </c>
      <c r="E1099" s="60">
        <v>-1.26</v>
      </c>
      <c r="F1099" s="60">
        <v>4551</v>
      </c>
      <c r="G1099" s="60">
        <v>0.35</v>
      </c>
      <c r="H1099" s="60">
        <v>54.36</v>
      </c>
      <c r="I1099" s="60">
        <v>19.68</v>
      </c>
      <c r="J1099" s="60">
        <v>0.17</v>
      </c>
      <c r="O1099" s="60" t="s">
        <v>1927</v>
      </c>
      <c r="P1099" s="60" t="s">
        <v>2234</v>
      </c>
      <c r="Q1099" s="60" t="s">
        <v>4089</v>
      </c>
      <c r="R1099" s="60">
        <v>70.8</v>
      </c>
      <c r="S1099" s="60">
        <v>-1.26</v>
      </c>
      <c r="T1099" s="60">
        <v>4551</v>
      </c>
      <c r="U1099" s="60">
        <v>52.85</v>
      </c>
    </row>
    <row r="1100" spans="1:21">
      <c r="A1100" s="60" t="s">
        <v>1929</v>
      </c>
      <c r="B1100" s="60" t="s">
        <v>2236</v>
      </c>
      <c r="C1100" s="60" t="s">
        <v>4799</v>
      </c>
      <c r="D1100" s="60">
        <v>51.5</v>
      </c>
      <c r="E1100" s="60">
        <v>4.04</v>
      </c>
      <c r="F1100" s="60">
        <v>133</v>
      </c>
      <c r="G1100" s="60">
        <v>0.02</v>
      </c>
      <c r="H1100" s="60">
        <v>15.73</v>
      </c>
      <c r="I1100" s="60">
        <v>15.46</v>
      </c>
      <c r="J1100" s="60">
        <v>0.18</v>
      </c>
      <c r="O1100" s="60" t="s">
        <v>1929</v>
      </c>
      <c r="P1100" s="60" t="s">
        <v>2236</v>
      </c>
      <c r="Q1100" s="60" t="s">
        <v>4799</v>
      </c>
      <c r="R1100" s="60">
        <v>51.5</v>
      </c>
      <c r="S1100" s="60">
        <v>4.04</v>
      </c>
      <c r="T1100" s="60">
        <v>133</v>
      </c>
      <c r="U1100" s="60">
        <v>49.84</v>
      </c>
    </row>
    <row r="1101" spans="1:21">
      <c r="A1101" s="60" t="s">
        <v>1931</v>
      </c>
      <c r="B1101" s="60" t="s">
        <v>2238</v>
      </c>
      <c r="C1101" s="60" t="s">
        <v>4800</v>
      </c>
      <c r="D1101" s="60">
        <v>14.05</v>
      </c>
      <c r="E1101" s="60">
        <v>0.36</v>
      </c>
      <c r="F1101" s="60">
        <v>33</v>
      </c>
      <c r="G1101" s="60">
        <v>0</v>
      </c>
      <c r="H1101" s="60">
        <v>21.75</v>
      </c>
      <c r="I1101" s="60">
        <v>5.04</v>
      </c>
      <c r="J1101" s="60">
        <v>0</v>
      </c>
      <c r="O1101" s="60" t="s">
        <v>1931</v>
      </c>
      <c r="P1101" s="60" t="s">
        <v>2238</v>
      </c>
      <c r="Q1101" s="60" t="s">
        <v>4800</v>
      </c>
      <c r="R1101" s="60">
        <v>14.05</v>
      </c>
      <c r="S1101" s="60">
        <v>0.36</v>
      </c>
      <c r="T1101" s="60">
        <v>33</v>
      </c>
      <c r="U1101" s="60">
        <v>41.75</v>
      </c>
    </row>
    <row r="1102" spans="1:21">
      <c r="A1102" s="60" t="s">
        <v>1933</v>
      </c>
      <c r="B1102" s="60" t="s">
        <v>2240</v>
      </c>
      <c r="C1102" s="60" t="s">
        <v>4035</v>
      </c>
      <c r="D1102" s="60">
        <v>34.6</v>
      </c>
      <c r="E1102" s="60">
        <v>-1</v>
      </c>
      <c r="F1102" s="60">
        <v>3254</v>
      </c>
      <c r="G1102" s="60">
        <v>0</v>
      </c>
      <c r="H1102" s="60">
        <v>3.41</v>
      </c>
      <c r="I1102" s="60">
        <v>30.83</v>
      </c>
      <c r="J1102" s="60">
        <v>0</v>
      </c>
      <c r="O1102" s="60" t="s">
        <v>1933</v>
      </c>
      <c r="P1102" s="60" t="s">
        <v>2240</v>
      </c>
      <c r="Q1102" s="60" t="s">
        <v>4035</v>
      </c>
      <c r="R1102" s="60">
        <v>34.6</v>
      </c>
      <c r="S1102" s="60">
        <v>-1</v>
      </c>
      <c r="T1102" s="60">
        <v>3254</v>
      </c>
      <c r="U1102" s="60">
        <v>36.82</v>
      </c>
    </row>
    <row r="1103" spans="1:21">
      <c r="A1103" s="60" t="s">
        <v>1935</v>
      </c>
      <c r="B1103" s="60" t="s">
        <v>2242</v>
      </c>
      <c r="C1103" s="60" t="s">
        <v>5182</v>
      </c>
      <c r="D1103" s="60">
        <v>152</v>
      </c>
      <c r="E1103" s="60">
        <v>-1.3</v>
      </c>
      <c r="F1103" s="60">
        <v>835</v>
      </c>
      <c r="G1103" s="60">
        <v>3.26</v>
      </c>
      <c r="H1103" s="60">
        <v>19.87</v>
      </c>
      <c r="I1103" s="60">
        <v>17.77</v>
      </c>
      <c r="J1103" s="60">
        <v>5.65</v>
      </c>
      <c r="O1103" s="60" t="s">
        <v>1935</v>
      </c>
      <c r="P1103" s="60" t="s">
        <v>2242</v>
      </c>
      <c r="Q1103" s="60" t="s">
        <v>5182</v>
      </c>
      <c r="R1103" s="60">
        <v>152</v>
      </c>
      <c r="S1103" s="60">
        <v>-1.3</v>
      </c>
      <c r="T1103" s="60">
        <v>835</v>
      </c>
      <c r="U1103" s="60">
        <v>44.89</v>
      </c>
    </row>
    <row r="1104" spans="1:21">
      <c r="A1104" s="60" t="s">
        <v>1937</v>
      </c>
      <c r="B1104" s="60" t="s">
        <v>2244</v>
      </c>
      <c r="C1104" s="60" t="s">
        <v>3519</v>
      </c>
      <c r="D1104" s="60">
        <v>1980</v>
      </c>
      <c r="E1104" s="60">
        <v>4.21</v>
      </c>
      <c r="F1104" s="60">
        <v>721</v>
      </c>
      <c r="G1104" s="60">
        <v>0.69</v>
      </c>
      <c r="H1104" s="60">
        <v>26.03</v>
      </c>
      <c r="I1104" s="60">
        <v>3.77</v>
      </c>
      <c r="J1104" s="60">
        <v>1.67</v>
      </c>
      <c r="O1104" s="60" t="s">
        <v>1937</v>
      </c>
      <c r="P1104" s="60" t="s">
        <v>2244</v>
      </c>
      <c r="Q1104" s="60" t="s">
        <v>3519</v>
      </c>
      <c r="R1104" s="60">
        <v>1980</v>
      </c>
      <c r="S1104" s="60">
        <v>4.21</v>
      </c>
      <c r="T1104" s="60">
        <v>721</v>
      </c>
      <c r="U1104" s="60">
        <v>65.069999999999993</v>
      </c>
    </row>
    <row r="1105" spans="1:21">
      <c r="A1105" s="60" t="s">
        <v>1939</v>
      </c>
      <c r="B1105" s="60" t="s">
        <v>2246</v>
      </c>
      <c r="C1105" s="60" t="s">
        <v>3601</v>
      </c>
      <c r="D1105" s="60">
        <v>42.2</v>
      </c>
      <c r="E1105" s="60">
        <v>3.18</v>
      </c>
      <c r="F1105" s="60">
        <v>3133</v>
      </c>
      <c r="G1105" s="60">
        <v>1.04</v>
      </c>
      <c r="H1105" s="60">
        <v>6.7</v>
      </c>
      <c r="I1105" s="60">
        <v>20.309999999999999</v>
      </c>
      <c r="J1105" s="60">
        <v>0</v>
      </c>
      <c r="O1105" s="60" t="s">
        <v>1939</v>
      </c>
      <c r="P1105" s="60" t="s">
        <v>2246</v>
      </c>
      <c r="Q1105" s="60" t="s">
        <v>3601</v>
      </c>
      <c r="R1105" s="60">
        <v>42.2</v>
      </c>
      <c r="S1105" s="60">
        <v>3.18</v>
      </c>
      <c r="T1105" s="60">
        <v>3133</v>
      </c>
      <c r="U1105" s="60">
        <v>22.85</v>
      </c>
    </row>
    <row r="1106" spans="1:21">
      <c r="A1106" s="60" t="s">
        <v>1940</v>
      </c>
      <c r="B1106" s="60" t="s">
        <v>2248</v>
      </c>
      <c r="C1106" s="60" t="s">
        <v>4685</v>
      </c>
      <c r="D1106" s="60">
        <v>3185</v>
      </c>
      <c r="E1106" s="60">
        <v>0.16</v>
      </c>
      <c r="F1106" s="60">
        <v>82</v>
      </c>
      <c r="G1106" s="60">
        <v>7.0000000000000007E-2</v>
      </c>
      <c r="H1106" s="60">
        <v>70.25</v>
      </c>
      <c r="I1106" s="60">
        <v>1.04</v>
      </c>
      <c r="J1106" s="60">
        <v>5.33</v>
      </c>
      <c r="O1106" s="60" t="s">
        <v>1940</v>
      </c>
      <c r="P1106" s="60" t="s">
        <v>2248</v>
      </c>
      <c r="Q1106" s="60" t="s">
        <v>4685</v>
      </c>
      <c r="R1106" s="60">
        <v>3185</v>
      </c>
      <c r="S1106" s="60">
        <v>0.16</v>
      </c>
      <c r="T1106" s="60">
        <v>82</v>
      </c>
      <c r="U1106" s="60">
        <v>21.58</v>
      </c>
    </row>
    <row r="1107" spans="1:21">
      <c r="A1107" s="60" t="s">
        <v>1942</v>
      </c>
      <c r="B1107" s="60" t="s">
        <v>3279</v>
      </c>
      <c r="C1107" s="60" t="s">
        <v>5135</v>
      </c>
      <c r="D1107" s="60">
        <v>16.149999999999999</v>
      </c>
      <c r="E1107" s="60">
        <v>-0.62</v>
      </c>
      <c r="F1107" s="60">
        <v>16</v>
      </c>
      <c r="G1107" s="60">
        <v>0</v>
      </c>
      <c r="H1107" s="60">
        <v>76.989999999999995</v>
      </c>
      <c r="I1107" s="60">
        <v>0</v>
      </c>
      <c r="J1107" s="60">
        <v>0</v>
      </c>
      <c r="O1107" s="60" t="s">
        <v>1942</v>
      </c>
      <c r="P1107" s="60" t="s">
        <v>3279</v>
      </c>
      <c r="Q1107" s="60" t="s">
        <v>5135</v>
      </c>
      <c r="R1107" s="60">
        <v>16.149999999999999</v>
      </c>
      <c r="S1107" s="60">
        <v>-0.62</v>
      </c>
      <c r="T1107" s="60">
        <v>16</v>
      </c>
      <c r="U1107" s="60">
        <v>85.3</v>
      </c>
    </row>
    <row r="1108" spans="1:21">
      <c r="A1108" s="60" t="s">
        <v>1944</v>
      </c>
      <c r="B1108" s="60" t="s">
        <v>3280</v>
      </c>
      <c r="C1108" s="60" t="s">
        <v>5202</v>
      </c>
      <c r="D1108" s="60">
        <v>203.5</v>
      </c>
      <c r="E1108" s="60">
        <v>0.25</v>
      </c>
      <c r="F1108" s="60">
        <v>23</v>
      </c>
      <c r="G1108" s="60">
        <v>0</v>
      </c>
      <c r="H1108" s="60">
        <v>43.2</v>
      </c>
      <c r="I1108" s="60">
        <v>0</v>
      </c>
      <c r="J1108" s="60">
        <v>0</v>
      </c>
      <c r="O1108" s="60" t="s">
        <v>1944</v>
      </c>
      <c r="P1108" s="60" t="s">
        <v>3280</v>
      </c>
      <c r="Q1108" s="60" t="s">
        <v>5202</v>
      </c>
      <c r="R1108" s="60">
        <v>203.5</v>
      </c>
      <c r="S1108" s="60">
        <v>0.25</v>
      </c>
      <c r="T1108" s="60">
        <v>23</v>
      </c>
      <c r="U1108" s="60">
        <v>22.34</v>
      </c>
    </row>
    <row r="1109" spans="1:21">
      <c r="A1109" s="60" t="s">
        <v>1946</v>
      </c>
      <c r="B1109" s="60" t="s">
        <v>2250</v>
      </c>
      <c r="C1109" s="60" t="s">
        <v>4801</v>
      </c>
      <c r="D1109" s="60">
        <v>20.25</v>
      </c>
      <c r="E1109" s="60">
        <v>-0.98</v>
      </c>
      <c r="F1109" s="60">
        <v>29</v>
      </c>
      <c r="G1109" s="60">
        <v>0</v>
      </c>
      <c r="H1109" s="60">
        <v>41.51</v>
      </c>
      <c r="I1109" s="60">
        <v>6.45</v>
      </c>
      <c r="J1109" s="60">
        <v>0</v>
      </c>
      <c r="O1109" s="60" t="s">
        <v>1946</v>
      </c>
      <c r="P1109" s="60" t="s">
        <v>2250</v>
      </c>
      <c r="Q1109" s="60" t="s">
        <v>4801</v>
      </c>
      <c r="R1109" s="60">
        <v>20.25</v>
      </c>
      <c r="S1109" s="60">
        <v>-0.98</v>
      </c>
      <c r="T1109" s="60">
        <v>29</v>
      </c>
      <c r="U1109" s="60">
        <v>55.05</v>
      </c>
    </row>
    <row r="1110" spans="1:21">
      <c r="A1110" s="60" t="s">
        <v>1948</v>
      </c>
      <c r="B1110" s="60" t="s">
        <v>2252</v>
      </c>
      <c r="C1110" s="60" t="s">
        <v>3829</v>
      </c>
      <c r="D1110" s="60">
        <v>117</v>
      </c>
      <c r="E1110" s="60">
        <v>-0.85</v>
      </c>
      <c r="F1110" s="60">
        <v>37</v>
      </c>
      <c r="G1110" s="60">
        <v>0.01</v>
      </c>
      <c r="H1110" s="60">
        <v>2.33</v>
      </c>
      <c r="I1110" s="60">
        <v>0.64</v>
      </c>
      <c r="J1110" s="60">
        <v>0</v>
      </c>
      <c r="O1110" s="60" t="s">
        <v>1948</v>
      </c>
      <c r="P1110" s="60" t="s">
        <v>2252</v>
      </c>
      <c r="Q1110" s="60" t="s">
        <v>3829</v>
      </c>
      <c r="R1110" s="60">
        <v>117</v>
      </c>
      <c r="S1110" s="60">
        <v>-0.85</v>
      </c>
      <c r="T1110" s="60">
        <v>37</v>
      </c>
      <c r="U1110" s="60">
        <v>57.67</v>
      </c>
    </row>
    <row r="1111" spans="1:21">
      <c r="A1111" s="60" t="s">
        <v>1949</v>
      </c>
      <c r="B1111" s="60" t="s">
        <v>2254</v>
      </c>
      <c r="C1111" s="60" t="s">
        <v>2255</v>
      </c>
      <c r="D1111" s="60">
        <v>44.75</v>
      </c>
      <c r="E1111" s="60">
        <v>0.56000000000000005</v>
      </c>
      <c r="F1111" s="60">
        <v>64</v>
      </c>
      <c r="G1111" s="60">
        <v>0</v>
      </c>
      <c r="H1111" s="60">
        <v>61.59</v>
      </c>
      <c r="I1111" s="60">
        <v>2.2999999999999998</v>
      </c>
      <c r="J1111" s="60">
        <v>0.34</v>
      </c>
      <c r="O1111" s="60" t="s">
        <v>1949</v>
      </c>
      <c r="P1111" s="60" t="s">
        <v>2254</v>
      </c>
      <c r="Q1111" s="60" t="s">
        <v>2255</v>
      </c>
      <c r="R1111" s="60">
        <v>44.75</v>
      </c>
      <c r="S1111" s="60">
        <v>0.56000000000000005</v>
      </c>
      <c r="T1111" s="60">
        <v>64</v>
      </c>
      <c r="U1111" s="60">
        <v>59.65</v>
      </c>
    </row>
    <row r="1112" spans="1:21">
      <c r="A1112" s="60" t="s">
        <v>1951</v>
      </c>
      <c r="B1112" s="60" t="s">
        <v>2257</v>
      </c>
      <c r="C1112" s="60" t="s">
        <v>3982</v>
      </c>
      <c r="D1112" s="60">
        <v>117</v>
      </c>
      <c r="E1112" s="60">
        <v>0</v>
      </c>
      <c r="F1112" s="60">
        <v>2853</v>
      </c>
      <c r="G1112" s="60">
        <v>2.69</v>
      </c>
      <c r="H1112" s="60">
        <v>5.0999999999999996</v>
      </c>
      <c r="I1112" s="60">
        <v>24.63</v>
      </c>
      <c r="J1112" s="60">
        <v>0.43</v>
      </c>
      <c r="O1112" s="60" t="s">
        <v>1951</v>
      </c>
      <c r="P1112" s="60" t="s">
        <v>2257</v>
      </c>
      <c r="Q1112" s="60" t="s">
        <v>3982</v>
      </c>
      <c r="R1112" s="60">
        <v>117</v>
      </c>
      <c r="S1112" s="60">
        <v>0</v>
      </c>
      <c r="T1112" s="60">
        <v>2853</v>
      </c>
      <c r="U1112" s="60">
        <v>56.51</v>
      </c>
    </row>
    <row r="1113" spans="1:21">
      <c r="A1113" s="60" t="s">
        <v>1953</v>
      </c>
      <c r="B1113" s="60" t="s">
        <v>2259</v>
      </c>
      <c r="C1113" s="60" t="s">
        <v>5203</v>
      </c>
      <c r="D1113" s="60">
        <v>249.5</v>
      </c>
      <c r="E1113" s="60">
        <v>1.42</v>
      </c>
      <c r="F1113" s="60">
        <v>38</v>
      </c>
      <c r="G1113" s="60">
        <v>0</v>
      </c>
      <c r="H1113" s="60">
        <v>33.76</v>
      </c>
      <c r="I1113" s="60">
        <v>1.99</v>
      </c>
      <c r="J1113" s="60">
        <v>0</v>
      </c>
      <c r="O1113" s="60" t="s">
        <v>1953</v>
      </c>
      <c r="P1113" s="60" t="s">
        <v>2259</v>
      </c>
      <c r="Q1113" s="60" t="s">
        <v>5203</v>
      </c>
      <c r="R1113" s="60">
        <v>249.5</v>
      </c>
      <c r="S1113" s="60">
        <v>1.42</v>
      </c>
      <c r="T1113" s="60">
        <v>38</v>
      </c>
      <c r="U1113" s="60">
        <v>56.27</v>
      </c>
    </row>
    <row r="1114" spans="1:21">
      <c r="A1114" s="60" t="s">
        <v>1955</v>
      </c>
      <c r="B1114" s="60" t="s">
        <v>2261</v>
      </c>
      <c r="C1114" s="60" t="s">
        <v>3813</v>
      </c>
      <c r="D1114" s="60">
        <v>150</v>
      </c>
      <c r="E1114" s="60">
        <v>-0.66</v>
      </c>
      <c r="F1114" s="60">
        <v>27</v>
      </c>
      <c r="G1114" s="60">
        <v>0</v>
      </c>
      <c r="H1114" s="60">
        <v>67.84</v>
      </c>
      <c r="I1114" s="60">
        <v>8.2899999999999991</v>
      </c>
      <c r="J1114" s="60">
        <v>0.21</v>
      </c>
      <c r="O1114" s="60" t="s">
        <v>1955</v>
      </c>
      <c r="P1114" s="60" t="s">
        <v>2261</v>
      </c>
      <c r="Q1114" s="60" t="s">
        <v>3813</v>
      </c>
      <c r="R1114" s="60">
        <v>150</v>
      </c>
      <c r="S1114" s="60">
        <v>-0.66</v>
      </c>
      <c r="T1114" s="60">
        <v>27</v>
      </c>
      <c r="U1114" s="60">
        <v>71.31</v>
      </c>
    </row>
    <row r="1115" spans="1:21">
      <c r="A1115" s="60" t="s">
        <v>1957</v>
      </c>
      <c r="B1115" s="60" t="s">
        <v>2263</v>
      </c>
      <c r="C1115" s="60" t="s">
        <v>4753</v>
      </c>
      <c r="D1115" s="60">
        <v>209.5</v>
      </c>
      <c r="E1115" s="60">
        <v>3.46</v>
      </c>
      <c r="F1115" s="60">
        <v>525</v>
      </c>
      <c r="G1115" s="60">
        <v>0.13</v>
      </c>
      <c r="H1115" s="60">
        <v>41</v>
      </c>
      <c r="I1115" s="60">
        <v>7.2</v>
      </c>
      <c r="J1115" s="60">
        <v>0.74</v>
      </c>
      <c r="O1115" s="60" t="s">
        <v>1957</v>
      </c>
      <c r="P1115" s="60" t="s">
        <v>2263</v>
      </c>
      <c r="Q1115" s="60" t="s">
        <v>4753</v>
      </c>
      <c r="R1115" s="60">
        <v>209.5</v>
      </c>
      <c r="S1115" s="60">
        <v>3.46</v>
      </c>
      <c r="T1115" s="60">
        <v>525</v>
      </c>
      <c r="U1115" s="60">
        <v>42.64</v>
      </c>
    </row>
    <row r="1116" spans="1:21">
      <c r="A1116" s="60" t="s">
        <v>1959</v>
      </c>
      <c r="B1116" s="60" t="s">
        <v>2265</v>
      </c>
      <c r="C1116" s="60" t="s">
        <v>4907</v>
      </c>
      <c r="D1116" s="60">
        <v>37.299999999999997</v>
      </c>
      <c r="E1116" s="60">
        <v>0.54</v>
      </c>
      <c r="F1116" s="60">
        <v>190</v>
      </c>
      <c r="G1116" s="60">
        <v>0</v>
      </c>
      <c r="H1116" s="60">
        <v>5.43</v>
      </c>
      <c r="I1116" s="60">
        <v>45.5</v>
      </c>
      <c r="J1116" s="60">
        <v>0</v>
      </c>
      <c r="O1116" s="60" t="s">
        <v>1959</v>
      </c>
      <c r="P1116" s="60" t="s">
        <v>2265</v>
      </c>
      <c r="Q1116" s="60" t="s">
        <v>4907</v>
      </c>
      <c r="R1116" s="60">
        <v>37.299999999999997</v>
      </c>
      <c r="S1116" s="60">
        <v>0.54</v>
      </c>
      <c r="T1116" s="60">
        <v>190</v>
      </c>
      <c r="U1116" s="60">
        <v>19.579999999999998</v>
      </c>
    </row>
    <row r="1117" spans="1:21">
      <c r="A1117" s="60" t="s">
        <v>1961</v>
      </c>
      <c r="B1117" s="60" t="s">
        <v>2267</v>
      </c>
      <c r="C1117" s="60" t="s">
        <v>3511</v>
      </c>
      <c r="D1117" s="60">
        <v>194</v>
      </c>
      <c r="E1117" s="60">
        <v>-0.51</v>
      </c>
      <c r="F1117" s="60">
        <v>621</v>
      </c>
      <c r="G1117" s="60">
        <v>1.1499999999999999</v>
      </c>
      <c r="H1117" s="60">
        <v>5.54</v>
      </c>
      <c r="I1117" s="60">
        <v>36.130000000000003</v>
      </c>
      <c r="J1117" s="60">
        <v>0</v>
      </c>
      <c r="O1117" s="60" t="s">
        <v>1961</v>
      </c>
      <c r="P1117" s="60" t="s">
        <v>2267</v>
      </c>
      <c r="Q1117" s="60" t="s">
        <v>3511</v>
      </c>
      <c r="R1117" s="60">
        <v>194</v>
      </c>
      <c r="S1117" s="60">
        <v>-0.51</v>
      </c>
      <c r="T1117" s="60">
        <v>621</v>
      </c>
      <c r="U1117" s="60">
        <v>32.06</v>
      </c>
    </row>
    <row r="1118" spans="1:21">
      <c r="A1118" s="60" t="s">
        <v>1963</v>
      </c>
      <c r="B1118" s="60" t="s">
        <v>3281</v>
      </c>
      <c r="C1118" s="60" t="s">
        <v>5094</v>
      </c>
      <c r="D1118" s="60">
        <v>8.9499999999999993</v>
      </c>
      <c r="E1118" s="60">
        <v>0.34</v>
      </c>
      <c r="F1118" s="60">
        <v>6</v>
      </c>
      <c r="G1118" s="60">
        <v>0</v>
      </c>
      <c r="H1118" s="60">
        <v>5.49</v>
      </c>
      <c r="I1118" s="60">
        <v>0</v>
      </c>
      <c r="J1118" s="60">
        <v>0</v>
      </c>
      <c r="O1118" s="60" t="s">
        <v>1963</v>
      </c>
      <c r="P1118" s="60" t="s">
        <v>3281</v>
      </c>
      <c r="Q1118" s="60" t="s">
        <v>5094</v>
      </c>
      <c r="R1118" s="60">
        <v>8.9499999999999993</v>
      </c>
      <c r="S1118" s="60">
        <v>0.34</v>
      </c>
      <c r="T1118" s="60">
        <v>6</v>
      </c>
      <c r="U1118" s="60">
        <v>77.8</v>
      </c>
    </row>
    <row r="1119" spans="1:21">
      <c r="A1119" s="60" t="s">
        <v>1965</v>
      </c>
      <c r="B1119" s="60" t="s">
        <v>3282</v>
      </c>
      <c r="C1119" s="60" t="s">
        <v>4686</v>
      </c>
      <c r="D1119" s="60">
        <v>13.5</v>
      </c>
      <c r="E1119" s="60">
        <v>2.27</v>
      </c>
      <c r="F1119" s="60">
        <v>775</v>
      </c>
      <c r="G1119" s="60">
        <v>0</v>
      </c>
      <c r="H1119" s="60">
        <v>7.0000000000000007E-2</v>
      </c>
      <c r="I1119" s="60">
        <v>0</v>
      </c>
      <c r="J1119" s="60">
        <v>0</v>
      </c>
      <c r="O1119" s="60" t="s">
        <v>1965</v>
      </c>
      <c r="P1119" s="60" t="s">
        <v>3282</v>
      </c>
      <c r="Q1119" s="60" t="s">
        <v>4686</v>
      </c>
      <c r="R1119" s="60">
        <v>13.5</v>
      </c>
      <c r="S1119" s="60">
        <v>2.27</v>
      </c>
      <c r="T1119" s="60">
        <v>775</v>
      </c>
      <c r="U1119" s="60">
        <v>48.72</v>
      </c>
    </row>
    <row r="1120" spans="1:21">
      <c r="A1120" s="60" t="s">
        <v>1967</v>
      </c>
      <c r="B1120" s="60" t="s">
        <v>2271</v>
      </c>
      <c r="C1120" s="60" t="s">
        <v>3648</v>
      </c>
      <c r="D1120" s="60">
        <v>207</v>
      </c>
      <c r="E1120" s="60">
        <v>0.98</v>
      </c>
      <c r="F1120" s="60">
        <v>94</v>
      </c>
      <c r="G1120" s="60">
        <v>0.04</v>
      </c>
      <c r="H1120" s="60">
        <v>25.66</v>
      </c>
      <c r="I1120" s="60">
        <v>0.6</v>
      </c>
      <c r="J1120" s="60">
        <v>0.04</v>
      </c>
      <c r="O1120" s="60" t="s">
        <v>1967</v>
      </c>
      <c r="P1120" s="60" t="s">
        <v>2271</v>
      </c>
      <c r="Q1120" s="60" t="s">
        <v>3648</v>
      </c>
      <c r="R1120" s="60">
        <v>207</v>
      </c>
      <c r="S1120" s="60">
        <v>0.98</v>
      </c>
      <c r="T1120" s="60">
        <v>94</v>
      </c>
      <c r="U1120" s="60">
        <v>71.44</v>
      </c>
    </row>
    <row r="1121" spans="1:21">
      <c r="A1121" s="60" t="s">
        <v>1969</v>
      </c>
      <c r="B1121" s="60" t="s">
        <v>3283</v>
      </c>
      <c r="C1121" s="60" t="s">
        <v>4908</v>
      </c>
      <c r="D1121" s="60">
        <v>43</v>
      </c>
      <c r="E1121" s="60">
        <v>-1.49</v>
      </c>
      <c r="F1121" s="60">
        <v>5559</v>
      </c>
      <c r="G1121" s="60">
        <v>0</v>
      </c>
      <c r="H1121" s="60">
        <v>3.02</v>
      </c>
      <c r="I1121" s="60">
        <v>0</v>
      </c>
      <c r="J1121" s="60">
        <v>0</v>
      </c>
      <c r="O1121" s="60" t="s">
        <v>1969</v>
      </c>
      <c r="P1121" s="60" t="s">
        <v>3283</v>
      </c>
      <c r="Q1121" s="60" t="s">
        <v>4908</v>
      </c>
      <c r="R1121" s="60">
        <v>43</v>
      </c>
      <c r="S1121" s="60">
        <v>-1.49</v>
      </c>
      <c r="T1121" s="60">
        <v>5559</v>
      </c>
      <c r="U1121" s="60">
        <v>20.25</v>
      </c>
    </row>
    <row r="1122" spans="1:21">
      <c r="A1122" s="60" t="s">
        <v>1971</v>
      </c>
      <c r="B1122" s="60" t="s">
        <v>3284</v>
      </c>
      <c r="C1122" s="60" t="s">
        <v>4988</v>
      </c>
      <c r="D1122" s="60">
        <v>16.5</v>
      </c>
      <c r="E1122" s="60">
        <v>4.0999999999999996</v>
      </c>
      <c r="F1122" s="60">
        <v>158</v>
      </c>
      <c r="G1122" s="60">
        <v>0</v>
      </c>
      <c r="H1122" s="60">
        <v>0.04</v>
      </c>
      <c r="I1122" s="60">
        <v>0</v>
      </c>
      <c r="J1122" s="60">
        <v>0</v>
      </c>
      <c r="O1122" s="60" t="s">
        <v>1971</v>
      </c>
      <c r="P1122" s="60" t="s">
        <v>3284</v>
      </c>
      <c r="Q1122" s="60" t="s">
        <v>4988</v>
      </c>
      <c r="R1122" s="60">
        <v>16.5</v>
      </c>
      <c r="S1122" s="60">
        <v>4.0999999999999996</v>
      </c>
      <c r="T1122" s="60">
        <v>158</v>
      </c>
      <c r="U1122" s="60">
        <v>59.8</v>
      </c>
    </row>
    <row r="1123" spans="1:21">
      <c r="A1123" s="60" t="s">
        <v>1973</v>
      </c>
      <c r="B1123" s="60" t="s">
        <v>2275</v>
      </c>
      <c r="C1123" s="60" t="s">
        <v>4618</v>
      </c>
      <c r="D1123" s="60">
        <v>58.8</v>
      </c>
      <c r="E1123" s="60">
        <v>0</v>
      </c>
      <c r="F1123" s="60">
        <v>48</v>
      </c>
      <c r="G1123" s="60">
        <v>0</v>
      </c>
      <c r="H1123" s="60">
        <v>12.45</v>
      </c>
      <c r="I1123" s="60">
        <v>0.66</v>
      </c>
      <c r="J1123" s="60">
        <v>0</v>
      </c>
      <c r="O1123" s="60" t="s">
        <v>1973</v>
      </c>
      <c r="P1123" s="60" t="s">
        <v>2275</v>
      </c>
      <c r="Q1123" s="60" t="s">
        <v>4618</v>
      </c>
      <c r="R1123" s="60">
        <v>58.8</v>
      </c>
      <c r="S1123" s="60">
        <v>0</v>
      </c>
      <c r="T1123" s="60">
        <v>48</v>
      </c>
      <c r="U1123" s="60">
        <v>56.72</v>
      </c>
    </row>
    <row r="1124" spans="1:21">
      <c r="A1124" s="60" t="s">
        <v>1975</v>
      </c>
      <c r="B1124" s="60" t="s">
        <v>3285</v>
      </c>
      <c r="C1124" s="60" t="s">
        <v>4687</v>
      </c>
      <c r="D1124" s="60">
        <v>5.05</v>
      </c>
      <c r="E1124" s="60">
        <v>0.8</v>
      </c>
      <c r="F1124" s="60">
        <v>8</v>
      </c>
      <c r="G1124" s="60">
        <v>0</v>
      </c>
      <c r="H1124" s="60">
        <v>0.62</v>
      </c>
      <c r="I1124" s="60">
        <v>0</v>
      </c>
      <c r="J1124" s="60">
        <v>0</v>
      </c>
      <c r="O1124" s="60" t="s">
        <v>1975</v>
      </c>
      <c r="P1124" s="60" t="s">
        <v>3285</v>
      </c>
      <c r="Q1124" s="60" t="s">
        <v>4687</v>
      </c>
      <c r="R1124" s="60">
        <v>5.05</v>
      </c>
      <c r="S1124" s="60">
        <v>0.8</v>
      </c>
      <c r="T1124" s="60">
        <v>8</v>
      </c>
      <c r="U1124" s="60">
        <v>47.09</v>
      </c>
    </row>
    <row r="1125" spans="1:21">
      <c r="A1125" s="60" t="s">
        <v>1977</v>
      </c>
      <c r="B1125" s="60" t="s">
        <v>2278</v>
      </c>
      <c r="C1125" s="60" t="s">
        <v>3666</v>
      </c>
      <c r="D1125" s="60">
        <v>19.3</v>
      </c>
      <c r="E1125" s="60">
        <v>7.22</v>
      </c>
      <c r="F1125" s="60">
        <v>9215</v>
      </c>
      <c r="G1125" s="60">
        <v>0.03</v>
      </c>
      <c r="H1125" s="60">
        <v>5.79</v>
      </c>
      <c r="I1125" s="60">
        <v>11.24</v>
      </c>
      <c r="J1125" s="60">
        <v>0</v>
      </c>
      <c r="O1125" s="60" t="s">
        <v>1977</v>
      </c>
      <c r="P1125" s="60" t="s">
        <v>2278</v>
      </c>
      <c r="Q1125" s="60" t="s">
        <v>3666</v>
      </c>
      <c r="R1125" s="60">
        <v>19.3</v>
      </c>
      <c r="S1125" s="60">
        <v>7.22</v>
      </c>
      <c r="T1125" s="60">
        <v>9215</v>
      </c>
      <c r="U1125" s="60">
        <v>18.59</v>
      </c>
    </row>
    <row r="1126" spans="1:21">
      <c r="A1126" s="60" t="s">
        <v>1979</v>
      </c>
      <c r="B1126" s="60" t="s">
        <v>2280</v>
      </c>
      <c r="C1126" s="60" t="s">
        <v>5509</v>
      </c>
      <c r="D1126" s="60">
        <v>105.5</v>
      </c>
      <c r="E1126" s="60">
        <v>0.96</v>
      </c>
      <c r="F1126" s="60">
        <v>661</v>
      </c>
      <c r="G1126" s="60">
        <v>5.91</v>
      </c>
      <c r="H1126" s="60">
        <v>2.46</v>
      </c>
      <c r="I1126" s="60">
        <v>30.82</v>
      </c>
      <c r="J1126" s="60">
        <v>0</v>
      </c>
      <c r="O1126" s="60" t="s">
        <v>1979</v>
      </c>
      <c r="P1126" s="60" t="s">
        <v>2280</v>
      </c>
      <c r="Q1126" s="60" t="s">
        <v>5509</v>
      </c>
      <c r="R1126" s="60">
        <v>105.5</v>
      </c>
      <c r="S1126" s="60">
        <v>0.96</v>
      </c>
      <c r="T1126" s="60">
        <v>661</v>
      </c>
      <c r="U1126" s="60">
        <v>53.12</v>
      </c>
    </row>
    <row r="1127" spans="1:21">
      <c r="A1127" s="60" t="s">
        <v>1981</v>
      </c>
      <c r="B1127" s="60" t="s">
        <v>3286</v>
      </c>
      <c r="C1127" s="60" t="s">
        <v>5055</v>
      </c>
      <c r="D1127" s="60">
        <v>9.48</v>
      </c>
      <c r="E1127" s="60">
        <v>0.11</v>
      </c>
      <c r="F1127" s="60">
        <v>167</v>
      </c>
      <c r="G1127" s="60">
        <v>0</v>
      </c>
      <c r="H1127" s="60">
        <v>5.53</v>
      </c>
      <c r="I1127" s="60">
        <v>0</v>
      </c>
      <c r="J1127" s="60">
        <v>0</v>
      </c>
      <c r="O1127" s="60" t="s">
        <v>1981</v>
      </c>
      <c r="P1127" s="60" t="s">
        <v>3286</v>
      </c>
      <c r="Q1127" s="60" t="s">
        <v>5055</v>
      </c>
      <c r="R1127" s="60">
        <v>9.48</v>
      </c>
      <c r="S1127" s="60">
        <v>0.11</v>
      </c>
      <c r="T1127" s="60">
        <v>167</v>
      </c>
      <c r="U1127" s="60">
        <v>69.86</v>
      </c>
    </row>
    <row r="1128" spans="1:21">
      <c r="A1128" s="60" t="s">
        <v>1983</v>
      </c>
      <c r="B1128" s="60" t="s">
        <v>3287</v>
      </c>
      <c r="C1128" s="60" t="s">
        <v>4909</v>
      </c>
      <c r="D1128" s="60">
        <v>15.35</v>
      </c>
      <c r="E1128" s="60">
        <v>1.99</v>
      </c>
      <c r="F1128" s="60">
        <v>1225</v>
      </c>
      <c r="G1128" s="60">
        <v>0.39</v>
      </c>
      <c r="H1128" s="60">
        <v>1.27</v>
      </c>
      <c r="I1128" s="60">
        <v>10.51</v>
      </c>
      <c r="J1128" s="60">
        <v>0</v>
      </c>
      <c r="O1128" s="60" t="s">
        <v>1983</v>
      </c>
      <c r="P1128" s="60" t="s">
        <v>3287</v>
      </c>
      <c r="Q1128" s="60" t="s">
        <v>4909</v>
      </c>
      <c r="R1128" s="60">
        <v>15.35</v>
      </c>
      <c r="S1128" s="60">
        <v>1.99</v>
      </c>
      <c r="T1128" s="60">
        <v>1225</v>
      </c>
      <c r="U1128" s="60">
        <v>38.69</v>
      </c>
    </row>
    <row r="1129" spans="1:21">
      <c r="A1129" s="60" t="s">
        <v>1985</v>
      </c>
      <c r="B1129" s="60" t="s">
        <v>3288</v>
      </c>
      <c r="C1129" s="60" t="s">
        <v>4910</v>
      </c>
      <c r="D1129" s="60">
        <v>39</v>
      </c>
      <c r="E1129" s="60">
        <v>-0.89</v>
      </c>
      <c r="F1129" s="60">
        <v>150</v>
      </c>
      <c r="G1129" s="60">
        <v>0</v>
      </c>
      <c r="H1129" s="60">
        <v>50.03</v>
      </c>
      <c r="I1129" s="60">
        <v>0</v>
      </c>
      <c r="J1129" s="60">
        <v>1.32</v>
      </c>
      <c r="O1129" s="60" t="s">
        <v>1985</v>
      </c>
      <c r="P1129" s="60" t="s">
        <v>3288</v>
      </c>
      <c r="Q1129" s="60" t="s">
        <v>4910</v>
      </c>
      <c r="R1129" s="60">
        <v>39</v>
      </c>
      <c r="S1129" s="60">
        <v>-0.89</v>
      </c>
      <c r="T1129" s="60">
        <v>150</v>
      </c>
      <c r="U1129" s="60">
        <v>58.53</v>
      </c>
    </row>
    <row r="1130" spans="1:21">
      <c r="A1130" s="60" t="s">
        <v>1987</v>
      </c>
      <c r="B1130" s="60" t="s">
        <v>3289</v>
      </c>
      <c r="C1130" s="60" t="s">
        <v>4688</v>
      </c>
      <c r="D1130" s="60">
        <v>26.8</v>
      </c>
      <c r="E1130" s="60">
        <v>2.88</v>
      </c>
      <c r="F1130" s="60">
        <v>770</v>
      </c>
      <c r="G1130" s="60">
        <v>0</v>
      </c>
      <c r="H1130" s="60">
        <v>0.19</v>
      </c>
      <c r="I1130" s="60">
        <v>0</v>
      </c>
      <c r="J1130" s="60">
        <v>0</v>
      </c>
      <c r="O1130" s="60" t="s">
        <v>1987</v>
      </c>
      <c r="P1130" s="60" t="s">
        <v>3289</v>
      </c>
      <c r="Q1130" s="60" t="s">
        <v>4688</v>
      </c>
      <c r="R1130" s="60">
        <v>26.8</v>
      </c>
      <c r="S1130" s="60">
        <v>2.88</v>
      </c>
      <c r="T1130" s="60">
        <v>770</v>
      </c>
      <c r="U1130" s="60">
        <v>76.209999999999994</v>
      </c>
    </row>
    <row r="1131" spans="1:21">
      <c r="A1131" s="60" t="s">
        <v>1989</v>
      </c>
      <c r="B1131" s="60" t="s">
        <v>3290</v>
      </c>
      <c r="C1131" s="60" t="s">
        <v>4911</v>
      </c>
      <c r="D1131" s="60">
        <v>5.51</v>
      </c>
      <c r="E1131" s="60">
        <v>0</v>
      </c>
      <c r="F1131" s="60">
        <v>6</v>
      </c>
      <c r="G1131" s="60">
        <v>0</v>
      </c>
      <c r="H1131" s="60">
        <v>0</v>
      </c>
      <c r="I1131" s="60">
        <v>0</v>
      </c>
      <c r="J1131" s="60">
        <v>0</v>
      </c>
      <c r="O1131" s="60" t="s">
        <v>1989</v>
      </c>
      <c r="P1131" s="60" t="s">
        <v>3290</v>
      </c>
      <c r="Q1131" s="60" t="s">
        <v>4911</v>
      </c>
      <c r="R1131" s="60">
        <v>5.51</v>
      </c>
      <c r="S1131" s="60">
        <v>0</v>
      </c>
      <c r="T1131" s="60">
        <v>6</v>
      </c>
      <c r="U1131" s="60">
        <v>48.4</v>
      </c>
    </row>
    <row r="1132" spans="1:21">
      <c r="A1132" s="60" t="s">
        <v>1990</v>
      </c>
      <c r="B1132" s="60" t="s">
        <v>2287</v>
      </c>
      <c r="C1132" s="60" t="s">
        <v>4689</v>
      </c>
      <c r="D1132" s="60">
        <v>159.5</v>
      </c>
      <c r="E1132" s="60">
        <v>2.2400000000000002</v>
      </c>
      <c r="F1132" s="60">
        <v>6859</v>
      </c>
      <c r="G1132" s="60">
        <v>0.09</v>
      </c>
      <c r="H1132" s="60">
        <v>38.729999999999997</v>
      </c>
      <c r="I1132" s="60">
        <v>1.75</v>
      </c>
      <c r="J1132" s="60">
        <v>2.27</v>
      </c>
      <c r="O1132" s="60" t="s">
        <v>1990</v>
      </c>
      <c r="P1132" s="60" t="s">
        <v>2287</v>
      </c>
      <c r="Q1132" s="60" t="s">
        <v>4689</v>
      </c>
      <c r="R1132" s="60">
        <v>159.5</v>
      </c>
      <c r="S1132" s="60">
        <v>2.2400000000000002</v>
      </c>
      <c r="T1132" s="60">
        <v>6859</v>
      </c>
      <c r="U1132" s="60">
        <v>85.15</v>
      </c>
    </row>
    <row r="1133" spans="1:21">
      <c r="A1133" s="60" t="s">
        <v>1991</v>
      </c>
      <c r="B1133" s="60" t="s">
        <v>3291</v>
      </c>
      <c r="C1133" s="60" t="s">
        <v>4839</v>
      </c>
      <c r="D1133" s="60">
        <v>8.34</v>
      </c>
      <c r="E1133" s="60">
        <v>1.0900000000000001</v>
      </c>
      <c r="F1133" s="60">
        <v>208</v>
      </c>
      <c r="G1133" s="60">
        <v>0</v>
      </c>
      <c r="H1133" s="60">
        <v>0</v>
      </c>
      <c r="I1133" s="60">
        <v>0</v>
      </c>
      <c r="J1133" s="60">
        <v>0</v>
      </c>
      <c r="O1133" s="60" t="s">
        <v>1991</v>
      </c>
      <c r="P1133" s="60" t="s">
        <v>3291</v>
      </c>
      <c r="Q1133" s="60" t="s">
        <v>4839</v>
      </c>
      <c r="R1133" s="60">
        <v>8.34</v>
      </c>
      <c r="S1133" s="60">
        <v>1.0900000000000001</v>
      </c>
      <c r="T1133" s="60">
        <v>208</v>
      </c>
      <c r="U1133" s="60">
        <v>45.13</v>
      </c>
    </row>
    <row r="1134" spans="1:21">
      <c r="A1134" s="60" t="s">
        <v>1993</v>
      </c>
      <c r="B1134" s="60" t="s">
        <v>2289</v>
      </c>
      <c r="C1134" s="60" t="s">
        <v>4690</v>
      </c>
      <c r="D1134" s="60">
        <v>101</v>
      </c>
      <c r="E1134" s="60">
        <v>3.27</v>
      </c>
      <c r="F1134" s="60">
        <v>15951</v>
      </c>
      <c r="G1134" s="60">
        <v>14.21</v>
      </c>
      <c r="H1134" s="60">
        <v>14.34</v>
      </c>
      <c r="I1134" s="60">
        <v>55.09</v>
      </c>
      <c r="J1134" s="60">
        <v>1.04</v>
      </c>
      <c r="O1134" s="60" t="s">
        <v>1993</v>
      </c>
      <c r="P1134" s="60" t="s">
        <v>2289</v>
      </c>
      <c r="Q1134" s="60" t="s">
        <v>4690</v>
      </c>
      <c r="R1134" s="60">
        <v>101</v>
      </c>
      <c r="S1134" s="60">
        <v>3.27</v>
      </c>
      <c r="T1134" s="60">
        <v>15951</v>
      </c>
      <c r="U1134" s="60">
        <v>34.869999999999997</v>
      </c>
    </row>
    <row r="1135" spans="1:21">
      <c r="A1135" s="60" t="s">
        <v>1995</v>
      </c>
      <c r="B1135" s="60" t="s">
        <v>2291</v>
      </c>
      <c r="C1135" s="60" t="s">
        <v>4840</v>
      </c>
      <c r="D1135" s="60">
        <v>21.1</v>
      </c>
      <c r="E1135" s="60">
        <v>0.96</v>
      </c>
      <c r="F1135" s="60">
        <v>320</v>
      </c>
      <c r="G1135" s="60">
        <v>0.01</v>
      </c>
      <c r="H1135" s="60">
        <v>0.14000000000000001</v>
      </c>
      <c r="I1135" s="60">
        <v>12.53</v>
      </c>
      <c r="J1135" s="60">
        <v>0</v>
      </c>
      <c r="O1135" s="60" t="s">
        <v>1995</v>
      </c>
      <c r="P1135" s="60" t="s">
        <v>2291</v>
      </c>
      <c r="Q1135" s="60" t="s">
        <v>4840</v>
      </c>
      <c r="R1135" s="60">
        <v>21.1</v>
      </c>
      <c r="S1135" s="60">
        <v>0.96</v>
      </c>
      <c r="T1135" s="60">
        <v>320</v>
      </c>
      <c r="U1135" s="60">
        <v>43.79</v>
      </c>
    </row>
    <row r="1136" spans="1:21">
      <c r="A1136" s="60" t="s">
        <v>1997</v>
      </c>
      <c r="B1136" s="60" t="s">
        <v>3292</v>
      </c>
      <c r="C1136" s="60" t="s">
        <v>4912</v>
      </c>
      <c r="D1136" s="60">
        <v>6.46</v>
      </c>
      <c r="E1136" s="60">
        <v>-0.46</v>
      </c>
      <c r="F1136" s="60">
        <v>566</v>
      </c>
      <c r="G1136" s="60">
        <v>0</v>
      </c>
      <c r="H1136" s="60">
        <v>0.86</v>
      </c>
      <c r="I1136" s="60">
        <v>0</v>
      </c>
      <c r="J1136" s="60">
        <v>0</v>
      </c>
      <c r="O1136" s="60" t="s">
        <v>1997</v>
      </c>
      <c r="P1136" s="60" t="s">
        <v>3292</v>
      </c>
      <c r="Q1136" s="60" t="s">
        <v>4912</v>
      </c>
      <c r="R1136" s="60">
        <v>6.46</v>
      </c>
      <c r="S1136" s="60">
        <v>-0.46</v>
      </c>
      <c r="T1136" s="60">
        <v>566</v>
      </c>
      <c r="U1136" s="60">
        <v>46.48</v>
      </c>
    </row>
    <row r="1137" spans="1:21">
      <c r="A1137" s="60" t="s">
        <v>1999</v>
      </c>
      <c r="B1137" s="60" t="s">
        <v>2294</v>
      </c>
      <c r="C1137" s="60" t="s">
        <v>4754</v>
      </c>
      <c r="D1137" s="60">
        <v>26.05</v>
      </c>
      <c r="E1137" s="60">
        <v>0.39</v>
      </c>
      <c r="F1137" s="60">
        <v>103</v>
      </c>
      <c r="G1137" s="60">
        <v>0.04</v>
      </c>
      <c r="H1137" s="60">
        <v>3.39</v>
      </c>
      <c r="I1137" s="60">
        <v>7.46</v>
      </c>
      <c r="J1137" s="60">
        <v>0</v>
      </c>
      <c r="O1137" s="60" t="s">
        <v>1999</v>
      </c>
      <c r="P1137" s="60" t="s">
        <v>2294</v>
      </c>
      <c r="Q1137" s="60" t="s">
        <v>4754</v>
      </c>
      <c r="R1137" s="60">
        <v>26.05</v>
      </c>
      <c r="S1137" s="60">
        <v>0.39</v>
      </c>
      <c r="T1137" s="60">
        <v>103</v>
      </c>
      <c r="U1137" s="60">
        <v>28.23</v>
      </c>
    </row>
    <row r="1138" spans="1:21">
      <c r="A1138" s="60" t="s">
        <v>2001</v>
      </c>
      <c r="B1138" s="60" t="s">
        <v>3293</v>
      </c>
      <c r="C1138" s="60" t="s">
        <v>5095</v>
      </c>
      <c r="D1138" s="60">
        <v>20.6</v>
      </c>
      <c r="E1138" s="60">
        <v>0</v>
      </c>
      <c r="F1138" s="60">
        <v>1</v>
      </c>
      <c r="G1138" s="60">
        <v>0</v>
      </c>
      <c r="H1138" s="60">
        <v>7.0000000000000007E-2</v>
      </c>
      <c r="I1138" s="60">
        <v>0</v>
      </c>
      <c r="J1138" s="60">
        <v>0</v>
      </c>
      <c r="O1138" s="60" t="s">
        <v>2001</v>
      </c>
      <c r="P1138" s="60" t="s">
        <v>3293</v>
      </c>
      <c r="Q1138" s="60" t="s">
        <v>5095</v>
      </c>
      <c r="R1138" s="60">
        <v>20.6</v>
      </c>
      <c r="S1138" s="60">
        <v>0</v>
      </c>
      <c r="T1138" s="60">
        <v>1</v>
      </c>
      <c r="U1138" s="60">
        <v>67.099999999999994</v>
      </c>
    </row>
    <row r="1139" spans="1:21">
      <c r="A1139" s="60" t="s">
        <v>2003</v>
      </c>
      <c r="B1139" s="60" t="s">
        <v>2296</v>
      </c>
      <c r="C1139" s="60" t="s">
        <v>4802</v>
      </c>
      <c r="D1139" s="60">
        <v>88.4</v>
      </c>
      <c r="E1139" s="60">
        <v>-2.3199999999999998</v>
      </c>
      <c r="F1139" s="60">
        <v>6664</v>
      </c>
      <c r="G1139" s="60">
        <v>0.56999999999999995</v>
      </c>
      <c r="H1139" s="60">
        <v>31.59</v>
      </c>
      <c r="I1139" s="60">
        <v>8.02</v>
      </c>
      <c r="J1139" s="60">
        <v>0.12</v>
      </c>
      <c r="O1139" s="60" t="s">
        <v>2003</v>
      </c>
      <c r="P1139" s="60" t="s">
        <v>2296</v>
      </c>
      <c r="Q1139" s="60" t="s">
        <v>4802</v>
      </c>
      <c r="R1139" s="60">
        <v>88.4</v>
      </c>
      <c r="S1139" s="60">
        <v>-2.3199999999999998</v>
      </c>
      <c r="T1139" s="60">
        <v>6664</v>
      </c>
      <c r="U1139" s="60">
        <v>62.15</v>
      </c>
    </row>
    <row r="1140" spans="1:21">
      <c r="A1140" s="60" t="s">
        <v>2005</v>
      </c>
      <c r="B1140" s="60" t="s">
        <v>3294</v>
      </c>
      <c r="C1140" s="60" t="s">
        <v>4913</v>
      </c>
      <c r="D1140" s="60">
        <v>6.13</v>
      </c>
      <c r="E1140" s="60">
        <v>-0.97</v>
      </c>
      <c r="F1140" s="60">
        <v>29</v>
      </c>
      <c r="G1140" s="60">
        <v>0</v>
      </c>
      <c r="H1140" s="60">
        <v>0.88</v>
      </c>
      <c r="I1140" s="60">
        <v>0</v>
      </c>
      <c r="J1140" s="60">
        <v>0</v>
      </c>
      <c r="O1140" s="60" t="s">
        <v>2005</v>
      </c>
      <c r="P1140" s="60" t="s">
        <v>3294</v>
      </c>
      <c r="Q1140" s="60" t="s">
        <v>4913</v>
      </c>
      <c r="R1140" s="60">
        <v>6.13</v>
      </c>
      <c r="S1140" s="60">
        <v>-0.97</v>
      </c>
      <c r="T1140" s="60">
        <v>29</v>
      </c>
      <c r="U1140" s="60">
        <v>52.06</v>
      </c>
    </row>
    <row r="1141" spans="1:21">
      <c r="A1141" s="60" t="s">
        <v>2007</v>
      </c>
      <c r="B1141" s="60" t="s">
        <v>3295</v>
      </c>
      <c r="C1141" s="60" t="s">
        <v>5026</v>
      </c>
      <c r="D1141" s="60">
        <v>31.65</v>
      </c>
      <c r="E1141" s="60">
        <v>2.59</v>
      </c>
      <c r="F1141" s="60">
        <v>242</v>
      </c>
      <c r="G1141" s="60">
        <v>0</v>
      </c>
      <c r="H1141" s="60">
        <v>9.0500000000000007</v>
      </c>
      <c r="I1141" s="60">
        <v>0</v>
      </c>
      <c r="J1141" s="60">
        <v>0</v>
      </c>
      <c r="O1141" s="60" t="s">
        <v>2007</v>
      </c>
      <c r="P1141" s="60" t="s">
        <v>3295</v>
      </c>
      <c r="Q1141" s="60" t="s">
        <v>5026</v>
      </c>
      <c r="R1141" s="60">
        <v>31.65</v>
      </c>
      <c r="S1141" s="60">
        <v>2.59</v>
      </c>
      <c r="T1141" s="60">
        <v>242</v>
      </c>
      <c r="U1141" s="60">
        <v>57.18</v>
      </c>
    </row>
    <row r="1142" spans="1:21">
      <c r="A1142" s="60" t="s">
        <v>2009</v>
      </c>
      <c r="B1142" s="60" t="s">
        <v>2300</v>
      </c>
      <c r="C1142" s="60" t="s">
        <v>3616</v>
      </c>
      <c r="D1142" s="60">
        <v>47.7</v>
      </c>
      <c r="E1142" s="60">
        <v>0.95</v>
      </c>
      <c r="F1142" s="60">
        <v>171</v>
      </c>
      <c r="G1142" s="60">
        <v>1.6</v>
      </c>
      <c r="H1142" s="60">
        <v>5.97</v>
      </c>
      <c r="I1142" s="60">
        <v>18.53</v>
      </c>
      <c r="J1142" s="60">
        <v>0</v>
      </c>
      <c r="O1142" s="60" t="s">
        <v>2009</v>
      </c>
      <c r="P1142" s="60" t="s">
        <v>2300</v>
      </c>
      <c r="Q1142" s="60" t="s">
        <v>3616</v>
      </c>
      <c r="R1142" s="60">
        <v>47.7</v>
      </c>
      <c r="S1142" s="60">
        <v>0.95</v>
      </c>
      <c r="T1142" s="60">
        <v>171</v>
      </c>
      <c r="U1142" s="60">
        <v>27.48</v>
      </c>
    </row>
    <row r="1143" spans="1:21">
      <c r="A1143" s="60" t="s">
        <v>2011</v>
      </c>
      <c r="B1143" s="60" t="s">
        <v>2302</v>
      </c>
      <c r="C1143" s="60" t="s">
        <v>3693</v>
      </c>
      <c r="D1143" s="60">
        <v>70.2</v>
      </c>
      <c r="E1143" s="60">
        <v>3.24</v>
      </c>
      <c r="F1143" s="60">
        <v>2499</v>
      </c>
      <c r="G1143" s="60">
        <v>0.03</v>
      </c>
      <c r="H1143" s="60">
        <v>24.2</v>
      </c>
      <c r="I1143" s="60">
        <v>7.6</v>
      </c>
      <c r="J1143" s="60">
        <v>0</v>
      </c>
      <c r="O1143" s="60" t="s">
        <v>2011</v>
      </c>
      <c r="P1143" s="60" t="s">
        <v>2302</v>
      </c>
      <c r="Q1143" s="60" t="s">
        <v>3693</v>
      </c>
      <c r="R1143" s="60">
        <v>70.2</v>
      </c>
      <c r="S1143" s="60">
        <v>3.24</v>
      </c>
      <c r="T1143" s="60">
        <v>2499</v>
      </c>
      <c r="U1143" s="60">
        <v>48.06</v>
      </c>
    </row>
    <row r="1144" spans="1:21">
      <c r="A1144" s="60" t="s">
        <v>2013</v>
      </c>
      <c r="B1144" s="60" t="s">
        <v>2304</v>
      </c>
      <c r="C1144" s="60" t="s">
        <v>5510</v>
      </c>
      <c r="D1144" s="60">
        <v>25.7</v>
      </c>
      <c r="E1144" s="60">
        <v>2.59</v>
      </c>
      <c r="F1144" s="60">
        <v>308</v>
      </c>
      <c r="G1144" s="60">
        <v>0.04</v>
      </c>
      <c r="H1144" s="60">
        <v>5.3</v>
      </c>
      <c r="I1144" s="60">
        <v>10.02</v>
      </c>
      <c r="J1144" s="60">
        <v>0</v>
      </c>
      <c r="O1144" s="60" t="s">
        <v>2013</v>
      </c>
      <c r="P1144" s="60" t="s">
        <v>2304</v>
      </c>
      <c r="Q1144" s="60" t="s">
        <v>5510</v>
      </c>
      <c r="R1144" s="60">
        <v>25.7</v>
      </c>
      <c r="S1144" s="60">
        <v>2.59</v>
      </c>
      <c r="T1144" s="60">
        <v>308</v>
      </c>
      <c r="U1144" s="60">
        <v>32.94</v>
      </c>
    </row>
    <row r="1145" spans="1:21">
      <c r="A1145" s="60" t="s">
        <v>2015</v>
      </c>
      <c r="B1145" s="60" t="s">
        <v>2306</v>
      </c>
      <c r="C1145" s="60" t="s">
        <v>5136</v>
      </c>
      <c r="D1145" s="60">
        <v>19.600000000000001</v>
      </c>
      <c r="E1145" s="60">
        <v>0.77</v>
      </c>
      <c r="F1145" s="60">
        <v>7</v>
      </c>
      <c r="G1145" s="60">
        <v>0</v>
      </c>
      <c r="H1145" s="60">
        <v>2.4700000000000002</v>
      </c>
      <c r="I1145" s="60">
        <v>9.43</v>
      </c>
      <c r="J1145" s="60">
        <v>0</v>
      </c>
      <c r="O1145" s="60" t="s">
        <v>2015</v>
      </c>
      <c r="P1145" s="60" t="s">
        <v>2306</v>
      </c>
      <c r="Q1145" s="60" t="s">
        <v>5136</v>
      </c>
      <c r="R1145" s="60">
        <v>19.600000000000001</v>
      </c>
      <c r="S1145" s="60">
        <v>0.77</v>
      </c>
      <c r="T1145" s="60">
        <v>7</v>
      </c>
      <c r="U1145" s="60">
        <v>47.71</v>
      </c>
    </row>
    <row r="1146" spans="1:21">
      <c r="A1146" s="60" t="s">
        <v>2017</v>
      </c>
      <c r="B1146" s="60" t="s">
        <v>2308</v>
      </c>
      <c r="C1146" s="60" t="s">
        <v>4989</v>
      </c>
      <c r="D1146" s="60">
        <v>67.8</v>
      </c>
      <c r="E1146" s="60">
        <v>0.3</v>
      </c>
      <c r="F1146" s="60">
        <v>83</v>
      </c>
      <c r="G1146" s="60">
        <v>0</v>
      </c>
      <c r="H1146" s="60">
        <v>0.55000000000000004</v>
      </c>
      <c r="I1146" s="60">
        <v>0.67</v>
      </c>
      <c r="J1146" s="60">
        <v>0</v>
      </c>
      <c r="O1146" s="60" t="s">
        <v>2017</v>
      </c>
      <c r="P1146" s="60" t="s">
        <v>2308</v>
      </c>
      <c r="Q1146" s="60" t="s">
        <v>4989</v>
      </c>
      <c r="R1146" s="60">
        <v>67.8</v>
      </c>
      <c r="S1146" s="60">
        <v>0.3</v>
      </c>
      <c r="T1146" s="60">
        <v>83</v>
      </c>
      <c r="U1146" s="60">
        <v>29.36</v>
      </c>
    </row>
    <row r="1147" spans="1:21">
      <c r="A1147" s="60" t="s">
        <v>2019</v>
      </c>
      <c r="B1147" s="60" t="s">
        <v>2310</v>
      </c>
      <c r="C1147" s="60" t="s">
        <v>4990</v>
      </c>
      <c r="D1147" s="60">
        <v>24.3</v>
      </c>
      <c r="E1147" s="60">
        <v>-2.02</v>
      </c>
      <c r="F1147" s="60">
        <v>473</v>
      </c>
      <c r="G1147" s="60">
        <v>0</v>
      </c>
      <c r="H1147" s="60">
        <v>1.4</v>
      </c>
      <c r="I1147" s="60">
        <v>3.82</v>
      </c>
      <c r="J1147" s="60">
        <v>0</v>
      </c>
      <c r="O1147" s="60" t="s">
        <v>2019</v>
      </c>
      <c r="P1147" s="60" t="s">
        <v>2310</v>
      </c>
      <c r="Q1147" s="60" t="s">
        <v>4990</v>
      </c>
      <c r="R1147" s="60">
        <v>24.3</v>
      </c>
      <c r="S1147" s="60">
        <v>-2.02</v>
      </c>
      <c r="T1147" s="60">
        <v>473</v>
      </c>
      <c r="U1147" s="60">
        <v>22.95</v>
      </c>
    </row>
    <row r="1148" spans="1:21">
      <c r="A1148" s="60" t="s">
        <v>2021</v>
      </c>
      <c r="B1148" s="60" t="s">
        <v>2312</v>
      </c>
      <c r="C1148" s="60" t="s">
        <v>4691</v>
      </c>
      <c r="D1148" s="60">
        <v>81.2</v>
      </c>
      <c r="E1148" s="60">
        <v>-1.93</v>
      </c>
      <c r="F1148" s="60">
        <v>12829</v>
      </c>
      <c r="G1148" s="60">
        <v>1.89</v>
      </c>
      <c r="H1148" s="60">
        <v>17.91</v>
      </c>
      <c r="I1148" s="60">
        <v>28.76</v>
      </c>
      <c r="J1148" s="60">
        <v>6.32</v>
      </c>
      <c r="O1148" s="60" t="s">
        <v>2021</v>
      </c>
      <c r="P1148" s="60" t="s">
        <v>2312</v>
      </c>
      <c r="Q1148" s="60" t="s">
        <v>4691</v>
      </c>
      <c r="R1148" s="60">
        <v>81.2</v>
      </c>
      <c r="S1148" s="60">
        <v>-1.93</v>
      </c>
      <c r="T1148" s="60">
        <v>12829</v>
      </c>
      <c r="U1148" s="60">
        <v>37.450000000000003</v>
      </c>
    </row>
    <row r="1149" spans="1:21">
      <c r="A1149" s="60" t="s">
        <v>2023</v>
      </c>
      <c r="B1149" s="60" t="s">
        <v>2314</v>
      </c>
      <c r="C1149" s="60" t="s">
        <v>4755</v>
      </c>
      <c r="D1149" s="60">
        <v>11.8</v>
      </c>
      <c r="E1149" s="60">
        <v>0</v>
      </c>
      <c r="F1149" s="60">
        <v>1793</v>
      </c>
      <c r="G1149" s="60">
        <v>0.01</v>
      </c>
      <c r="H1149" s="60">
        <v>0.28999999999999998</v>
      </c>
      <c r="I1149" s="60">
        <v>7.99</v>
      </c>
      <c r="J1149" s="60">
        <v>0</v>
      </c>
      <c r="O1149" s="60" t="s">
        <v>2023</v>
      </c>
      <c r="P1149" s="60" t="s">
        <v>2314</v>
      </c>
      <c r="Q1149" s="60" t="s">
        <v>4755</v>
      </c>
      <c r="R1149" s="60">
        <v>11.8</v>
      </c>
      <c r="S1149" s="60">
        <v>0</v>
      </c>
      <c r="T1149" s="60">
        <v>1793</v>
      </c>
      <c r="U1149" s="60">
        <v>56.73</v>
      </c>
    </row>
    <row r="1150" spans="1:21">
      <c r="A1150" s="60" t="s">
        <v>2025</v>
      </c>
      <c r="B1150" s="60" t="s">
        <v>2316</v>
      </c>
      <c r="C1150" s="60" t="s">
        <v>5511</v>
      </c>
      <c r="D1150" s="60">
        <v>28</v>
      </c>
      <c r="E1150" s="60">
        <v>0</v>
      </c>
      <c r="F1150" s="60">
        <v>0</v>
      </c>
      <c r="G1150" s="60">
        <v>0</v>
      </c>
      <c r="H1150" s="60">
        <v>0.13</v>
      </c>
      <c r="I1150" s="60">
        <v>24.6</v>
      </c>
      <c r="J1150" s="60">
        <v>0</v>
      </c>
      <c r="O1150" s="60" t="s">
        <v>2025</v>
      </c>
      <c r="P1150" s="60" t="s">
        <v>2316</v>
      </c>
      <c r="Q1150" s="60" t="s">
        <v>5511</v>
      </c>
      <c r="R1150" s="60">
        <v>28</v>
      </c>
      <c r="S1150" s="60">
        <v>0</v>
      </c>
      <c r="T1150" s="60">
        <v>0</v>
      </c>
      <c r="U1150" s="60">
        <v>81.05</v>
      </c>
    </row>
    <row r="1151" spans="1:21">
      <c r="A1151" s="60" t="s">
        <v>2027</v>
      </c>
      <c r="B1151" s="60" t="s">
        <v>2318</v>
      </c>
      <c r="C1151" s="60" t="s">
        <v>4244</v>
      </c>
      <c r="D1151" s="60">
        <v>149.5</v>
      </c>
      <c r="E1151" s="60">
        <v>0.34</v>
      </c>
      <c r="F1151" s="60">
        <v>258</v>
      </c>
      <c r="G1151" s="60">
        <v>0.01</v>
      </c>
      <c r="H1151" s="60">
        <v>30.88</v>
      </c>
      <c r="I1151" s="60">
        <v>1.66</v>
      </c>
      <c r="J1151" s="60">
        <v>1.1299999999999999</v>
      </c>
      <c r="O1151" s="60" t="s">
        <v>2027</v>
      </c>
      <c r="P1151" s="60" t="s">
        <v>2318</v>
      </c>
      <c r="Q1151" s="60" t="s">
        <v>4244</v>
      </c>
      <c r="R1151" s="60">
        <v>149.5</v>
      </c>
      <c r="S1151" s="60">
        <v>0.34</v>
      </c>
      <c r="T1151" s="60">
        <v>258</v>
      </c>
      <c r="U1151" s="60">
        <v>37.04</v>
      </c>
    </row>
    <row r="1152" spans="1:21">
      <c r="A1152" s="60" t="s">
        <v>2029</v>
      </c>
      <c r="B1152" s="60" t="s">
        <v>2320</v>
      </c>
      <c r="C1152" s="60" t="s">
        <v>4756</v>
      </c>
      <c r="D1152" s="60">
        <v>18.3</v>
      </c>
      <c r="E1152" s="60">
        <v>-0.27</v>
      </c>
      <c r="F1152" s="60">
        <v>14</v>
      </c>
      <c r="G1152" s="60">
        <v>0.09</v>
      </c>
      <c r="H1152" s="60">
        <v>2.16</v>
      </c>
      <c r="I1152" s="60">
        <v>2.42</v>
      </c>
      <c r="J1152" s="60">
        <v>0</v>
      </c>
      <c r="O1152" s="60" t="s">
        <v>2029</v>
      </c>
      <c r="P1152" s="60" t="s">
        <v>2320</v>
      </c>
      <c r="Q1152" s="60" t="s">
        <v>4756</v>
      </c>
      <c r="R1152" s="60">
        <v>18.3</v>
      </c>
      <c r="S1152" s="60">
        <v>-0.27</v>
      </c>
      <c r="T1152" s="60">
        <v>14</v>
      </c>
      <c r="U1152" s="60">
        <v>79.58</v>
      </c>
    </row>
    <row r="1153" spans="1:21">
      <c r="A1153" s="60" t="s">
        <v>2031</v>
      </c>
      <c r="B1153" s="60" t="s">
        <v>2322</v>
      </c>
      <c r="C1153" s="60" t="s">
        <v>4914</v>
      </c>
      <c r="D1153" s="60">
        <v>63.6</v>
      </c>
      <c r="E1153" s="60">
        <v>-0.93</v>
      </c>
      <c r="F1153" s="60">
        <v>937</v>
      </c>
      <c r="G1153" s="60">
        <v>0.43</v>
      </c>
      <c r="H1153" s="60">
        <v>10.07</v>
      </c>
      <c r="I1153" s="60">
        <v>16.71</v>
      </c>
      <c r="J1153" s="60">
        <v>5.83</v>
      </c>
      <c r="O1153" s="60" t="s">
        <v>2031</v>
      </c>
      <c r="P1153" s="60" t="s">
        <v>2322</v>
      </c>
      <c r="Q1153" s="60" t="s">
        <v>4914</v>
      </c>
      <c r="R1153" s="60">
        <v>63.6</v>
      </c>
      <c r="S1153" s="60">
        <v>-0.93</v>
      </c>
      <c r="T1153" s="60">
        <v>937</v>
      </c>
      <c r="U1153" s="60">
        <v>30.86</v>
      </c>
    </row>
    <row r="1154" spans="1:21">
      <c r="A1154" s="60" t="s">
        <v>2033</v>
      </c>
      <c r="B1154" s="60" t="s">
        <v>2324</v>
      </c>
      <c r="C1154" s="60" t="s">
        <v>4803</v>
      </c>
      <c r="D1154" s="60">
        <v>34.9</v>
      </c>
      <c r="E1154" s="60">
        <v>2.65</v>
      </c>
      <c r="F1154" s="60">
        <v>1183</v>
      </c>
      <c r="G1154" s="60">
        <v>0.14000000000000001</v>
      </c>
      <c r="H1154" s="60">
        <v>3.21</v>
      </c>
      <c r="I1154" s="60">
        <v>18.61</v>
      </c>
      <c r="J1154" s="60">
        <v>0</v>
      </c>
      <c r="O1154" s="60" t="s">
        <v>2033</v>
      </c>
      <c r="P1154" s="60" t="s">
        <v>2324</v>
      </c>
      <c r="Q1154" s="60" t="s">
        <v>4803</v>
      </c>
      <c r="R1154" s="60">
        <v>34.9</v>
      </c>
      <c r="S1154" s="60">
        <v>2.65</v>
      </c>
      <c r="T1154" s="60">
        <v>1183</v>
      </c>
      <c r="U1154" s="60">
        <v>35.01</v>
      </c>
    </row>
    <row r="1155" spans="1:21">
      <c r="A1155" s="60" t="s">
        <v>2035</v>
      </c>
      <c r="B1155" s="60" t="s">
        <v>2326</v>
      </c>
      <c r="C1155" s="60" t="s">
        <v>5137</v>
      </c>
      <c r="D1155" s="60">
        <v>17.350000000000001</v>
      </c>
      <c r="E1155" s="60">
        <v>-0.56999999999999995</v>
      </c>
      <c r="F1155" s="60">
        <v>38</v>
      </c>
      <c r="G1155" s="60">
        <v>0</v>
      </c>
      <c r="H1155" s="60">
        <v>0.03</v>
      </c>
      <c r="I1155" s="60">
        <v>3.12</v>
      </c>
      <c r="J1155" s="60">
        <v>0</v>
      </c>
      <c r="O1155" s="60" t="s">
        <v>2035</v>
      </c>
      <c r="P1155" s="60" t="s">
        <v>2326</v>
      </c>
      <c r="Q1155" s="60" t="s">
        <v>5137</v>
      </c>
      <c r="R1155" s="60">
        <v>17.350000000000001</v>
      </c>
      <c r="S1155" s="60">
        <v>-0.56999999999999995</v>
      </c>
      <c r="T1155" s="60">
        <v>38</v>
      </c>
      <c r="U1155" s="60">
        <v>77.37</v>
      </c>
    </row>
    <row r="1156" spans="1:21">
      <c r="A1156" s="60" t="s">
        <v>2037</v>
      </c>
      <c r="B1156" s="60" t="s">
        <v>2328</v>
      </c>
      <c r="C1156" s="60" t="s">
        <v>5027</v>
      </c>
      <c r="D1156" s="60">
        <v>20.8</v>
      </c>
      <c r="E1156" s="60">
        <v>-0.72</v>
      </c>
      <c r="F1156" s="60">
        <v>330</v>
      </c>
      <c r="G1156" s="60">
        <v>0.05</v>
      </c>
      <c r="H1156" s="60">
        <v>10.41</v>
      </c>
      <c r="I1156" s="60">
        <v>14.06</v>
      </c>
      <c r="J1156" s="60">
        <v>0</v>
      </c>
      <c r="O1156" s="60" t="s">
        <v>2037</v>
      </c>
      <c r="P1156" s="60" t="s">
        <v>2328</v>
      </c>
      <c r="Q1156" s="60" t="s">
        <v>5027</v>
      </c>
      <c r="R1156" s="60">
        <v>20.8</v>
      </c>
      <c r="S1156" s="60">
        <v>-0.72</v>
      </c>
      <c r="T1156" s="60">
        <v>330</v>
      </c>
      <c r="U1156" s="60">
        <v>46.44</v>
      </c>
    </row>
    <row r="1157" spans="1:21">
      <c r="A1157" s="60" t="s">
        <v>2039</v>
      </c>
      <c r="B1157" s="60" t="s">
        <v>3296</v>
      </c>
      <c r="C1157" s="60" t="s">
        <v>5056</v>
      </c>
      <c r="D1157" s="60">
        <v>28.4</v>
      </c>
      <c r="E1157" s="60">
        <v>0</v>
      </c>
      <c r="F1157" s="60">
        <v>0</v>
      </c>
      <c r="G1157" s="60">
        <v>0</v>
      </c>
      <c r="H1157" s="60">
        <v>21.06</v>
      </c>
      <c r="I1157" s="60">
        <v>0</v>
      </c>
      <c r="J1157" s="60">
        <v>0</v>
      </c>
      <c r="O1157" s="60" t="s">
        <v>2039</v>
      </c>
      <c r="P1157" s="60" t="s">
        <v>3296</v>
      </c>
      <c r="Q1157" s="60" t="s">
        <v>5056</v>
      </c>
      <c r="R1157" s="60">
        <v>28.4</v>
      </c>
      <c r="S1157" s="60">
        <v>0</v>
      </c>
      <c r="T1157" s="60">
        <v>0</v>
      </c>
      <c r="U1157" s="60">
        <v>91.65</v>
      </c>
    </row>
    <row r="1158" spans="1:21">
      <c r="A1158" s="60" t="s">
        <v>2041</v>
      </c>
      <c r="B1158" s="60" t="s">
        <v>2331</v>
      </c>
      <c r="C1158" s="60" t="s">
        <v>3525</v>
      </c>
      <c r="D1158" s="60">
        <v>81.2</v>
      </c>
      <c r="E1158" s="60">
        <v>0.37</v>
      </c>
      <c r="F1158" s="60">
        <v>700</v>
      </c>
      <c r="G1158" s="60">
        <v>0.19</v>
      </c>
      <c r="H1158" s="60">
        <v>40.96</v>
      </c>
      <c r="I1158" s="60">
        <v>20.41</v>
      </c>
      <c r="J1158" s="60">
        <v>1.58</v>
      </c>
      <c r="O1158" s="60" t="s">
        <v>2041</v>
      </c>
      <c r="P1158" s="60" t="s">
        <v>2331</v>
      </c>
      <c r="Q1158" s="60" t="s">
        <v>3525</v>
      </c>
      <c r="R1158" s="60">
        <v>81.2</v>
      </c>
      <c r="S1158" s="60">
        <v>0.37</v>
      </c>
      <c r="T1158" s="60">
        <v>700</v>
      </c>
      <c r="U1158" s="60">
        <v>62.1</v>
      </c>
    </row>
    <row r="1159" spans="1:21">
      <c r="A1159" s="60" t="s">
        <v>2043</v>
      </c>
      <c r="B1159" s="60" t="s">
        <v>5752</v>
      </c>
      <c r="C1159" s="60" t="s">
        <v>4915</v>
      </c>
      <c r="D1159" s="60">
        <v>13.05</v>
      </c>
      <c r="E1159" s="60">
        <v>-0.38</v>
      </c>
      <c r="F1159" s="60">
        <v>47</v>
      </c>
      <c r="G1159" s="60">
        <v>0</v>
      </c>
      <c r="H1159" s="60">
        <v>0.28999999999999998</v>
      </c>
      <c r="I1159" s="60">
        <v>9.73</v>
      </c>
      <c r="J1159" s="60">
        <v>0</v>
      </c>
      <c r="O1159" s="60" t="s">
        <v>2043</v>
      </c>
      <c r="P1159" s="60" t="s">
        <v>5752</v>
      </c>
      <c r="Q1159" s="60" t="s">
        <v>4915</v>
      </c>
      <c r="R1159" s="60">
        <v>13.05</v>
      </c>
      <c r="S1159" s="60">
        <v>-0.38</v>
      </c>
      <c r="T1159" s="60">
        <v>47</v>
      </c>
      <c r="U1159" s="60">
        <v>23.94</v>
      </c>
    </row>
    <row r="1160" spans="1:21">
      <c r="A1160" s="60" t="s">
        <v>2045</v>
      </c>
      <c r="B1160" s="60" t="s">
        <v>2334</v>
      </c>
      <c r="C1160" s="60" t="s">
        <v>4916</v>
      </c>
      <c r="D1160" s="60">
        <v>25</v>
      </c>
      <c r="E1160" s="60">
        <v>1.42</v>
      </c>
      <c r="F1160" s="60">
        <v>148</v>
      </c>
      <c r="G1160" s="60">
        <v>0.33</v>
      </c>
      <c r="H1160" s="60">
        <v>0.38</v>
      </c>
      <c r="I1160" s="60">
        <v>9.32</v>
      </c>
      <c r="J1160" s="60">
        <v>0</v>
      </c>
      <c r="O1160" s="60" t="s">
        <v>2045</v>
      </c>
      <c r="P1160" s="60" t="s">
        <v>2334</v>
      </c>
      <c r="Q1160" s="60" t="s">
        <v>4916</v>
      </c>
      <c r="R1160" s="60">
        <v>25</v>
      </c>
      <c r="S1160" s="60">
        <v>1.42</v>
      </c>
      <c r="T1160" s="60">
        <v>148</v>
      </c>
      <c r="U1160" s="60">
        <v>48.72</v>
      </c>
    </row>
    <row r="1161" spans="1:21">
      <c r="A1161" s="60" t="s">
        <v>2047</v>
      </c>
      <c r="B1161" s="60" t="s">
        <v>2336</v>
      </c>
      <c r="C1161" s="60" t="s">
        <v>4757</v>
      </c>
      <c r="D1161" s="60">
        <v>15.3</v>
      </c>
      <c r="E1161" s="60">
        <v>2</v>
      </c>
      <c r="F1161" s="60">
        <v>79</v>
      </c>
      <c r="G1161" s="60">
        <v>0</v>
      </c>
      <c r="H1161" s="60">
        <v>0.22</v>
      </c>
      <c r="I1161" s="60">
        <v>16.77</v>
      </c>
      <c r="J1161" s="60">
        <v>0</v>
      </c>
      <c r="O1161" s="60" t="s">
        <v>2047</v>
      </c>
      <c r="P1161" s="60" t="s">
        <v>2336</v>
      </c>
      <c r="Q1161" s="60" t="s">
        <v>4757</v>
      </c>
      <c r="R1161" s="60">
        <v>15.3</v>
      </c>
      <c r="S1161" s="60">
        <v>2</v>
      </c>
      <c r="T1161" s="60">
        <v>79</v>
      </c>
      <c r="U1161" s="60">
        <v>73.12</v>
      </c>
    </row>
    <row r="1162" spans="1:21">
      <c r="A1162" s="60" t="s">
        <v>2049</v>
      </c>
      <c r="B1162" s="60" t="s">
        <v>3297</v>
      </c>
      <c r="C1162" s="60" t="s">
        <v>4692</v>
      </c>
      <c r="D1162" s="60">
        <v>26.45</v>
      </c>
      <c r="E1162" s="60">
        <v>9.98</v>
      </c>
      <c r="F1162" s="60">
        <v>1327</v>
      </c>
      <c r="G1162" s="60">
        <v>0</v>
      </c>
      <c r="H1162" s="60">
        <v>0.28000000000000003</v>
      </c>
      <c r="I1162" s="60">
        <v>0</v>
      </c>
      <c r="J1162" s="60">
        <v>0</v>
      </c>
      <c r="O1162" s="60" t="s">
        <v>2049</v>
      </c>
      <c r="P1162" s="60" t="s">
        <v>3297</v>
      </c>
      <c r="Q1162" s="60" t="s">
        <v>4692</v>
      </c>
      <c r="R1162" s="60">
        <v>26.45</v>
      </c>
      <c r="S1162" s="60">
        <v>9.98</v>
      </c>
      <c r="T1162" s="60">
        <v>1327</v>
      </c>
      <c r="U1162" s="60">
        <v>44.22</v>
      </c>
    </row>
    <row r="1163" spans="1:21">
      <c r="A1163" s="60" t="s">
        <v>2050</v>
      </c>
      <c r="B1163" s="60" t="s">
        <v>2339</v>
      </c>
      <c r="C1163" s="60" t="s">
        <v>4208</v>
      </c>
      <c r="D1163" s="60">
        <v>46.65</v>
      </c>
      <c r="E1163" s="60">
        <v>2.08</v>
      </c>
      <c r="F1163" s="60">
        <v>2448</v>
      </c>
      <c r="G1163" s="60">
        <v>0.09</v>
      </c>
      <c r="H1163" s="60">
        <v>13.1</v>
      </c>
      <c r="I1163" s="60">
        <v>12.67</v>
      </c>
      <c r="J1163" s="60">
        <v>0.38</v>
      </c>
      <c r="O1163" s="60" t="s">
        <v>2050</v>
      </c>
      <c r="P1163" s="60" t="s">
        <v>2339</v>
      </c>
      <c r="Q1163" s="60" t="s">
        <v>4208</v>
      </c>
      <c r="R1163" s="60">
        <v>46.65</v>
      </c>
      <c r="S1163" s="60">
        <v>2.08</v>
      </c>
      <c r="T1163" s="60">
        <v>2448</v>
      </c>
      <c r="U1163" s="60">
        <v>63.99</v>
      </c>
    </row>
    <row r="1164" spans="1:21">
      <c r="A1164" s="60" t="s">
        <v>2052</v>
      </c>
      <c r="B1164" s="60" t="s">
        <v>2341</v>
      </c>
      <c r="C1164" s="60" t="s">
        <v>3983</v>
      </c>
      <c r="D1164" s="60">
        <v>94</v>
      </c>
      <c r="E1164" s="60">
        <v>-0.42</v>
      </c>
      <c r="F1164" s="60">
        <v>2610</v>
      </c>
      <c r="G1164" s="60">
        <v>0.53</v>
      </c>
      <c r="H1164" s="60">
        <v>16.190000000000001</v>
      </c>
      <c r="I1164" s="60">
        <v>18.73</v>
      </c>
      <c r="J1164" s="60">
        <v>0</v>
      </c>
      <c r="O1164" s="60" t="s">
        <v>2052</v>
      </c>
      <c r="P1164" s="60" t="s">
        <v>2341</v>
      </c>
      <c r="Q1164" s="60" t="s">
        <v>3983</v>
      </c>
      <c r="R1164" s="60">
        <v>94</v>
      </c>
      <c r="S1164" s="60">
        <v>-0.42</v>
      </c>
      <c r="T1164" s="60">
        <v>2610</v>
      </c>
      <c r="U1164" s="60">
        <v>26.51</v>
      </c>
    </row>
    <row r="1165" spans="1:21">
      <c r="A1165" s="60" t="s">
        <v>2054</v>
      </c>
      <c r="B1165" s="60" t="s">
        <v>2343</v>
      </c>
      <c r="C1165" s="60" t="s">
        <v>4758</v>
      </c>
      <c r="D1165" s="60">
        <v>124</v>
      </c>
      <c r="E1165" s="60">
        <v>1.64</v>
      </c>
      <c r="F1165" s="60">
        <v>1367</v>
      </c>
      <c r="G1165" s="60">
        <v>1.05</v>
      </c>
      <c r="H1165" s="60">
        <v>3.35</v>
      </c>
      <c r="I1165" s="60">
        <v>13.63</v>
      </c>
      <c r="J1165" s="60">
        <v>0</v>
      </c>
      <c r="O1165" s="60" t="s">
        <v>2054</v>
      </c>
      <c r="P1165" s="60" t="s">
        <v>2343</v>
      </c>
      <c r="Q1165" s="60" t="s">
        <v>4758</v>
      </c>
      <c r="R1165" s="60">
        <v>124</v>
      </c>
      <c r="S1165" s="60">
        <v>1.64</v>
      </c>
      <c r="T1165" s="60">
        <v>1367</v>
      </c>
      <c r="U1165" s="60">
        <v>55.12</v>
      </c>
    </row>
    <row r="1166" spans="1:21">
      <c r="A1166" s="60" t="s">
        <v>2056</v>
      </c>
      <c r="B1166" s="60" t="s">
        <v>3298</v>
      </c>
      <c r="C1166" s="60" t="s">
        <v>3620</v>
      </c>
      <c r="D1166" s="60">
        <v>28.8</v>
      </c>
      <c r="E1166" s="60">
        <v>0.88</v>
      </c>
      <c r="F1166" s="60">
        <v>1361</v>
      </c>
      <c r="G1166" s="60">
        <v>0</v>
      </c>
      <c r="H1166" s="60">
        <v>0.3</v>
      </c>
      <c r="I1166" s="60">
        <v>0</v>
      </c>
      <c r="J1166" s="60">
        <v>0</v>
      </c>
      <c r="O1166" s="60" t="s">
        <v>2056</v>
      </c>
      <c r="P1166" s="60" t="s">
        <v>3298</v>
      </c>
      <c r="Q1166" s="60" t="s">
        <v>3620</v>
      </c>
      <c r="R1166" s="60">
        <v>28.8</v>
      </c>
      <c r="S1166" s="60">
        <v>0.88</v>
      </c>
      <c r="T1166" s="60">
        <v>1361</v>
      </c>
      <c r="U1166" s="60">
        <v>13.98</v>
      </c>
    </row>
    <row r="1167" spans="1:21">
      <c r="A1167" s="60" t="s">
        <v>2058</v>
      </c>
      <c r="B1167" s="60" t="s">
        <v>2346</v>
      </c>
      <c r="C1167" s="60" t="s">
        <v>5183</v>
      </c>
      <c r="D1167" s="60">
        <v>93.2</v>
      </c>
      <c r="E1167" s="60">
        <v>-0.43</v>
      </c>
      <c r="F1167" s="60">
        <v>61</v>
      </c>
      <c r="G1167" s="60">
        <v>0.02</v>
      </c>
      <c r="H1167" s="60">
        <v>32.85</v>
      </c>
      <c r="I1167" s="60">
        <v>3.3</v>
      </c>
      <c r="J1167" s="60">
        <v>0</v>
      </c>
      <c r="O1167" s="60" t="s">
        <v>2058</v>
      </c>
      <c r="P1167" s="60" t="s">
        <v>2346</v>
      </c>
      <c r="Q1167" s="60" t="s">
        <v>5183</v>
      </c>
      <c r="R1167" s="60">
        <v>93.2</v>
      </c>
      <c r="S1167" s="60">
        <v>-0.43</v>
      </c>
      <c r="T1167" s="60">
        <v>61</v>
      </c>
      <c r="U1167" s="60">
        <v>59.01</v>
      </c>
    </row>
    <row r="1168" spans="1:21">
      <c r="A1168" s="60" t="s">
        <v>2059</v>
      </c>
      <c r="B1168" s="60" t="s">
        <v>2348</v>
      </c>
      <c r="C1168" s="60" t="s">
        <v>5138</v>
      </c>
      <c r="D1168" s="60">
        <v>13.05</v>
      </c>
      <c r="E1168" s="60">
        <v>0</v>
      </c>
      <c r="F1168" s="60">
        <v>123</v>
      </c>
      <c r="G1168" s="60">
        <v>0</v>
      </c>
      <c r="H1168" s="60">
        <v>26.77</v>
      </c>
      <c r="I1168" s="60">
        <v>8.73</v>
      </c>
      <c r="J1168" s="60">
        <v>0</v>
      </c>
      <c r="O1168" s="60" t="s">
        <v>2059</v>
      </c>
      <c r="P1168" s="60" t="s">
        <v>2348</v>
      </c>
      <c r="Q1168" s="60" t="s">
        <v>5138</v>
      </c>
      <c r="R1168" s="60">
        <v>13.05</v>
      </c>
      <c r="S1168" s="60">
        <v>0</v>
      </c>
      <c r="T1168" s="60">
        <v>123</v>
      </c>
      <c r="U1168" s="60">
        <v>46.64</v>
      </c>
    </row>
    <row r="1169" spans="1:21">
      <c r="A1169" s="60" t="s">
        <v>2061</v>
      </c>
      <c r="B1169" s="60" t="s">
        <v>2350</v>
      </c>
      <c r="C1169" s="60" t="s">
        <v>4693</v>
      </c>
      <c r="D1169" s="60">
        <v>205.5</v>
      </c>
      <c r="E1169" s="60">
        <v>5.38</v>
      </c>
      <c r="F1169" s="60">
        <v>18648</v>
      </c>
      <c r="G1169" s="60">
        <v>0.35</v>
      </c>
      <c r="H1169" s="60">
        <v>31.32</v>
      </c>
      <c r="I1169" s="60">
        <v>8.2100000000000009</v>
      </c>
      <c r="J1169" s="60">
        <v>5.31</v>
      </c>
      <c r="O1169" s="60" t="s">
        <v>2061</v>
      </c>
      <c r="P1169" s="60" t="s">
        <v>2350</v>
      </c>
      <c r="Q1169" s="60" t="s">
        <v>4693</v>
      </c>
      <c r="R1169" s="60">
        <v>205.5</v>
      </c>
      <c r="S1169" s="60">
        <v>5.38</v>
      </c>
      <c r="T1169" s="60">
        <v>18648</v>
      </c>
      <c r="U1169" s="60">
        <v>58.82</v>
      </c>
    </row>
    <row r="1170" spans="1:21">
      <c r="A1170" s="60" t="s">
        <v>2063</v>
      </c>
      <c r="B1170" s="60" t="s">
        <v>5753</v>
      </c>
      <c r="C1170" s="60" t="s">
        <v>5754</v>
      </c>
      <c r="D1170" s="60">
        <v>16.2</v>
      </c>
      <c r="E1170" s="60">
        <v>0</v>
      </c>
      <c r="F1170" s="60">
        <v>37</v>
      </c>
      <c r="G1170" s="60">
        <v>0</v>
      </c>
      <c r="H1170" s="60">
        <v>0.57999999999999996</v>
      </c>
      <c r="I1170" s="60">
        <v>0</v>
      </c>
      <c r="J1170" s="60">
        <v>0</v>
      </c>
      <c r="O1170" s="60" t="s">
        <v>2063</v>
      </c>
      <c r="P1170" s="60" t="s">
        <v>5753</v>
      </c>
      <c r="Q1170" s="60" t="s">
        <v>5754</v>
      </c>
      <c r="R1170" s="60">
        <v>16.2</v>
      </c>
      <c r="S1170" s="60">
        <v>0</v>
      </c>
      <c r="T1170" s="60">
        <v>37</v>
      </c>
      <c r="U1170" s="60">
        <v>38.31</v>
      </c>
    </row>
    <row r="1171" spans="1:21">
      <c r="A1171" s="60" t="s">
        <v>2065</v>
      </c>
      <c r="B1171" s="60" t="s">
        <v>2353</v>
      </c>
      <c r="C1171" s="60" t="s">
        <v>4694</v>
      </c>
      <c r="D1171" s="60">
        <v>35.25</v>
      </c>
      <c r="E1171" s="60">
        <v>1.1499999999999999</v>
      </c>
      <c r="F1171" s="60">
        <v>13</v>
      </c>
      <c r="G1171" s="60">
        <v>0</v>
      </c>
      <c r="H1171" s="60">
        <v>0.15</v>
      </c>
      <c r="I1171" s="60">
        <v>5.38</v>
      </c>
      <c r="J1171" s="60">
        <v>0</v>
      </c>
      <c r="O1171" s="60" t="s">
        <v>2065</v>
      </c>
      <c r="P1171" s="60" t="s">
        <v>2353</v>
      </c>
      <c r="Q1171" s="60" t="s">
        <v>4694</v>
      </c>
      <c r="R1171" s="60">
        <v>35.25</v>
      </c>
      <c r="S1171" s="60">
        <v>1.1499999999999999</v>
      </c>
      <c r="T1171" s="60">
        <v>13</v>
      </c>
      <c r="U1171" s="60">
        <v>35.43</v>
      </c>
    </row>
    <row r="1172" spans="1:21">
      <c r="A1172" s="60" t="s">
        <v>2067</v>
      </c>
      <c r="B1172" s="60" t="s">
        <v>3299</v>
      </c>
      <c r="C1172" s="60" t="s">
        <v>4917</v>
      </c>
      <c r="D1172" s="60">
        <v>9.2899999999999991</v>
      </c>
      <c r="E1172" s="60">
        <v>9.94</v>
      </c>
      <c r="F1172" s="60">
        <v>2609</v>
      </c>
      <c r="G1172" s="60">
        <v>0</v>
      </c>
      <c r="H1172" s="60">
        <v>0.04</v>
      </c>
      <c r="I1172" s="60">
        <v>0</v>
      </c>
      <c r="J1172" s="60">
        <v>0</v>
      </c>
      <c r="O1172" s="60" t="s">
        <v>2067</v>
      </c>
      <c r="P1172" s="60" t="s">
        <v>3299</v>
      </c>
      <c r="Q1172" s="60" t="s">
        <v>4917</v>
      </c>
      <c r="R1172" s="60">
        <v>9.2899999999999991</v>
      </c>
      <c r="S1172" s="60">
        <v>9.94</v>
      </c>
      <c r="T1172" s="60">
        <v>2609</v>
      </c>
      <c r="U1172" s="60">
        <v>33.22</v>
      </c>
    </row>
    <row r="1173" spans="1:21">
      <c r="A1173" s="60" t="s">
        <v>2069</v>
      </c>
      <c r="B1173" s="60" t="s">
        <v>2356</v>
      </c>
      <c r="C1173" s="60" t="s">
        <v>5028</v>
      </c>
      <c r="D1173" s="60">
        <v>35.049999999999997</v>
      </c>
      <c r="E1173" s="60">
        <v>-0.85</v>
      </c>
      <c r="F1173" s="60">
        <v>41</v>
      </c>
      <c r="G1173" s="60">
        <v>0</v>
      </c>
      <c r="H1173" s="60">
        <v>0.91</v>
      </c>
      <c r="I1173" s="60">
        <v>0.57999999999999996</v>
      </c>
      <c r="J1173" s="60">
        <v>0</v>
      </c>
      <c r="O1173" s="60" t="s">
        <v>2069</v>
      </c>
      <c r="P1173" s="60" t="s">
        <v>2356</v>
      </c>
      <c r="Q1173" s="60" t="s">
        <v>5028</v>
      </c>
      <c r="R1173" s="60">
        <v>35.049999999999997</v>
      </c>
      <c r="S1173" s="60">
        <v>-0.85</v>
      </c>
      <c r="T1173" s="60">
        <v>41</v>
      </c>
      <c r="U1173" s="60">
        <v>80.010000000000005</v>
      </c>
    </row>
    <row r="1174" spans="1:21">
      <c r="A1174" s="60" t="s">
        <v>2071</v>
      </c>
      <c r="B1174" s="60" t="s">
        <v>2358</v>
      </c>
      <c r="C1174" s="60" t="s">
        <v>4759</v>
      </c>
      <c r="D1174" s="60">
        <v>27.65</v>
      </c>
      <c r="E1174" s="60">
        <v>1.28</v>
      </c>
      <c r="F1174" s="60">
        <v>228</v>
      </c>
      <c r="G1174" s="60">
        <v>0</v>
      </c>
      <c r="H1174" s="60">
        <v>3.66</v>
      </c>
      <c r="I1174" s="60">
        <v>6.18</v>
      </c>
      <c r="J1174" s="60">
        <v>0</v>
      </c>
      <c r="O1174" s="60" t="s">
        <v>2071</v>
      </c>
      <c r="P1174" s="60" t="s">
        <v>2358</v>
      </c>
      <c r="Q1174" s="60" t="s">
        <v>4759</v>
      </c>
      <c r="R1174" s="60">
        <v>27.65</v>
      </c>
      <c r="S1174" s="60">
        <v>1.28</v>
      </c>
      <c r="T1174" s="60">
        <v>228</v>
      </c>
      <c r="U1174" s="60">
        <v>25.27</v>
      </c>
    </row>
    <row r="1175" spans="1:21">
      <c r="A1175" s="60" t="s">
        <v>2073</v>
      </c>
      <c r="B1175" s="60" t="s">
        <v>2360</v>
      </c>
      <c r="C1175" s="60" t="s">
        <v>5029</v>
      </c>
      <c r="D1175" s="60">
        <v>43.1</v>
      </c>
      <c r="E1175" s="60">
        <v>-0.23</v>
      </c>
      <c r="F1175" s="60">
        <v>8</v>
      </c>
      <c r="G1175" s="60">
        <v>0</v>
      </c>
      <c r="H1175" s="60">
        <v>0.49</v>
      </c>
      <c r="I1175" s="60">
        <v>41.01</v>
      </c>
      <c r="J1175" s="60">
        <v>0</v>
      </c>
      <c r="O1175" s="60" t="s">
        <v>2073</v>
      </c>
      <c r="P1175" s="60" t="s">
        <v>2360</v>
      </c>
      <c r="Q1175" s="60" t="s">
        <v>5029</v>
      </c>
      <c r="R1175" s="60">
        <v>43.1</v>
      </c>
      <c r="S1175" s="60">
        <v>-0.23</v>
      </c>
      <c r="T1175" s="60">
        <v>8</v>
      </c>
      <c r="U1175" s="60">
        <v>41.41</v>
      </c>
    </row>
    <row r="1176" spans="1:21">
      <c r="A1176" s="60" t="s">
        <v>2075</v>
      </c>
      <c r="B1176" s="60" t="s">
        <v>2362</v>
      </c>
      <c r="C1176" s="60" t="s">
        <v>4918</v>
      </c>
      <c r="D1176" s="60">
        <v>14.3</v>
      </c>
      <c r="E1176" s="60">
        <v>1.42</v>
      </c>
      <c r="F1176" s="60">
        <v>557</v>
      </c>
      <c r="G1176" s="60">
        <v>0.01</v>
      </c>
      <c r="H1176" s="60">
        <v>1.23</v>
      </c>
      <c r="I1176" s="60">
        <v>11.65</v>
      </c>
      <c r="J1176" s="60">
        <v>0</v>
      </c>
      <c r="O1176" s="60" t="s">
        <v>2075</v>
      </c>
      <c r="P1176" s="60" t="s">
        <v>2362</v>
      </c>
      <c r="Q1176" s="60" t="s">
        <v>4918</v>
      </c>
      <c r="R1176" s="60">
        <v>14.3</v>
      </c>
      <c r="S1176" s="60">
        <v>1.42</v>
      </c>
      <c r="T1176" s="60">
        <v>557</v>
      </c>
      <c r="U1176" s="60">
        <v>43.05</v>
      </c>
    </row>
    <row r="1177" spans="1:21">
      <c r="A1177" s="60" t="s">
        <v>2077</v>
      </c>
      <c r="B1177" s="60" t="s">
        <v>2364</v>
      </c>
      <c r="C1177" s="60" t="s">
        <v>5057</v>
      </c>
      <c r="D1177" s="60">
        <v>63.2</v>
      </c>
      <c r="E1177" s="60">
        <v>-0.47</v>
      </c>
      <c r="F1177" s="60">
        <v>130</v>
      </c>
      <c r="G1177" s="60">
        <v>0</v>
      </c>
      <c r="H1177" s="60">
        <v>1.07</v>
      </c>
      <c r="I1177" s="60">
        <v>8.0399999999999991</v>
      </c>
      <c r="J1177" s="60">
        <v>0.04</v>
      </c>
      <c r="O1177" s="60" t="s">
        <v>2077</v>
      </c>
      <c r="P1177" s="60" t="s">
        <v>2364</v>
      </c>
      <c r="Q1177" s="60" t="s">
        <v>5057</v>
      </c>
      <c r="R1177" s="60">
        <v>63.2</v>
      </c>
      <c r="S1177" s="60">
        <v>-0.47</v>
      </c>
      <c r="T1177" s="60">
        <v>130</v>
      </c>
      <c r="U1177" s="60">
        <v>76.959999999999994</v>
      </c>
    </row>
    <row r="1178" spans="1:21">
      <c r="A1178" s="60" t="s">
        <v>2079</v>
      </c>
      <c r="B1178" s="60" t="s">
        <v>2366</v>
      </c>
      <c r="C1178" s="60" t="s">
        <v>5058</v>
      </c>
      <c r="D1178" s="60">
        <v>29.95</v>
      </c>
      <c r="E1178" s="60">
        <v>0</v>
      </c>
      <c r="F1178" s="60">
        <v>29</v>
      </c>
      <c r="G1178" s="60">
        <v>0</v>
      </c>
      <c r="H1178" s="60">
        <v>2.2799999999999998</v>
      </c>
      <c r="I1178" s="60">
        <v>0.06</v>
      </c>
      <c r="J1178" s="60">
        <v>0</v>
      </c>
      <c r="O1178" s="60" t="s">
        <v>2079</v>
      </c>
      <c r="P1178" s="60" t="s">
        <v>2366</v>
      </c>
      <c r="Q1178" s="60" t="s">
        <v>5058</v>
      </c>
      <c r="R1178" s="60">
        <v>29.95</v>
      </c>
      <c r="S1178" s="60">
        <v>0</v>
      </c>
      <c r="T1178" s="60">
        <v>29</v>
      </c>
      <c r="U1178" s="60">
        <v>60.85</v>
      </c>
    </row>
    <row r="1179" spans="1:21">
      <c r="A1179" s="60" t="s">
        <v>2081</v>
      </c>
      <c r="B1179" s="60" t="s">
        <v>2368</v>
      </c>
      <c r="C1179" s="60" t="s">
        <v>5059</v>
      </c>
      <c r="D1179" s="60">
        <v>9.59</v>
      </c>
      <c r="E1179" s="60">
        <v>0.95</v>
      </c>
      <c r="F1179" s="60">
        <v>1292</v>
      </c>
      <c r="G1179" s="60">
        <v>0</v>
      </c>
      <c r="H1179" s="60">
        <v>6.39</v>
      </c>
      <c r="I1179" s="60">
        <v>3.77</v>
      </c>
      <c r="J1179" s="60">
        <v>0</v>
      </c>
      <c r="O1179" s="60" t="s">
        <v>2081</v>
      </c>
      <c r="P1179" s="60" t="s">
        <v>2368</v>
      </c>
      <c r="Q1179" s="60" t="s">
        <v>5059</v>
      </c>
      <c r="R1179" s="60">
        <v>9.59</v>
      </c>
      <c r="S1179" s="60">
        <v>0.95</v>
      </c>
      <c r="T1179" s="60">
        <v>1292</v>
      </c>
      <c r="U1179" s="60">
        <v>55.64</v>
      </c>
    </row>
    <row r="1180" spans="1:21">
      <c r="A1180" s="60" t="s">
        <v>2083</v>
      </c>
      <c r="B1180" s="60" t="s">
        <v>2370</v>
      </c>
      <c r="C1180" s="60" t="s">
        <v>5060</v>
      </c>
      <c r="D1180" s="60">
        <v>21.8</v>
      </c>
      <c r="E1180" s="60">
        <v>-0.23</v>
      </c>
      <c r="F1180" s="60">
        <v>4</v>
      </c>
      <c r="G1180" s="60">
        <v>0</v>
      </c>
      <c r="H1180" s="60">
        <v>0</v>
      </c>
      <c r="I1180" s="60">
        <v>0.12</v>
      </c>
      <c r="J1180" s="60">
        <v>0</v>
      </c>
      <c r="O1180" s="60" t="s">
        <v>2083</v>
      </c>
      <c r="P1180" s="60" t="s">
        <v>2370</v>
      </c>
      <c r="Q1180" s="60" t="s">
        <v>5060</v>
      </c>
      <c r="R1180" s="60">
        <v>21.8</v>
      </c>
      <c r="S1180" s="60">
        <v>-0.23</v>
      </c>
      <c r="T1180" s="60">
        <v>4</v>
      </c>
      <c r="U1180" s="60">
        <v>87.64</v>
      </c>
    </row>
    <row r="1181" spans="1:21">
      <c r="A1181" s="60" t="s">
        <v>2085</v>
      </c>
      <c r="B1181" s="60" t="s">
        <v>2372</v>
      </c>
      <c r="C1181" s="60" t="s">
        <v>4334</v>
      </c>
      <c r="D1181" s="60">
        <v>14.2</v>
      </c>
      <c r="E1181" s="60">
        <v>1.07</v>
      </c>
      <c r="F1181" s="60">
        <v>246</v>
      </c>
      <c r="G1181" s="60">
        <v>0</v>
      </c>
      <c r="H1181" s="60">
        <v>6.63</v>
      </c>
      <c r="I1181" s="60">
        <v>1.32</v>
      </c>
      <c r="J1181" s="60">
        <v>0</v>
      </c>
      <c r="O1181" s="60" t="s">
        <v>2085</v>
      </c>
      <c r="P1181" s="60" t="s">
        <v>2372</v>
      </c>
      <c r="Q1181" s="60" t="s">
        <v>4334</v>
      </c>
      <c r="R1181" s="60">
        <v>14.2</v>
      </c>
      <c r="S1181" s="60">
        <v>1.07</v>
      </c>
      <c r="T1181" s="60">
        <v>246</v>
      </c>
      <c r="U1181" s="60">
        <v>52.35</v>
      </c>
    </row>
    <row r="1182" spans="1:21">
      <c r="A1182" s="60" t="s">
        <v>2087</v>
      </c>
      <c r="B1182" s="60" t="s">
        <v>2374</v>
      </c>
      <c r="C1182" s="60" t="s">
        <v>5061</v>
      </c>
      <c r="D1182" s="60">
        <v>13.6</v>
      </c>
      <c r="E1182" s="60">
        <v>0</v>
      </c>
      <c r="F1182" s="60">
        <v>34</v>
      </c>
      <c r="G1182" s="60">
        <v>0</v>
      </c>
      <c r="H1182" s="60">
        <v>0.09</v>
      </c>
      <c r="I1182" s="60">
        <v>14.37</v>
      </c>
      <c r="J1182" s="60">
        <v>0</v>
      </c>
      <c r="O1182" s="60" t="s">
        <v>2087</v>
      </c>
      <c r="P1182" s="60" t="s">
        <v>2374</v>
      </c>
      <c r="Q1182" s="60" t="s">
        <v>5061</v>
      </c>
      <c r="R1182" s="60">
        <v>13.6</v>
      </c>
      <c r="S1182" s="60">
        <v>0</v>
      </c>
      <c r="T1182" s="60">
        <v>34</v>
      </c>
      <c r="U1182" s="60">
        <v>59.82</v>
      </c>
    </row>
    <row r="1183" spans="1:21">
      <c r="A1183" s="60" t="s">
        <v>2089</v>
      </c>
      <c r="B1183" s="60" t="s">
        <v>2376</v>
      </c>
      <c r="C1183" s="60" t="s">
        <v>4335</v>
      </c>
      <c r="D1183" s="60">
        <v>21.2</v>
      </c>
      <c r="E1183" s="60">
        <v>0</v>
      </c>
      <c r="F1183" s="60">
        <v>403</v>
      </c>
      <c r="G1183" s="60">
        <v>0.01</v>
      </c>
      <c r="H1183" s="60">
        <v>2.36</v>
      </c>
      <c r="I1183" s="60">
        <v>4.1100000000000003</v>
      </c>
      <c r="J1183" s="60">
        <v>0</v>
      </c>
      <c r="O1183" s="60" t="s">
        <v>2089</v>
      </c>
      <c r="P1183" s="60" t="s">
        <v>2376</v>
      </c>
      <c r="Q1183" s="60" t="s">
        <v>4335</v>
      </c>
      <c r="R1183" s="60">
        <v>21.2</v>
      </c>
      <c r="S1183" s="60">
        <v>0</v>
      </c>
      <c r="T1183" s="60">
        <v>403</v>
      </c>
      <c r="U1183" s="60">
        <v>46.58</v>
      </c>
    </row>
    <row r="1184" spans="1:21">
      <c r="A1184" s="60" t="s">
        <v>2091</v>
      </c>
      <c r="B1184" s="60" t="s">
        <v>2378</v>
      </c>
      <c r="C1184" s="60" t="s">
        <v>5062</v>
      </c>
      <c r="D1184" s="60">
        <v>51.6</v>
      </c>
      <c r="E1184" s="60">
        <v>-1.53</v>
      </c>
      <c r="F1184" s="60">
        <v>4</v>
      </c>
      <c r="G1184" s="60">
        <v>0</v>
      </c>
      <c r="H1184" s="60">
        <v>0.02</v>
      </c>
      <c r="I1184" s="60">
        <v>0.01</v>
      </c>
      <c r="J1184" s="60">
        <v>0</v>
      </c>
      <c r="O1184" s="60" t="s">
        <v>2091</v>
      </c>
      <c r="P1184" s="60" t="s">
        <v>2378</v>
      </c>
      <c r="Q1184" s="60" t="s">
        <v>5062</v>
      </c>
      <c r="R1184" s="60">
        <v>51.6</v>
      </c>
      <c r="S1184" s="60">
        <v>-1.53</v>
      </c>
      <c r="T1184" s="60">
        <v>4</v>
      </c>
      <c r="U1184" s="60">
        <v>75.12</v>
      </c>
    </row>
    <row r="1185" spans="1:21">
      <c r="A1185" s="60" t="s">
        <v>2093</v>
      </c>
      <c r="B1185" s="60" t="s">
        <v>2380</v>
      </c>
      <c r="C1185" s="60" t="s">
        <v>4336</v>
      </c>
      <c r="D1185" s="60">
        <v>8.83</v>
      </c>
      <c r="E1185" s="60">
        <v>0.11</v>
      </c>
      <c r="F1185" s="60">
        <v>934</v>
      </c>
      <c r="G1185" s="60">
        <v>0.05</v>
      </c>
      <c r="H1185" s="60">
        <v>5.91</v>
      </c>
      <c r="I1185" s="60">
        <v>8.7899999999999991</v>
      </c>
      <c r="J1185" s="60">
        <v>0.03</v>
      </c>
      <c r="O1185" s="60" t="s">
        <v>2093</v>
      </c>
      <c r="P1185" s="60" t="s">
        <v>2380</v>
      </c>
      <c r="Q1185" s="60" t="s">
        <v>4336</v>
      </c>
      <c r="R1185" s="60">
        <v>8.83</v>
      </c>
      <c r="S1185" s="60">
        <v>0.11</v>
      </c>
      <c r="T1185" s="60">
        <v>934</v>
      </c>
      <c r="U1185" s="60">
        <v>46.84</v>
      </c>
    </row>
    <row r="1186" spans="1:21">
      <c r="A1186" s="60" t="s">
        <v>2095</v>
      </c>
      <c r="B1186" s="60" t="s">
        <v>2382</v>
      </c>
      <c r="C1186" s="60" t="s">
        <v>4337</v>
      </c>
      <c r="D1186" s="60">
        <v>67.2</v>
      </c>
      <c r="E1186" s="60">
        <v>-0.44</v>
      </c>
      <c r="F1186" s="60">
        <v>382</v>
      </c>
      <c r="G1186" s="60">
        <v>0.01</v>
      </c>
      <c r="H1186" s="60">
        <v>14.95</v>
      </c>
      <c r="I1186" s="60">
        <v>0.19</v>
      </c>
      <c r="J1186" s="60">
        <v>4.01</v>
      </c>
      <c r="O1186" s="60" t="s">
        <v>2095</v>
      </c>
      <c r="P1186" s="60" t="s">
        <v>2382</v>
      </c>
      <c r="Q1186" s="60" t="s">
        <v>4337</v>
      </c>
      <c r="R1186" s="60">
        <v>67.2</v>
      </c>
      <c r="S1186" s="60">
        <v>-0.44</v>
      </c>
      <c r="T1186" s="60">
        <v>382</v>
      </c>
      <c r="U1186" s="60">
        <v>86.86</v>
      </c>
    </row>
    <row r="1187" spans="1:21">
      <c r="A1187" s="60" t="s">
        <v>2097</v>
      </c>
      <c r="B1187" s="60" t="s">
        <v>2384</v>
      </c>
      <c r="C1187" s="60" t="s">
        <v>5063</v>
      </c>
      <c r="D1187" s="60">
        <v>29.5</v>
      </c>
      <c r="E1187" s="60">
        <v>-0.34</v>
      </c>
      <c r="F1187" s="60">
        <v>21</v>
      </c>
      <c r="G1187" s="60">
        <v>0</v>
      </c>
      <c r="H1187" s="60">
        <v>0.13</v>
      </c>
      <c r="I1187" s="60">
        <v>4.68</v>
      </c>
      <c r="J1187" s="60">
        <v>0</v>
      </c>
      <c r="O1187" s="60" t="s">
        <v>2097</v>
      </c>
      <c r="P1187" s="60" t="s">
        <v>2384</v>
      </c>
      <c r="Q1187" s="60" t="s">
        <v>5063</v>
      </c>
      <c r="R1187" s="60">
        <v>29.5</v>
      </c>
      <c r="S1187" s="60">
        <v>-0.34</v>
      </c>
      <c r="T1187" s="60">
        <v>21</v>
      </c>
      <c r="U1187" s="60">
        <v>78.760000000000005</v>
      </c>
    </row>
    <row r="1188" spans="1:21">
      <c r="A1188" s="60" t="s">
        <v>2099</v>
      </c>
      <c r="B1188" s="60" t="s">
        <v>2386</v>
      </c>
      <c r="C1188" s="60" t="s">
        <v>4338</v>
      </c>
      <c r="D1188" s="60">
        <v>29.25</v>
      </c>
      <c r="E1188" s="60">
        <v>-0.17</v>
      </c>
      <c r="F1188" s="60">
        <v>159</v>
      </c>
      <c r="G1188" s="60">
        <v>0</v>
      </c>
      <c r="H1188" s="60">
        <v>1.52</v>
      </c>
      <c r="I1188" s="60">
        <v>0.49</v>
      </c>
      <c r="J1188" s="60">
        <v>0</v>
      </c>
      <c r="O1188" s="60" t="s">
        <v>2099</v>
      </c>
      <c r="P1188" s="60" t="s">
        <v>2386</v>
      </c>
      <c r="Q1188" s="60" t="s">
        <v>4338</v>
      </c>
      <c r="R1188" s="60">
        <v>29.25</v>
      </c>
      <c r="S1188" s="60">
        <v>-0.17</v>
      </c>
      <c r="T1188" s="60">
        <v>159</v>
      </c>
      <c r="U1188" s="60">
        <v>80.040000000000006</v>
      </c>
    </row>
    <row r="1189" spans="1:21">
      <c r="A1189" s="60" t="s">
        <v>2102</v>
      </c>
      <c r="B1189" s="60" t="s">
        <v>3300</v>
      </c>
      <c r="C1189" s="60" t="s">
        <v>5525</v>
      </c>
      <c r="D1189" s="60">
        <v>16.95</v>
      </c>
      <c r="E1189" s="60">
        <v>-0.28999999999999998</v>
      </c>
      <c r="F1189" s="60">
        <v>148</v>
      </c>
      <c r="G1189" s="60">
        <v>0</v>
      </c>
      <c r="H1189" s="60">
        <v>0.55000000000000004</v>
      </c>
      <c r="I1189" s="60">
        <v>0</v>
      </c>
      <c r="J1189" s="60">
        <v>0</v>
      </c>
      <c r="O1189" s="60" t="s">
        <v>2102</v>
      </c>
      <c r="P1189" s="60" t="s">
        <v>3300</v>
      </c>
      <c r="Q1189" s="60" t="s">
        <v>5525</v>
      </c>
      <c r="R1189" s="60">
        <v>16.95</v>
      </c>
      <c r="S1189" s="60">
        <v>-0.28999999999999998</v>
      </c>
      <c r="T1189" s="60">
        <v>148</v>
      </c>
      <c r="U1189" s="60">
        <v>60.27</v>
      </c>
    </row>
    <row r="1190" spans="1:21">
      <c r="A1190" s="60" t="s">
        <v>2104</v>
      </c>
      <c r="B1190" s="60" t="s">
        <v>2389</v>
      </c>
      <c r="C1190" s="60" t="s">
        <v>5139</v>
      </c>
      <c r="D1190" s="60">
        <v>44.85</v>
      </c>
      <c r="E1190" s="60">
        <v>-0.33</v>
      </c>
      <c r="F1190" s="60">
        <v>257</v>
      </c>
      <c r="G1190" s="60">
        <v>0.02</v>
      </c>
      <c r="H1190" s="60">
        <v>55.6</v>
      </c>
      <c r="I1190" s="60">
        <v>1.26</v>
      </c>
      <c r="J1190" s="60">
        <v>0</v>
      </c>
      <c r="O1190" s="60" t="s">
        <v>2104</v>
      </c>
      <c r="P1190" s="60" t="s">
        <v>2389</v>
      </c>
      <c r="Q1190" s="60" t="s">
        <v>5139</v>
      </c>
      <c r="R1190" s="60">
        <v>44.85</v>
      </c>
      <c r="S1190" s="60">
        <v>-0.33</v>
      </c>
      <c r="T1190" s="60">
        <v>257</v>
      </c>
      <c r="U1190" s="60">
        <v>78.84</v>
      </c>
    </row>
    <row r="1191" spans="1:21">
      <c r="A1191" s="60" t="s">
        <v>2105</v>
      </c>
      <c r="B1191" s="60" t="s">
        <v>2391</v>
      </c>
      <c r="C1191" s="60" t="s">
        <v>4339</v>
      </c>
      <c r="D1191" s="60">
        <v>11.2</v>
      </c>
      <c r="E1191" s="60">
        <v>0</v>
      </c>
      <c r="F1191" s="60">
        <v>744</v>
      </c>
      <c r="G1191" s="60">
        <v>0.01</v>
      </c>
      <c r="H1191" s="60">
        <v>5.3</v>
      </c>
      <c r="I1191" s="60">
        <v>4</v>
      </c>
      <c r="J1191" s="60">
        <v>0</v>
      </c>
      <c r="O1191" s="60" t="s">
        <v>2105</v>
      </c>
      <c r="P1191" s="60" t="s">
        <v>2391</v>
      </c>
      <c r="Q1191" s="60" t="s">
        <v>4339</v>
      </c>
      <c r="R1191" s="60">
        <v>11.2</v>
      </c>
      <c r="S1191" s="60">
        <v>0</v>
      </c>
      <c r="T1191" s="60">
        <v>744</v>
      </c>
      <c r="U1191" s="60">
        <v>82.97</v>
      </c>
    </row>
    <row r="1192" spans="1:21">
      <c r="A1192" s="60" t="s">
        <v>2107</v>
      </c>
      <c r="B1192" s="60" t="s">
        <v>2393</v>
      </c>
      <c r="C1192" s="60" t="s">
        <v>4340</v>
      </c>
      <c r="D1192" s="60">
        <v>18.8</v>
      </c>
      <c r="E1192" s="60">
        <v>0</v>
      </c>
      <c r="F1192" s="60">
        <v>94</v>
      </c>
      <c r="G1192" s="60">
        <v>0</v>
      </c>
      <c r="H1192" s="60">
        <v>2.8</v>
      </c>
      <c r="I1192" s="60">
        <v>1.85</v>
      </c>
      <c r="J1192" s="60">
        <v>0</v>
      </c>
      <c r="O1192" s="60" t="s">
        <v>2107</v>
      </c>
      <c r="P1192" s="60" t="s">
        <v>2393</v>
      </c>
      <c r="Q1192" s="60" t="s">
        <v>4340</v>
      </c>
      <c r="R1192" s="60">
        <v>18.8</v>
      </c>
      <c r="S1192" s="60">
        <v>0</v>
      </c>
      <c r="T1192" s="60">
        <v>94</v>
      </c>
      <c r="U1192" s="60">
        <v>77.81</v>
      </c>
    </row>
    <row r="1193" spans="1:21">
      <c r="A1193" s="60" t="s">
        <v>2108</v>
      </c>
      <c r="B1193" s="60" t="s">
        <v>2395</v>
      </c>
      <c r="C1193" s="60" t="s">
        <v>4341</v>
      </c>
      <c r="D1193" s="60">
        <v>74.2</v>
      </c>
      <c r="E1193" s="60">
        <v>-0.13</v>
      </c>
      <c r="F1193" s="60">
        <v>265</v>
      </c>
      <c r="G1193" s="60">
        <v>0.01</v>
      </c>
      <c r="H1193" s="60">
        <v>12.31</v>
      </c>
      <c r="I1193" s="60">
        <v>0.75</v>
      </c>
      <c r="J1193" s="60">
        <v>0.43</v>
      </c>
      <c r="O1193" s="60" t="s">
        <v>2108</v>
      </c>
      <c r="P1193" s="60" t="s">
        <v>2395</v>
      </c>
      <c r="Q1193" s="60" t="s">
        <v>4341</v>
      </c>
      <c r="R1193" s="60">
        <v>74.2</v>
      </c>
      <c r="S1193" s="60">
        <v>-0.13</v>
      </c>
      <c r="T1193" s="60">
        <v>265</v>
      </c>
      <c r="U1193" s="60">
        <v>64.010000000000005</v>
      </c>
    </row>
    <row r="1194" spans="1:21">
      <c r="A1194" s="60" t="s">
        <v>2110</v>
      </c>
      <c r="B1194" s="60" t="s">
        <v>2397</v>
      </c>
      <c r="C1194" s="60" t="s">
        <v>5030</v>
      </c>
      <c r="D1194" s="60">
        <v>197</v>
      </c>
      <c r="E1194" s="60">
        <v>0.25</v>
      </c>
      <c r="F1194" s="60">
        <v>90</v>
      </c>
      <c r="G1194" s="60">
        <v>0.01</v>
      </c>
      <c r="H1194" s="60">
        <v>18.05</v>
      </c>
      <c r="I1194" s="60">
        <v>1.68</v>
      </c>
      <c r="J1194" s="60">
        <v>0.24</v>
      </c>
      <c r="O1194" s="60" t="s">
        <v>2110</v>
      </c>
      <c r="P1194" s="60" t="s">
        <v>2397</v>
      </c>
      <c r="Q1194" s="60" t="s">
        <v>5030</v>
      </c>
      <c r="R1194" s="60">
        <v>197</v>
      </c>
      <c r="S1194" s="60">
        <v>0.25</v>
      </c>
      <c r="T1194" s="60">
        <v>90</v>
      </c>
      <c r="U1194" s="60">
        <v>18.75</v>
      </c>
    </row>
    <row r="1195" spans="1:21">
      <c r="A1195" s="60" t="s">
        <v>2112</v>
      </c>
      <c r="B1195" s="60" t="s">
        <v>2399</v>
      </c>
      <c r="C1195" s="60" t="s">
        <v>3899</v>
      </c>
      <c r="D1195" s="60">
        <v>52</v>
      </c>
      <c r="E1195" s="60">
        <v>2.36</v>
      </c>
      <c r="F1195" s="60">
        <v>164</v>
      </c>
      <c r="G1195" s="60">
        <v>0.02</v>
      </c>
      <c r="H1195" s="60">
        <v>64.3</v>
      </c>
      <c r="I1195" s="60">
        <v>0.75</v>
      </c>
      <c r="J1195" s="60">
        <v>0</v>
      </c>
      <c r="O1195" s="60" t="s">
        <v>2112</v>
      </c>
      <c r="P1195" s="60" t="s">
        <v>2399</v>
      </c>
      <c r="Q1195" s="60" t="s">
        <v>3899</v>
      </c>
      <c r="R1195" s="60">
        <v>52</v>
      </c>
      <c r="S1195" s="60">
        <v>2.36</v>
      </c>
      <c r="T1195" s="60">
        <v>164</v>
      </c>
      <c r="U1195" s="60">
        <v>92.25</v>
      </c>
    </row>
    <row r="1196" spans="1:21">
      <c r="A1196" s="60" t="s">
        <v>2114</v>
      </c>
      <c r="B1196" s="60" t="s">
        <v>3301</v>
      </c>
      <c r="C1196" s="60" t="s">
        <v>5064</v>
      </c>
      <c r="D1196" s="60">
        <v>68.3</v>
      </c>
      <c r="E1196" s="60">
        <v>-0.06</v>
      </c>
      <c r="F1196" s="60">
        <v>31</v>
      </c>
      <c r="G1196" s="60">
        <v>0</v>
      </c>
      <c r="H1196" s="60">
        <v>0.97</v>
      </c>
      <c r="I1196" s="60">
        <v>7.8</v>
      </c>
      <c r="J1196" s="60">
        <v>0</v>
      </c>
      <c r="O1196" s="60" t="s">
        <v>2114</v>
      </c>
      <c r="P1196" s="60" t="s">
        <v>3301</v>
      </c>
      <c r="Q1196" s="60" t="s">
        <v>5064</v>
      </c>
      <c r="R1196" s="60">
        <v>68.3</v>
      </c>
      <c r="S1196" s="60">
        <v>-0.06</v>
      </c>
      <c r="T1196" s="60">
        <v>31</v>
      </c>
      <c r="U1196" s="60">
        <v>43.94</v>
      </c>
    </row>
    <row r="1197" spans="1:21">
      <c r="A1197" s="60" t="s">
        <v>2116</v>
      </c>
      <c r="B1197" s="60" t="s">
        <v>2401</v>
      </c>
      <c r="C1197" s="60" t="s">
        <v>4342</v>
      </c>
      <c r="D1197" s="60">
        <v>61</v>
      </c>
      <c r="E1197" s="60">
        <v>0</v>
      </c>
      <c r="F1197" s="60">
        <v>27</v>
      </c>
      <c r="G1197" s="60">
        <v>0.09</v>
      </c>
      <c r="H1197" s="60">
        <v>53.97</v>
      </c>
      <c r="I1197" s="60">
        <v>10.54</v>
      </c>
      <c r="J1197" s="60">
        <v>0</v>
      </c>
      <c r="O1197" s="60" t="s">
        <v>2116</v>
      </c>
      <c r="P1197" s="60" t="s">
        <v>2401</v>
      </c>
      <c r="Q1197" s="60" t="s">
        <v>4342</v>
      </c>
      <c r="R1197" s="60">
        <v>61</v>
      </c>
      <c r="S1197" s="60">
        <v>0</v>
      </c>
      <c r="T1197" s="60">
        <v>27</v>
      </c>
      <c r="U1197" s="60">
        <v>71.5</v>
      </c>
    </row>
    <row r="1198" spans="1:21">
      <c r="A1198" s="60" t="s">
        <v>2118</v>
      </c>
      <c r="B1198" s="60" t="s">
        <v>3302</v>
      </c>
      <c r="C1198" s="60" t="s">
        <v>5071</v>
      </c>
      <c r="D1198" s="60">
        <v>31.95</v>
      </c>
      <c r="E1198" s="60">
        <v>0.31</v>
      </c>
      <c r="F1198" s="60">
        <v>5</v>
      </c>
      <c r="G1198" s="60">
        <v>0</v>
      </c>
      <c r="H1198" s="60">
        <v>1.4</v>
      </c>
      <c r="I1198" s="60">
        <v>0.11</v>
      </c>
      <c r="J1198" s="60">
        <v>0</v>
      </c>
      <c r="O1198" s="60" t="s">
        <v>2118</v>
      </c>
      <c r="P1198" s="60" t="s">
        <v>3302</v>
      </c>
      <c r="Q1198" s="60" t="s">
        <v>5071</v>
      </c>
      <c r="R1198" s="60">
        <v>31.95</v>
      </c>
      <c r="S1198" s="60">
        <v>0.31</v>
      </c>
      <c r="T1198" s="60">
        <v>5</v>
      </c>
      <c r="U1198" s="60">
        <v>44.79</v>
      </c>
    </row>
    <row r="1199" spans="1:21">
      <c r="A1199" s="60" t="s">
        <v>2120</v>
      </c>
      <c r="B1199" s="60" t="s">
        <v>2403</v>
      </c>
      <c r="C1199" s="60" t="s">
        <v>5072</v>
      </c>
      <c r="D1199" s="60">
        <v>31.65</v>
      </c>
      <c r="E1199" s="60">
        <v>3.09</v>
      </c>
      <c r="F1199" s="60">
        <v>871</v>
      </c>
      <c r="G1199" s="60">
        <v>0.08</v>
      </c>
      <c r="H1199" s="60">
        <v>8.84</v>
      </c>
      <c r="I1199" s="60">
        <v>17.5</v>
      </c>
      <c r="J1199" s="60">
        <v>0</v>
      </c>
      <c r="O1199" s="60" t="s">
        <v>2120</v>
      </c>
      <c r="P1199" s="60" t="s">
        <v>2403</v>
      </c>
      <c r="Q1199" s="60" t="s">
        <v>5072</v>
      </c>
      <c r="R1199" s="60">
        <v>31.65</v>
      </c>
      <c r="S1199" s="60">
        <v>3.09</v>
      </c>
      <c r="T1199" s="60">
        <v>871</v>
      </c>
      <c r="U1199" s="60">
        <v>52.01</v>
      </c>
    </row>
    <row r="1200" spans="1:21">
      <c r="A1200" s="60" t="s">
        <v>2122</v>
      </c>
      <c r="B1200" s="60" t="s">
        <v>2405</v>
      </c>
      <c r="C1200" s="60" t="s">
        <v>5073</v>
      </c>
      <c r="D1200" s="60">
        <v>78.2</v>
      </c>
      <c r="E1200" s="60">
        <v>0.39</v>
      </c>
      <c r="F1200" s="60">
        <v>34</v>
      </c>
      <c r="G1200" s="60">
        <v>0.03</v>
      </c>
      <c r="H1200" s="60">
        <v>11.01</v>
      </c>
      <c r="I1200" s="60">
        <v>0.5</v>
      </c>
      <c r="J1200" s="60">
        <v>0</v>
      </c>
      <c r="O1200" s="60" t="s">
        <v>2122</v>
      </c>
      <c r="P1200" s="60" t="s">
        <v>2405</v>
      </c>
      <c r="Q1200" s="60" t="s">
        <v>5073</v>
      </c>
      <c r="R1200" s="60">
        <v>78.2</v>
      </c>
      <c r="S1200" s="60">
        <v>0.39</v>
      </c>
      <c r="T1200" s="60">
        <v>34</v>
      </c>
      <c r="U1200" s="60">
        <v>56.72</v>
      </c>
    </row>
    <row r="1201" spans="1:21">
      <c r="A1201" s="60" t="s">
        <v>2124</v>
      </c>
      <c r="B1201" s="60" t="s">
        <v>2407</v>
      </c>
      <c r="C1201" s="60" t="s">
        <v>4355</v>
      </c>
      <c r="D1201" s="60">
        <v>52.3</v>
      </c>
      <c r="E1201" s="60">
        <v>-1.51</v>
      </c>
      <c r="F1201" s="60">
        <v>679</v>
      </c>
      <c r="G1201" s="60">
        <v>1.02</v>
      </c>
      <c r="H1201" s="60">
        <v>7.93</v>
      </c>
      <c r="I1201" s="60">
        <v>6.82</v>
      </c>
      <c r="J1201" s="60">
        <v>0</v>
      </c>
      <c r="O1201" s="60" t="s">
        <v>2124</v>
      </c>
      <c r="P1201" s="60" t="s">
        <v>2407</v>
      </c>
      <c r="Q1201" s="60" t="s">
        <v>4355</v>
      </c>
      <c r="R1201" s="60">
        <v>52.3</v>
      </c>
      <c r="S1201" s="60">
        <v>-1.51</v>
      </c>
      <c r="T1201" s="60">
        <v>679</v>
      </c>
      <c r="U1201" s="60">
        <v>67.23</v>
      </c>
    </row>
    <row r="1202" spans="1:21">
      <c r="A1202" s="60" t="s">
        <v>2126</v>
      </c>
      <c r="B1202" s="60" t="s">
        <v>2409</v>
      </c>
      <c r="C1202" s="60" t="s">
        <v>3530</v>
      </c>
      <c r="D1202" s="60">
        <v>43.15</v>
      </c>
      <c r="E1202" s="60">
        <v>1.77</v>
      </c>
      <c r="F1202" s="60">
        <v>7714</v>
      </c>
      <c r="G1202" s="60">
        <v>2.68</v>
      </c>
      <c r="H1202" s="60">
        <v>5.3</v>
      </c>
      <c r="I1202" s="60">
        <v>26.08</v>
      </c>
      <c r="J1202" s="60">
        <v>0</v>
      </c>
      <c r="O1202" s="60" t="s">
        <v>2126</v>
      </c>
      <c r="P1202" s="60" t="s">
        <v>2409</v>
      </c>
      <c r="Q1202" s="60" t="s">
        <v>3530</v>
      </c>
      <c r="R1202" s="60">
        <v>43.15</v>
      </c>
      <c r="S1202" s="60">
        <v>1.77</v>
      </c>
      <c r="T1202" s="60">
        <v>7714</v>
      </c>
      <c r="U1202" s="60">
        <v>29.89</v>
      </c>
    </row>
    <row r="1203" spans="1:21">
      <c r="A1203" s="60" t="s">
        <v>2128</v>
      </c>
      <c r="B1203" s="60" t="s">
        <v>2411</v>
      </c>
      <c r="C1203" s="60" t="s">
        <v>5074</v>
      </c>
      <c r="D1203" s="60">
        <v>104.5</v>
      </c>
      <c r="E1203" s="60">
        <v>-2.34</v>
      </c>
      <c r="F1203" s="60">
        <v>3288</v>
      </c>
      <c r="G1203" s="60">
        <v>0.25</v>
      </c>
      <c r="H1203" s="60">
        <v>17.53</v>
      </c>
      <c r="I1203" s="60">
        <v>14.64</v>
      </c>
      <c r="J1203" s="60">
        <v>0.12</v>
      </c>
      <c r="O1203" s="60" t="s">
        <v>2128</v>
      </c>
      <c r="P1203" s="60" t="s">
        <v>2411</v>
      </c>
      <c r="Q1203" s="60" t="s">
        <v>5074</v>
      </c>
      <c r="R1203" s="60">
        <v>104.5</v>
      </c>
      <c r="S1203" s="60">
        <v>-2.34</v>
      </c>
      <c r="T1203" s="60">
        <v>3288</v>
      </c>
      <c r="U1203" s="60">
        <v>39.729999999999997</v>
      </c>
    </row>
    <row r="1204" spans="1:21">
      <c r="A1204" s="60" t="s">
        <v>2129</v>
      </c>
      <c r="B1204" s="60" t="s">
        <v>3303</v>
      </c>
      <c r="C1204" s="60" t="s">
        <v>5096</v>
      </c>
      <c r="D1204" s="60">
        <v>3.14</v>
      </c>
      <c r="E1204" s="60">
        <v>-0.95</v>
      </c>
      <c r="F1204" s="60">
        <v>146</v>
      </c>
      <c r="G1204" s="60">
        <v>0</v>
      </c>
      <c r="H1204" s="60">
        <v>0.36</v>
      </c>
      <c r="I1204" s="60">
        <v>0</v>
      </c>
      <c r="J1204" s="60">
        <v>0</v>
      </c>
      <c r="O1204" s="60" t="s">
        <v>2129</v>
      </c>
      <c r="P1204" s="60" t="s">
        <v>3303</v>
      </c>
      <c r="Q1204" s="60" t="s">
        <v>5096</v>
      </c>
      <c r="R1204" s="60">
        <v>3.14</v>
      </c>
      <c r="S1204" s="60">
        <v>-0.95</v>
      </c>
      <c r="T1204" s="60">
        <v>146</v>
      </c>
      <c r="U1204" s="60">
        <v>31.61</v>
      </c>
    </row>
    <row r="1205" spans="1:21">
      <c r="A1205" s="60" t="s">
        <v>2131</v>
      </c>
      <c r="B1205" s="60" t="s">
        <v>3304</v>
      </c>
      <c r="C1205" s="60" t="s">
        <v>5097</v>
      </c>
      <c r="D1205" s="60">
        <v>27.75</v>
      </c>
      <c r="E1205" s="60">
        <v>-0.72</v>
      </c>
      <c r="F1205" s="60">
        <v>0</v>
      </c>
      <c r="G1205" s="60">
        <v>0</v>
      </c>
      <c r="H1205" s="60">
        <v>6.84</v>
      </c>
      <c r="I1205" s="60">
        <v>0</v>
      </c>
      <c r="J1205" s="60">
        <v>0</v>
      </c>
      <c r="O1205" s="60" t="s">
        <v>2131</v>
      </c>
      <c r="P1205" s="60" t="s">
        <v>3304</v>
      </c>
      <c r="Q1205" s="60" t="s">
        <v>5097</v>
      </c>
      <c r="R1205" s="60">
        <v>27.75</v>
      </c>
      <c r="S1205" s="60">
        <v>-0.72</v>
      </c>
      <c r="T1205" s="60">
        <v>0</v>
      </c>
      <c r="U1205" s="60">
        <v>89.64</v>
      </c>
    </row>
    <row r="1206" spans="1:21">
      <c r="A1206" s="60" t="s">
        <v>2133</v>
      </c>
      <c r="B1206" s="60" t="s">
        <v>2415</v>
      </c>
      <c r="C1206" s="60" t="s">
        <v>5098</v>
      </c>
      <c r="D1206" s="60">
        <v>30</v>
      </c>
      <c r="E1206" s="60">
        <v>-0.33</v>
      </c>
      <c r="F1206" s="60">
        <v>13</v>
      </c>
      <c r="G1206" s="60">
        <v>0</v>
      </c>
      <c r="H1206" s="60">
        <v>0.06</v>
      </c>
      <c r="I1206" s="60">
        <v>0.87</v>
      </c>
      <c r="J1206" s="60">
        <v>0</v>
      </c>
      <c r="O1206" s="60" t="s">
        <v>2133</v>
      </c>
      <c r="P1206" s="60" t="s">
        <v>2415</v>
      </c>
      <c r="Q1206" s="60" t="s">
        <v>5098</v>
      </c>
      <c r="R1206" s="60">
        <v>30</v>
      </c>
      <c r="S1206" s="60">
        <v>-0.33</v>
      </c>
      <c r="T1206" s="60">
        <v>13</v>
      </c>
      <c r="U1206" s="60">
        <v>78.47</v>
      </c>
    </row>
    <row r="1207" spans="1:21">
      <c r="A1207" s="60" t="s">
        <v>2135</v>
      </c>
      <c r="B1207" s="60" t="s">
        <v>2417</v>
      </c>
      <c r="C1207" s="60" t="s">
        <v>4370</v>
      </c>
      <c r="D1207" s="60">
        <v>45.4</v>
      </c>
      <c r="E1207" s="60">
        <v>-0.66</v>
      </c>
      <c r="F1207" s="60">
        <v>301</v>
      </c>
      <c r="G1207" s="60">
        <v>0.18</v>
      </c>
      <c r="H1207" s="60">
        <v>2.62</v>
      </c>
      <c r="I1207" s="60">
        <v>7.83</v>
      </c>
      <c r="J1207" s="60">
        <v>0</v>
      </c>
      <c r="O1207" s="60" t="s">
        <v>2135</v>
      </c>
      <c r="P1207" s="60" t="s">
        <v>2417</v>
      </c>
      <c r="Q1207" s="60" t="s">
        <v>4370</v>
      </c>
      <c r="R1207" s="60">
        <v>45.4</v>
      </c>
      <c r="S1207" s="60">
        <v>-0.66</v>
      </c>
      <c r="T1207" s="60">
        <v>301</v>
      </c>
      <c r="U1207" s="60">
        <v>33.04</v>
      </c>
    </row>
    <row r="1208" spans="1:21">
      <c r="A1208" s="60" t="s">
        <v>2137</v>
      </c>
      <c r="B1208" s="60" t="s">
        <v>2419</v>
      </c>
      <c r="C1208" s="60" t="s">
        <v>5100</v>
      </c>
      <c r="D1208" s="60">
        <v>12.35</v>
      </c>
      <c r="E1208" s="60">
        <v>-0.4</v>
      </c>
      <c r="F1208" s="60">
        <v>607</v>
      </c>
      <c r="G1208" s="60">
        <v>0</v>
      </c>
      <c r="H1208" s="60">
        <v>25.87</v>
      </c>
      <c r="I1208" s="60">
        <v>0.02</v>
      </c>
      <c r="J1208" s="60">
        <v>0</v>
      </c>
      <c r="O1208" s="60" t="s">
        <v>2137</v>
      </c>
      <c r="P1208" s="60" t="s">
        <v>2419</v>
      </c>
      <c r="Q1208" s="60" t="s">
        <v>5100</v>
      </c>
      <c r="R1208" s="60">
        <v>12.35</v>
      </c>
      <c r="S1208" s="60">
        <v>-0.4</v>
      </c>
      <c r="T1208" s="60">
        <v>607</v>
      </c>
      <c r="U1208" s="60">
        <v>93.76</v>
      </c>
    </row>
    <row r="1209" spans="1:21">
      <c r="A1209" s="60" t="s">
        <v>2138</v>
      </c>
      <c r="B1209" s="60" t="s">
        <v>2421</v>
      </c>
      <c r="C1209" s="60" t="s">
        <v>5101</v>
      </c>
      <c r="D1209" s="60">
        <v>15.75</v>
      </c>
      <c r="E1209" s="60">
        <v>0.96</v>
      </c>
      <c r="F1209" s="60">
        <v>194</v>
      </c>
      <c r="G1209" s="60">
        <v>0.01</v>
      </c>
      <c r="H1209" s="60">
        <v>0.36</v>
      </c>
      <c r="I1209" s="60">
        <v>11.63</v>
      </c>
      <c r="J1209" s="60">
        <v>0</v>
      </c>
      <c r="O1209" s="60" t="s">
        <v>2138</v>
      </c>
      <c r="P1209" s="60" t="s">
        <v>2421</v>
      </c>
      <c r="Q1209" s="60" t="s">
        <v>5101</v>
      </c>
      <c r="R1209" s="60">
        <v>15.75</v>
      </c>
      <c r="S1209" s="60">
        <v>0.96</v>
      </c>
      <c r="T1209" s="60">
        <v>194</v>
      </c>
      <c r="U1209" s="60">
        <v>64.06</v>
      </c>
    </row>
    <row r="1210" spans="1:21">
      <c r="A1210" s="60" t="s">
        <v>2140</v>
      </c>
      <c r="B1210" s="60" t="s">
        <v>2423</v>
      </c>
      <c r="C1210" s="60" t="s">
        <v>3654</v>
      </c>
      <c r="D1210" s="60">
        <v>246</v>
      </c>
      <c r="E1210" s="60">
        <v>-1.99</v>
      </c>
      <c r="F1210" s="60">
        <v>2969</v>
      </c>
      <c r="G1210" s="60">
        <v>0.02</v>
      </c>
      <c r="H1210" s="60">
        <v>79.11</v>
      </c>
      <c r="I1210" s="60">
        <v>0.47</v>
      </c>
      <c r="J1210" s="60">
        <v>1.01</v>
      </c>
      <c r="O1210" s="60" t="s">
        <v>2140</v>
      </c>
      <c r="P1210" s="60" t="s">
        <v>2423</v>
      </c>
      <c r="Q1210" s="60" t="s">
        <v>3654</v>
      </c>
      <c r="R1210" s="60">
        <v>246</v>
      </c>
      <c r="S1210" s="60">
        <v>-1.99</v>
      </c>
      <c r="T1210" s="60">
        <v>2969</v>
      </c>
      <c r="U1210" s="60">
        <v>77.150000000000006</v>
      </c>
    </row>
    <row r="1211" spans="1:21">
      <c r="A1211" s="60" t="s">
        <v>2142</v>
      </c>
      <c r="B1211" s="60" t="s">
        <v>2425</v>
      </c>
      <c r="C1211" s="60" t="s">
        <v>3678</v>
      </c>
      <c r="D1211" s="60">
        <v>47</v>
      </c>
      <c r="E1211" s="60">
        <v>0.53</v>
      </c>
      <c r="F1211" s="60">
        <v>3178</v>
      </c>
      <c r="G1211" s="60">
        <v>0</v>
      </c>
      <c r="H1211" s="60">
        <v>57.63</v>
      </c>
      <c r="I1211" s="60">
        <v>0.09</v>
      </c>
      <c r="J1211" s="60">
        <v>0.48</v>
      </c>
      <c r="O1211" s="60" t="s">
        <v>2142</v>
      </c>
      <c r="P1211" s="60" t="s">
        <v>2425</v>
      </c>
      <c r="Q1211" s="60" t="s">
        <v>3678</v>
      </c>
      <c r="R1211" s="60">
        <v>47</v>
      </c>
      <c r="S1211" s="60">
        <v>0.53</v>
      </c>
      <c r="T1211" s="60">
        <v>3178</v>
      </c>
      <c r="U1211" s="60">
        <v>80.63</v>
      </c>
    </row>
    <row r="1212" spans="1:21">
      <c r="A1212" s="60" t="s">
        <v>2144</v>
      </c>
      <c r="B1212" s="60" t="s">
        <v>3305</v>
      </c>
      <c r="C1212" s="60" t="s">
        <v>5102</v>
      </c>
      <c r="D1212" s="60">
        <v>47.25</v>
      </c>
      <c r="E1212" s="60">
        <v>-0.11</v>
      </c>
      <c r="F1212" s="60">
        <v>10</v>
      </c>
      <c r="G1212" s="60">
        <v>0</v>
      </c>
      <c r="H1212" s="60">
        <v>0.46</v>
      </c>
      <c r="I1212" s="60">
        <v>0</v>
      </c>
      <c r="J1212" s="60">
        <v>0</v>
      </c>
      <c r="O1212" s="60" t="s">
        <v>2144</v>
      </c>
      <c r="P1212" s="60" t="s">
        <v>3305</v>
      </c>
      <c r="Q1212" s="60" t="s">
        <v>5102</v>
      </c>
      <c r="R1212" s="60">
        <v>47.25</v>
      </c>
      <c r="S1212" s="60">
        <v>-0.11</v>
      </c>
      <c r="T1212" s="60">
        <v>10</v>
      </c>
      <c r="U1212" s="60">
        <v>61.41</v>
      </c>
    </row>
    <row r="1213" spans="1:21">
      <c r="A1213" s="60" t="s">
        <v>2146</v>
      </c>
      <c r="B1213" s="60" t="s">
        <v>2427</v>
      </c>
      <c r="C1213" s="60" t="s">
        <v>4405</v>
      </c>
      <c r="D1213" s="60">
        <v>23.7</v>
      </c>
      <c r="E1213" s="60">
        <v>0.21</v>
      </c>
      <c r="F1213" s="60">
        <v>7275</v>
      </c>
      <c r="G1213" s="60">
        <v>0</v>
      </c>
      <c r="H1213" s="60">
        <v>18.63</v>
      </c>
      <c r="I1213" s="60">
        <v>0.03</v>
      </c>
      <c r="J1213" s="60">
        <v>0.59</v>
      </c>
      <c r="O1213" s="60" t="s">
        <v>2146</v>
      </c>
      <c r="P1213" s="60" t="s">
        <v>2427</v>
      </c>
      <c r="Q1213" s="60" t="s">
        <v>4405</v>
      </c>
      <c r="R1213" s="60">
        <v>23.7</v>
      </c>
      <c r="S1213" s="60">
        <v>0.21</v>
      </c>
      <c r="T1213" s="60">
        <v>7275</v>
      </c>
      <c r="U1213" s="60">
        <v>70.569999999999993</v>
      </c>
    </row>
    <row r="1214" spans="1:21">
      <c r="A1214" s="60" t="s">
        <v>2148</v>
      </c>
      <c r="B1214" s="60" t="s">
        <v>3306</v>
      </c>
      <c r="C1214" s="60" t="s">
        <v>5113</v>
      </c>
      <c r="D1214" s="60">
        <v>24.5</v>
      </c>
      <c r="E1214" s="60">
        <v>-0.41</v>
      </c>
      <c r="F1214" s="60">
        <v>65</v>
      </c>
      <c r="G1214" s="60">
        <v>0</v>
      </c>
      <c r="H1214" s="60">
        <v>0.31</v>
      </c>
      <c r="I1214" s="60">
        <v>25.68</v>
      </c>
      <c r="J1214" s="60">
        <v>0</v>
      </c>
      <c r="O1214" s="60" t="s">
        <v>2148</v>
      </c>
      <c r="P1214" s="60" t="s">
        <v>3306</v>
      </c>
      <c r="Q1214" s="60" t="s">
        <v>5113</v>
      </c>
      <c r="R1214" s="60">
        <v>24.5</v>
      </c>
      <c r="S1214" s="60">
        <v>-0.41</v>
      </c>
      <c r="T1214" s="60">
        <v>65</v>
      </c>
      <c r="U1214" s="60">
        <v>77.11</v>
      </c>
    </row>
    <row r="1215" spans="1:21">
      <c r="A1215" s="60" t="s">
        <v>2149</v>
      </c>
      <c r="B1215" s="60" t="s">
        <v>2430</v>
      </c>
      <c r="C1215" s="60" t="s">
        <v>5114</v>
      </c>
      <c r="D1215" s="60">
        <v>255.5</v>
      </c>
      <c r="E1215" s="60">
        <v>-0.2</v>
      </c>
      <c r="F1215" s="60">
        <v>46</v>
      </c>
      <c r="G1215" s="60">
        <v>0</v>
      </c>
      <c r="H1215" s="60">
        <v>53.81</v>
      </c>
      <c r="I1215" s="60">
        <v>0.02</v>
      </c>
      <c r="J1215" s="60">
        <v>0.02</v>
      </c>
      <c r="O1215" s="60" t="s">
        <v>2149</v>
      </c>
      <c r="P1215" s="60" t="s">
        <v>2430</v>
      </c>
      <c r="Q1215" s="60" t="s">
        <v>5114</v>
      </c>
      <c r="R1215" s="60">
        <v>255.5</v>
      </c>
      <c r="S1215" s="60">
        <v>-0.2</v>
      </c>
      <c r="T1215" s="60">
        <v>46</v>
      </c>
      <c r="U1215" s="60">
        <v>93.21</v>
      </c>
    </row>
    <row r="1216" spans="1:21">
      <c r="A1216" s="60" t="s">
        <v>2151</v>
      </c>
      <c r="B1216" s="60" t="s">
        <v>2432</v>
      </c>
      <c r="C1216" s="60" t="s">
        <v>5115</v>
      </c>
      <c r="D1216" s="60">
        <v>501</v>
      </c>
      <c r="E1216" s="60">
        <v>0</v>
      </c>
      <c r="F1216" s="60">
        <v>68</v>
      </c>
      <c r="G1216" s="60">
        <v>0</v>
      </c>
      <c r="H1216" s="60">
        <v>34.18</v>
      </c>
      <c r="I1216" s="60">
        <v>0.23</v>
      </c>
      <c r="J1216" s="60">
        <v>0.56999999999999995</v>
      </c>
      <c r="O1216" s="60" t="s">
        <v>2151</v>
      </c>
      <c r="P1216" s="60" t="s">
        <v>2432</v>
      </c>
      <c r="Q1216" s="60" t="s">
        <v>5115</v>
      </c>
      <c r="R1216" s="60">
        <v>501</v>
      </c>
      <c r="S1216" s="60">
        <v>0</v>
      </c>
      <c r="T1216" s="60">
        <v>68</v>
      </c>
      <c r="U1216" s="60">
        <v>66.430000000000007</v>
      </c>
    </row>
    <row r="1217" spans="1:21">
      <c r="A1217" s="60" t="s">
        <v>2153</v>
      </c>
      <c r="B1217" s="60" t="s">
        <v>2434</v>
      </c>
      <c r="C1217" s="60" t="s">
        <v>5116</v>
      </c>
      <c r="D1217" s="60">
        <v>14.7</v>
      </c>
      <c r="E1217" s="60">
        <v>-0.34</v>
      </c>
      <c r="F1217" s="60">
        <v>885</v>
      </c>
      <c r="G1217" s="60">
        <v>0.7</v>
      </c>
      <c r="H1217" s="60">
        <v>0.94</v>
      </c>
      <c r="I1217" s="60">
        <v>13.88</v>
      </c>
      <c r="J1217" s="60">
        <v>0</v>
      </c>
      <c r="O1217" s="60" t="s">
        <v>2153</v>
      </c>
      <c r="P1217" s="60" t="s">
        <v>2434</v>
      </c>
      <c r="Q1217" s="60" t="s">
        <v>5116</v>
      </c>
      <c r="R1217" s="60">
        <v>14.7</v>
      </c>
      <c r="S1217" s="60">
        <v>-0.34</v>
      </c>
      <c r="T1217" s="60">
        <v>885</v>
      </c>
      <c r="U1217" s="60">
        <v>39.14</v>
      </c>
    </row>
    <row r="1218" spans="1:21">
      <c r="A1218" s="60" t="s">
        <v>2155</v>
      </c>
      <c r="B1218" s="60" t="s">
        <v>2436</v>
      </c>
      <c r="C1218" s="60" t="s">
        <v>4423</v>
      </c>
      <c r="D1218" s="60">
        <v>36.65</v>
      </c>
      <c r="E1218" s="60">
        <v>0.41</v>
      </c>
      <c r="F1218" s="60">
        <v>6</v>
      </c>
      <c r="G1218" s="60">
        <v>0</v>
      </c>
      <c r="H1218" s="60">
        <v>19.36</v>
      </c>
      <c r="I1218" s="60">
        <v>2.4700000000000002</v>
      </c>
      <c r="J1218" s="60">
        <v>0</v>
      </c>
      <c r="O1218" s="60" t="s">
        <v>2155</v>
      </c>
      <c r="P1218" s="60" t="s">
        <v>2436</v>
      </c>
      <c r="Q1218" s="60" t="s">
        <v>4423</v>
      </c>
      <c r="R1218" s="60">
        <v>36.65</v>
      </c>
      <c r="S1218" s="60">
        <v>0.41</v>
      </c>
      <c r="T1218" s="60">
        <v>6</v>
      </c>
      <c r="U1218" s="60">
        <v>73.47</v>
      </c>
    </row>
    <row r="1219" spans="1:21">
      <c r="A1219" s="60" t="s">
        <v>2157</v>
      </c>
      <c r="B1219" s="60" t="s">
        <v>2438</v>
      </c>
      <c r="C1219" s="60" t="s">
        <v>4424</v>
      </c>
      <c r="D1219" s="60">
        <v>18.3</v>
      </c>
      <c r="E1219" s="60">
        <v>-0.27</v>
      </c>
      <c r="F1219" s="60">
        <v>86</v>
      </c>
      <c r="G1219" s="60">
        <v>0.01</v>
      </c>
      <c r="H1219" s="60">
        <v>53.78</v>
      </c>
      <c r="I1219" s="60">
        <v>6.35</v>
      </c>
      <c r="J1219" s="60">
        <v>0</v>
      </c>
      <c r="O1219" s="60" t="s">
        <v>2157</v>
      </c>
      <c r="P1219" s="60" t="s">
        <v>2438</v>
      </c>
      <c r="Q1219" s="60" t="s">
        <v>4424</v>
      </c>
      <c r="R1219" s="60">
        <v>18.3</v>
      </c>
      <c r="S1219" s="60">
        <v>-0.27</v>
      </c>
      <c r="T1219" s="60">
        <v>86</v>
      </c>
      <c r="U1219" s="60">
        <v>69.2</v>
      </c>
    </row>
    <row r="1220" spans="1:21">
      <c r="A1220" s="60" t="s">
        <v>2159</v>
      </c>
      <c r="B1220" s="60" t="s">
        <v>2440</v>
      </c>
      <c r="C1220" s="60" t="s">
        <v>4406</v>
      </c>
      <c r="D1220" s="60">
        <v>16.75</v>
      </c>
      <c r="E1220" s="60">
        <v>0.3</v>
      </c>
      <c r="F1220" s="60">
        <v>3692</v>
      </c>
      <c r="G1220" s="60">
        <v>0.01</v>
      </c>
      <c r="H1220" s="60">
        <v>19.399999999999999</v>
      </c>
      <c r="I1220" s="60">
        <v>1.1000000000000001</v>
      </c>
      <c r="J1220" s="60">
        <v>0.31</v>
      </c>
      <c r="O1220" s="60" t="s">
        <v>2159</v>
      </c>
      <c r="P1220" s="60" t="s">
        <v>2440</v>
      </c>
      <c r="Q1220" s="60" t="s">
        <v>4406</v>
      </c>
      <c r="R1220" s="60">
        <v>16.75</v>
      </c>
      <c r="S1220" s="60">
        <v>0.3</v>
      </c>
      <c r="T1220" s="60">
        <v>3692</v>
      </c>
      <c r="U1220" s="60">
        <v>67.05</v>
      </c>
    </row>
    <row r="1221" spans="1:21">
      <c r="A1221" s="60" t="s">
        <v>2161</v>
      </c>
      <c r="B1221" s="60" t="s">
        <v>2442</v>
      </c>
      <c r="C1221" s="60" t="s">
        <v>5103</v>
      </c>
      <c r="D1221" s="60">
        <v>17</v>
      </c>
      <c r="E1221" s="60">
        <v>1.19</v>
      </c>
      <c r="F1221" s="60">
        <v>1194</v>
      </c>
      <c r="G1221" s="60">
        <v>1.54</v>
      </c>
      <c r="H1221" s="60">
        <v>3.43</v>
      </c>
      <c r="I1221" s="60">
        <v>14.53</v>
      </c>
      <c r="J1221" s="60">
        <v>0</v>
      </c>
      <c r="O1221" s="60" t="s">
        <v>2161</v>
      </c>
      <c r="P1221" s="60" t="s">
        <v>2442</v>
      </c>
      <c r="Q1221" s="60" t="s">
        <v>5103</v>
      </c>
      <c r="R1221" s="60">
        <v>17</v>
      </c>
      <c r="S1221" s="60">
        <v>1.19</v>
      </c>
      <c r="T1221" s="60">
        <v>1194</v>
      </c>
      <c r="U1221" s="60">
        <v>35.81</v>
      </c>
    </row>
    <row r="1222" spans="1:21">
      <c r="A1222" s="60" t="s">
        <v>2163</v>
      </c>
      <c r="B1222" s="60" t="s">
        <v>2444</v>
      </c>
      <c r="C1222" s="60" t="s">
        <v>5104</v>
      </c>
      <c r="D1222" s="60">
        <v>14.15</v>
      </c>
      <c r="E1222" s="60">
        <v>0.71</v>
      </c>
      <c r="F1222" s="60">
        <v>2218</v>
      </c>
      <c r="G1222" s="60">
        <v>0.04</v>
      </c>
      <c r="H1222" s="60">
        <v>1.94</v>
      </c>
      <c r="I1222" s="60">
        <v>7.83</v>
      </c>
      <c r="J1222" s="60">
        <v>0</v>
      </c>
      <c r="O1222" s="60" t="s">
        <v>2163</v>
      </c>
      <c r="P1222" s="60" t="s">
        <v>2444</v>
      </c>
      <c r="Q1222" s="60" t="s">
        <v>5104</v>
      </c>
      <c r="R1222" s="60">
        <v>14.15</v>
      </c>
      <c r="S1222" s="60">
        <v>0.71</v>
      </c>
      <c r="T1222" s="60">
        <v>2218</v>
      </c>
      <c r="U1222" s="60">
        <v>40.36</v>
      </c>
    </row>
    <row r="1223" spans="1:21">
      <c r="A1223" s="60" t="s">
        <v>2165</v>
      </c>
      <c r="B1223" s="60" t="s">
        <v>2446</v>
      </c>
      <c r="C1223" s="60" t="s">
        <v>5105</v>
      </c>
      <c r="D1223" s="60">
        <v>22.65</v>
      </c>
      <c r="E1223" s="60">
        <v>-0.44</v>
      </c>
      <c r="F1223" s="60">
        <v>23</v>
      </c>
      <c r="G1223" s="60">
        <v>0</v>
      </c>
      <c r="H1223" s="60">
        <v>0.06</v>
      </c>
      <c r="I1223" s="60">
        <v>0.35</v>
      </c>
      <c r="J1223" s="60">
        <v>0</v>
      </c>
      <c r="O1223" s="60" t="s">
        <v>2165</v>
      </c>
      <c r="P1223" s="60" t="s">
        <v>2446</v>
      </c>
      <c r="Q1223" s="60" t="s">
        <v>5105</v>
      </c>
      <c r="R1223" s="60">
        <v>22.65</v>
      </c>
      <c r="S1223" s="60">
        <v>-0.44</v>
      </c>
      <c r="T1223" s="60">
        <v>23</v>
      </c>
      <c r="U1223" s="60">
        <v>95.02</v>
      </c>
    </row>
    <row r="1224" spans="1:21">
      <c r="A1224" s="60" t="s">
        <v>2167</v>
      </c>
      <c r="B1224" s="60" t="s">
        <v>2448</v>
      </c>
      <c r="C1224" s="60" t="s">
        <v>5106</v>
      </c>
      <c r="D1224" s="60">
        <v>21.25</v>
      </c>
      <c r="E1224" s="60">
        <v>-0.7</v>
      </c>
      <c r="F1224" s="60">
        <v>28</v>
      </c>
      <c r="G1224" s="60">
        <v>0</v>
      </c>
      <c r="H1224" s="60">
        <v>8.08</v>
      </c>
      <c r="I1224" s="60">
        <v>0.11</v>
      </c>
      <c r="J1224" s="60">
        <v>0</v>
      </c>
      <c r="O1224" s="60" t="s">
        <v>2167</v>
      </c>
      <c r="P1224" s="60" t="s">
        <v>2448</v>
      </c>
      <c r="Q1224" s="60" t="s">
        <v>5106</v>
      </c>
      <c r="R1224" s="60">
        <v>21.25</v>
      </c>
      <c r="S1224" s="60">
        <v>-0.7</v>
      </c>
      <c r="T1224" s="60">
        <v>28</v>
      </c>
      <c r="U1224" s="60">
        <v>90.07</v>
      </c>
    </row>
    <row r="1225" spans="1:21">
      <c r="A1225" s="60" t="s">
        <v>2170</v>
      </c>
      <c r="B1225" s="60" t="s">
        <v>2450</v>
      </c>
      <c r="C1225" s="60" t="s">
        <v>5107</v>
      </c>
      <c r="D1225" s="60">
        <v>50</v>
      </c>
      <c r="E1225" s="60">
        <v>-0.2</v>
      </c>
      <c r="F1225" s="60">
        <v>90</v>
      </c>
      <c r="G1225" s="60">
        <v>0</v>
      </c>
      <c r="H1225" s="60">
        <v>0.55000000000000004</v>
      </c>
      <c r="I1225" s="60">
        <v>0.19</v>
      </c>
      <c r="J1225" s="60">
        <v>0</v>
      </c>
      <c r="O1225" s="60" t="s">
        <v>2170</v>
      </c>
      <c r="P1225" s="60" t="s">
        <v>2450</v>
      </c>
      <c r="Q1225" s="60" t="s">
        <v>5107</v>
      </c>
      <c r="R1225" s="60">
        <v>50</v>
      </c>
      <c r="S1225" s="60">
        <v>-0.2</v>
      </c>
      <c r="T1225" s="60">
        <v>90</v>
      </c>
      <c r="U1225" s="60">
        <v>82.72</v>
      </c>
    </row>
    <row r="1226" spans="1:21">
      <c r="A1226" s="60" t="s">
        <v>2172</v>
      </c>
      <c r="B1226" s="60" t="s">
        <v>2452</v>
      </c>
      <c r="C1226" s="60" t="s">
        <v>4407</v>
      </c>
      <c r="D1226" s="60">
        <v>38.950000000000003</v>
      </c>
      <c r="E1226" s="60">
        <v>-0.13</v>
      </c>
      <c r="F1226" s="60">
        <v>124</v>
      </c>
      <c r="G1226" s="60">
        <v>0</v>
      </c>
      <c r="H1226" s="60">
        <v>1.89</v>
      </c>
      <c r="I1226" s="60">
        <v>0.18</v>
      </c>
      <c r="J1226" s="60">
        <v>0</v>
      </c>
      <c r="O1226" s="60" t="s">
        <v>2172</v>
      </c>
      <c r="P1226" s="60" t="s">
        <v>2452</v>
      </c>
      <c r="Q1226" s="60" t="s">
        <v>4407</v>
      </c>
      <c r="R1226" s="60">
        <v>38.950000000000003</v>
      </c>
      <c r="S1226" s="60">
        <v>-0.13</v>
      </c>
      <c r="T1226" s="60">
        <v>124</v>
      </c>
      <c r="U1226" s="60">
        <v>63.17</v>
      </c>
    </row>
    <row r="1227" spans="1:21">
      <c r="A1227" s="60" t="s">
        <v>2174</v>
      </c>
      <c r="B1227" s="60" t="s">
        <v>2454</v>
      </c>
      <c r="C1227" s="60" t="s">
        <v>5108</v>
      </c>
      <c r="D1227" s="60">
        <v>17.3</v>
      </c>
      <c r="E1227" s="60">
        <v>0.87</v>
      </c>
      <c r="F1227" s="60">
        <v>937</v>
      </c>
      <c r="G1227" s="60">
        <v>0.31</v>
      </c>
      <c r="H1227" s="60">
        <v>4.1100000000000003</v>
      </c>
      <c r="I1227" s="60">
        <v>17.72</v>
      </c>
      <c r="J1227" s="60">
        <v>0</v>
      </c>
      <c r="O1227" s="60" t="s">
        <v>2174</v>
      </c>
      <c r="P1227" s="60" t="s">
        <v>2454</v>
      </c>
      <c r="Q1227" s="60" t="s">
        <v>5108</v>
      </c>
      <c r="R1227" s="60">
        <v>17.3</v>
      </c>
      <c r="S1227" s="60">
        <v>0.87</v>
      </c>
      <c r="T1227" s="60">
        <v>937</v>
      </c>
      <c r="U1227" s="60">
        <v>43.98</v>
      </c>
    </row>
    <row r="1228" spans="1:21">
      <c r="A1228" s="60" t="s">
        <v>2176</v>
      </c>
      <c r="B1228" s="60" t="s">
        <v>2456</v>
      </c>
      <c r="C1228" s="60" t="s">
        <v>5184</v>
      </c>
      <c r="D1228" s="60">
        <v>19.5</v>
      </c>
      <c r="E1228" s="60">
        <v>0</v>
      </c>
      <c r="F1228" s="60">
        <v>17</v>
      </c>
      <c r="G1228" s="60">
        <v>0</v>
      </c>
      <c r="H1228" s="60">
        <v>0.23</v>
      </c>
      <c r="I1228" s="60">
        <v>0</v>
      </c>
      <c r="J1228" s="60">
        <v>0</v>
      </c>
      <c r="O1228" s="60" t="s">
        <v>2176</v>
      </c>
      <c r="P1228" s="60" t="s">
        <v>2456</v>
      </c>
      <c r="Q1228" s="60" t="s">
        <v>5184</v>
      </c>
      <c r="R1228" s="60">
        <v>19.5</v>
      </c>
      <c r="S1228" s="60">
        <v>0</v>
      </c>
      <c r="T1228" s="60">
        <v>17</v>
      </c>
      <c r="U1228" s="60">
        <v>80.489999999999995</v>
      </c>
    </row>
    <row r="1229" spans="1:21">
      <c r="A1229" s="60" t="s">
        <v>2178</v>
      </c>
      <c r="B1229" s="60" t="s">
        <v>3307</v>
      </c>
      <c r="C1229" s="60" t="s">
        <v>4695</v>
      </c>
      <c r="D1229" s="60">
        <v>8.6300000000000008</v>
      </c>
      <c r="E1229" s="60">
        <v>9.94</v>
      </c>
      <c r="F1229" s="60">
        <v>44</v>
      </c>
      <c r="G1229" s="60">
        <v>0</v>
      </c>
      <c r="H1229" s="60">
        <v>0.68</v>
      </c>
      <c r="I1229" s="60">
        <v>0</v>
      </c>
      <c r="J1229" s="60">
        <v>0</v>
      </c>
      <c r="O1229" s="60" t="s">
        <v>2178</v>
      </c>
      <c r="P1229" s="60" t="s">
        <v>3307</v>
      </c>
      <c r="Q1229" s="60" t="s">
        <v>4695</v>
      </c>
      <c r="R1229" s="60">
        <v>8.6300000000000008</v>
      </c>
      <c r="S1229" s="60">
        <v>9.94</v>
      </c>
      <c r="T1229" s="60">
        <v>44</v>
      </c>
      <c r="U1229" s="60">
        <v>92.74</v>
      </c>
    </row>
    <row r="1230" spans="1:21">
      <c r="A1230" s="60" t="s">
        <v>2180</v>
      </c>
      <c r="B1230" s="60" t="s">
        <v>2459</v>
      </c>
      <c r="C1230" s="60" t="s">
        <v>3630</v>
      </c>
      <c r="D1230" s="60">
        <v>193.5</v>
      </c>
      <c r="E1230" s="60">
        <v>2.65</v>
      </c>
      <c r="F1230" s="60">
        <v>46993</v>
      </c>
      <c r="G1230" s="60">
        <v>20.39</v>
      </c>
      <c r="H1230" s="60">
        <v>19.5</v>
      </c>
      <c r="I1230" s="60">
        <v>65.94</v>
      </c>
      <c r="J1230" s="60">
        <v>8.2799999999999994</v>
      </c>
      <c r="O1230" s="60" t="s">
        <v>2180</v>
      </c>
      <c r="P1230" s="60" t="s">
        <v>2459</v>
      </c>
      <c r="Q1230" s="60" t="s">
        <v>3630</v>
      </c>
      <c r="R1230" s="60">
        <v>193.5</v>
      </c>
      <c r="S1230" s="60">
        <v>2.65</v>
      </c>
      <c r="T1230" s="60">
        <v>46993</v>
      </c>
      <c r="U1230" s="60">
        <v>25.96</v>
      </c>
    </row>
    <row r="1231" spans="1:21">
      <c r="A1231" s="60" t="s">
        <v>2182</v>
      </c>
      <c r="B1231" s="60" t="s">
        <v>2461</v>
      </c>
      <c r="C1231" s="60" t="s">
        <v>4209</v>
      </c>
      <c r="D1231" s="60">
        <v>21.45</v>
      </c>
      <c r="E1231" s="60">
        <v>0.7</v>
      </c>
      <c r="F1231" s="60">
        <v>317</v>
      </c>
      <c r="G1231" s="60">
        <v>0.01</v>
      </c>
      <c r="H1231" s="60">
        <v>4.79</v>
      </c>
      <c r="I1231" s="60">
        <v>4.3899999999999997</v>
      </c>
      <c r="J1231" s="60">
        <v>0</v>
      </c>
      <c r="O1231" s="60" t="s">
        <v>2182</v>
      </c>
      <c r="P1231" s="60" t="s">
        <v>2461</v>
      </c>
      <c r="Q1231" s="60" t="s">
        <v>4209</v>
      </c>
      <c r="R1231" s="60">
        <v>21.45</v>
      </c>
      <c r="S1231" s="60">
        <v>0.7</v>
      </c>
      <c r="T1231" s="60">
        <v>317</v>
      </c>
      <c r="U1231" s="60">
        <v>34.93</v>
      </c>
    </row>
    <row r="1232" spans="1:21">
      <c r="A1232" s="60" t="s">
        <v>2183</v>
      </c>
      <c r="B1232" s="60" t="s">
        <v>2463</v>
      </c>
      <c r="C1232" s="60" t="s">
        <v>4841</v>
      </c>
      <c r="D1232" s="60">
        <v>9.94</v>
      </c>
      <c r="E1232" s="60">
        <v>-0.3</v>
      </c>
      <c r="F1232" s="60">
        <v>87</v>
      </c>
      <c r="G1232" s="60">
        <v>0</v>
      </c>
      <c r="H1232" s="60">
        <v>2.25</v>
      </c>
      <c r="I1232" s="60">
        <v>0</v>
      </c>
      <c r="J1232" s="60">
        <v>0</v>
      </c>
      <c r="O1232" s="60" t="s">
        <v>2183</v>
      </c>
      <c r="P1232" s="60" t="s">
        <v>2463</v>
      </c>
      <c r="Q1232" s="60" t="s">
        <v>4841</v>
      </c>
      <c r="R1232" s="60">
        <v>9.94</v>
      </c>
      <c r="S1232" s="60">
        <v>-0.3</v>
      </c>
      <c r="T1232" s="60">
        <v>87</v>
      </c>
      <c r="U1232" s="60">
        <v>37.619999999999997</v>
      </c>
    </row>
    <row r="1233" spans="1:21">
      <c r="A1233" s="60" t="s">
        <v>2185</v>
      </c>
      <c r="B1233" s="60" t="s">
        <v>2465</v>
      </c>
      <c r="C1233" s="60" t="s">
        <v>5185</v>
      </c>
      <c r="D1233" s="60">
        <v>66.2</v>
      </c>
      <c r="E1233" s="60">
        <v>-0.15</v>
      </c>
      <c r="F1233" s="60">
        <v>49</v>
      </c>
      <c r="G1233" s="60">
        <v>0.06</v>
      </c>
      <c r="H1233" s="60">
        <v>35.869999999999997</v>
      </c>
      <c r="I1233" s="60">
        <v>22.22</v>
      </c>
      <c r="J1233" s="60">
        <v>0</v>
      </c>
      <c r="O1233" s="60" t="s">
        <v>2185</v>
      </c>
      <c r="P1233" s="60" t="s">
        <v>2465</v>
      </c>
      <c r="Q1233" s="60" t="s">
        <v>5185</v>
      </c>
      <c r="R1233" s="60">
        <v>66.2</v>
      </c>
      <c r="S1233" s="60">
        <v>-0.15</v>
      </c>
      <c r="T1233" s="60">
        <v>49</v>
      </c>
      <c r="U1233" s="60">
        <v>49.34</v>
      </c>
    </row>
    <row r="1234" spans="1:21">
      <c r="A1234" s="60" t="s">
        <v>2187</v>
      </c>
      <c r="B1234" s="60" t="s">
        <v>2467</v>
      </c>
      <c r="C1234" s="60" t="s">
        <v>4260</v>
      </c>
      <c r="D1234" s="60">
        <v>39.1</v>
      </c>
      <c r="E1234" s="60">
        <v>0.51</v>
      </c>
      <c r="F1234" s="60">
        <v>97</v>
      </c>
      <c r="G1234" s="60">
        <v>0.02</v>
      </c>
      <c r="H1234" s="60">
        <v>2.02</v>
      </c>
      <c r="I1234" s="60">
        <v>0.93</v>
      </c>
      <c r="J1234" s="60">
        <v>0</v>
      </c>
      <c r="O1234" s="60" t="s">
        <v>2187</v>
      </c>
      <c r="P1234" s="60" t="s">
        <v>2467</v>
      </c>
      <c r="Q1234" s="60" t="s">
        <v>4260</v>
      </c>
      <c r="R1234" s="60">
        <v>39.1</v>
      </c>
      <c r="S1234" s="60">
        <v>0.51</v>
      </c>
      <c r="T1234" s="60">
        <v>97</v>
      </c>
      <c r="U1234" s="60">
        <v>55.01</v>
      </c>
    </row>
    <row r="1235" spans="1:21">
      <c r="A1235" s="60" t="s">
        <v>2189</v>
      </c>
      <c r="B1235" s="60" t="s">
        <v>3308</v>
      </c>
      <c r="C1235" s="60" t="s">
        <v>4968</v>
      </c>
      <c r="D1235" s="60">
        <v>12.55</v>
      </c>
      <c r="E1235" s="60">
        <v>2.4500000000000002</v>
      </c>
      <c r="F1235" s="60">
        <v>132</v>
      </c>
      <c r="G1235" s="60">
        <v>0</v>
      </c>
      <c r="H1235" s="60">
        <v>0.37</v>
      </c>
      <c r="I1235" s="60">
        <v>0</v>
      </c>
      <c r="J1235" s="60">
        <v>0</v>
      </c>
      <c r="O1235" s="60" t="s">
        <v>2189</v>
      </c>
      <c r="P1235" s="60" t="s">
        <v>3308</v>
      </c>
      <c r="Q1235" s="60" t="s">
        <v>4968</v>
      </c>
      <c r="R1235" s="60">
        <v>12.55</v>
      </c>
      <c r="S1235" s="60">
        <v>2.4500000000000002</v>
      </c>
      <c r="T1235" s="60">
        <v>132</v>
      </c>
      <c r="U1235" s="60">
        <v>50.71</v>
      </c>
    </row>
    <row r="1236" spans="1:21">
      <c r="A1236" s="60" t="s">
        <v>2191</v>
      </c>
      <c r="B1236" s="60" t="s">
        <v>2470</v>
      </c>
      <c r="C1236" s="60" t="s">
        <v>4919</v>
      </c>
      <c r="D1236" s="60">
        <v>23.3</v>
      </c>
      <c r="E1236" s="60">
        <v>0.43</v>
      </c>
      <c r="F1236" s="60">
        <v>15</v>
      </c>
      <c r="G1236" s="60">
        <v>0</v>
      </c>
      <c r="H1236" s="60">
        <v>0.42</v>
      </c>
      <c r="I1236" s="60">
        <v>13.66</v>
      </c>
      <c r="J1236" s="60">
        <v>0</v>
      </c>
      <c r="O1236" s="60" t="s">
        <v>2191</v>
      </c>
      <c r="P1236" s="60" t="s">
        <v>2470</v>
      </c>
      <c r="Q1236" s="60" t="s">
        <v>4919</v>
      </c>
      <c r="R1236" s="60">
        <v>23.3</v>
      </c>
      <c r="S1236" s="60">
        <v>0.43</v>
      </c>
      <c r="T1236" s="60">
        <v>15</v>
      </c>
      <c r="U1236" s="60">
        <v>60.9</v>
      </c>
    </row>
    <row r="1237" spans="1:21">
      <c r="A1237" s="60" t="s">
        <v>2193</v>
      </c>
      <c r="B1237" s="60" t="s">
        <v>2472</v>
      </c>
      <c r="C1237" s="60" t="s">
        <v>4210</v>
      </c>
      <c r="D1237" s="60">
        <v>42.75</v>
      </c>
      <c r="E1237" s="60">
        <v>-0.12</v>
      </c>
      <c r="F1237" s="60">
        <v>53</v>
      </c>
      <c r="G1237" s="60">
        <v>0</v>
      </c>
      <c r="H1237" s="60">
        <v>8.32</v>
      </c>
      <c r="I1237" s="60">
        <v>0.13</v>
      </c>
      <c r="J1237" s="60">
        <v>0</v>
      </c>
      <c r="O1237" s="60" t="s">
        <v>2193</v>
      </c>
      <c r="P1237" s="60" t="s">
        <v>2472</v>
      </c>
      <c r="Q1237" s="60" t="s">
        <v>4210</v>
      </c>
      <c r="R1237" s="60">
        <v>42.75</v>
      </c>
      <c r="S1237" s="60">
        <v>-0.12</v>
      </c>
      <c r="T1237" s="60">
        <v>53</v>
      </c>
      <c r="U1237" s="60">
        <v>57.86</v>
      </c>
    </row>
    <row r="1238" spans="1:21">
      <c r="A1238" s="60" t="s">
        <v>2195</v>
      </c>
      <c r="B1238" s="60" t="s">
        <v>2474</v>
      </c>
      <c r="C1238" s="60" t="s">
        <v>4090</v>
      </c>
      <c r="D1238" s="60">
        <v>16.2</v>
      </c>
      <c r="E1238" s="60">
        <v>-0.31</v>
      </c>
      <c r="F1238" s="60">
        <v>38699</v>
      </c>
      <c r="G1238" s="60">
        <v>1.54</v>
      </c>
      <c r="H1238" s="60">
        <v>10.43</v>
      </c>
      <c r="I1238" s="60">
        <v>13.83</v>
      </c>
      <c r="J1238" s="60">
        <v>0.03</v>
      </c>
      <c r="O1238" s="60" t="s">
        <v>2195</v>
      </c>
      <c r="P1238" s="60" t="s">
        <v>2474</v>
      </c>
      <c r="Q1238" s="60" t="s">
        <v>4090</v>
      </c>
      <c r="R1238" s="60">
        <v>16.2</v>
      </c>
      <c r="S1238" s="60">
        <v>-0.31</v>
      </c>
      <c r="T1238" s="60">
        <v>38699</v>
      </c>
      <c r="U1238" s="60">
        <v>43.21</v>
      </c>
    </row>
    <row r="1239" spans="1:21">
      <c r="A1239" s="60" t="s">
        <v>2197</v>
      </c>
      <c r="B1239" s="60" t="s">
        <v>2476</v>
      </c>
      <c r="C1239" s="60" t="s">
        <v>4036</v>
      </c>
      <c r="D1239" s="60">
        <v>16.8</v>
      </c>
      <c r="E1239" s="60">
        <v>1.2</v>
      </c>
      <c r="F1239" s="60">
        <v>8</v>
      </c>
      <c r="G1239" s="60">
        <v>0</v>
      </c>
      <c r="H1239" s="60">
        <v>2.93</v>
      </c>
      <c r="I1239" s="60">
        <v>1.38</v>
      </c>
      <c r="J1239" s="60">
        <v>0</v>
      </c>
      <c r="O1239" s="60" t="s">
        <v>2197</v>
      </c>
      <c r="P1239" s="60" t="s">
        <v>2476</v>
      </c>
      <c r="Q1239" s="60" t="s">
        <v>4036</v>
      </c>
      <c r="R1239" s="60">
        <v>16.8</v>
      </c>
      <c r="S1239" s="60">
        <v>1.2</v>
      </c>
      <c r="T1239" s="60">
        <v>8</v>
      </c>
      <c r="U1239" s="60">
        <v>73.959999999999994</v>
      </c>
    </row>
    <row r="1240" spans="1:21">
      <c r="A1240" s="60" t="s">
        <v>2199</v>
      </c>
      <c r="B1240" s="60" t="s">
        <v>2478</v>
      </c>
      <c r="C1240" s="60" t="s">
        <v>4969</v>
      </c>
      <c r="D1240" s="60">
        <v>31.65</v>
      </c>
      <c r="E1240" s="60">
        <v>9.9</v>
      </c>
      <c r="F1240" s="60">
        <v>5673</v>
      </c>
      <c r="G1240" s="60">
        <v>8.14</v>
      </c>
      <c r="H1240" s="60">
        <v>3.07</v>
      </c>
      <c r="I1240" s="60">
        <v>19.54</v>
      </c>
      <c r="J1240" s="60">
        <v>0</v>
      </c>
      <c r="O1240" s="60" t="s">
        <v>2199</v>
      </c>
      <c r="P1240" s="60" t="s">
        <v>2478</v>
      </c>
      <c r="Q1240" s="60" t="s">
        <v>4969</v>
      </c>
      <c r="R1240" s="60">
        <v>31.65</v>
      </c>
      <c r="S1240" s="60">
        <v>9.9</v>
      </c>
      <c r="T1240" s="60">
        <v>5673</v>
      </c>
      <c r="U1240" s="60">
        <v>60.45</v>
      </c>
    </row>
    <row r="1241" spans="1:21">
      <c r="A1241" s="60" t="s">
        <v>2201</v>
      </c>
      <c r="B1241" s="60" t="s">
        <v>2480</v>
      </c>
      <c r="C1241" s="60" t="s">
        <v>4091</v>
      </c>
      <c r="D1241" s="60">
        <v>11.7</v>
      </c>
      <c r="E1241" s="60">
        <v>3.54</v>
      </c>
      <c r="F1241" s="60">
        <v>4280</v>
      </c>
      <c r="G1241" s="60">
        <v>0.01</v>
      </c>
      <c r="H1241" s="60">
        <v>9.58</v>
      </c>
      <c r="I1241" s="60">
        <v>6.18</v>
      </c>
      <c r="J1241" s="60">
        <v>0.02</v>
      </c>
      <c r="O1241" s="60" t="s">
        <v>2201</v>
      </c>
      <c r="P1241" s="60" t="s">
        <v>2480</v>
      </c>
      <c r="Q1241" s="60" t="s">
        <v>4091</v>
      </c>
      <c r="R1241" s="60">
        <v>11.7</v>
      </c>
      <c r="S1241" s="60">
        <v>3.54</v>
      </c>
      <c r="T1241" s="60">
        <v>4280</v>
      </c>
      <c r="U1241" s="60">
        <v>59.86</v>
      </c>
    </row>
    <row r="1242" spans="1:21">
      <c r="A1242" s="60" t="s">
        <v>2203</v>
      </c>
      <c r="B1242" s="60" t="s">
        <v>2482</v>
      </c>
      <c r="C1242" s="60" t="s">
        <v>4760</v>
      </c>
      <c r="D1242" s="60">
        <v>322</v>
      </c>
      <c r="E1242" s="60">
        <v>0.31</v>
      </c>
      <c r="F1242" s="60">
        <v>443</v>
      </c>
      <c r="G1242" s="60">
        <v>0.02</v>
      </c>
      <c r="H1242" s="60">
        <v>53.71</v>
      </c>
      <c r="I1242" s="60">
        <v>4.17</v>
      </c>
      <c r="J1242" s="60">
        <v>1.8</v>
      </c>
      <c r="O1242" s="60" t="s">
        <v>2203</v>
      </c>
      <c r="P1242" s="60" t="s">
        <v>2482</v>
      </c>
      <c r="Q1242" s="60" t="s">
        <v>4760</v>
      </c>
      <c r="R1242" s="60">
        <v>322</v>
      </c>
      <c r="S1242" s="60">
        <v>0.31</v>
      </c>
      <c r="T1242" s="60">
        <v>443</v>
      </c>
      <c r="U1242" s="60">
        <v>51.02</v>
      </c>
    </row>
    <row r="1243" spans="1:21">
      <c r="A1243" s="60" t="s">
        <v>2205</v>
      </c>
      <c r="B1243" s="60" t="s">
        <v>2484</v>
      </c>
      <c r="C1243" s="60" t="s">
        <v>4551</v>
      </c>
      <c r="D1243" s="60">
        <v>12.15</v>
      </c>
      <c r="E1243" s="60">
        <v>2.1</v>
      </c>
      <c r="F1243" s="60">
        <v>507</v>
      </c>
      <c r="G1243" s="60">
        <v>0.01</v>
      </c>
      <c r="H1243" s="60">
        <v>0.98</v>
      </c>
      <c r="I1243" s="60">
        <v>10.4</v>
      </c>
      <c r="J1243" s="60">
        <v>0</v>
      </c>
      <c r="O1243" s="60" t="s">
        <v>2205</v>
      </c>
      <c r="P1243" s="60" t="s">
        <v>2484</v>
      </c>
      <c r="Q1243" s="60" t="s">
        <v>4551</v>
      </c>
      <c r="R1243" s="60">
        <v>12.15</v>
      </c>
      <c r="S1243" s="60">
        <v>2.1</v>
      </c>
      <c r="T1243" s="60">
        <v>507</v>
      </c>
      <c r="U1243" s="60">
        <v>23.62</v>
      </c>
    </row>
    <row r="1244" spans="1:21">
      <c r="A1244" s="60" t="s">
        <v>2207</v>
      </c>
      <c r="B1244" s="60" t="s">
        <v>2486</v>
      </c>
      <c r="C1244" s="60" t="s">
        <v>4761</v>
      </c>
      <c r="D1244" s="60">
        <v>50.2</v>
      </c>
      <c r="E1244" s="60">
        <v>0.5</v>
      </c>
      <c r="F1244" s="60">
        <v>68</v>
      </c>
      <c r="G1244" s="60">
        <v>0</v>
      </c>
      <c r="H1244" s="60">
        <v>2.3199999999999998</v>
      </c>
      <c r="I1244" s="60">
        <v>5.17</v>
      </c>
      <c r="J1244" s="60">
        <v>0</v>
      </c>
      <c r="O1244" s="60" t="s">
        <v>2207</v>
      </c>
      <c r="P1244" s="60" t="s">
        <v>2486</v>
      </c>
      <c r="Q1244" s="60" t="s">
        <v>4761</v>
      </c>
      <c r="R1244" s="60">
        <v>50.2</v>
      </c>
      <c r="S1244" s="60">
        <v>0.5</v>
      </c>
      <c r="T1244" s="60">
        <v>68</v>
      </c>
      <c r="U1244" s="60">
        <v>32.630000000000003</v>
      </c>
    </row>
    <row r="1245" spans="1:21">
      <c r="A1245" s="60" t="s">
        <v>2209</v>
      </c>
      <c r="B1245" s="60" t="s">
        <v>2488</v>
      </c>
      <c r="C1245" s="60" t="s">
        <v>4920</v>
      </c>
      <c r="D1245" s="60">
        <v>27.35</v>
      </c>
      <c r="E1245" s="60">
        <v>2.2400000000000002</v>
      </c>
      <c r="F1245" s="60">
        <v>6</v>
      </c>
      <c r="G1245" s="60">
        <v>0</v>
      </c>
      <c r="H1245" s="60">
        <v>46.06</v>
      </c>
      <c r="I1245" s="60">
        <v>2.72</v>
      </c>
      <c r="J1245" s="60">
        <v>0</v>
      </c>
      <c r="O1245" s="60" t="s">
        <v>2209</v>
      </c>
      <c r="P1245" s="60" t="s">
        <v>2488</v>
      </c>
      <c r="Q1245" s="60" t="s">
        <v>4920</v>
      </c>
      <c r="R1245" s="60">
        <v>27.35</v>
      </c>
      <c r="S1245" s="60">
        <v>2.2400000000000002</v>
      </c>
      <c r="T1245" s="60">
        <v>6</v>
      </c>
      <c r="U1245" s="60">
        <v>93.28</v>
      </c>
    </row>
    <row r="1246" spans="1:21">
      <c r="A1246" s="60" t="s">
        <v>2210</v>
      </c>
      <c r="B1246" s="60" t="s">
        <v>2490</v>
      </c>
      <c r="C1246" s="60" t="s">
        <v>4804</v>
      </c>
      <c r="D1246" s="60">
        <v>27</v>
      </c>
      <c r="E1246" s="60">
        <v>0.19</v>
      </c>
      <c r="F1246" s="60">
        <v>2508</v>
      </c>
      <c r="G1246" s="60">
        <v>1.31</v>
      </c>
      <c r="H1246" s="60">
        <v>2.34</v>
      </c>
      <c r="I1246" s="60">
        <v>35.69</v>
      </c>
      <c r="J1246" s="60">
        <v>0.01</v>
      </c>
      <c r="O1246" s="60" t="s">
        <v>2210</v>
      </c>
      <c r="P1246" s="60" t="s">
        <v>2490</v>
      </c>
      <c r="Q1246" s="60" t="s">
        <v>4804</v>
      </c>
      <c r="R1246" s="60">
        <v>27</v>
      </c>
      <c r="S1246" s="60">
        <v>0.19</v>
      </c>
      <c r="T1246" s="60">
        <v>2508</v>
      </c>
      <c r="U1246" s="60">
        <v>42.7</v>
      </c>
    </row>
    <row r="1247" spans="1:21">
      <c r="A1247" s="60" t="s">
        <v>2212</v>
      </c>
      <c r="B1247" s="60" t="s">
        <v>2492</v>
      </c>
      <c r="C1247" s="60" t="s">
        <v>4921</v>
      </c>
      <c r="D1247" s="60">
        <v>27.85</v>
      </c>
      <c r="E1247" s="60">
        <v>0.36</v>
      </c>
      <c r="F1247" s="60">
        <v>1244</v>
      </c>
      <c r="G1247" s="60">
        <v>0.34</v>
      </c>
      <c r="H1247" s="60">
        <v>1.36</v>
      </c>
      <c r="I1247" s="60">
        <v>24.51</v>
      </c>
      <c r="J1247" s="60">
        <v>0</v>
      </c>
      <c r="O1247" s="60" t="s">
        <v>2212</v>
      </c>
      <c r="P1247" s="60" t="s">
        <v>2492</v>
      </c>
      <c r="Q1247" s="60" t="s">
        <v>4921</v>
      </c>
      <c r="R1247" s="60">
        <v>27.85</v>
      </c>
      <c r="S1247" s="60">
        <v>0.36</v>
      </c>
      <c r="T1247" s="60">
        <v>1244</v>
      </c>
      <c r="U1247" s="60">
        <v>45.48</v>
      </c>
    </row>
    <row r="1248" spans="1:21">
      <c r="A1248" s="60" t="s">
        <v>2214</v>
      </c>
      <c r="B1248" s="60" t="s">
        <v>2494</v>
      </c>
      <c r="C1248" s="60" t="s">
        <v>4922</v>
      </c>
      <c r="D1248" s="60">
        <v>27.8</v>
      </c>
      <c r="E1248" s="60">
        <v>6.31</v>
      </c>
      <c r="F1248" s="60">
        <v>3023</v>
      </c>
      <c r="G1248" s="60">
        <v>0.38</v>
      </c>
      <c r="H1248" s="60">
        <v>2.72</v>
      </c>
      <c r="I1248" s="60">
        <v>17.559999999999999</v>
      </c>
      <c r="J1248" s="60">
        <v>0</v>
      </c>
      <c r="O1248" s="60" t="s">
        <v>2214</v>
      </c>
      <c r="P1248" s="60" t="s">
        <v>2494</v>
      </c>
      <c r="Q1248" s="60" t="s">
        <v>4922</v>
      </c>
      <c r="R1248" s="60">
        <v>27.8</v>
      </c>
      <c r="S1248" s="60">
        <v>6.31</v>
      </c>
      <c r="T1248" s="60">
        <v>3023</v>
      </c>
      <c r="U1248" s="60">
        <v>21.49</v>
      </c>
    </row>
    <row r="1249" spans="1:21">
      <c r="A1249" s="60" t="s">
        <v>2215</v>
      </c>
      <c r="B1249" s="60" t="s">
        <v>2496</v>
      </c>
      <c r="C1249" s="60" t="s">
        <v>4037</v>
      </c>
      <c r="D1249" s="60">
        <v>29.05</v>
      </c>
      <c r="E1249" s="60">
        <v>-0.17</v>
      </c>
      <c r="F1249" s="60">
        <v>195</v>
      </c>
      <c r="G1249" s="60">
        <v>0</v>
      </c>
      <c r="H1249" s="60">
        <v>2.82</v>
      </c>
      <c r="I1249" s="60">
        <v>1.03</v>
      </c>
      <c r="J1249" s="60">
        <v>0</v>
      </c>
      <c r="O1249" s="60" t="s">
        <v>2215</v>
      </c>
      <c r="P1249" s="60" t="s">
        <v>2496</v>
      </c>
      <c r="Q1249" s="60" t="s">
        <v>4037</v>
      </c>
      <c r="R1249" s="60">
        <v>29.05</v>
      </c>
      <c r="S1249" s="60">
        <v>-0.17</v>
      </c>
      <c r="T1249" s="60">
        <v>195</v>
      </c>
      <c r="U1249" s="60">
        <v>54.47</v>
      </c>
    </row>
    <row r="1250" spans="1:21">
      <c r="A1250" s="60" t="s">
        <v>2217</v>
      </c>
      <c r="B1250" s="60" t="s">
        <v>3309</v>
      </c>
      <c r="C1250" s="60" t="s">
        <v>4696</v>
      </c>
      <c r="D1250" s="60">
        <v>33.700000000000003</v>
      </c>
      <c r="E1250" s="60">
        <v>0.45</v>
      </c>
      <c r="F1250" s="60">
        <v>2027</v>
      </c>
      <c r="G1250" s="60">
        <v>0</v>
      </c>
      <c r="H1250" s="60">
        <v>0.69</v>
      </c>
      <c r="I1250" s="60">
        <v>0</v>
      </c>
      <c r="J1250" s="60">
        <v>0</v>
      </c>
      <c r="O1250" s="60" t="s">
        <v>2217</v>
      </c>
      <c r="P1250" s="60" t="s">
        <v>3309</v>
      </c>
      <c r="Q1250" s="60" t="s">
        <v>4696</v>
      </c>
      <c r="R1250" s="60">
        <v>33.700000000000003</v>
      </c>
      <c r="S1250" s="60">
        <v>0.45</v>
      </c>
      <c r="T1250" s="60">
        <v>2027</v>
      </c>
      <c r="U1250" s="60">
        <v>12.32</v>
      </c>
    </row>
    <row r="1251" spans="1:21">
      <c r="A1251" s="60" t="s">
        <v>2219</v>
      </c>
      <c r="B1251" s="60" t="s">
        <v>3310</v>
      </c>
      <c r="C1251" s="60" t="s">
        <v>4619</v>
      </c>
      <c r="D1251" s="60">
        <v>35.1</v>
      </c>
      <c r="E1251" s="60">
        <v>1.59</v>
      </c>
      <c r="F1251" s="60">
        <v>1432</v>
      </c>
      <c r="G1251" s="60">
        <v>0</v>
      </c>
      <c r="H1251" s="60">
        <v>0.37</v>
      </c>
      <c r="I1251" s="60">
        <v>0</v>
      </c>
      <c r="J1251" s="60">
        <v>0</v>
      </c>
      <c r="O1251" s="60" t="s">
        <v>2219</v>
      </c>
      <c r="P1251" s="60" t="s">
        <v>3310</v>
      </c>
      <c r="Q1251" s="60" t="s">
        <v>4619</v>
      </c>
      <c r="R1251" s="60">
        <v>35.1</v>
      </c>
      <c r="S1251" s="60">
        <v>1.59</v>
      </c>
      <c r="T1251" s="60">
        <v>1432</v>
      </c>
      <c r="U1251" s="60">
        <v>46.27</v>
      </c>
    </row>
    <row r="1252" spans="1:21">
      <c r="A1252" s="60" t="s">
        <v>2221</v>
      </c>
      <c r="B1252" s="60" t="s">
        <v>2499</v>
      </c>
      <c r="C1252" s="60" t="s">
        <v>4211</v>
      </c>
      <c r="D1252" s="60">
        <v>8.6999999999999993</v>
      </c>
      <c r="E1252" s="60">
        <v>0.23</v>
      </c>
      <c r="F1252" s="60">
        <v>93</v>
      </c>
      <c r="G1252" s="60">
        <v>0.01</v>
      </c>
      <c r="H1252" s="60">
        <v>1.84</v>
      </c>
      <c r="I1252" s="60">
        <v>9.0500000000000007</v>
      </c>
      <c r="J1252" s="60">
        <v>0</v>
      </c>
      <c r="O1252" s="60" t="s">
        <v>2221</v>
      </c>
      <c r="P1252" s="60" t="s">
        <v>2499</v>
      </c>
      <c r="Q1252" s="60" t="s">
        <v>4211</v>
      </c>
      <c r="R1252" s="60">
        <v>8.6999999999999993</v>
      </c>
      <c r="S1252" s="60">
        <v>0.23</v>
      </c>
      <c r="T1252" s="60">
        <v>93</v>
      </c>
      <c r="U1252" s="60">
        <v>64.569999999999993</v>
      </c>
    </row>
    <row r="1253" spans="1:21">
      <c r="A1253" s="60" t="s">
        <v>2223</v>
      </c>
      <c r="B1253" s="60" t="s">
        <v>2501</v>
      </c>
      <c r="C1253" s="60" t="s">
        <v>4923</v>
      </c>
      <c r="D1253" s="60">
        <v>16.149999999999999</v>
      </c>
      <c r="E1253" s="60">
        <v>0.94</v>
      </c>
      <c r="F1253" s="60">
        <v>66</v>
      </c>
      <c r="G1253" s="60">
        <v>0</v>
      </c>
      <c r="H1253" s="60">
        <v>22.03</v>
      </c>
      <c r="I1253" s="60">
        <v>2.64</v>
      </c>
      <c r="J1253" s="60">
        <v>0</v>
      </c>
      <c r="O1253" s="60" t="s">
        <v>2223</v>
      </c>
      <c r="P1253" s="60" t="s">
        <v>2501</v>
      </c>
      <c r="Q1253" s="60" t="s">
        <v>4923</v>
      </c>
      <c r="R1253" s="60">
        <v>16.149999999999999</v>
      </c>
      <c r="S1253" s="60">
        <v>0.94</v>
      </c>
      <c r="T1253" s="60">
        <v>66</v>
      </c>
      <c r="U1253" s="60">
        <v>57.19</v>
      </c>
    </row>
    <row r="1254" spans="1:21">
      <c r="A1254" s="60" t="s">
        <v>2225</v>
      </c>
      <c r="B1254" s="60" t="s">
        <v>2503</v>
      </c>
      <c r="C1254" s="60" t="s">
        <v>4134</v>
      </c>
      <c r="D1254" s="60">
        <v>20.2</v>
      </c>
      <c r="E1254" s="60">
        <v>-5.83</v>
      </c>
      <c r="F1254" s="60">
        <v>13747</v>
      </c>
      <c r="G1254" s="60">
        <v>1.25</v>
      </c>
      <c r="H1254" s="60">
        <v>4.28</v>
      </c>
      <c r="I1254" s="60">
        <v>20.72</v>
      </c>
      <c r="J1254" s="60">
        <v>0</v>
      </c>
      <c r="O1254" s="60" t="s">
        <v>2225</v>
      </c>
      <c r="P1254" s="60" t="s">
        <v>2503</v>
      </c>
      <c r="Q1254" s="60" t="s">
        <v>4134</v>
      </c>
      <c r="R1254" s="60">
        <v>20.2</v>
      </c>
      <c r="S1254" s="60">
        <v>-5.83</v>
      </c>
      <c r="T1254" s="60">
        <v>13747</v>
      </c>
      <c r="U1254" s="60">
        <v>19.329999999999998</v>
      </c>
    </row>
    <row r="1255" spans="1:21">
      <c r="A1255" s="60" t="s">
        <v>2227</v>
      </c>
      <c r="B1255" s="60" t="s">
        <v>2505</v>
      </c>
      <c r="C1255" s="60" t="s">
        <v>4697</v>
      </c>
      <c r="D1255" s="60">
        <v>234</v>
      </c>
      <c r="E1255" s="60">
        <v>-1.68</v>
      </c>
      <c r="F1255" s="60">
        <v>4433</v>
      </c>
      <c r="G1255" s="60">
        <v>2.15</v>
      </c>
      <c r="H1255" s="60">
        <v>30.51</v>
      </c>
      <c r="I1255" s="60">
        <v>24.87</v>
      </c>
      <c r="J1255" s="60">
        <v>10.49</v>
      </c>
      <c r="O1255" s="60" t="s">
        <v>2227</v>
      </c>
      <c r="P1255" s="60" t="s">
        <v>2505</v>
      </c>
      <c r="Q1255" s="60" t="s">
        <v>4697</v>
      </c>
      <c r="R1255" s="60">
        <v>234</v>
      </c>
      <c r="S1255" s="60">
        <v>-1.68</v>
      </c>
      <c r="T1255" s="60">
        <v>4433</v>
      </c>
      <c r="U1255" s="60">
        <v>22.79</v>
      </c>
    </row>
    <row r="1256" spans="1:21">
      <c r="A1256" s="60" t="s">
        <v>2229</v>
      </c>
      <c r="B1256" s="60" t="s">
        <v>2507</v>
      </c>
      <c r="C1256" s="60" t="s">
        <v>4286</v>
      </c>
      <c r="D1256" s="60">
        <v>29.2</v>
      </c>
      <c r="E1256" s="60">
        <v>-0.85</v>
      </c>
      <c r="F1256" s="60">
        <v>281</v>
      </c>
      <c r="G1256" s="60">
        <v>0</v>
      </c>
      <c r="H1256" s="60">
        <v>15.73</v>
      </c>
      <c r="I1256" s="60">
        <v>4.28</v>
      </c>
      <c r="J1256" s="60">
        <v>0</v>
      </c>
      <c r="O1256" s="60" t="s">
        <v>2229</v>
      </c>
      <c r="P1256" s="60" t="s">
        <v>2507</v>
      </c>
      <c r="Q1256" s="60" t="s">
        <v>4286</v>
      </c>
      <c r="R1256" s="60">
        <v>29.2</v>
      </c>
      <c r="S1256" s="60">
        <v>-0.85</v>
      </c>
      <c r="T1256" s="60">
        <v>281</v>
      </c>
      <c r="U1256" s="60">
        <v>49.43</v>
      </c>
    </row>
    <row r="1257" spans="1:21">
      <c r="A1257" s="60" t="s">
        <v>2231</v>
      </c>
      <c r="B1257" s="60" t="s">
        <v>2509</v>
      </c>
      <c r="C1257" s="60" t="s">
        <v>4991</v>
      </c>
      <c r="D1257" s="60">
        <v>21</v>
      </c>
      <c r="E1257" s="60">
        <v>-4.9800000000000004</v>
      </c>
      <c r="F1257" s="60">
        <v>1879</v>
      </c>
      <c r="G1257" s="60">
        <v>0.28999999999999998</v>
      </c>
      <c r="H1257" s="60">
        <v>1.06</v>
      </c>
      <c r="I1257" s="60">
        <v>43.84</v>
      </c>
      <c r="J1257" s="60">
        <v>0</v>
      </c>
      <c r="O1257" s="60" t="s">
        <v>2231</v>
      </c>
      <c r="P1257" s="60" t="s">
        <v>2509</v>
      </c>
      <c r="Q1257" s="60" t="s">
        <v>4991</v>
      </c>
      <c r="R1257" s="60">
        <v>21</v>
      </c>
      <c r="S1257" s="60">
        <v>-4.9800000000000004</v>
      </c>
      <c r="T1257" s="60">
        <v>1879</v>
      </c>
      <c r="U1257" s="60">
        <v>52.98</v>
      </c>
    </row>
    <row r="1258" spans="1:21">
      <c r="A1258" s="60" t="s">
        <v>2233</v>
      </c>
      <c r="B1258" s="60" t="s">
        <v>2511</v>
      </c>
      <c r="C1258" s="60" t="s">
        <v>4212</v>
      </c>
      <c r="D1258" s="60">
        <v>26.45</v>
      </c>
      <c r="E1258" s="60">
        <v>-0.94</v>
      </c>
      <c r="F1258" s="60">
        <v>174</v>
      </c>
      <c r="G1258" s="60">
        <v>0</v>
      </c>
      <c r="H1258" s="60">
        <v>3.73</v>
      </c>
      <c r="I1258" s="60">
        <v>8.02</v>
      </c>
      <c r="J1258" s="60">
        <v>0</v>
      </c>
      <c r="O1258" s="60" t="s">
        <v>2233</v>
      </c>
      <c r="P1258" s="60" t="s">
        <v>2511</v>
      </c>
      <c r="Q1258" s="60" t="s">
        <v>4212</v>
      </c>
      <c r="R1258" s="60">
        <v>26.45</v>
      </c>
      <c r="S1258" s="60">
        <v>-0.94</v>
      </c>
      <c r="T1258" s="60">
        <v>174</v>
      </c>
      <c r="U1258" s="60">
        <v>59.08</v>
      </c>
    </row>
    <row r="1259" spans="1:21">
      <c r="A1259" s="60" t="s">
        <v>2235</v>
      </c>
      <c r="B1259" s="60" t="s">
        <v>3311</v>
      </c>
      <c r="C1259" s="60" t="s">
        <v>4135</v>
      </c>
      <c r="D1259" s="60">
        <v>11.8</v>
      </c>
      <c r="E1259" s="60">
        <v>1.29</v>
      </c>
      <c r="F1259" s="60">
        <v>667</v>
      </c>
      <c r="G1259" s="60">
        <v>0</v>
      </c>
      <c r="H1259" s="60">
        <v>9.48</v>
      </c>
      <c r="I1259" s="60">
        <v>0</v>
      </c>
      <c r="J1259" s="60">
        <v>0</v>
      </c>
      <c r="O1259" s="60" t="s">
        <v>2235</v>
      </c>
      <c r="P1259" s="60" t="s">
        <v>3311</v>
      </c>
      <c r="Q1259" s="60" t="s">
        <v>4135</v>
      </c>
      <c r="R1259" s="60">
        <v>11.8</v>
      </c>
      <c r="S1259" s="60">
        <v>1.29</v>
      </c>
      <c r="T1259" s="60">
        <v>667</v>
      </c>
      <c r="U1259" s="60">
        <v>55.32</v>
      </c>
    </row>
    <row r="1260" spans="1:21">
      <c r="A1260" s="60" t="s">
        <v>2237</v>
      </c>
      <c r="B1260" s="60" t="s">
        <v>2514</v>
      </c>
      <c r="C1260" s="60" t="s">
        <v>4842</v>
      </c>
      <c r="D1260" s="60">
        <v>62</v>
      </c>
      <c r="E1260" s="60">
        <v>2.65</v>
      </c>
      <c r="F1260" s="60">
        <v>13593</v>
      </c>
      <c r="G1260" s="60">
        <v>0.62</v>
      </c>
      <c r="H1260" s="60">
        <v>8.77</v>
      </c>
      <c r="I1260" s="60">
        <v>47.22</v>
      </c>
      <c r="J1260" s="60">
        <v>3.63</v>
      </c>
      <c r="O1260" s="60" t="s">
        <v>2237</v>
      </c>
      <c r="P1260" s="60" t="s">
        <v>2514</v>
      </c>
      <c r="Q1260" s="60" t="s">
        <v>4842</v>
      </c>
      <c r="R1260" s="60">
        <v>62</v>
      </c>
      <c r="S1260" s="60">
        <v>2.65</v>
      </c>
      <c r="T1260" s="60">
        <v>13593</v>
      </c>
      <c r="U1260" s="60">
        <v>28.38</v>
      </c>
    </row>
    <row r="1261" spans="1:21">
      <c r="A1261" s="60" t="s">
        <v>2239</v>
      </c>
      <c r="B1261" s="60" t="s">
        <v>2516</v>
      </c>
      <c r="C1261" s="60" t="s">
        <v>5186</v>
      </c>
      <c r="D1261" s="60">
        <v>14.95</v>
      </c>
      <c r="E1261" s="60">
        <v>6.79</v>
      </c>
      <c r="F1261" s="60">
        <v>13</v>
      </c>
      <c r="G1261" s="60">
        <v>0</v>
      </c>
      <c r="H1261" s="60">
        <v>3.34</v>
      </c>
      <c r="I1261" s="60">
        <v>0</v>
      </c>
      <c r="J1261" s="60">
        <v>0</v>
      </c>
      <c r="O1261" s="60" t="s">
        <v>2239</v>
      </c>
      <c r="P1261" s="60" t="s">
        <v>2516</v>
      </c>
      <c r="Q1261" s="60" t="s">
        <v>5186</v>
      </c>
      <c r="R1261" s="60">
        <v>14.95</v>
      </c>
      <c r="S1261" s="60">
        <v>6.79</v>
      </c>
      <c r="T1261" s="60">
        <v>13</v>
      </c>
      <c r="U1261" s="60">
        <v>91.76</v>
      </c>
    </row>
    <row r="1262" spans="1:21">
      <c r="A1262" s="60" t="s">
        <v>2241</v>
      </c>
      <c r="B1262" s="60" t="s">
        <v>2518</v>
      </c>
      <c r="C1262" s="60" t="s">
        <v>5031</v>
      </c>
      <c r="D1262" s="60">
        <v>217</v>
      </c>
      <c r="E1262" s="60">
        <v>-0.91</v>
      </c>
      <c r="F1262" s="60">
        <v>40</v>
      </c>
      <c r="G1262" s="60">
        <v>0</v>
      </c>
      <c r="H1262" s="60">
        <v>55.2</v>
      </c>
      <c r="I1262" s="60">
        <v>0.36</v>
      </c>
      <c r="J1262" s="60">
        <v>0</v>
      </c>
      <c r="O1262" s="60" t="s">
        <v>2241</v>
      </c>
      <c r="P1262" s="60" t="s">
        <v>2518</v>
      </c>
      <c r="Q1262" s="60" t="s">
        <v>5031</v>
      </c>
      <c r="R1262" s="60">
        <v>217</v>
      </c>
      <c r="S1262" s="60">
        <v>-0.91</v>
      </c>
      <c r="T1262" s="60">
        <v>40</v>
      </c>
      <c r="U1262" s="60">
        <v>54.49</v>
      </c>
    </row>
    <row r="1263" spans="1:21">
      <c r="A1263" s="60" t="s">
        <v>2243</v>
      </c>
      <c r="B1263" s="60" t="s">
        <v>2520</v>
      </c>
      <c r="C1263" s="60" t="s">
        <v>4698</v>
      </c>
      <c r="D1263" s="60">
        <v>68.3</v>
      </c>
      <c r="E1263" s="60">
        <v>1.49</v>
      </c>
      <c r="F1263" s="60">
        <v>6504</v>
      </c>
      <c r="G1263" s="60">
        <v>0.16</v>
      </c>
      <c r="H1263" s="60">
        <v>34.08</v>
      </c>
      <c r="I1263" s="60">
        <v>8.86</v>
      </c>
      <c r="J1263" s="60">
        <v>1.83</v>
      </c>
      <c r="O1263" s="60" t="s">
        <v>2243</v>
      </c>
      <c r="P1263" s="60" t="s">
        <v>2520</v>
      </c>
      <c r="Q1263" s="60" t="s">
        <v>4698</v>
      </c>
      <c r="R1263" s="60">
        <v>68.3</v>
      </c>
      <c r="S1263" s="60">
        <v>1.49</v>
      </c>
      <c r="T1263" s="60">
        <v>6504</v>
      </c>
      <c r="U1263" s="60">
        <v>53.53</v>
      </c>
    </row>
    <row r="1264" spans="1:21">
      <c r="A1264" s="60" t="s">
        <v>2245</v>
      </c>
      <c r="B1264" s="60" t="s">
        <v>2522</v>
      </c>
      <c r="C1264" s="60" t="s">
        <v>4992</v>
      </c>
      <c r="D1264" s="60">
        <v>13.95</v>
      </c>
      <c r="E1264" s="60">
        <v>1.0900000000000001</v>
      </c>
      <c r="F1264" s="60">
        <v>52</v>
      </c>
      <c r="G1264" s="60">
        <v>0</v>
      </c>
      <c r="H1264" s="60">
        <v>0.43</v>
      </c>
      <c r="I1264" s="60">
        <v>12.83</v>
      </c>
      <c r="J1264" s="60">
        <v>0</v>
      </c>
      <c r="O1264" s="60" t="s">
        <v>2245</v>
      </c>
      <c r="P1264" s="60" t="s">
        <v>2522</v>
      </c>
      <c r="Q1264" s="60" t="s">
        <v>4992</v>
      </c>
      <c r="R1264" s="60">
        <v>13.95</v>
      </c>
      <c r="S1264" s="60">
        <v>1.0900000000000001</v>
      </c>
      <c r="T1264" s="60">
        <v>52</v>
      </c>
      <c r="U1264" s="60">
        <v>44.41</v>
      </c>
    </row>
    <row r="1265" spans="1:21">
      <c r="A1265" s="60" t="s">
        <v>2247</v>
      </c>
      <c r="B1265" s="60" t="s">
        <v>2524</v>
      </c>
      <c r="C1265" s="60" t="s">
        <v>3531</v>
      </c>
      <c r="D1265" s="60">
        <v>158</v>
      </c>
      <c r="E1265" s="60">
        <v>-0.63</v>
      </c>
      <c r="F1265" s="60">
        <v>1598</v>
      </c>
      <c r="G1265" s="60">
        <v>24.96</v>
      </c>
      <c r="H1265" s="60">
        <v>13.34</v>
      </c>
      <c r="I1265" s="60">
        <v>66.349999999999994</v>
      </c>
      <c r="J1265" s="60">
        <v>0</v>
      </c>
      <c r="O1265" s="60" t="s">
        <v>2247</v>
      </c>
      <c r="P1265" s="60" t="s">
        <v>2524</v>
      </c>
      <c r="Q1265" s="60" t="s">
        <v>3531</v>
      </c>
      <c r="R1265" s="60">
        <v>158</v>
      </c>
      <c r="S1265" s="60">
        <v>-0.63</v>
      </c>
      <c r="T1265" s="60">
        <v>1598</v>
      </c>
      <c r="U1265" s="60">
        <v>12.36</v>
      </c>
    </row>
    <row r="1266" spans="1:21">
      <c r="A1266" s="60" t="s">
        <v>2249</v>
      </c>
      <c r="B1266" s="60" t="s">
        <v>2526</v>
      </c>
      <c r="C1266" s="60" t="s">
        <v>5032</v>
      </c>
      <c r="D1266" s="60">
        <v>36.85</v>
      </c>
      <c r="E1266" s="60">
        <v>0.41</v>
      </c>
      <c r="F1266" s="60">
        <v>14</v>
      </c>
      <c r="G1266" s="60">
        <v>0.06</v>
      </c>
      <c r="H1266" s="60">
        <v>0.53</v>
      </c>
      <c r="I1266" s="60">
        <v>4.41</v>
      </c>
      <c r="J1266" s="60">
        <v>0</v>
      </c>
      <c r="O1266" s="60" t="s">
        <v>2249</v>
      </c>
      <c r="P1266" s="60" t="s">
        <v>2526</v>
      </c>
      <c r="Q1266" s="60" t="s">
        <v>5032</v>
      </c>
      <c r="R1266" s="60">
        <v>36.85</v>
      </c>
      <c r="S1266" s="60">
        <v>0.41</v>
      </c>
      <c r="T1266" s="60">
        <v>14</v>
      </c>
      <c r="U1266" s="60">
        <v>20.79</v>
      </c>
    </row>
    <row r="1267" spans="1:21">
      <c r="A1267" s="60" t="s">
        <v>2251</v>
      </c>
      <c r="B1267" s="60" t="s">
        <v>3312</v>
      </c>
      <c r="C1267" s="60" t="s">
        <v>4136</v>
      </c>
      <c r="D1267" s="60">
        <v>11.3</v>
      </c>
      <c r="E1267" s="60">
        <v>2.73</v>
      </c>
      <c r="F1267" s="60">
        <v>1445</v>
      </c>
      <c r="G1267" s="60">
        <v>0</v>
      </c>
      <c r="H1267" s="60">
        <v>0.72</v>
      </c>
      <c r="I1267" s="60">
        <v>0</v>
      </c>
      <c r="J1267" s="60">
        <v>0</v>
      </c>
      <c r="O1267" s="60" t="s">
        <v>2251</v>
      </c>
      <c r="P1267" s="60" t="s">
        <v>3312</v>
      </c>
      <c r="Q1267" s="60" t="s">
        <v>4136</v>
      </c>
      <c r="R1267" s="60">
        <v>11.3</v>
      </c>
      <c r="S1267" s="60">
        <v>2.73</v>
      </c>
      <c r="T1267" s="60">
        <v>1445</v>
      </c>
      <c r="U1267" s="60">
        <v>24.78</v>
      </c>
    </row>
    <row r="1268" spans="1:21">
      <c r="A1268" s="60" t="s">
        <v>2253</v>
      </c>
      <c r="B1268" s="60" t="s">
        <v>2529</v>
      </c>
      <c r="C1268" s="60" t="s">
        <v>4213</v>
      </c>
      <c r="D1268" s="60">
        <v>26.15</v>
      </c>
      <c r="E1268" s="60">
        <v>1.36</v>
      </c>
      <c r="F1268" s="60">
        <v>1450</v>
      </c>
      <c r="G1268" s="60">
        <v>0.1</v>
      </c>
      <c r="H1268" s="60">
        <v>9.6300000000000008</v>
      </c>
      <c r="I1268" s="60">
        <v>14.65</v>
      </c>
      <c r="J1268" s="60">
        <v>0.01</v>
      </c>
      <c r="O1268" s="60" t="s">
        <v>2253</v>
      </c>
      <c r="P1268" s="60" t="s">
        <v>2529</v>
      </c>
      <c r="Q1268" s="60" t="s">
        <v>4213</v>
      </c>
      <c r="R1268" s="60">
        <v>26.15</v>
      </c>
      <c r="S1268" s="60">
        <v>1.36</v>
      </c>
      <c r="T1268" s="60">
        <v>1450</v>
      </c>
      <c r="U1268" s="60">
        <v>39.15</v>
      </c>
    </row>
    <row r="1269" spans="1:21">
      <c r="A1269" s="60" t="s">
        <v>2256</v>
      </c>
      <c r="B1269" s="60" t="s">
        <v>2531</v>
      </c>
      <c r="C1269" s="60" t="s">
        <v>4970</v>
      </c>
      <c r="D1269" s="60">
        <v>18.100000000000001</v>
      </c>
      <c r="E1269" s="60">
        <v>1.4</v>
      </c>
      <c r="F1269" s="60">
        <v>161</v>
      </c>
      <c r="G1269" s="60">
        <v>0</v>
      </c>
      <c r="H1269" s="60">
        <v>1.53</v>
      </c>
      <c r="I1269" s="60">
        <v>5.54</v>
      </c>
      <c r="J1269" s="60">
        <v>0</v>
      </c>
      <c r="O1269" s="60" t="s">
        <v>2256</v>
      </c>
      <c r="P1269" s="60" t="s">
        <v>2531</v>
      </c>
      <c r="Q1269" s="60" t="s">
        <v>4970</v>
      </c>
      <c r="R1269" s="60">
        <v>18.100000000000001</v>
      </c>
      <c r="S1269" s="60">
        <v>1.4</v>
      </c>
      <c r="T1269" s="60">
        <v>161</v>
      </c>
      <c r="U1269" s="60">
        <v>54.44</v>
      </c>
    </row>
    <row r="1270" spans="1:21">
      <c r="A1270" s="60" t="s">
        <v>2258</v>
      </c>
      <c r="B1270" s="60" t="s">
        <v>2533</v>
      </c>
      <c r="C1270" s="60" t="s">
        <v>4214</v>
      </c>
      <c r="D1270" s="60">
        <v>25.55</v>
      </c>
      <c r="E1270" s="60">
        <v>0.59</v>
      </c>
      <c r="F1270" s="60">
        <v>203</v>
      </c>
      <c r="G1270" s="60">
        <v>0</v>
      </c>
      <c r="H1270" s="60">
        <v>2.86</v>
      </c>
      <c r="I1270" s="60">
        <v>9.42</v>
      </c>
      <c r="J1270" s="60">
        <v>0</v>
      </c>
      <c r="O1270" s="60" t="s">
        <v>2258</v>
      </c>
      <c r="P1270" s="60" t="s">
        <v>2533</v>
      </c>
      <c r="Q1270" s="60" t="s">
        <v>4214</v>
      </c>
      <c r="R1270" s="60">
        <v>25.55</v>
      </c>
      <c r="S1270" s="60">
        <v>0.59</v>
      </c>
      <c r="T1270" s="60">
        <v>203</v>
      </c>
      <c r="U1270" s="60">
        <v>57.17</v>
      </c>
    </row>
    <row r="1271" spans="1:21">
      <c r="A1271" s="60" t="s">
        <v>2260</v>
      </c>
      <c r="B1271" s="60" t="s">
        <v>2535</v>
      </c>
      <c r="C1271" s="60" t="s">
        <v>4924</v>
      </c>
      <c r="D1271" s="60">
        <v>18.3</v>
      </c>
      <c r="E1271" s="60">
        <v>2.81</v>
      </c>
      <c r="F1271" s="60">
        <v>583</v>
      </c>
      <c r="G1271" s="60">
        <v>0</v>
      </c>
      <c r="H1271" s="60">
        <v>3.27</v>
      </c>
      <c r="I1271" s="60">
        <v>7.39</v>
      </c>
      <c r="J1271" s="60">
        <v>0</v>
      </c>
      <c r="O1271" s="60" t="s">
        <v>2260</v>
      </c>
      <c r="P1271" s="60" t="s">
        <v>2535</v>
      </c>
      <c r="Q1271" s="60" t="s">
        <v>4924</v>
      </c>
      <c r="R1271" s="60">
        <v>18.3</v>
      </c>
      <c r="S1271" s="60">
        <v>2.81</v>
      </c>
      <c r="T1271" s="60">
        <v>583</v>
      </c>
      <c r="U1271" s="60">
        <v>35.729999999999997</v>
      </c>
    </row>
    <row r="1272" spans="1:21">
      <c r="A1272" s="60" t="s">
        <v>2262</v>
      </c>
      <c r="B1272" s="60" t="s">
        <v>2537</v>
      </c>
      <c r="C1272" s="60" t="s">
        <v>4925</v>
      </c>
      <c r="D1272" s="60">
        <v>33.950000000000003</v>
      </c>
      <c r="E1272" s="60">
        <v>1.8</v>
      </c>
      <c r="F1272" s="60">
        <v>449</v>
      </c>
      <c r="G1272" s="60">
        <v>0.01</v>
      </c>
      <c r="H1272" s="60">
        <v>1.22</v>
      </c>
      <c r="I1272" s="60">
        <v>14.79</v>
      </c>
      <c r="J1272" s="60">
        <v>0</v>
      </c>
      <c r="O1272" s="60" t="s">
        <v>2262</v>
      </c>
      <c r="P1272" s="60" t="s">
        <v>2537</v>
      </c>
      <c r="Q1272" s="60" t="s">
        <v>4925</v>
      </c>
      <c r="R1272" s="60">
        <v>33.950000000000003</v>
      </c>
      <c r="S1272" s="60">
        <v>1.8</v>
      </c>
      <c r="T1272" s="60">
        <v>449</v>
      </c>
      <c r="U1272" s="60">
        <v>29.56</v>
      </c>
    </row>
    <row r="1273" spans="1:21">
      <c r="A1273" s="60" t="s">
        <v>2264</v>
      </c>
      <c r="B1273" s="60" t="s">
        <v>2539</v>
      </c>
      <c r="C1273" s="60" t="s">
        <v>4762</v>
      </c>
      <c r="D1273" s="60">
        <v>17.899999999999999</v>
      </c>
      <c r="E1273" s="60">
        <v>-1.92</v>
      </c>
      <c r="F1273" s="60">
        <v>117</v>
      </c>
      <c r="G1273" s="60">
        <v>0.06</v>
      </c>
      <c r="H1273" s="60">
        <v>2.83</v>
      </c>
      <c r="I1273" s="60">
        <v>7.39</v>
      </c>
      <c r="J1273" s="60">
        <v>0</v>
      </c>
      <c r="O1273" s="60" t="s">
        <v>2264</v>
      </c>
      <c r="P1273" s="60" t="s">
        <v>2539</v>
      </c>
      <c r="Q1273" s="60" t="s">
        <v>4762</v>
      </c>
      <c r="R1273" s="60">
        <v>17.899999999999999</v>
      </c>
      <c r="S1273" s="60">
        <v>-1.92</v>
      </c>
      <c r="T1273" s="60">
        <v>117</v>
      </c>
      <c r="U1273" s="60">
        <v>41.33</v>
      </c>
    </row>
    <row r="1274" spans="1:21">
      <c r="A1274" s="60" t="s">
        <v>2266</v>
      </c>
      <c r="B1274" s="60" t="s">
        <v>2541</v>
      </c>
      <c r="C1274" s="60" t="s">
        <v>4763</v>
      </c>
      <c r="D1274" s="60">
        <v>31.15</v>
      </c>
      <c r="E1274" s="60">
        <v>0.97</v>
      </c>
      <c r="F1274" s="60">
        <v>828</v>
      </c>
      <c r="G1274" s="60">
        <v>0.15</v>
      </c>
      <c r="H1274" s="60">
        <v>8.11</v>
      </c>
      <c r="I1274" s="60">
        <v>11.63</v>
      </c>
      <c r="J1274" s="60">
        <v>0</v>
      </c>
      <c r="O1274" s="60" t="s">
        <v>2266</v>
      </c>
      <c r="P1274" s="60" t="s">
        <v>2541</v>
      </c>
      <c r="Q1274" s="60" t="s">
        <v>4763</v>
      </c>
      <c r="R1274" s="60">
        <v>31.15</v>
      </c>
      <c r="S1274" s="60">
        <v>0.97</v>
      </c>
      <c r="T1274" s="60">
        <v>828</v>
      </c>
      <c r="U1274" s="60">
        <v>38.25</v>
      </c>
    </row>
    <row r="1275" spans="1:21">
      <c r="A1275" s="60" t="s">
        <v>2268</v>
      </c>
      <c r="B1275" s="60" t="s">
        <v>2543</v>
      </c>
      <c r="C1275" s="60" t="s">
        <v>4843</v>
      </c>
      <c r="D1275" s="60">
        <v>20.8</v>
      </c>
      <c r="E1275" s="60">
        <v>1.96</v>
      </c>
      <c r="F1275" s="60">
        <v>1510</v>
      </c>
      <c r="G1275" s="60">
        <v>2.94</v>
      </c>
      <c r="H1275" s="60">
        <v>3.55</v>
      </c>
      <c r="I1275" s="60">
        <v>29.13</v>
      </c>
      <c r="J1275" s="60">
        <v>0</v>
      </c>
      <c r="O1275" s="60" t="s">
        <v>2268</v>
      </c>
      <c r="P1275" s="60" t="s">
        <v>2543</v>
      </c>
      <c r="Q1275" s="60" t="s">
        <v>4843</v>
      </c>
      <c r="R1275" s="60">
        <v>20.8</v>
      </c>
      <c r="S1275" s="60">
        <v>1.96</v>
      </c>
      <c r="T1275" s="60">
        <v>1510</v>
      </c>
      <c r="U1275" s="60">
        <v>31.63</v>
      </c>
    </row>
    <row r="1276" spans="1:21">
      <c r="A1276" s="60" t="s">
        <v>2269</v>
      </c>
      <c r="B1276" s="60" t="s">
        <v>2545</v>
      </c>
      <c r="C1276" s="60" t="s">
        <v>4092</v>
      </c>
      <c r="D1276" s="60">
        <v>14.6</v>
      </c>
      <c r="E1276" s="60">
        <v>2.82</v>
      </c>
      <c r="F1276" s="60">
        <v>1371</v>
      </c>
      <c r="G1276" s="60">
        <v>0.77</v>
      </c>
      <c r="H1276" s="60">
        <v>3.46</v>
      </c>
      <c r="I1276" s="60">
        <v>22.17</v>
      </c>
      <c r="J1276" s="60">
        <v>0</v>
      </c>
      <c r="O1276" s="60" t="s">
        <v>2269</v>
      </c>
      <c r="P1276" s="60" t="s">
        <v>2545</v>
      </c>
      <c r="Q1276" s="60" t="s">
        <v>4092</v>
      </c>
      <c r="R1276" s="60">
        <v>14.6</v>
      </c>
      <c r="S1276" s="60">
        <v>2.82</v>
      </c>
      <c r="T1276" s="60">
        <v>1371</v>
      </c>
      <c r="U1276" s="60">
        <v>18.53</v>
      </c>
    </row>
    <row r="1277" spans="1:21">
      <c r="A1277" s="60" t="s">
        <v>2270</v>
      </c>
      <c r="B1277" s="60" t="s">
        <v>2547</v>
      </c>
      <c r="C1277" s="60" t="s">
        <v>3629</v>
      </c>
      <c r="D1277" s="60">
        <v>37.35</v>
      </c>
      <c r="E1277" s="60">
        <v>0.4</v>
      </c>
      <c r="F1277" s="60">
        <v>342</v>
      </c>
      <c r="G1277" s="60">
        <v>1.05</v>
      </c>
      <c r="H1277" s="60">
        <v>1.25</v>
      </c>
      <c r="I1277" s="60">
        <v>25.27</v>
      </c>
      <c r="J1277" s="60">
        <v>0.11</v>
      </c>
      <c r="O1277" s="60" t="s">
        <v>2270</v>
      </c>
      <c r="P1277" s="60" t="s">
        <v>2547</v>
      </c>
      <c r="Q1277" s="60" t="s">
        <v>3629</v>
      </c>
      <c r="R1277" s="60">
        <v>37.35</v>
      </c>
      <c r="S1277" s="60">
        <v>0.4</v>
      </c>
      <c r="T1277" s="60">
        <v>342</v>
      </c>
      <c r="U1277" s="60">
        <v>5.26</v>
      </c>
    </row>
    <row r="1278" spans="1:21">
      <c r="A1278" s="60" t="s">
        <v>2272</v>
      </c>
      <c r="B1278" s="60" t="s">
        <v>2549</v>
      </c>
      <c r="C1278" s="60" t="s">
        <v>4038</v>
      </c>
      <c r="D1278" s="60">
        <v>66.7</v>
      </c>
      <c r="E1278" s="60">
        <v>-0.45</v>
      </c>
      <c r="F1278" s="60">
        <v>82</v>
      </c>
      <c r="G1278" s="60">
        <v>0.02</v>
      </c>
      <c r="H1278" s="60">
        <v>10.1</v>
      </c>
      <c r="I1278" s="60">
        <v>6.95</v>
      </c>
      <c r="J1278" s="60">
        <v>0</v>
      </c>
      <c r="O1278" s="60" t="s">
        <v>2272</v>
      </c>
      <c r="P1278" s="60" t="s">
        <v>2549</v>
      </c>
      <c r="Q1278" s="60" t="s">
        <v>4038</v>
      </c>
      <c r="R1278" s="60">
        <v>66.7</v>
      </c>
      <c r="S1278" s="60">
        <v>-0.45</v>
      </c>
      <c r="T1278" s="60">
        <v>82</v>
      </c>
      <c r="U1278" s="60">
        <v>75.22</v>
      </c>
    </row>
    <row r="1279" spans="1:21">
      <c r="A1279" s="60" t="s">
        <v>2273</v>
      </c>
      <c r="B1279" s="60" t="s">
        <v>3313</v>
      </c>
      <c r="C1279" s="60" t="s">
        <v>4805</v>
      </c>
      <c r="D1279" s="60">
        <v>12.25</v>
      </c>
      <c r="E1279" s="60">
        <v>9.8699999999999992</v>
      </c>
      <c r="F1279" s="60">
        <v>6855</v>
      </c>
      <c r="G1279" s="60">
        <v>0</v>
      </c>
      <c r="H1279" s="60">
        <v>4.21</v>
      </c>
      <c r="I1279" s="60">
        <v>0</v>
      </c>
      <c r="J1279" s="60">
        <v>0</v>
      </c>
      <c r="O1279" s="60" t="s">
        <v>2273</v>
      </c>
      <c r="P1279" s="60" t="s">
        <v>3313</v>
      </c>
      <c r="Q1279" s="60" t="s">
        <v>4805</v>
      </c>
      <c r="R1279" s="60">
        <v>12.25</v>
      </c>
      <c r="S1279" s="60">
        <v>9.8699999999999992</v>
      </c>
      <c r="T1279" s="60">
        <v>6855</v>
      </c>
      <c r="U1279" s="60">
        <v>40.47</v>
      </c>
    </row>
    <row r="1280" spans="1:21">
      <c r="A1280" s="60" t="s">
        <v>2274</v>
      </c>
      <c r="B1280" s="60" t="s">
        <v>2552</v>
      </c>
      <c r="C1280" s="60" t="s">
        <v>4093</v>
      </c>
      <c r="D1280" s="60">
        <v>27.7</v>
      </c>
      <c r="E1280" s="60">
        <v>0.36</v>
      </c>
      <c r="F1280" s="60">
        <v>3051</v>
      </c>
      <c r="G1280" s="60">
        <v>7.0000000000000007E-2</v>
      </c>
      <c r="H1280" s="60">
        <v>4.0999999999999996</v>
      </c>
      <c r="I1280" s="60">
        <v>16.670000000000002</v>
      </c>
      <c r="J1280" s="60">
        <v>0.01</v>
      </c>
      <c r="O1280" s="60" t="s">
        <v>2274</v>
      </c>
      <c r="P1280" s="60" t="s">
        <v>2552</v>
      </c>
      <c r="Q1280" s="60" t="s">
        <v>4093</v>
      </c>
      <c r="R1280" s="60">
        <v>27.7</v>
      </c>
      <c r="S1280" s="60">
        <v>0.36</v>
      </c>
      <c r="T1280" s="60">
        <v>3051</v>
      </c>
      <c r="U1280" s="60">
        <v>42.86</v>
      </c>
    </row>
    <row r="1281" spans="1:21">
      <c r="A1281" s="60" t="s">
        <v>2276</v>
      </c>
      <c r="B1281" s="60" t="s">
        <v>3314</v>
      </c>
      <c r="C1281" s="60" t="s">
        <v>5187</v>
      </c>
      <c r="D1281" s="60">
        <v>22.75</v>
      </c>
      <c r="E1281" s="60">
        <v>0</v>
      </c>
      <c r="F1281" s="60">
        <v>55</v>
      </c>
      <c r="G1281" s="60">
        <v>0</v>
      </c>
      <c r="H1281" s="60">
        <v>0.82</v>
      </c>
      <c r="I1281" s="60">
        <v>0</v>
      </c>
      <c r="J1281" s="60">
        <v>0</v>
      </c>
      <c r="O1281" s="60" t="s">
        <v>2276</v>
      </c>
      <c r="P1281" s="60" t="s">
        <v>3314</v>
      </c>
      <c r="Q1281" s="60" t="s">
        <v>5187</v>
      </c>
      <c r="R1281" s="60">
        <v>22.75</v>
      </c>
      <c r="S1281" s="60">
        <v>0</v>
      </c>
      <c r="T1281" s="60">
        <v>55</v>
      </c>
      <c r="U1281" s="60">
        <v>26.45</v>
      </c>
    </row>
    <row r="1282" spans="1:21">
      <c r="A1282" s="60" t="s">
        <v>2277</v>
      </c>
      <c r="B1282" s="60" t="s">
        <v>2554</v>
      </c>
      <c r="C1282" s="60" t="s">
        <v>4844</v>
      </c>
      <c r="D1282" s="60">
        <v>46.1</v>
      </c>
      <c r="E1282" s="60">
        <v>-2.02</v>
      </c>
      <c r="F1282" s="60">
        <v>1593</v>
      </c>
      <c r="G1282" s="60">
        <v>5.25</v>
      </c>
      <c r="H1282" s="60">
        <v>5.05</v>
      </c>
      <c r="I1282" s="60">
        <v>29.8</v>
      </c>
      <c r="J1282" s="60">
        <v>0</v>
      </c>
      <c r="O1282" s="60" t="s">
        <v>2277</v>
      </c>
      <c r="P1282" s="60" t="s">
        <v>2554</v>
      </c>
      <c r="Q1282" s="60" t="s">
        <v>4844</v>
      </c>
      <c r="R1282" s="60">
        <v>46.1</v>
      </c>
      <c r="S1282" s="60">
        <v>-2.02</v>
      </c>
      <c r="T1282" s="60">
        <v>1593</v>
      </c>
      <c r="U1282" s="60">
        <v>50.51</v>
      </c>
    </row>
    <row r="1283" spans="1:21">
      <c r="A1283" s="60" t="s">
        <v>2279</v>
      </c>
      <c r="B1283" s="60" t="s">
        <v>2556</v>
      </c>
      <c r="C1283" s="60" t="s">
        <v>5512</v>
      </c>
      <c r="D1283" s="60">
        <v>28.35</v>
      </c>
      <c r="E1283" s="60">
        <v>-0.18</v>
      </c>
      <c r="F1283" s="60">
        <v>122</v>
      </c>
      <c r="G1283" s="60">
        <v>0.01</v>
      </c>
      <c r="H1283" s="60">
        <v>1.32</v>
      </c>
      <c r="I1283" s="60">
        <v>2.87</v>
      </c>
      <c r="J1283" s="60">
        <v>0</v>
      </c>
      <c r="O1283" s="60" t="s">
        <v>2279</v>
      </c>
      <c r="P1283" s="60" t="s">
        <v>2556</v>
      </c>
      <c r="Q1283" s="60" t="s">
        <v>5512</v>
      </c>
      <c r="R1283" s="60">
        <v>28.35</v>
      </c>
      <c r="S1283" s="60">
        <v>-0.18</v>
      </c>
      <c r="T1283" s="60">
        <v>122</v>
      </c>
      <c r="U1283" s="60">
        <v>76.44</v>
      </c>
    </row>
    <row r="1284" spans="1:21">
      <c r="A1284" s="60" t="s">
        <v>2281</v>
      </c>
      <c r="B1284" s="60" t="s">
        <v>2559</v>
      </c>
      <c r="C1284" s="60" t="s">
        <v>4926</v>
      </c>
      <c r="D1284" s="60">
        <v>62.9</v>
      </c>
      <c r="E1284" s="60">
        <v>0.16</v>
      </c>
      <c r="F1284" s="60">
        <v>2437</v>
      </c>
      <c r="G1284" s="60">
        <v>0.14000000000000001</v>
      </c>
      <c r="H1284" s="60">
        <v>2.97</v>
      </c>
      <c r="I1284" s="60">
        <v>17.48</v>
      </c>
      <c r="J1284" s="60">
        <v>0</v>
      </c>
      <c r="O1284" s="60" t="s">
        <v>2281</v>
      </c>
      <c r="P1284" s="60" t="s">
        <v>2559</v>
      </c>
      <c r="Q1284" s="60" t="s">
        <v>4926</v>
      </c>
      <c r="R1284" s="60">
        <v>62.9</v>
      </c>
      <c r="S1284" s="60">
        <v>0.16</v>
      </c>
      <c r="T1284" s="60">
        <v>2437</v>
      </c>
      <c r="U1284" s="60">
        <v>45.89</v>
      </c>
    </row>
    <row r="1285" spans="1:21">
      <c r="A1285" s="60" t="s">
        <v>2282</v>
      </c>
      <c r="B1285" s="60" t="s">
        <v>2561</v>
      </c>
      <c r="C1285" s="60" t="s">
        <v>4927</v>
      </c>
      <c r="D1285" s="60">
        <v>33.799999999999997</v>
      </c>
      <c r="E1285" s="60">
        <v>1.35</v>
      </c>
      <c r="F1285" s="60">
        <v>969</v>
      </c>
      <c r="G1285" s="60">
        <v>0.72</v>
      </c>
      <c r="H1285" s="60">
        <v>6.81</v>
      </c>
      <c r="I1285" s="60">
        <v>12.24</v>
      </c>
      <c r="J1285" s="60">
        <v>0</v>
      </c>
      <c r="O1285" s="60" t="s">
        <v>2282</v>
      </c>
      <c r="P1285" s="60" t="s">
        <v>2561</v>
      </c>
      <c r="Q1285" s="60" t="s">
        <v>4927</v>
      </c>
      <c r="R1285" s="60">
        <v>33.799999999999997</v>
      </c>
      <c r="S1285" s="60">
        <v>1.35</v>
      </c>
      <c r="T1285" s="60">
        <v>969</v>
      </c>
      <c r="U1285" s="60">
        <v>57.15</v>
      </c>
    </row>
    <row r="1286" spans="1:21">
      <c r="A1286" s="60" t="s">
        <v>2283</v>
      </c>
      <c r="B1286" s="60" t="s">
        <v>2563</v>
      </c>
      <c r="C1286" s="60" t="s">
        <v>4928</v>
      </c>
      <c r="D1286" s="60">
        <v>46.7</v>
      </c>
      <c r="E1286" s="60">
        <v>5.66</v>
      </c>
      <c r="F1286" s="60">
        <v>3815</v>
      </c>
      <c r="G1286" s="60">
        <v>0.14000000000000001</v>
      </c>
      <c r="H1286" s="60">
        <v>17.86</v>
      </c>
      <c r="I1286" s="60">
        <v>14</v>
      </c>
      <c r="J1286" s="60">
        <v>0.43</v>
      </c>
      <c r="O1286" s="60" t="s">
        <v>2283</v>
      </c>
      <c r="P1286" s="60" t="s">
        <v>2563</v>
      </c>
      <c r="Q1286" s="60" t="s">
        <v>4928</v>
      </c>
      <c r="R1286" s="60">
        <v>46.7</v>
      </c>
      <c r="S1286" s="60">
        <v>5.66</v>
      </c>
      <c r="T1286" s="60">
        <v>3815</v>
      </c>
      <c r="U1286" s="60">
        <v>59.42</v>
      </c>
    </row>
    <row r="1287" spans="1:21">
      <c r="A1287" s="60" t="s">
        <v>2284</v>
      </c>
      <c r="B1287" s="60" t="s">
        <v>2565</v>
      </c>
      <c r="C1287" s="60" t="s">
        <v>4094</v>
      </c>
      <c r="D1287" s="60">
        <v>100</v>
      </c>
      <c r="E1287" s="60">
        <v>0.3</v>
      </c>
      <c r="F1287" s="60">
        <v>1601</v>
      </c>
      <c r="G1287" s="60">
        <v>0.04</v>
      </c>
      <c r="H1287" s="60">
        <v>46.35</v>
      </c>
      <c r="I1287" s="60">
        <v>3.53</v>
      </c>
      <c r="J1287" s="60">
        <v>4.34</v>
      </c>
      <c r="O1287" s="60" t="s">
        <v>2284</v>
      </c>
      <c r="P1287" s="60" t="s">
        <v>2565</v>
      </c>
      <c r="Q1287" s="60" t="s">
        <v>4094</v>
      </c>
      <c r="R1287" s="60">
        <v>100</v>
      </c>
      <c r="S1287" s="60">
        <v>0.3</v>
      </c>
      <c r="T1287" s="60">
        <v>1601</v>
      </c>
      <c r="U1287" s="60">
        <v>48.62</v>
      </c>
    </row>
    <row r="1288" spans="1:21">
      <c r="A1288" s="60" t="s">
        <v>2285</v>
      </c>
      <c r="B1288" s="60" t="s">
        <v>2567</v>
      </c>
      <c r="C1288" s="60" t="s">
        <v>4343</v>
      </c>
      <c r="D1288" s="60">
        <v>30.05</v>
      </c>
      <c r="E1288" s="60">
        <v>-0.17</v>
      </c>
      <c r="F1288" s="60">
        <v>382</v>
      </c>
      <c r="G1288" s="60">
        <v>0</v>
      </c>
      <c r="H1288" s="60">
        <v>2.04</v>
      </c>
      <c r="I1288" s="60">
        <v>7.07</v>
      </c>
      <c r="J1288" s="60">
        <v>0</v>
      </c>
      <c r="O1288" s="60" t="s">
        <v>2285</v>
      </c>
      <c r="P1288" s="60" t="s">
        <v>2567</v>
      </c>
      <c r="Q1288" s="60" t="s">
        <v>4343</v>
      </c>
      <c r="R1288" s="60">
        <v>30.05</v>
      </c>
      <c r="S1288" s="60">
        <v>-0.17</v>
      </c>
      <c r="T1288" s="60">
        <v>382</v>
      </c>
      <c r="U1288" s="60">
        <v>68.760000000000005</v>
      </c>
    </row>
    <row r="1289" spans="1:21">
      <c r="A1289" s="60" t="s">
        <v>2286</v>
      </c>
      <c r="B1289" s="60" t="s">
        <v>2569</v>
      </c>
      <c r="C1289" s="60" t="s">
        <v>5140</v>
      </c>
      <c r="D1289" s="60">
        <v>31.05</v>
      </c>
      <c r="E1289" s="60">
        <v>1.1399999999999999</v>
      </c>
      <c r="F1289" s="60">
        <v>231</v>
      </c>
      <c r="G1289" s="60">
        <v>0.01</v>
      </c>
      <c r="H1289" s="60">
        <v>1.03</v>
      </c>
      <c r="I1289" s="60">
        <v>20.43</v>
      </c>
      <c r="J1289" s="60">
        <v>0</v>
      </c>
      <c r="O1289" s="60" t="s">
        <v>2286</v>
      </c>
      <c r="P1289" s="60" t="s">
        <v>2569</v>
      </c>
      <c r="Q1289" s="60" t="s">
        <v>5140</v>
      </c>
      <c r="R1289" s="60">
        <v>31.05</v>
      </c>
      <c r="S1289" s="60">
        <v>1.1399999999999999</v>
      </c>
      <c r="T1289" s="60">
        <v>231</v>
      </c>
      <c r="U1289" s="60">
        <v>45.15</v>
      </c>
    </row>
    <row r="1290" spans="1:21">
      <c r="A1290" s="60" t="s">
        <v>2288</v>
      </c>
      <c r="B1290" s="60" t="s">
        <v>2571</v>
      </c>
      <c r="C1290" s="60" t="s">
        <v>5188</v>
      </c>
      <c r="D1290" s="60">
        <v>61.4</v>
      </c>
      <c r="E1290" s="60">
        <v>0.49</v>
      </c>
      <c r="F1290" s="60">
        <v>667</v>
      </c>
      <c r="G1290" s="60">
        <v>0.42</v>
      </c>
      <c r="H1290" s="60">
        <v>15.1</v>
      </c>
      <c r="I1290" s="60">
        <v>7.59</v>
      </c>
      <c r="J1290" s="60">
        <v>0</v>
      </c>
      <c r="O1290" s="60" t="s">
        <v>2288</v>
      </c>
      <c r="P1290" s="60" t="s">
        <v>2571</v>
      </c>
      <c r="Q1290" s="60" t="s">
        <v>5188</v>
      </c>
      <c r="R1290" s="60">
        <v>61.4</v>
      </c>
      <c r="S1290" s="60">
        <v>0.49</v>
      </c>
      <c r="T1290" s="60">
        <v>667</v>
      </c>
      <c r="U1290" s="60">
        <v>40.24</v>
      </c>
    </row>
    <row r="1291" spans="1:21">
      <c r="A1291" s="60" t="s">
        <v>2290</v>
      </c>
      <c r="B1291" s="60" t="s">
        <v>2573</v>
      </c>
      <c r="C1291" s="60" t="s">
        <v>4699</v>
      </c>
      <c r="D1291" s="60">
        <v>71.2</v>
      </c>
      <c r="E1291" s="60">
        <v>5.79</v>
      </c>
      <c r="F1291" s="60">
        <v>66565</v>
      </c>
      <c r="G1291" s="60">
        <v>1.41</v>
      </c>
      <c r="H1291" s="60">
        <v>23.52</v>
      </c>
      <c r="I1291" s="60">
        <v>28.41</v>
      </c>
      <c r="J1291" s="60">
        <v>8.57</v>
      </c>
      <c r="O1291" s="60" t="s">
        <v>2290</v>
      </c>
      <c r="P1291" s="60" t="s">
        <v>2573</v>
      </c>
      <c r="Q1291" s="60" t="s">
        <v>4699</v>
      </c>
      <c r="R1291" s="60">
        <v>71.2</v>
      </c>
      <c r="S1291" s="60">
        <v>5.79</v>
      </c>
      <c r="T1291" s="60">
        <v>66565</v>
      </c>
      <c r="U1291" s="60">
        <v>35.869999999999997</v>
      </c>
    </row>
    <row r="1292" spans="1:21">
      <c r="A1292" s="60" t="s">
        <v>2292</v>
      </c>
      <c r="B1292" s="60" t="s">
        <v>2575</v>
      </c>
      <c r="C1292" s="60" t="s">
        <v>4261</v>
      </c>
      <c r="D1292" s="60">
        <v>50</v>
      </c>
      <c r="E1292" s="60">
        <v>0</v>
      </c>
      <c r="F1292" s="60">
        <v>49</v>
      </c>
      <c r="G1292" s="60">
        <v>0</v>
      </c>
      <c r="H1292" s="60">
        <v>1.02</v>
      </c>
      <c r="I1292" s="60">
        <v>0.64</v>
      </c>
      <c r="J1292" s="60">
        <v>0</v>
      </c>
      <c r="O1292" s="60" t="s">
        <v>2292</v>
      </c>
      <c r="P1292" s="60" t="s">
        <v>2575</v>
      </c>
      <c r="Q1292" s="60" t="s">
        <v>4261</v>
      </c>
      <c r="R1292" s="60">
        <v>50</v>
      </c>
      <c r="S1292" s="60">
        <v>0</v>
      </c>
      <c r="T1292" s="60">
        <v>49</v>
      </c>
      <c r="U1292" s="60">
        <v>67.81</v>
      </c>
    </row>
    <row r="1293" spans="1:21">
      <c r="A1293" s="60" t="s">
        <v>2293</v>
      </c>
      <c r="B1293" s="60" t="s">
        <v>2577</v>
      </c>
      <c r="C1293" s="60" t="s">
        <v>4449</v>
      </c>
      <c r="D1293" s="60">
        <v>43.65</v>
      </c>
      <c r="E1293" s="60">
        <v>-0.23</v>
      </c>
      <c r="F1293" s="60">
        <v>18</v>
      </c>
      <c r="G1293" s="60">
        <v>0</v>
      </c>
      <c r="H1293" s="60">
        <v>2.57</v>
      </c>
      <c r="I1293" s="60">
        <v>0.05</v>
      </c>
      <c r="J1293" s="60">
        <v>0</v>
      </c>
      <c r="O1293" s="60" t="s">
        <v>2293</v>
      </c>
      <c r="P1293" s="60" t="s">
        <v>2577</v>
      </c>
      <c r="Q1293" s="60" t="s">
        <v>4449</v>
      </c>
      <c r="R1293" s="60">
        <v>43.65</v>
      </c>
      <c r="S1293" s="60">
        <v>-0.23</v>
      </c>
      <c r="T1293" s="60">
        <v>18</v>
      </c>
      <c r="U1293" s="60">
        <v>69.900000000000006</v>
      </c>
    </row>
    <row r="1294" spans="1:21">
      <c r="A1294" s="60" t="s">
        <v>2295</v>
      </c>
      <c r="B1294" s="60" t="s">
        <v>2579</v>
      </c>
      <c r="C1294" s="60" t="s">
        <v>4929</v>
      </c>
      <c r="D1294" s="60">
        <v>13.3</v>
      </c>
      <c r="E1294" s="60">
        <v>0.76</v>
      </c>
      <c r="F1294" s="60">
        <v>99</v>
      </c>
      <c r="G1294" s="60">
        <v>0.01</v>
      </c>
      <c r="H1294" s="60">
        <v>1.0900000000000001</v>
      </c>
      <c r="I1294" s="60">
        <v>3.54</v>
      </c>
      <c r="J1294" s="60">
        <v>0</v>
      </c>
      <c r="O1294" s="60" t="s">
        <v>2295</v>
      </c>
      <c r="P1294" s="60" t="s">
        <v>2579</v>
      </c>
      <c r="Q1294" s="60" t="s">
        <v>4929</v>
      </c>
      <c r="R1294" s="60">
        <v>13.3</v>
      </c>
      <c r="S1294" s="60">
        <v>0.76</v>
      </c>
      <c r="T1294" s="60">
        <v>99</v>
      </c>
      <c r="U1294" s="60">
        <v>37.1</v>
      </c>
    </row>
    <row r="1295" spans="1:21">
      <c r="A1295" s="60" t="s">
        <v>2297</v>
      </c>
      <c r="B1295" s="60" t="s">
        <v>2581</v>
      </c>
      <c r="C1295" s="60" t="s">
        <v>5065</v>
      </c>
      <c r="D1295" s="60">
        <v>27.2</v>
      </c>
      <c r="E1295" s="60">
        <v>0.37</v>
      </c>
      <c r="F1295" s="60">
        <v>273</v>
      </c>
      <c r="G1295" s="60">
        <v>0</v>
      </c>
      <c r="H1295" s="60">
        <v>0.7</v>
      </c>
      <c r="I1295" s="60">
        <v>3.74</v>
      </c>
      <c r="J1295" s="60">
        <v>0</v>
      </c>
      <c r="O1295" s="60" t="s">
        <v>2297</v>
      </c>
      <c r="P1295" s="60" t="s">
        <v>2581</v>
      </c>
      <c r="Q1295" s="60" t="s">
        <v>5065</v>
      </c>
      <c r="R1295" s="60">
        <v>27.2</v>
      </c>
      <c r="S1295" s="60">
        <v>0.37</v>
      </c>
      <c r="T1295" s="60">
        <v>273</v>
      </c>
      <c r="U1295" s="60">
        <v>47.6</v>
      </c>
    </row>
    <row r="1296" spans="1:21">
      <c r="A1296" s="60" t="s">
        <v>2298</v>
      </c>
      <c r="B1296" s="60" t="s">
        <v>2583</v>
      </c>
      <c r="C1296" s="60" t="s">
        <v>5033</v>
      </c>
      <c r="D1296" s="60">
        <v>129</v>
      </c>
      <c r="E1296" s="60">
        <v>8.4</v>
      </c>
      <c r="F1296" s="60">
        <v>6195</v>
      </c>
      <c r="G1296" s="60">
        <v>0.49</v>
      </c>
      <c r="H1296" s="60">
        <v>17.98</v>
      </c>
      <c r="I1296" s="60">
        <v>25</v>
      </c>
      <c r="J1296" s="60">
        <v>11.5</v>
      </c>
      <c r="O1296" s="60" t="s">
        <v>2298</v>
      </c>
      <c r="P1296" s="60" t="s">
        <v>2583</v>
      </c>
      <c r="Q1296" s="60" t="s">
        <v>5033</v>
      </c>
      <c r="R1296" s="60">
        <v>129</v>
      </c>
      <c r="S1296" s="60">
        <v>8.4</v>
      </c>
      <c r="T1296" s="60">
        <v>6195</v>
      </c>
      <c r="U1296" s="60">
        <v>34.24</v>
      </c>
    </row>
    <row r="1297" spans="1:21">
      <c r="A1297" s="60" t="s">
        <v>2299</v>
      </c>
      <c r="B1297" s="60" t="s">
        <v>2585</v>
      </c>
      <c r="C1297" s="60" t="s">
        <v>4764</v>
      </c>
      <c r="D1297" s="60">
        <v>40.4</v>
      </c>
      <c r="E1297" s="60">
        <v>1.51</v>
      </c>
      <c r="F1297" s="60">
        <v>1905</v>
      </c>
      <c r="G1297" s="60">
        <v>0.02</v>
      </c>
      <c r="H1297" s="60">
        <v>7.59</v>
      </c>
      <c r="I1297" s="60">
        <v>13.89</v>
      </c>
      <c r="J1297" s="60">
        <v>0.01</v>
      </c>
      <c r="O1297" s="60" t="s">
        <v>2299</v>
      </c>
      <c r="P1297" s="60" t="s">
        <v>2585</v>
      </c>
      <c r="Q1297" s="60" t="s">
        <v>4764</v>
      </c>
      <c r="R1297" s="60">
        <v>40.4</v>
      </c>
      <c r="S1297" s="60">
        <v>1.51</v>
      </c>
      <c r="T1297" s="60">
        <v>1905</v>
      </c>
      <c r="U1297" s="60">
        <v>39.47</v>
      </c>
    </row>
    <row r="1298" spans="1:21">
      <c r="A1298" s="60" t="s">
        <v>2301</v>
      </c>
      <c r="B1298" s="60" t="s">
        <v>2587</v>
      </c>
      <c r="C1298" s="60" t="s">
        <v>4245</v>
      </c>
      <c r="D1298" s="60">
        <v>41.1</v>
      </c>
      <c r="E1298" s="60">
        <v>0.86</v>
      </c>
      <c r="F1298" s="60">
        <v>588</v>
      </c>
      <c r="G1298" s="60">
        <v>0.01</v>
      </c>
      <c r="H1298" s="60">
        <v>6.49</v>
      </c>
      <c r="I1298" s="60">
        <v>0.32</v>
      </c>
      <c r="J1298" s="60">
        <v>0.03</v>
      </c>
      <c r="O1298" s="60" t="s">
        <v>2301</v>
      </c>
      <c r="P1298" s="60" t="s">
        <v>2587</v>
      </c>
      <c r="Q1298" s="60" t="s">
        <v>4245</v>
      </c>
      <c r="R1298" s="60">
        <v>41.1</v>
      </c>
      <c r="S1298" s="60">
        <v>0.86</v>
      </c>
      <c r="T1298" s="60">
        <v>588</v>
      </c>
      <c r="U1298" s="60">
        <v>22.55</v>
      </c>
    </row>
    <row r="1299" spans="1:21">
      <c r="A1299" s="60" t="s">
        <v>2303</v>
      </c>
      <c r="B1299" s="60" t="s">
        <v>2589</v>
      </c>
      <c r="C1299" s="60" t="s">
        <v>4845</v>
      </c>
      <c r="D1299" s="60">
        <v>29.8</v>
      </c>
      <c r="E1299" s="60">
        <v>9.9600000000000009</v>
      </c>
      <c r="F1299" s="60">
        <v>16013</v>
      </c>
      <c r="G1299" s="60">
        <v>3.46</v>
      </c>
      <c r="H1299" s="60">
        <v>1.2</v>
      </c>
      <c r="I1299" s="60">
        <v>16.54</v>
      </c>
      <c r="J1299" s="60">
        <v>0</v>
      </c>
      <c r="O1299" s="60" t="s">
        <v>2303</v>
      </c>
      <c r="P1299" s="60" t="s">
        <v>2589</v>
      </c>
      <c r="Q1299" s="60" t="s">
        <v>4845</v>
      </c>
      <c r="R1299" s="60">
        <v>29.8</v>
      </c>
      <c r="S1299" s="60">
        <v>9.9600000000000009</v>
      </c>
      <c r="T1299" s="60">
        <v>16013</v>
      </c>
      <c r="U1299" s="60">
        <v>43.4</v>
      </c>
    </row>
    <row r="1300" spans="1:21">
      <c r="A1300" s="60" t="s">
        <v>2305</v>
      </c>
      <c r="B1300" s="60" t="s">
        <v>2591</v>
      </c>
      <c r="C1300" s="60" t="s">
        <v>4215</v>
      </c>
      <c r="D1300" s="60">
        <v>38</v>
      </c>
      <c r="E1300" s="60">
        <v>2.15</v>
      </c>
      <c r="F1300" s="60">
        <v>4335</v>
      </c>
      <c r="G1300" s="60">
        <v>0.03</v>
      </c>
      <c r="H1300" s="60">
        <v>11.15</v>
      </c>
      <c r="I1300" s="60">
        <v>13.38</v>
      </c>
      <c r="J1300" s="60">
        <v>0</v>
      </c>
      <c r="O1300" s="60" t="s">
        <v>2305</v>
      </c>
      <c r="P1300" s="60" t="s">
        <v>2591</v>
      </c>
      <c r="Q1300" s="60" t="s">
        <v>4215</v>
      </c>
      <c r="R1300" s="60">
        <v>38</v>
      </c>
      <c r="S1300" s="60">
        <v>2.15</v>
      </c>
      <c r="T1300" s="60">
        <v>4335</v>
      </c>
      <c r="U1300" s="60">
        <v>54.74</v>
      </c>
    </row>
    <row r="1301" spans="1:21">
      <c r="A1301" s="60" t="s">
        <v>2307</v>
      </c>
      <c r="B1301" s="60" t="s">
        <v>2593</v>
      </c>
      <c r="C1301" s="60" t="s">
        <v>4287</v>
      </c>
      <c r="D1301" s="60">
        <v>69.8</v>
      </c>
      <c r="E1301" s="60">
        <v>1.31</v>
      </c>
      <c r="F1301" s="60">
        <v>137</v>
      </c>
      <c r="G1301" s="60">
        <v>0</v>
      </c>
      <c r="H1301" s="60">
        <v>25.91</v>
      </c>
      <c r="I1301" s="60">
        <v>0.34</v>
      </c>
      <c r="J1301" s="60">
        <v>0</v>
      </c>
      <c r="O1301" s="60" t="s">
        <v>2307</v>
      </c>
      <c r="P1301" s="60" t="s">
        <v>2593</v>
      </c>
      <c r="Q1301" s="60" t="s">
        <v>4287</v>
      </c>
      <c r="R1301" s="60">
        <v>69.8</v>
      </c>
      <c r="S1301" s="60">
        <v>1.31</v>
      </c>
      <c r="T1301" s="60">
        <v>137</v>
      </c>
      <c r="U1301" s="60">
        <v>50.58</v>
      </c>
    </row>
    <row r="1302" spans="1:21">
      <c r="A1302" s="60" t="s">
        <v>2309</v>
      </c>
      <c r="B1302" s="60" t="s">
        <v>2595</v>
      </c>
      <c r="C1302" s="60" t="s">
        <v>4930</v>
      </c>
      <c r="D1302" s="60">
        <v>25.1</v>
      </c>
      <c r="E1302" s="60">
        <v>-0.2</v>
      </c>
      <c r="F1302" s="60">
        <v>24</v>
      </c>
      <c r="G1302" s="60">
        <v>0</v>
      </c>
      <c r="H1302" s="60">
        <v>0.64</v>
      </c>
      <c r="I1302" s="60">
        <v>7.45</v>
      </c>
      <c r="J1302" s="60">
        <v>0.11</v>
      </c>
      <c r="O1302" s="60" t="s">
        <v>2309</v>
      </c>
      <c r="P1302" s="60" t="s">
        <v>2595</v>
      </c>
      <c r="Q1302" s="60" t="s">
        <v>4930</v>
      </c>
      <c r="R1302" s="60">
        <v>25.1</v>
      </c>
      <c r="S1302" s="60">
        <v>-0.2</v>
      </c>
      <c r="T1302" s="60">
        <v>24</v>
      </c>
      <c r="U1302" s="60">
        <v>49.87</v>
      </c>
    </row>
    <row r="1303" spans="1:21">
      <c r="A1303" s="60" t="s">
        <v>2311</v>
      </c>
      <c r="B1303" s="60" t="s">
        <v>2597</v>
      </c>
      <c r="C1303" s="60" t="s">
        <v>5117</v>
      </c>
      <c r="D1303" s="60">
        <v>53.2</v>
      </c>
      <c r="E1303" s="60">
        <v>-0.56000000000000005</v>
      </c>
      <c r="F1303" s="60">
        <v>23</v>
      </c>
      <c r="G1303" s="60">
        <v>0.03</v>
      </c>
      <c r="H1303" s="60">
        <v>46.67</v>
      </c>
      <c r="I1303" s="60">
        <v>3.44</v>
      </c>
      <c r="J1303" s="60">
        <v>0</v>
      </c>
      <c r="O1303" s="60" t="s">
        <v>2311</v>
      </c>
      <c r="P1303" s="60" t="s">
        <v>2597</v>
      </c>
      <c r="Q1303" s="60" t="s">
        <v>5117</v>
      </c>
      <c r="R1303" s="60">
        <v>53.2</v>
      </c>
      <c r="S1303" s="60">
        <v>-0.56000000000000005</v>
      </c>
      <c r="T1303" s="60">
        <v>23</v>
      </c>
      <c r="U1303" s="60">
        <v>52.96</v>
      </c>
    </row>
    <row r="1304" spans="1:21">
      <c r="A1304" s="60" t="s">
        <v>2313</v>
      </c>
      <c r="B1304" s="60" t="s">
        <v>2599</v>
      </c>
      <c r="C1304" s="60" t="s">
        <v>4288</v>
      </c>
      <c r="D1304" s="60">
        <v>150</v>
      </c>
      <c r="E1304" s="60">
        <v>0.33</v>
      </c>
      <c r="F1304" s="60">
        <v>3705</v>
      </c>
      <c r="G1304" s="60">
        <v>3.39</v>
      </c>
      <c r="H1304" s="60">
        <v>8.82</v>
      </c>
      <c r="I1304" s="60">
        <v>7.25</v>
      </c>
      <c r="J1304" s="60">
        <v>7.0000000000000007E-2</v>
      </c>
      <c r="O1304" s="60" t="s">
        <v>2313</v>
      </c>
      <c r="P1304" s="60" t="s">
        <v>2599</v>
      </c>
      <c r="Q1304" s="60" t="s">
        <v>4288</v>
      </c>
      <c r="R1304" s="60">
        <v>150</v>
      </c>
      <c r="S1304" s="60">
        <v>0.33</v>
      </c>
      <c r="T1304" s="60">
        <v>3705</v>
      </c>
      <c r="U1304" s="60">
        <v>69.900000000000006</v>
      </c>
    </row>
    <row r="1305" spans="1:21">
      <c r="A1305" s="60" t="s">
        <v>2315</v>
      </c>
      <c r="B1305" s="60" t="s">
        <v>2601</v>
      </c>
      <c r="C1305" s="60" t="s">
        <v>4216</v>
      </c>
      <c r="D1305" s="60">
        <v>37.299999999999997</v>
      </c>
      <c r="E1305" s="60">
        <v>0.13</v>
      </c>
      <c r="F1305" s="60">
        <v>112</v>
      </c>
      <c r="G1305" s="60">
        <v>0.01</v>
      </c>
      <c r="H1305" s="60">
        <v>7.81</v>
      </c>
      <c r="I1305" s="60">
        <v>6.33</v>
      </c>
      <c r="J1305" s="60">
        <v>0</v>
      </c>
      <c r="O1305" s="60" t="s">
        <v>2315</v>
      </c>
      <c r="P1305" s="60" t="s">
        <v>2601</v>
      </c>
      <c r="Q1305" s="60" t="s">
        <v>4216</v>
      </c>
      <c r="R1305" s="60">
        <v>37.299999999999997</v>
      </c>
      <c r="S1305" s="60">
        <v>0.13</v>
      </c>
      <c r="T1305" s="60">
        <v>112</v>
      </c>
      <c r="U1305" s="60">
        <v>39.65</v>
      </c>
    </row>
    <row r="1306" spans="1:21">
      <c r="A1306" s="60" t="s">
        <v>2317</v>
      </c>
      <c r="B1306" s="60" t="s">
        <v>3315</v>
      </c>
      <c r="C1306" s="60" t="s">
        <v>4700</v>
      </c>
      <c r="D1306" s="60">
        <v>35.75</v>
      </c>
      <c r="E1306" s="60">
        <v>-0.83</v>
      </c>
      <c r="F1306" s="60">
        <v>6</v>
      </c>
      <c r="G1306" s="60">
        <v>0</v>
      </c>
      <c r="H1306" s="60">
        <v>4.18</v>
      </c>
      <c r="I1306" s="60">
        <v>0</v>
      </c>
      <c r="J1306" s="60">
        <v>0</v>
      </c>
      <c r="O1306" s="60" t="s">
        <v>2317</v>
      </c>
      <c r="P1306" s="60" t="s">
        <v>3315</v>
      </c>
      <c r="Q1306" s="60" t="s">
        <v>4700</v>
      </c>
      <c r="R1306" s="60">
        <v>35.75</v>
      </c>
      <c r="S1306" s="60">
        <v>-0.83</v>
      </c>
      <c r="T1306" s="60">
        <v>6</v>
      </c>
      <c r="U1306" s="60">
        <v>69.209999999999994</v>
      </c>
    </row>
    <row r="1307" spans="1:21">
      <c r="A1307" s="60" t="s">
        <v>2319</v>
      </c>
      <c r="B1307" s="60" t="s">
        <v>3316</v>
      </c>
      <c r="C1307" s="60" t="s">
        <v>5141</v>
      </c>
      <c r="D1307" s="60">
        <v>15.35</v>
      </c>
      <c r="E1307" s="60">
        <v>-1.29</v>
      </c>
      <c r="F1307" s="60">
        <v>13</v>
      </c>
      <c r="G1307" s="60">
        <v>0</v>
      </c>
      <c r="H1307" s="60">
        <v>4.72</v>
      </c>
      <c r="I1307" s="60">
        <v>0</v>
      </c>
      <c r="J1307" s="60">
        <v>0</v>
      </c>
      <c r="O1307" s="60" t="s">
        <v>2319</v>
      </c>
      <c r="P1307" s="60" t="s">
        <v>3316</v>
      </c>
      <c r="Q1307" s="60" t="s">
        <v>5141</v>
      </c>
      <c r="R1307" s="60">
        <v>15.35</v>
      </c>
      <c r="S1307" s="60">
        <v>-1.29</v>
      </c>
      <c r="T1307" s="60">
        <v>13</v>
      </c>
      <c r="U1307" s="60">
        <v>82.87</v>
      </c>
    </row>
    <row r="1308" spans="1:21">
      <c r="A1308" s="60" t="s">
        <v>2321</v>
      </c>
      <c r="B1308" s="60" t="s">
        <v>2603</v>
      </c>
      <c r="C1308" s="60" t="s">
        <v>4289</v>
      </c>
      <c r="D1308" s="60">
        <v>43.95</v>
      </c>
      <c r="E1308" s="60">
        <v>0.8</v>
      </c>
      <c r="F1308" s="60">
        <v>28</v>
      </c>
      <c r="G1308" s="60">
        <v>0</v>
      </c>
      <c r="H1308" s="60">
        <v>0.46</v>
      </c>
      <c r="I1308" s="60">
        <v>0.35</v>
      </c>
      <c r="J1308" s="60">
        <v>0</v>
      </c>
      <c r="O1308" s="60" t="s">
        <v>2321</v>
      </c>
      <c r="P1308" s="60" t="s">
        <v>2603</v>
      </c>
      <c r="Q1308" s="60" t="s">
        <v>4289</v>
      </c>
      <c r="R1308" s="60">
        <v>43.95</v>
      </c>
      <c r="S1308" s="60">
        <v>0.8</v>
      </c>
      <c r="T1308" s="60">
        <v>28</v>
      </c>
      <c r="U1308" s="60">
        <v>63.76</v>
      </c>
    </row>
    <row r="1309" spans="1:21">
      <c r="A1309" s="60" t="s">
        <v>2323</v>
      </c>
      <c r="B1309" s="60" t="s">
        <v>2605</v>
      </c>
      <c r="C1309" s="60" t="s">
        <v>3984</v>
      </c>
      <c r="D1309" s="60">
        <v>110.5</v>
      </c>
      <c r="E1309" s="60">
        <v>0.91</v>
      </c>
      <c r="F1309" s="60">
        <v>1684</v>
      </c>
      <c r="G1309" s="60">
        <v>0.38</v>
      </c>
      <c r="H1309" s="60">
        <v>25.28</v>
      </c>
      <c r="I1309" s="60">
        <v>14.67</v>
      </c>
      <c r="J1309" s="60">
        <v>0.49</v>
      </c>
      <c r="O1309" s="60" t="s">
        <v>2323</v>
      </c>
      <c r="P1309" s="60" t="s">
        <v>2605</v>
      </c>
      <c r="Q1309" s="60" t="s">
        <v>3984</v>
      </c>
      <c r="R1309" s="60">
        <v>110.5</v>
      </c>
      <c r="S1309" s="60">
        <v>0.91</v>
      </c>
      <c r="T1309" s="60">
        <v>1684</v>
      </c>
      <c r="U1309" s="60">
        <v>49.67</v>
      </c>
    </row>
    <row r="1310" spans="1:21">
      <c r="A1310" s="60" t="s">
        <v>2325</v>
      </c>
      <c r="B1310" s="60" t="s">
        <v>2607</v>
      </c>
      <c r="C1310" s="60" t="s">
        <v>4931</v>
      </c>
      <c r="D1310" s="60">
        <v>85.1</v>
      </c>
      <c r="E1310" s="60">
        <v>3.15</v>
      </c>
      <c r="F1310" s="60">
        <v>237</v>
      </c>
      <c r="G1310" s="60">
        <v>0.26</v>
      </c>
      <c r="H1310" s="60">
        <v>1.42</v>
      </c>
      <c r="I1310" s="60">
        <v>11.79</v>
      </c>
      <c r="J1310" s="60">
        <v>0</v>
      </c>
      <c r="O1310" s="60" t="s">
        <v>2325</v>
      </c>
      <c r="P1310" s="60" t="s">
        <v>2607</v>
      </c>
      <c r="Q1310" s="60" t="s">
        <v>4931</v>
      </c>
      <c r="R1310" s="60">
        <v>85.1</v>
      </c>
      <c r="S1310" s="60">
        <v>3.15</v>
      </c>
      <c r="T1310" s="60">
        <v>237</v>
      </c>
      <c r="U1310" s="60">
        <v>55.05</v>
      </c>
    </row>
    <row r="1311" spans="1:21">
      <c r="A1311" s="60" t="s">
        <v>2327</v>
      </c>
      <c r="B1311" s="60" t="s">
        <v>2609</v>
      </c>
      <c r="C1311" s="60" t="s">
        <v>4932</v>
      </c>
      <c r="D1311" s="60">
        <v>73.599999999999994</v>
      </c>
      <c r="E1311" s="60">
        <v>0.14000000000000001</v>
      </c>
      <c r="F1311" s="60">
        <v>20</v>
      </c>
      <c r="G1311" s="60">
        <v>0.68</v>
      </c>
      <c r="H1311" s="60">
        <v>0.14000000000000001</v>
      </c>
      <c r="I1311" s="60">
        <v>7.83</v>
      </c>
      <c r="J1311" s="60">
        <v>0</v>
      </c>
      <c r="O1311" s="60" t="s">
        <v>2327</v>
      </c>
      <c r="P1311" s="60" t="s">
        <v>2609</v>
      </c>
      <c r="Q1311" s="60" t="s">
        <v>4932</v>
      </c>
      <c r="R1311" s="60">
        <v>73.599999999999994</v>
      </c>
      <c r="S1311" s="60">
        <v>0.14000000000000001</v>
      </c>
      <c r="T1311" s="60">
        <v>20</v>
      </c>
      <c r="U1311" s="60">
        <v>66.59</v>
      </c>
    </row>
    <row r="1312" spans="1:21">
      <c r="A1312" s="60" t="s">
        <v>2329</v>
      </c>
      <c r="B1312" s="60" t="s">
        <v>2611</v>
      </c>
      <c r="C1312" s="60" t="s">
        <v>4217</v>
      </c>
      <c r="D1312" s="60">
        <v>51.3</v>
      </c>
      <c r="E1312" s="60">
        <v>1.99</v>
      </c>
      <c r="F1312" s="60">
        <v>2096</v>
      </c>
      <c r="G1312" s="60">
        <v>5.05</v>
      </c>
      <c r="H1312" s="60">
        <v>3.38</v>
      </c>
      <c r="I1312" s="60">
        <v>30.25</v>
      </c>
      <c r="J1312" s="60">
        <v>0</v>
      </c>
      <c r="O1312" s="60" t="s">
        <v>2329</v>
      </c>
      <c r="P1312" s="60" t="s">
        <v>2611</v>
      </c>
      <c r="Q1312" s="60" t="s">
        <v>4217</v>
      </c>
      <c r="R1312" s="60">
        <v>51.3</v>
      </c>
      <c r="S1312" s="60">
        <v>1.99</v>
      </c>
      <c r="T1312" s="60">
        <v>2096</v>
      </c>
      <c r="U1312" s="60">
        <v>44.86</v>
      </c>
    </row>
    <row r="1313" spans="1:21">
      <c r="A1313" s="60" t="s">
        <v>2330</v>
      </c>
      <c r="B1313" s="60" t="s">
        <v>2613</v>
      </c>
      <c r="C1313" s="60" t="s">
        <v>4040</v>
      </c>
      <c r="D1313" s="60">
        <v>70.599999999999994</v>
      </c>
      <c r="E1313" s="60">
        <v>1.73</v>
      </c>
      <c r="F1313" s="60">
        <v>305</v>
      </c>
      <c r="G1313" s="60">
        <v>0</v>
      </c>
      <c r="H1313" s="60">
        <v>13.55</v>
      </c>
      <c r="I1313" s="60">
        <v>2.02</v>
      </c>
      <c r="J1313" s="60">
        <v>0</v>
      </c>
      <c r="O1313" s="60" t="s">
        <v>2330</v>
      </c>
      <c r="P1313" s="60" t="s">
        <v>2613</v>
      </c>
      <c r="Q1313" s="60" t="s">
        <v>4040</v>
      </c>
      <c r="R1313" s="60">
        <v>70.599999999999994</v>
      </c>
      <c r="S1313" s="60">
        <v>1.73</v>
      </c>
      <c r="T1313" s="60">
        <v>305</v>
      </c>
      <c r="U1313" s="60">
        <v>50.06</v>
      </c>
    </row>
    <row r="1314" spans="1:21">
      <c r="A1314" s="60" t="s">
        <v>2332</v>
      </c>
      <c r="B1314" s="60" t="s">
        <v>2615</v>
      </c>
      <c r="C1314" s="60" t="s">
        <v>4933</v>
      </c>
      <c r="D1314" s="60">
        <v>32.450000000000003</v>
      </c>
      <c r="E1314" s="60">
        <v>1.88</v>
      </c>
      <c r="F1314" s="60">
        <v>443</v>
      </c>
      <c r="G1314" s="60">
        <v>0</v>
      </c>
      <c r="H1314" s="60">
        <v>3.81</v>
      </c>
      <c r="I1314" s="60">
        <v>9.83</v>
      </c>
      <c r="J1314" s="60">
        <v>0</v>
      </c>
      <c r="O1314" s="60" t="s">
        <v>2332</v>
      </c>
      <c r="P1314" s="60" t="s">
        <v>2615</v>
      </c>
      <c r="Q1314" s="60" t="s">
        <v>4933</v>
      </c>
      <c r="R1314" s="60">
        <v>32.450000000000003</v>
      </c>
      <c r="S1314" s="60">
        <v>1.88</v>
      </c>
      <c r="T1314" s="60">
        <v>443</v>
      </c>
      <c r="U1314" s="60">
        <v>21.4</v>
      </c>
    </row>
    <row r="1315" spans="1:21">
      <c r="A1315" s="60" t="s">
        <v>2333</v>
      </c>
      <c r="B1315" s="60" t="s">
        <v>2617</v>
      </c>
      <c r="C1315" s="60" t="s">
        <v>4934</v>
      </c>
      <c r="D1315" s="60">
        <v>50.9</v>
      </c>
      <c r="E1315" s="60">
        <v>0.2</v>
      </c>
      <c r="F1315" s="60">
        <v>651</v>
      </c>
      <c r="G1315" s="60">
        <v>0.12</v>
      </c>
      <c r="H1315" s="60">
        <v>4.01</v>
      </c>
      <c r="I1315" s="60">
        <v>8.7100000000000009</v>
      </c>
      <c r="J1315" s="60">
        <v>0</v>
      </c>
      <c r="O1315" s="60" t="s">
        <v>2333</v>
      </c>
      <c r="P1315" s="60" t="s">
        <v>2617</v>
      </c>
      <c r="Q1315" s="60" t="s">
        <v>4934</v>
      </c>
      <c r="R1315" s="60">
        <v>50.9</v>
      </c>
      <c r="S1315" s="60">
        <v>0.2</v>
      </c>
      <c r="T1315" s="60">
        <v>651</v>
      </c>
      <c r="U1315" s="60">
        <v>52.22</v>
      </c>
    </row>
    <row r="1316" spans="1:21">
      <c r="A1316" s="60" t="s">
        <v>2335</v>
      </c>
      <c r="B1316" s="60" t="s">
        <v>2619</v>
      </c>
      <c r="C1316" s="60" t="s">
        <v>4095</v>
      </c>
      <c r="D1316" s="60">
        <v>37.299999999999997</v>
      </c>
      <c r="E1316" s="60">
        <v>0.27</v>
      </c>
      <c r="F1316" s="60">
        <v>13162</v>
      </c>
      <c r="G1316" s="60">
        <v>0.74</v>
      </c>
      <c r="H1316" s="60">
        <v>1.43</v>
      </c>
      <c r="I1316" s="60">
        <v>25.35</v>
      </c>
      <c r="J1316" s="60">
        <v>0</v>
      </c>
      <c r="O1316" s="60" t="s">
        <v>2335</v>
      </c>
      <c r="P1316" s="60" t="s">
        <v>2619</v>
      </c>
      <c r="Q1316" s="60" t="s">
        <v>4095</v>
      </c>
      <c r="R1316" s="60">
        <v>37.299999999999997</v>
      </c>
      <c r="S1316" s="60">
        <v>0.27</v>
      </c>
      <c r="T1316" s="60">
        <v>13162</v>
      </c>
      <c r="U1316" s="60">
        <v>30.81</v>
      </c>
    </row>
    <row r="1317" spans="1:21">
      <c r="A1317" s="60" t="s">
        <v>2337</v>
      </c>
      <c r="B1317" s="60" t="s">
        <v>2621</v>
      </c>
      <c r="C1317" s="60" t="s">
        <v>4935</v>
      </c>
      <c r="D1317" s="60">
        <v>40.799999999999997</v>
      </c>
      <c r="E1317" s="60">
        <v>0.12</v>
      </c>
      <c r="F1317" s="60">
        <v>14</v>
      </c>
      <c r="G1317" s="60">
        <v>0</v>
      </c>
      <c r="H1317" s="60">
        <v>0.12</v>
      </c>
      <c r="I1317" s="60">
        <v>1.06</v>
      </c>
      <c r="J1317" s="60">
        <v>0</v>
      </c>
      <c r="O1317" s="60" t="s">
        <v>2337</v>
      </c>
      <c r="P1317" s="60" t="s">
        <v>2621</v>
      </c>
      <c r="Q1317" s="60" t="s">
        <v>4935</v>
      </c>
      <c r="R1317" s="60">
        <v>40.799999999999997</v>
      </c>
      <c r="S1317" s="60">
        <v>0.12</v>
      </c>
      <c r="T1317" s="60">
        <v>14</v>
      </c>
      <c r="U1317" s="60">
        <v>43.16</v>
      </c>
    </row>
    <row r="1318" spans="1:21">
      <c r="A1318" s="60" t="s">
        <v>2338</v>
      </c>
      <c r="B1318" s="60" t="s">
        <v>2623</v>
      </c>
      <c r="C1318" s="60" t="s">
        <v>5066</v>
      </c>
      <c r="D1318" s="60">
        <v>58</v>
      </c>
      <c r="E1318" s="60">
        <v>0</v>
      </c>
      <c r="F1318" s="60">
        <v>0</v>
      </c>
      <c r="G1318" s="60">
        <v>0</v>
      </c>
      <c r="H1318" s="60">
        <v>25.71</v>
      </c>
      <c r="I1318" s="60">
        <v>0.04</v>
      </c>
      <c r="J1318" s="60">
        <v>0</v>
      </c>
      <c r="O1318" s="60" t="s">
        <v>2338</v>
      </c>
      <c r="P1318" s="60" t="s">
        <v>2623</v>
      </c>
      <c r="Q1318" s="60" t="s">
        <v>5066</v>
      </c>
      <c r="R1318" s="60">
        <v>58</v>
      </c>
      <c r="S1318" s="60">
        <v>0</v>
      </c>
      <c r="T1318" s="60">
        <v>0</v>
      </c>
      <c r="U1318" s="60">
        <v>86.05</v>
      </c>
    </row>
    <row r="1319" spans="1:21">
      <c r="A1319" s="60" t="s">
        <v>2340</v>
      </c>
      <c r="B1319" s="60" t="s">
        <v>2625</v>
      </c>
      <c r="C1319" s="60" t="s">
        <v>4218</v>
      </c>
      <c r="D1319" s="60">
        <v>129</v>
      </c>
      <c r="E1319" s="60">
        <v>3.2</v>
      </c>
      <c r="F1319" s="60">
        <v>3096</v>
      </c>
      <c r="G1319" s="60">
        <v>0.18</v>
      </c>
      <c r="H1319" s="60">
        <v>12.06</v>
      </c>
      <c r="I1319" s="60">
        <v>9.39</v>
      </c>
      <c r="J1319" s="60">
        <v>1.1000000000000001</v>
      </c>
      <c r="O1319" s="60" t="s">
        <v>2340</v>
      </c>
      <c r="P1319" s="60" t="s">
        <v>2625</v>
      </c>
      <c r="Q1319" s="60" t="s">
        <v>4218</v>
      </c>
      <c r="R1319" s="60">
        <v>129</v>
      </c>
      <c r="S1319" s="60">
        <v>3.2</v>
      </c>
      <c r="T1319" s="60">
        <v>3096</v>
      </c>
      <c r="U1319" s="60">
        <v>69.41</v>
      </c>
    </row>
    <row r="1320" spans="1:21">
      <c r="A1320" s="60" t="s">
        <v>2342</v>
      </c>
      <c r="B1320" s="60" t="s">
        <v>2627</v>
      </c>
      <c r="C1320" s="60" t="s">
        <v>4262</v>
      </c>
      <c r="D1320" s="60">
        <v>87.3</v>
      </c>
      <c r="E1320" s="60">
        <v>-0.11</v>
      </c>
      <c r="F1320" s="60">
        <v>76</v>
      </c>
      <c r="G1320" s="60">
        <v>0</v>
      </c>
      <c r="H1320" s="60">
        <v>15.22</v>
      </c>
      <c r="I1320" s="60">
        <v>0.39</v>
      </c>
      <c r="J1320" s="60">
        <v>0.86</v>
      </c>
      <c r="O1320" s="60" t="s">
        <v>2342</v>
      </c>
      <c r="P1320" s="60" t="s">
        <v>2627</v>
      </c>
      <c r="Q1320" s="60" t="s">
        <v>4262</v>
      </c>
      <c r="R1320" s="60">
        <v>87.3</v>
      </c>
      <c r="S1320" s="60">
        <v>-0.11</v>
      </c>
      <c r="T1320" s="60">
        <v>76</v>
      </c>
      <c r="U1320" s="60">
        <v>51.4</v>
      </c>
    </row>
    <row r="1321" spans="1:21">
      <c r="A1321" s="60" t="s">
        <v>2344</v>
      </c>
      <c r="B1321" s="60" t="s">
        <v>2629</v>
      </c>
      <c r="C1321" s="60" t="s">
        <v>4290</v>
      </c>
      <c r="D1321" s="60">
        <v>31.1</v>
      </c>
      <c r="E1321" s="60">
        <v>1.97</v>
      </c>
      <c r="F1321" s="60">
        <v>783</v>
      </c>
      <c r="G1321" s="60">
        <v>0.15</v>
      </c>
      <c r="H1321" s="60">
        <v>9.77</v>
      </c>
      <c r="I1321" s="60">
        <v>17.190000000000001</v>
      </c>
      <c r="J1321" s="60">
        <v>0</v>
      </c>
      <c r="O1321" s="60" t="s">
        <v>2344</v>
      </c>
      <c r="P1321" s="60" t="s">
        <v>2629</v>
      </c>
      <c r="Q1321" s="60" t="s">
        <v>4290</v>
      </c>
      <c r="R1321" s="60">
        <v>31.1</v>
      </c>
      <c r="S1321" s="60">
        <v>1.97</v>
      </c>
      <c r="T1321" s="60">
        <v>783</v>
      </c>
      <c r="U1321" s="60">
        <v>43.18</v>
      </c>
    </row>
    <row r="1322" spans="1:21">
      <c r="A1322" s="60" t="s">
        <v>2345</v>
      </c>
      <c r="B1322" s="60" t="s">
        <v>2631</v>
      </c>
      <c r="C1322" s="60" t="s">
        <v>4137</v>
      </c>
      <c r="D1322" s="60">
        <v>27.6</v>
      </c>
      <c r="E1322" s="60">
        <v>-0.9</v>
      </c>
      <c r="F1322" s="60">
        <v>469</v>
      </c>
      <c r="G1322" s="60">
        <v>0.1</v>
      </c>
      <c r="H1322" s="60">
        <v>1.1599999999999999</v>
      </c>
      <c r="I1322" s="60">
        <v>4.59</v>
      </c>
      <c r="J1322" s="60">
        <v>0</v>
      </c>
      <c r="O1322" s="60" t="s">
        <v>2345</v>
      </c>
      <c r="P1322" s="60" t="s">
        <v>2631</v>
      </c>
      <c r="Q1322" s="60" t="s">
        <v>4137</v>
      </c>
      <c r="R1322" s="60">
        <v>27.6</v>
      </c>
      <c r="S1322" s="60">
        <v>-0.9</v>
      </c>
      <c r="T1322" s="60">
        <v>469</v>
      </c>
      <c r="U1322" s="60">
        <v>29.78</v>
      </c>
    </row>
    <row r="1323" spans="1:21">
      <c r="A1323" s="60" t="s">
        <v>2347</v>
      </c>
      <c r="B1323" s="60" t="s">
        <v>2633</v>
      </c>
      <c r="C1323" s="60" t="s">
        <v>4936</v>
      </c>
      <c r="D1323" s="60">
        <v>57.6</v>
      </c>
      <c r="E1323" s="60">
        <v>2.31</v>
      </c>
      <c r="F1323" s="60">
        <v>2973</v>
      </c>
      <c r="G1323" s="60">
        <v>36.71</v>
      </c>
      <c r="H1323" s="60">
        <v>9.5299999999999994</v>
      </c>
      <c r="I1323" s="60">
        <v>55.04</v>
      </c>
      <c r="J1323" s="60">
        <v>0.42</v>
      </c>
      <c r="O1323" s="60" t="s">
        <v>2347</v>
      </c>
      <c r="P1323" s="60" t="s">
        <v>2633</v>
      </c>
      <c r="Q1323" s="60" t="s">
        <v>4936</v>
      </c>
      <c r="R1323" s="60">
        <v>57.6</v>
      </c>
      <c r="S1323" s="60">
        <v>2.31</v>
      </c>
      <c r="T1323" s="60">
        <v>2973</v>
      </c>
      <c r="U1323" s="60">
        <v>15</v>
      </c>
    </row>
    <row r="1324" spans="1:21">
      <c r="A1324" s="60" t="s">
        <v>2349</v>
      </c>
      <c r="B1324" s="60" t="s">
        <v>2635</v>
      </c>
      <c r="C1324" s="60" t="s">
        <v>4846</v>
      </c>
      <c r="D1324" s="60">
        <v>21.2</v>
      </c>
      <c r="E1324" s="60">
        <v>4.95</v>
      </c>
      <c r="F1324" s="60">
        <v>1206</v>
      </c>
      <c r="G1324" s="60">
        <v>0.01</v>
      </c>
      <c r="H1324" s="60">
        <v>0.18</v>
      </c>
      <c r="I1324" s="60">
        <v>7.1</v>
      </c>
      <c r="J1324" s="60">
        <v>0</v>
      </c>
      <c r="O1324" s="60" t="s">
        <v>2349</v>
      </c>
      <c r="P1324" s="60" t="s">
        <v>2635</v>
      </c>
      <c r="Q1324" s="60" t="s">
        <v>4846</v>
      </c>
      <c r="R1324" s="60">
        <v>21.2</v>
      </c>
      <c r="S1324" s="60">
        <v>4.95</v>
      </c>
      <c r="T1324" s="60">
        <v>1206</v>
      </c>
      <c r="U1324" s="60">
        <v>41.78</v>
      </c>
    </row>
    <row r="1325" spans="1:21">
      <c r="A1325" s="60" t="s">
        <v>2351</v>
      </c>
      <c r="B1325" s="60" t="s">
        <v>2637</v>
      </c>
      <c r="C1325" s="60" t="s">
        <v>5067</v>
      </c>
      <c r="D1325" s="60">
        <v>19.2</v>
      </c>
      <c r="E1325" s="60">
        <v>-1.03</v>
      </c>
      <c r="F1325" s="60">
        <v>3369</v>
      </c>
      <c r="G1325" s="60">
        <v>0.06</v>
      </c>
      <c r="H1325" s="60">
        <v>2.61</v>
      </c>
      <c r="I1325" s="60">
        <v>37.770000000000003</v>
      </c>
      <c r="J1325" s="60">
        <v>0</v>
      </c>
      <c r="O1325" s="60" t="s">
        <v>2351</v>
      </c>
      <c r="P1325" s="60" t="s">
        <v>2637</v>
      </c>
      <c r="Q1325" s="60" t="s">
        <v>5067</v>
      </c>
      <c r="R1325" s="60">
        <v>19.2</v>
      </c>
      <c r="S1325" s="60">
        <v>-1.03</v>
      </c>
      <c r="T1325" s="60">
        <v>3369</v>
      </c>
      <c r="U1325" s="60">
        <v>69.819999999999993</v>
      </c>
    </row>
    <row r="1326" spans="1:21">
      <c r="A1326" s="60" t="s">
        <v>2352</v>
      </c>
      <c r="B1326" s="60" t="s">
        <v>2639</v>
      </c>
      <c r="C1326" s="60" t="s">
        <v>4937</v>
      </c>
      <c r="D1326" s="60">
        <v>22.85</v>
      </c>
      <c r="E1326" s="60">
        <v>0.22</v>
      </c>
      <c r="F1326" s="60">
        <v>113</v>
      </c>
      <c r="G1326" s="60">
        <v>0.02</v>
      </c>
      <c r="H1326" s="60">
        <v>2.1</v>
      </c>
      <c r="I1326" s="60">
        <v>8.35</v>
      </c>
      <c r="J1326" s="60">
        <v>0</v>
      </c>
      <c r="O1326" s="60" t="s">
        <v>2352</v>
      </c>
      <c r="P1326" s="60" t="s">
        <v>2639</v>
      </c>
      <c r="Q1326" s="60" t="s">
        <v>4937</v>
      </c>
      <c r="R1326" s="60">
        <v>22.85</v>
      </c>
      <c r="S1326" s="60">
        <v>0.22</v>
      </c>
      <c r="T1326" s="60">
        <v>113</v>
      </c>
      <c r="U1326" s="60">
        <v>35.06</v>
      </c>
    </row>
    <row r="1327" spans="1:21">
      <c r="A1327" s="60" t="s">
        <v>2354</v>
      </c>
      <c r="B1327" s="60" t="s">
        <v>2641</v>
      </c>
      <c r="C1327" s="60" t="s">
        <v>4993</v>
      </c>
      <c r="D1327" s="60">
        <v>51.1</v>
      </c>
      <c r="E1327" s="60">
        <v>0.2</v>
      </c>
      <c r="F1327" s="60">
        <v>102</v>
      </c>
      <c r="G1327" s="60">
        <v>0.09</v>
      </c>
      <c r="H1327" s="60">
        <v>0.95</v>
      </c>
      <c r="I1327" s="60">
        <v>18.8</v>
      </c>
      <c r="J1327" s="60">
        <v>0</v>
      </c>
      <c r="O1327" s="60" t="s">
        <v>2354</v>
      </c>
      <c r="P1327" s="60" t="s">
        <v>2641</v>
      </c>
      <c r="Q1327" s="60" t="s">
        <v>4993</v>
      </c>
      <c r="R1327" s="60">
        <v>51.1</v>
      </c>
      <c r="S1327" s="60">
        <v>0.2</v>
      </c>
      <c r="T1327" s="60">
        <v>102</v>
      </c>
      <c r="U1327" s="60">
        <v>67.05</v>
      </c>
    </row>
    <row r="1328" spans="1:21">
      <c r="A1328" s="60" t="s">
        <v>2355</v>
      </c>
      <c r="B1328" s="60" t="s">
        <v>3317</v>
      </c>
      <c r="C1328" s="60" t="s">
        <v>4806</v>
      </c>
      <c r="D1328" s="60">
        <v>14.7</v>
      </c>
      <c r="E1328" s="60">
        <v>-1.67</v>
      </c>
      <c r="F1328" s="60">
        <v>34</v>
      </c>
      <c r="G1328" s="60">
        <v>0</v>
      </c>
      <c r="H1328" s="60">
        <v>0</v>
      </c>
      <c r="I1328" s="60">
        <v>0</v>
      </c>
      <c r="J1328" s="60">
        <v>0</v>
      </c>
      <c r="O1328" s="60" t="s">
        <v>2355</v>
      </c>
      <c r="P1328" s="60" t="s">
        <v>3317</v>
      </c>
      <c r="Q1328" s="60" t="s">
        <v>4806</v>
      </c>
      <c r="R1328" s="60">
        <v>14.7</v>
      </c>
      <c r="S1328" s="60">
        <v>-1.67</v>
      </c>
      <c r="T1328" s="60">
        <v>34</v>
      </c>
      <c r="U1328" s="60">
        <v>62.33</v>
      </c>
    </row>
    <row r="1329" spans="1:21">
      <c r="A1329" s="60" t="s">
        <v>2357</v>
      </c>
      <c r="B1329" s="60" t="s">
        <v>2644</v>
      </c>
      <c r="C1329" s="60" t="s">
        <v>4701</v>
      </c>
      <c r="D1329" s="60">
        <v>119.5</v>
      </c>
      <c r="E1329" s="60">
        <v>1.7</v>
      </c>
      <c r="F1329" s="60">
        <v>1560</v>
      </c>
      <c r="G1329" s="60">
        <v>2.19</v>
      </c>
      <c r="H1329" s="60">
        <v>15.86</v>
      </c>
      <c r="I1329" s="60">
        <v>40.409999999999997</v>
      </c>
      <c r="J1329" s="60">
        <v>9.5500000000000007</v>
      </c>
      <c r="O1329" s="60" t="s">
        <v>2357</v>
      </c>
      <c r="P1329" s="60" t="s">
        <v>2644</v>
      </c>
      <c r="Q1329" s="60" t="s">
        <v>4701</v>
      </c>
      <c r="R1329" s="60">
        <v>119.5</v>
      </c>
      <c r="S1329" s="60">
        <v>1.7</v>
      </c>
      <c r="T1329" s="60">
        <v>1560</v>
      </c>
      <c r="U1329" s="60">
        <v>21.15</v>
      </c>
    </row>
    <row r="1330" spans="1:21">
      <c r="A1330" s="60" t="s">
        <v>2359</v>
      </c>
      <c r="B1330" s="60" t="s">
        <v>2646</v>
      </c>
      <c r="C1330" s="60" t="s">
        <v>4219</v>
      </c>
      <c r="D1330" s="60">
        <v>119</v>
      </c>
      <c r="E1330" s="60">
        <v>0.85</v>
      </c>
      <c r="F1330" s="60">
        <v>597</v>
      </c>
      <c r="G1330" s="60">
        <v>0.19</v>
      </c>
      <c r="H1330" s="60">
        <v>9.61</v>
      </c>
      <c r="I1330" s="60">
        <v>19.010000000000002</v>
      </c>
      <c r="J1330" s="60">
        <v>0</v>
      </c>
      <c r="O1330" s="60" t="s">
        <v>2359</v>
      </c>
      <c r="P1330" s="60" t="s">
        <v>2646</v>
      </c>
      <c r="Q1330" s="60" t="s">
        <v>4219</v>
      </c>
      <c r="R1330" s="60">
        <v>119</v>
      </c>
      <c r="S1330" s="60">
        <v>0.85</v>
      </c>
      <c r="T1330" s="60">
        <v>597</v>
      </c>
      <c r="U1330" s="60">
        <v>25.75</v>
      </c>
    </row>
    <row r="1331" spans="1:21">
      <c r="A1331" s="60" t="s">
        <v>2361</v>
      </c>
      <c r="B1331" s="60" t="s">
        <v>3318</v>
      </c>
      <c r="C1331" s="60" t="s">
        <v>4096</v>
      </c>
      <c r="D1331" s="60">
        <v>7.19</v>
      </c>
      <c r="E1331" s="60">
        <v>0.28000000000000003</v>
      </c>
      <c r="F1331" s="60">
        <v>7</v>
      </c>
      <c r="G1331" s="60">
        <v>0</v>
      </c>
      <c r="H1331" s="60">
        <v>2.56</v>
      </c>
      <c r="I1331" s="60">
        <v>0</v>
      </c>
      <c r="J1331" s="60">
        <v>0</v>
      </c>
      <c r="O1331" s="60" t="s">
        <v>2361</v>
      </c>
      <c r="P1331" s="60" t="s">
        <v>3318</v>
      </c>
      <c r="Q1331" s="60" t="s">
        <v>4096</v>
      </c>
      <c r="R1331" s="60">
        <v>7.19</v>
      </c>
      <c r="S1331" s="60">
        <v>0.28000000000000003</v>
      </c>
      <c r="T1331" s="60">
        <v>7</v>
      </c>
      <c r="U1331" s="60">
        <v>55.18</v>
      </c>
    </row>
    <row r="1332" spans="1:21">
      <c r="A1332" s="60" t="s">
        <v>2363</v>
      </c>
      <c r="B1332" s="60" t="s">
        <v>2649</v>
      </c>
      <c r="C1332" s="60" t="s">
        <v>4097</v>
      </c>
      <c r="D1332" s="60">
        <v>14.75</v>
      </c>
      <c r="E1332" s="60">
        <v>0.68</v>
      </c>
      <c r="F1332" s="60">
        <v>3868</v>
      </c>
      <c r="G1332" s="60">
        <v>4.55</v>
      </c>
      <c r="H1332" s="60">
        <v>1.65</v>
      </c>
      <c r="I1332" s="60">
        <v>23.79</v>
      </c>
      <c r="J1332" s="60">
        <v>0</v>
      </c>
      <c r="O1332" s="60" t="s">
        <v>2363</v>
      </c>
      <c r="P1332" s="60" t="s">
        <v>2649</v>
      </c>
      <c r="Q1332" s="60" t="s">
        <v>4097</v>
      </c>
      <c r="R1332" s="60">
        <v>14.75</v>
      </c>
      <c r="S1332" s="60">
        <v>0.68</v>
      </c>
      <c r="T1332" s="60">
        <v>3868</v>
      </c>
      <c r="U1332" s="60">
        <v>15.58</v>
      </c>
    </row>
    <row r="1333" spans="1:21">
      <c r="A1333" s="60" t="s">
        <v>2365</v>
      </c>
      <c r="B1333" s="60" t="s">
        <v>2651</v>
      </c>
      <c r="C1333" s="60" t="s">
        <v>4971</v>
      </c>
      <c r="D1333" s="60">
        <v>36.5</v>
      </c>
      <c r="E1333" s="60">
        <v>5.8</v>
      </c>
      <c r="F1333" s="60">
        <v>1150</v>
      </c>
      <c r="G1333" s="60">
        <v>0.05</v>
      </c>
      <c r="H1333" s="60">
        <v>2.74</v>
      </c>
      <c r="I1333" s="60">
        <v>9.42</v>
      </c>
      <c r="J1333" s="60">
        <v>0</v>
      </c>
      <c r="O1333" s="60" t="s">
        <v>2365</v>
      </c>
      <c r="P1333" s="60" t="s">
        <v>2651</v>
      </c>
      <c r="Q1333" s="60" t="s">
        <v>4971</v>
      </c>
      <c r="R1333" s="60">
        <v>36.5</v>
      </c>
      <c r="S1333" s="60">
        <v>5.8</v>
      </c>
      <c r="T1333" s="60">
        <v>1150</v>
      </c>
      <c r="U1333" s="60">
        <v>67.61</v>
      </c>
    </row>
    <row r="1334" spans="1:21">
      <c r="A1334" s="60" t="s">
        <v>2367</v>
      </c>
      <c r="B1334" s="60" t="s">
        <v>3319</v>
      </c>
      <c r="C1334" s="60" t="s">
        <v>4765</v>
      </c>
      <c r="D1334" s="60">
        <v>12.05</v>
      </c>
      <c r="E1334" s="60">
        <v>0</v>
      </c>
      <c r="F1334" s="60">
        <v>52</v>
      </c>
      <c r="G1334" s="60">
        <v>0</v>
      </c>
      <c r="H1334" s="60">
        <v>0</v>
      </c>
      <c r="I1334" s="60">
        <v>0</v>
      </c>
      <c r="J1334" s="60">
        <v>0</v>
      </c>
      <c r="O1334" s="60" t="s">
        <v>2367</v>
      </c>
      <c r="P1334" s="60" t="s">
        <v>3319</v>
      </c>
      <c r="Q1334" s="60" t="s">
        <v>4765</v>
      </c>
      <c r="R1334" s="60">
        <v>12.05</v>
      </c>
      <c r="S1334" s="60">
        <v>0</v>
      </c>
      <c r="T1334" s="60">
        <v>52</v>
      </c>
      <c r="U1334" s="60">
        <v>72.459999999999994</v>
      </c>
    </row>
    <row r="1335" spans="1:21">
      <c r="A1335" s="60" t="s">
        <v>2369</v>
      </c>
      <c r="B1335" s="60" t="s">
        <v>2654</v>
      </c>
      <c r="C1335" s="60" t="s">
        <v>3565</v>
      </c>
      <c r="D1335" s="60">
        <v>46.25</v>
      </c>
      <c r="E1335" s="60">
        <v>0.76</v>
      </c>
      <c r="F1335" s="60">
        <v>482</v>
      </c>
      <c r="G1335" s="60">
        <v>0.47</v>
      </c>
      <c r="H1335" s="60">
        <v>7.49</v>
      </c>
      <c r="I1335" s="60">
        <v>43.23</v>
      </c>
      <c r="J1335" s="60">
        <v>0</v>
      </c>
      <c r="O1335" s="60" t="s">
        <v>2369</v>
      </c>
      <c r="P1335" s="60" t="s">
        <v>2654</v>
      </c>
      <c r="Q1335" s="60" t="s">
        <v>3565</v>
      </c>
      <c r="R1335" s="60">
        <v>46.25</v>
      </c>
      <c r="S1335" s="60">
        <v>0.76</v>
      </c>
      <c r="T1335" s="60">
        <v>482</v>
      </c>
      <c r="U1335" s="60">
        <v>22.22</v>
      </c>
    </row>
    <row r="1336" spans="1:21">
      <c r="A1336" s="60" t="s">
        <v>2371</v>
      </c>
      <c r="B1336" s="60" t="s">
        <v>2656</v>
      </c>
      <c r="C1336" s="60" t="s">
        <v>4041</v>
      </c>
      <c r="D1336" s="60">
        <v>172.5</v>
      </c>
      <c r="E1336" s="60">
        <v>3.29</v>
      </c>
      <c r="F1336" s="60">
        <v>32</v>
      </c>
      <c r="G1336" s="60">
        <v>0</v>
      </c>
      <c r="H1336" s="60">
        <v>90.01</v>
      </c>
      <c r="I1336" s="60">
        <v>1.45</v>
      </c>
      <c r="J1336" s="60">
        <v>0</v>
      </c>
      <c r="O1336" s="60" t="s">
        <v>2371</v>
      </c>
      <c r="P1336" s="60" t="s">
        <v>2656</v>
      </c>
      <c r="Q1336" s="60" t="s">
        <v>4041</v>
      </c>
      <c r="R1336" s="60">
        <v>172.5</v>
      </c>
      <c r="S1336" s="60">
        <v>3.29</v>
      </c>
      <c r="T1336" s="60">
        <v>32</v>
      </c>
      <c r="U1336" s="60">
        <v>87.13</v>
      </c>
    </row>
    <row r="1337" spans="1:21">
      <c r="A1337" s="60" t="s">
        <v>2373</v>
      </c>
      <c r="B1337" s="60" t="s">
        <v>2658</v>
      </c>
      <c r="C1337" s="60" t="s">
        <v>3644</v>
      </c>
      <c r="D1337" s="60">
        <v>89.1</v>
      </c>
      <c r="E1337" s="60">
        <v>1.71</v>
      </c>
      <c r="F1337" s="60">
        <v>417</v>
      </c>
      <c r="G1337" s="60">
        <v>0.06</v>
      </c>
      <c r="H1337" s="60">
        <v>10.28</v>
      </c>
      <c r="I1337" s="60">
        <v>30.09</v>
      </c>
      <c r="J1337" s="60">
        <v>0</v>
      </c>
      <c r="O1337" s="60" t="s">
        <v>2373</v>
      </c>
      <c r="P1337" s="60" t="s">
        <v>2658</v>
      </c>
      <c r="Q1337" s="60" t="s">
        <v>3644</v>
      </c>
      <c r="R1337" s="60">
        <v>89.1</v>
      </c>
      <c r="S1337" s="60">
        <v>1.71</v>
      </c>
      <c r="T1337" s="60">
        <v>417</v>
      </c>
      <c r="U1337" s="60">
        <v>24</v>
      </c>
    </row>
    <row r="1338" spans="1:21">
      <c r="A1338" s="60" t="s">
        <v>2375</v>
      </c>
      <c r="B1338" s="60" t="s">
        <v>2660</v>
      </c>
      <c r="C1338" s="60" t="s">
        <v>4702</v>
      </c>
      <c r="D1338" s="60">
        <v>39.6</v>
      </c>
      <c r="E1338" s="60">
        <v>1.54</v>
      </c>
      <c r="F1338" s="60">
        <v>2614</v>
      </c>
      <c r="G1338" s="60">
        <v>2.12</v>
      </c>
      <c r="H1338" s="60">
        <v>3.33</v>
      </c>
      <c r="I1338" s="60">
        <v>41.96</v>
      </c>
      <c r="J1338" s="60">
        <v>0</v>
      </c>
      <c r="O1338" s="60" t="s">
        <v>2375</v>
      </c>
      <c r="P1338" s="60" t="s">
        <v>2660</v>
      </c>
      <c r="Q1338" s="60" t="s">
        <v>4702</v>
      </c>
      <c r="R1338" s="60">
        <v>39.6</v>
      </c>
      <c r="S1338" s="60">
        <v>1.54</v>
      </c>
      <c r="T1338" s="60">
        <v>2614</v>
      </c>
      <c r="U1338" s="60">
        <v>21.6</v>
      </c>
    </row>
    <row r="1339" spans="1:21">
      <c r="A1339" s="60" t="s">
        <v>2377</v>
      </c>
      <c r="B1339" s="60" t="s">
        <v>2662</v>
      </c>
      <c r="C1339" s="60" t="s">
        <v>4807</v>
      </c>
      <c r="D1339" s="60">
        <v>20.9</v>
      </c>
      <c r="E1339" s="60">
        <v>1.7</v>
      </c>
      <c r="F1339" s="60">
        <v>648</v>
      </c>
      <c r="G1339" s="60">
        <v>0</v>
      </c>
      <c r="H1339" s="60">
        <v>11.05</v>
      </c>
      <c r="I1339" s="60">
        <v>10.54</v>
      </c>
      <c r="J1339" s="60">
        <v>0</v>
      </c>
      <c r="O1339" s="60" t="s">
        <v>2377</v>
      </c>
      <c r="P1339" s="60" t="s">
        <v>2662</v>
      </c>
      <c r="Q1339" s="60" t="s">
        <v>4807</v>
      </c>
      <c r="R1339" s="60">
        <v>20.9</v>
      </c>
      <c r="S1339" s="60">
        <v>1.7</v>
      </c>
      <c r="T1339" s="60">
        <v>648</v>
      </c>
      <c r="U1339" s="60">
        <v>49.06</v>
      </c>
    </row>
    <row r="1340" spans="1:21">
      <c r="A1340" s="60" t="s">
        <v>2379</v>
      </c>
      <c r="B1340" s="60" t="s">
        <v>2664</v>
      </c>
      <c r="C1340" s="60" t="s">
        <v>4042</v>
      </c>
      <c r="D1340" s="60">
        <v>19.100000000000001</v>
      </c>
      <c r="E1340" s="60">
        <v>1.33</v>
      </c>
      <c r="F1340" s="60">
        <v>792</v>
      </c>
      <c r="G1340" s="60">
        <v>0.08</v>
      </c>
      <c r="H1340" s="60">
        <v>1.49</v>
      </c>
      <c r="I1340" s="60">
        <v>14.14</v>
      </c>
      <c r="J1340" s="60">
        <v>0</v>
      </c>
      <c r="O1340" s="60" t="s">
        <v>2379</v>
      </c>
      <c r="P1340" s="60" t="s">
        <v>2664</v>
      </c>
      <c r="Q1340" s="60" t="s">
        <v>4042</v>
      </c>
      <c r="R1340" s="60">
        <v>19.100000000000001</v>
      </c>
      <c r="S1340" s="60">
        <v>1.33</v>
      </c>
      <c r="T1340" s="60">
        <v>792</v>
      </c>
      <c r="U1340" s="60">
        <v>38.76</v>
      </c>
    </row>
    <row r="1341" spans="1:21">
      <c r="A1341" s="60" t="s">
        <v>2381</v>
      </c>
      <c r="B1341" s="60" t="s">
        <v>3320</v>
      </c>
      <c r="C1341" s="60" t="s">
        <v>5142</v>
      </c>
      <c r="D1341" s="60">
        <v>18.55</v>
      </c>
      <c r="E1341" s="60">
        <v>0</v>
      </c>
      <c r="F1341" s="60">
        <v>3</v>
      </c>
      <c r="G1341" s="60">
        <v>0</v>
      </c>
      <c r="H1341" s="60">
        <v>0.02</v>
      </c>
      <c r="I1341" s="60">
        <v>0</v>
      </c>
      <c r="J1341" s="60">
        <v>0</v>
      </c>
      <c r="O1341" s="60" t="s">
        <v>2381</v>
      </c>
      <c r="P1341" s="60" t="s">
        <v>3320</v>
      </c>
      <c r="Q1341" s="60" t="s">
        <v>5142</v>
      </c>
      <c r="R1341" s="60">
        <v>18.55</v>
      </c>
      <c r="S1341" s="60">
        <v>0</v>
      </c>
      <c r="T1341" s="60">
        <v>3</v>
      </c>
      <c r="U1341" s="60">
        <v>84.19</v>
      </c>
    </row>
    <row r="1342" spans="1:21">
      <c r="A1342" s="60" t="s">
        <v>2383</v>
      </c>
      <c r="B1342" s="60" t="s">
        <v>2666</v>
      </c>
      <c r="C1342" s="60" t="s">
        <v>3672</v>
      </c>
      <c r="D1342" s="60">
        <v>121</v>
      </c>
      <c r="E1342" s="60">
        <v>1.68</v>
      </c>
      <c r="F1342" s="60">
        <v>5978</v>
      </c>
      <c r="G1342" s="60">
        <v>20.97</v>
      </c>
      <c r="H1342" s="60">
        <v>4.84</v>
      </c>
      <c r="I1342" s="60">
        <v>52.9</v>
      </c>
      <c r="J1342" s="60">
        <v>2.29</v>
      </c>
      <c r="O1342" s="60" t="s">
        <v>2383</v>
      </c>
      <c r="P1342" s="60" t="s">
        <v>2666</v>
      </c>
      <c r="Q1342" s="60" t="s">
        <v>3672</v>
      </c>
      <c r="R1342" s="60">
        <v>121</v>
      </c>
      <c r="S1342" s="60">
        <v>1.68</v>
      </c>
      <c r="T1342" s="60">
        <v>5978</v>
      </c>
      <c r="U1342" s="60">
        <v>18.55</v>
      </c>
    </row>
    <row r="1343" spans="1:21">
      <c r="A1343" s="60" t="s">
        <v>2385</v>
      </c>
      <c r="B1343" s="60" t="s">
        <v>2668</v>
      </c>
      <c r="C1343" s="60" t="s">
        <v>3687</v>
      </c>
      <c r="D1343" s="60">
        <v>99.2</v>
      </c>
      <c r="E1343" s="60">
        <v>0.61</v>
      </c>
      <c r="F1343" s="60">
        <v>4860</v>
      </c>
      <c r="G1343" s="60">
        <v>0.04</v>
      </c>
      <c r="H1343" s="60">
        <v>61.64</v>
      </c>
      <c r="I1343" s="60">
        <v>1.57</v>
      </c>
      <c r="J1343" s="60">
        <v>1.8</v>
      </c>
      <c r="O1343" s="60" t="s">
        <v>2385</v>
      </c>
      <c r="P1343" s="60" t="s">
        <v>2668</v>
      </c>
      <c r="Q1343" s="60" t="s">
        <v>3687</v>
      </c>
      <c r="R1343" s="60">
        <v>99.2</v>
      </c>
      <c r="S1343" s="60">
        <v>0.61</v>
      </c>
      <c r="T1343" s="60">
        <v>4860</v>
      </c>
      <c r="U1343" s="60">
        <v>70.73</v>
      </c>
    </row>
    <row r="1344" spans="1:21">
      <c r="A1344" s="60" t="s">
        <v>2387</v>
      </c>
      <c r="B1344" s="60" t="s">
        <v>2670</v>
      </c>
      <c r="C1344" s="60" t="s">
        <v>4994</v>
      </c>
      <c r="D1344" s="60">
        <v>14.35</v>
      </c>
      <c r="E1344" s="60">
        <v>0.35</v>
      </c>
      <c r="F1344" s="60">
        <v>7</v>
      </c>
      <c r="G1344" s="60">
        <v>0</v>
      </c>
      <c r="H1344" s="60">
        <v>0.19</v>
      </c>
      <c r="I1344" s="60">
        <v>3.73</v>
      </c>
      <c r="J1344" s="60">
        <v>0</v>
      </c>
      <c r="O1344" s="60" t="s">
        <v>2387</v>
      </c>
      <c r="P1344" s="60" t="s">
        <v>2670</v>
      </c>
      <c r="Q1344" s="60" t="s">
        <v>4994</v>
      </c>
      <c r="R1344" s="60">
        <v>14.35</v>
      </c>
      <c r="S1344" s="60">
        <v>0.35</v>
      </c>
      <c r="T1344" s="60">
        <v>7</v>
      </c>
      <c r="U1344" s="60">
        <v>71.75</v>
      </c>
    </row>
    <row r="1345" spans="1:21">
      <c r="A1345" s="60" t="s">
        <v>2388</v>
      </c>
      <c r="B1345" s="60" t="s">
        <v>3321</v>
      </c>
      <c r="C1345" s="60" t="s">
        <v>4847</v>
      </c>
      <c r="D1345" s="60">
        <v>22.7</v>
      </c>
      <c r="E1345" s="60">
        <v>-1.0900000000000001</v>
      </c>
      <c r="F1345" s="60">
        <v>43</v>
      </c>
      <c r="G1345" s="60">
        <v>0</v>
      </c>
      <c r="H1345" s="60">
        <v>0.25</v>
      </c>
      <c r="I1345" s="60">
        <v>0</v>
      </c>
      <c r="J1345" s="60">
        <v>0</v>
      </c>
      <c r="O1345" s="60" t="s">
        <v>2388</v>
      </c>
      <c r="P1345" s="60" t="s">
        <v>3321</v>
      </c>
      <c r="Q1345" s="60" t="s">
        <v>4847</v>
      </c>
      <c r="R1345" s="60">
        <v>22.7</v>
      </c>
      <c r="S1345" s="60">
        <v>-1.0900000000000001</v>
      </c>
      <c r="T1345" s="60">
        <v>43</v>
      </c>
      <c r="U1345" s="60">
        <v>42.31</v>
      </c>
    </row>
    <row r="1346" spans="1:21">
      <c r="A1346" s="60" t="s">
        <v>2390</v>
      </c>
      <c r="B1346" s="60" t="s">
        <v>3322</v>
      </c>
      <c r="C1346" s="60" t="s">
        <v>4620</v>
      </c>
      <c r="D1346" s="60">
        <v>38.5</v>
      </c>
      <c r="E1346" s="60">
        <v>-0.65</v>
      </c>
      <c r="F1346" s="60">
        <v>5</v>
      </c>
      <c r="G1346" s="60">
        <v>0</v>
      </c>
      <c r="H1346" s="60">
        <v>0.3</v>
      </c>
      <c r="I1346" s="60">
        <v>0</v>
      </c>
      <c r="J1346" s="60">
        <v>0</v>
      </c>
      <c r="O1346" s="60" t="s">
        <v>2390</v>
      </c>
      <c r="P1346" s="60" t="s">
        <v>3322</v>
      </c>
      <c r="Q1346" s="60" t="s">
        <v>4620</v>
      </c>
      <c r="R1346" s="60">
        <v>38.5</v>
      </c>
      <c r="S1346" s="60">
        <v>-0.65</v>
      </c>
      <c r="T1346" s="60">
        <v>5</v>
      </c>
      <c r="U1346" s="60">
        <v>64</v>
      </c>
    </row>
    <row r="1347" spans="1:21">
      <c r="A1347" s="60" t="s">
        <v>2392</v>
      </c>
      <c r="B1347" s="60" t="s">
        <v>5755</v>
      </c>
      <c r="C1347" s="60" t="s">
        <v>5756</v>
      </c>
      <c r="D1347" s="60">
        <v>45</v>
      </c>
      <c r="E1347" s="60">
        <v>1.1200000000000001</v>
      </c>
      <c r="F1347" s="60">
        <v>572</v>
      </c>
      <c r="G1347" s="60">
        <v>0</v>
      </c>
      <c r="H1347" s="60">
        <v>1.29</v>
      </c>
      <c r="I1347" s="60">
        <v>0</v>
      </c>
      <c r="J1347" s="60">
        <v>0</v>
      </c>
      <c r="O1347" s="60" t="s">
        <v>2392</v>
      </c>
      <c r="P1347" s="60" t="s">
        <v>5755</v>
      </c>
      <c r="Q1347" s="60" t="s">
        <v>5756</v>
      </c>
      <c r="R1347" s="60">
        <v>45</v>
      </c>
      <c r="S1347" s="60">
        <v>1.1200000000000001</v>
      </c>
      <c r="T1347" s="60">
        <v>572</v>
      </c>
      <c r="U1347" s="60">
        <v>18.190000000000001</v>
      </c>
    </row>
    <row r="1348" spans="1:21">
      <c r="A1348" s="60" t="s">
        <v>2394</v>
      </c>
      <c r="B1348" s="60" t="s">
        <v>3323</v>
      </c>
      <c r="C1348" s="60" t="s">
        <v>3659</v>
      </c>
      <c r="D1348" s="60">
        <v>34.1</v>
      </c>
      <c r="E1348" s="60">
        <v>5.57</v>
      </c>
      <c r="F1348" s="60">
        <v>6249</v>
      </c>
      <c r="G1348" s="60">
        <v>0</v>
      </c>
      <c r="H1348" s="60">
        <v>15.61</v>
      </c>
      <c r="I1348" s="60">
        <v>0</v>
      </c>
      <c r="J1348" s="60">
        <v>0</v>
      </c>
      <c r="O1348" s="60" t="s">
        <v>2394</v>
      </c>
      <c r="P1348" s="60" t="s">
        <v>3323</v>
      </c>
      <c r="Q1348" s="60" t="s">
        <v>3659</v>
      </c>
      <c r="R1348" s="60">
        <v>34.1</v>
      </c>
      <c r="S1348" s="60">
        <v>5.57</v>
      </c>
      <c r="T1348" s="60">
        <v>6249</v>
      </c>
      <c r="U1348" s="60">
        <v>26.77</v>
      </c>
    </row>
    <row r="1349" spans="1:21">
      <c r="A1349" s="60" t="s">
        <v>2396</v>
      </c>
      <c r="B1349" s="60" t="s">
        <v>2675</v>
      </c>
      <c r="C1349" s="60" t="s">
        <v>4848</v>
      </c>
      <c r="D1349" s="60">
        <v>51.2</v>
      </c>
      <c r="E1349" s="60">
        <v>0.79</v>
      </c>
      <c r="F1349" s="60">
        <v>108</v>
      </c>
      <c r="G1349" s="60">
        <v>0</v>
      </c>
      <c r="H1349" s="60">
        <v>10.81</v>
      </c>
      <c r="I1349" s="60">
        <v>5.58</v>
      </c>
      <c r="J1349" s="60">
        <v>0.4</v>
      </c>
      <c r="O1349" s="60" t="s">
        <v>2396</v>
      </c>
      <c r="P1349" s="60" t="s">
        <v>2675</v>
      </c>
      <c r="Q1349" s="60" t="s">
        <v>4848</v>
      </c>
      <c r="R1349" s="60">
        <v>51.2</v>
      </c>
      <c r="S1349" s="60">
        <v>0.79</v>
      </c>
      <c r="T1349" s="60">
        <v>108</v>
      </c>
      <c r="U1349" s="60">
        <v>45.96</v>
      </c>
    </row>
    <row r="1350" spans="1:21">
      <c r="A1350" s="60" t="s">
        <v>2398</v>
      </c>
      <c r="B1350" s="60" t="s">
        <v>2677</v>
      </c>
      <c r="C1350" s="60" t="s">
        <v>4808</v>
      </c>
      <c r="D1350" s="60">
        <v>17.899999999999999</v>
      </c>
      <c r="E1350" s="60">
        <v>0</v>
      </c>
      <c r="F1350" s="60">
        <v>85</v>
      </c>
      <c r="G1350" s="60">
        <v>0.6</v>
      </c>
      <c r="H1350" s="60">
        <v>0.44</v>
      </c>
      <c r="I1350" s="60">
        <v>32.82</v>
      </c>
      <c r="J1350" s="60">
        <v>0</v>
      </c>
      <c r="O1350" s="60" t="s">
        <v>2398</v>
      </c>
      <c r="P1350" s="60" t="s">
        <v>2677</v>
      </c>
      <c r="Q1350" s="60" t="s">
        <v>4808</v>
      </c>
      <c r="R1350" s="60">
        <v>17.899999999999999</v>
      </c>
      <c r="S1350" s="60">
        <v>0</v>
      </c>
      <c r="T1350" s="60">
        <v>85</v>
      </c>
      <c r="U1350" s="60">
        <v>53.87</v>
      </c>
    </row>
    <row r="1351" spans="1:21">
      <c r="A1351" s="60" t="s">
        <v>2400</v>
      </c>
      <c r="B1351" s="60" t="s">
        <v>3324</v>
      </c>
      <c r="C1351" s="60" t="s">
        <v>5034</v>
      </c>
      <c r="D1351" s="60">
        <v>10.15</v>
      </c>
      <c r="E1351" s="60">
        <v>-0.49</v>
      </c>
      <c r="F1351" s="60">
        <v>13</v>
      </c>
      <c r="G1351" s="60">
        <v>0</v>
      </c>
      <c r="H1351" s="60">
        <v>0</v>
      </c>
      <c r="I1351" s="60">
        <v>0</v>
      </c>
      <c r="J1351" s="60">
        <v>0</v>
      </c>
      <c r="O1351" s="60" t="s">
        <v>2400</v>
      </c>
      <c r="P1351" s="60" t="s">
        <v>3324</v>
      </c>
      <c r="Q1351" s="60" t="s">
        <v>5034</v>
      </c>
      <c r="R1351" s="60">
        <v>10.15</v>
      </c>
      <c r="S1351" s="60">
        <v>-0.49</v>
      </c>
      <c r="T1351" s="60">
        <v>13</v>
      </c>
      <c r="U1351" s="60">
        <v>84.51</v>
      </c>
    </row>
    <row r="1352" spans="1:21">
      <c r="A1352" s="60" t="s">
        <v>2402</v>
      </c>
      <c r="B1352" s="60" t="s">
        <v>2679</v>
      </c>
      <c r="C1352" s="60" t="s">
        <v>4656</v>
      </c>
      <c r="D1352" s="60">
        <v>20.9</v>
      </c>
      <c r="E1352" s="60">
        <v>-0.48</v>
      </c>
      <c r="F1352" s="60">
        <v>134</v>
      </c>
      <c r="G1352" s="60">
        <v>0</v>
      </c>
      <c r="H1352" s="60">
        <v>1.1399999999999999</v>
      </c>
      <c r="I1352" s="60">
        <v>9.08</v>
      </c>
      <c r="J1352" s="60">
        <v>0</v>
      </c>
      <c r="O1352" s="60" t="s">
        <v>2402</v>
      </c>
      <c r="P1352" s="60" t="s">
        <v>2679</v>
      </c>
      <c r="Q1352" s="60" t="s">
        <v>4656</v>
      </c>
      <c r="R1352" s="60">
        <v>20.9</v>
      </c>
      <c r="S1352" s="60">
        <v>-0.48</v>
      </c>
      <c r="T1352" s="60">
        <v>134</v>
      </c>
      <c r="U1352" s="60">
        <v>45.01</v>
      </c>
    </row>
    <row r="1353" spans="1:21">
      <c r="A1353" s="60" t="s">
        <v>2404</v>
      </c>
      <c r="B1353" s="60" t="s">
        <v>2681</v>
      </c>
      <c r="C1353" s="60" t="s">
        <v>50</v>
      </c>
      <c r="D1353" s="60">
        <v>22.15</v>
      </c>
      <c r="E1353" s="60">
        <v>1.1399999999999999</v>
      </c>
      <c r="F1353" s="60">
        <v>4558</v>
      </c>
      <c r="G1353" s="60">
        <v>0.17</v>
      </c>
      <c r="H1353" s="60">
        <v>13.91</v>
      </c>
      <c r="I1353" s="60">
        <v>23.32</v>
      </c>
      <c r="J1353" s="60">
        <v>0</v>
      </c>
      <c r="O1353" s="60" t="s">
        <v>2404</v>
      </c>
      <c r="P1353" s="60" t="s">
        <v>2681</v>
      </c>
      <c r="Q1353" s="60" t="s">
        <v>50</v>
      </c>
      <c r="R1353" s="60">
        <v>22.15</v>
      </c>
      <c r="S1353" s="60">
        <v>1.1399999999999999</v>
      </c>
      <c r="T1353" s="60">
        <v>4558</v>
      </c>
      <c r="U1353" s="60">
        <v>26.12</v>
      </c>
    </row>
    <row r="1354" spans="1:21">
      <c r="A1354" s="60" t="s">
        <v>2406</v>
      </c>
      <c r="B1354" s="60" t="s">
        <v>2683</v>
      </c>
      <c r="C1354" s="60" t="s">
        <v>3985</v>
      </c>
      <c r="D1354" s="60">
        <v>62.2</v>
      </c>
      <c r="E1354" s="60">
        <v>0.48</v>
      </c>
      <c r="F1354" s="60">
        <v>3197</v>
      </c>
      <c r="G1354" s="60">
        <v>0.2</v>
      </c>
      <c r="H1354" s="60">
        <v>26.14</v>
      </c>
      <c r="I1354" s="60">
        <v>12.16</v>
      </c>
      <c r="J1354" s="60">
        <v>0.42</v>
      </c>
      <c r="O1354" s="60" t="s">
        <v>2406</v>
      </c>
      <c r="P1354" s="60" t="s">
        <v>2683</v>
      </c>
      <c r="Q1354" s="60" t="s">
        <v>3985</v>
      </c>
      <c r="R1354" s="60">
        <v>62.2</v>
      </c>
      <c r="S1354" s="60">
        <v>0.48</v>
      </c>
      <c r="T1354" s="60">
        <v>3197</v>
      </c>
      <c r="U1354" s="60">
        <v>31.97</v>
      </c>
    </row>
    <row r="1355" spans="1:21">
      <c r="A1355" s="60" t="s">
        <v>2408</v>
      </c>
      <c r="B1355" s="60" t="s">
        <v>3325</v>
      </c>
      <c r="C1355" s="60" t="s">
        <v>4938</v>
      </c>
      <c r="D1355" s="60">
        <v>33.65</v>
      </c>
      <c r="E1355" s="60">
        <v>-4.13</v>
      </c>
      <c r="F1355" s="60">
        <v>214</v>
      </c>
      <c r="G1355" s="60">
        <v>0</v>
      </c>
      <c r="H1355" s="60">
        <v>54.23</v>
      </c>
      <c r="I1355" s="60">
        <v>0</v>
      </c>
      <c r="J1355" s="60">
        <v>0</v>
      </c>
      <c r="O1355" s="60" t="s">
        <v>2408</v>
      </c>
      <c r="P1355" s="60" t="s">
        <v>3325</v>
      </c>
      <c r="Q1355" s="60" t="s">
        <v>4938</v>
      </c>
      <c r="R1355" s="60">
        <v>33.65</v>
      </c>
      <c r="S1355" s="60">
        <v>-4.13</v>
      </c>
      <c r="T1355" s="60">
        <v>214</v>
      </c>
      <c r="U1355" s="60">
        <v>57.2</v>
      </c>
    </row>
    <row r="1356" spans="1:21">
      <c r="A1356" s="60" t="s">
        <v>2410</v>
      </c>
      <c r="B1356" s="60" t="s">
        <v>2685</v>
      </c>
      <c r="C1356" s="60" t="s">
        <v>4703</v>
      </c>
      <c r="D1356" s="60">
        <v>89</v>
      </c>
      <c r="E1356" s="60">
        <v>2.1800000000000002</v>
      </c>
      <c r="F1356" s="60">
        <v>1883</v>
      </c>
      <c r="G1356" s="60">
        <v>0.16</v>
      </c>
      <c r="H1356" s="60">
        <v>6.47</v>
      </c>
      <c r="I1356" s="60">
        <v>15.23</v>
      </c>
      <c r="J1356" s="60">
        <v>0</v>
      </c>
      <c r="O1356" s="60" t="s">
        <v>2410</v>
      </c>
      <c r="P1356" s="60" t="s">
        <v>2685</v>
      </c>
      <c r="Q1356" s="60" t="s">
        <v>4703</v>
      </c>
      <c r="R1356" s="60">
        <v>89</v>
      </c>
      <c r="S1356" s="60">
        <v>2.1800000000000002</v>
      </c>
      <c r="T1356" s="60">
        <v>1883</v>
      </c>
      <c r="U1356" s="60">
        <v>24.49</v>
      </c>
    </row>
    <row r="1357" spans="1:21">
      <c r="A1357" s="60" t="s">
        <v>2412</v>
      </c>
      <c r="B1357" s="60" t="s">
        <v>2687</v>
      </c>
      <c r="C1357" s="60" t="s">
        <v>4849</v>
      </c>
      <c r="D1357" s="60">
        <v>68</v>
      </c>
      <c r="E1357" s="60">
        <v>0</v>
      </c>
      <c r="F1357" s="60">
        <v>40</v>
      </c>
      <c r="G1357" s="60">
        <v>0</v>
      </c>
      <c r="H1357" s="60">
        <v>2.23</v>
      </c>
      <c r="I1357" s="60">
        <v>0.43</v>
      </c>
      <c r="J1357" s="60">
        <v>0</v>
      </c>
      <c r="O1357" s="60" t="s">
        <v>2412</v>
      </c>
      <c r="P1357" s="60" t="s">
        <v>2687</v>
      </c>
      <c r="Q1357" s="60" t="s">
        <v>4849</v>
      </c>
      <c r="R1357" s="60">
        <v>68</v>
      </c>
      <c r="S1357" s="60">
        <v>0</v>
      </c>
      <c r="T1357" s="60">
        <v>40</v>
      </c>
      <c r="U1357" s="60">
        <v>40.97</v>
      </c>
    </row>
    <row r="1358" spans="1:21">
      <c r="A1358" s="60" t="s">
        <v>2413</v>
      </c>
      <c r="B1358" s="60" t="s">
        <v>3326</v>
      </c>
      <c r="C1358" s="60" t="s">
        <v>5068</v>
      </c>
      <c r="D1358" s="60">
        <v>9.07</v>
      </c>
      <c r="E1358" s="60">
        <v>-1.31</v>
      </c>
      <c r="F1358" s="60">
        <v>351</v>
      </c>
      <c r="G1358" s="60">
        <v>0</v>
      </c>
      <c r="H1358" s="60">
        <v>0</v>
      </c>
      <c r="I1358" s="60">
        <v>0</v>
      </c>
      <c r="J1358" s="60">
        <v>0</v>
      </c>
      <c r="O1358" s="60" t="s">
        <v>2413</v>
      </c>
      <c r="P1358" s="60" t="s">
        <v>3326</v>
      </c>
      <c r="Q1358" s="60" t="s">
        <v>5068</v>
      </c>
      <c r="R1358" s="60">
        <v>9.07</v>
      </c>
      <c r="S1358" s="60">
        <v>-1.31</v>
      </c>
      <c r="T1358" s="60">
        <v>351</v>
      </c>
      <c r="U1358" s="60">
        <v>59.4</v>
      </c>
    </row>
    <row r="1359" spans="1:21">
      <c r="A1359" s="60" t="s">
        <v>2414</v>
      </c>
      <c r="B1359" s="60" t="s">
        <v>2690</v>
      </c>
      <c r="C1359" s="60" t="s">
        <v>4972</v>
      </c>
      <c r="D1359" s="60">
        <v>15.6</v>
      </c>
      <c r="E1359" s="60">
        <v>9.86</v>
      </c>
      <c r="F1359" s="60">
        <v>3548</v>
      </c>
      <c r="G1359" s="60">
        <v>2.0299999999999998</v>
      </c>
      <c r="H1359" s="60">
        <v>4.04</v>
      </c>
      <c r="I1359" s="60">
        <v>27.52</v>
      </c>
      <c r="J1359" s="60">
        <v>0</v>
      </c>
      <c r="O1359" s="60" t="s">
        <v>2414</v>
      </c>
      <c r="P1359" s="60" t="s">
        <v>2690</v>
      </c>
      <c r="Q1359" s="60" t="s">
        <v>4972</v>
      </c>
      <c r="R1359" s="60">
        <v>15.6</v>
      </c>
      <c r="S1359" s="60">
        <v>9.86</v>
      </c>
      <c r="T1359" s="60">
        <v>3548</v>
      </c>
      <c r="U1359" s="60">
        <v>53.61</v>
      </c>
    </row>
    <row r="1360" spans="1:21">
      <c r="A1360" s="60" t="s">
        <v>2416</v>
      </c>
      <c r="B1360" s="60" t="s">
        <v>2692</v>
      </c>
      <c r="C1360" s="60" t="s">
        <v>4939</v>
      </c>
      <c r="D1360" s="60">
        <v>19.399999999999999</v>
      </c>
      <c r="E1360" s="60">
        <v>0.52</v>
      </c>
      <c r="F1360" s="60">
        <v>131</v>
      </c>
      <c r="G1360" s="60">
        <v>0</v>
      </c>
      <c r="H1360" s="60">
        <v>5.91</v>
      </c>
      <c r="I1360" s="60">
        <v>3.18</v>
      </c>
      <c r="J1360" s="60">
        <v>0</v>
      </c>
      <c r="O1360" s="60" t="s">
        <v>2416</v>
      </c>
      <c r="P1360" s="60" t="s">
        <v>2692</v>
      </c>
      <c r="Q1360" s="60" t="s">
        <v>4939</v>
      </c>
      <c r="R1360" s="60">
        <v>19.399999999999999</v>
      </c>
      <c r="S1360" s="60">
        <v>0.52</v>
      </c>
      <c r="T1360" s="60">
        <v>131</v>
      </c>
      <c r="U1360" s="60">
        <v>39.619999999999997</v>
      </c>
    </row>
    <row r="1361" spans="1:21">
      <c r="A1361" s="60" t="s">
        <v>2418</v>
      </c>
      <c r="B1361" s="60" t="s">
        <v>2694</v>
      </c>
      <c r="C1361" s="60" t="s">
        <v>4220</v>
      </c>
      <c r="D1361" s="60">
        <v>101</v>
      </c>
      <c r="E1361" s="60">
        <v>1</v>
      </c>
      <c r="F1361" s="60">
        <v>1914</v>
      </c>
      <c r="G1361" s="60">
        <v>0.09</v>
      </c>
      <c r="H1361" s="60">
        <v>24.3</v>
      </c>
      <c r="I1361" s="60">
        <v>15.05</v>
      </c>
      <c r="J1361" s="60">
        <v>3.06</v>
      </c>
      <c r="O1361" s="60" t="s">
        <v>2418</v>
      </c>
      <c r="P1361" s="60" t="s">
        <v>2694</v>
      </c>
      <c r="Q1361" s="60" t="s">
        <v>4220</v>
      </c>
      <c r="R1361" s="60">
        <v>101</v>
      </c>
      <c r="S1361" s="60">
        <v>1</v>
      </c>
      <c r="T1361" s="60">
        <v>1914</v>
      </c>
      <c r="U1361" s="60">
        <v>44.72</v>
      </c>
    </row>
    <row r="1362" spans="1:21">
      <c r="A1362" s="60" t="s">
        <v>2420</v>
      </c>
      <c r="B1362" s="60" t="s">
        <v>2696</v>
      </c>
      <c r="C1362" s="60" t="s">
        <v>4973</v>
      </c>
      <c r="D1362" s="60">
        <v>22.95</v>
      </c>
      <c r="E1362" s="60">
        <v>0.88</v>
      </c>
      <c r="F1362" s="60">
        <v>256</v>
      </c>
      <c r="G1362" s="60">
        <v>0</v>
      </c>
      <c r="H1362" s="60">
        <v>1.4</v>
      </c>
      <c r="I1362" s="60">
        <v>6.31</v>
      </c>
      <c r="J1362" s="60">
        <v>0</v>
      </c>
      <c r="O1362" s="60" t="s">
        <v>2420</v>
      </c>
      <c r="P1362" s="60" t="s">
        <v>2696</v>
      </c>
      <c r="Q1362" s="60" t="s">
        <v>4973</v>
      </c>
      <c r="R1362" s="60">
        <v>22.95</v>
      </c>
      <c r="S1362" s="60">
        <v>0.88</v>
      </c>
      <c r="T1362" s="60">
        <v>256</v>
      </c>
      <c r="U1362" s="60">
        <v>40.5</v>
      </c>
    </row>
    <row r="1363" spans="1:21">
      <c r="A1363" s="60" t="s">
        <v>2422</v>
      </c>
      <c r="B1363" s="60" t="s">
        <v>2698</v>
      </c>
      <c r="C1363" s="60" t="s">
        <v>3986</v>
      </c>
      <c r="D1363" s="60">
        <v>323</v>
      </c>
      <c r="E1363" s="60">
        <v>5.38</v>
      </c>
      <c r="F1363" s="60">
        <v>10741</v>
      </c>
      <c r="G1363" s="60">
        <v>2.25</v>
      </c>
      <c r="H1363" s="60">
        <v>53.13</v>
      </c>
      <c r="I1363" s="60">
        <v>18.579999999999998</v>
      </c>
      <c r="J1363" s="60">
        <v>15.72</v>
      </c>
      <c r="O1363" s="60" t="s">
        <v>2422</v>
      </c>
      <c r="P1363" s="60" t="s">
        <v>2698</v>
      </c>
      <c r="Q1363" s="60" t="s">
        <v>3986</v>
      </c>
      <c r="R1363" s="60">
        <v>323</v>
      </c>
      <c r="S1363" s="60">
        <v>5.38</v>
      </c>
      <c r="T1363" s="60">
        <v>10741</v>
      </c>
      <c r="U1363" s="60">
        <v>43.56</v>
      </c>
    </row>
    <row r="1364" spans="1:21">
      <c r="A1364" s="60" t="s">
        <v>2424</v>
      </c>
      <c r="B1364" s="60" t="s">
        <v>2700</v>
      </c>
      <c r="C1364" s="60" t="s">
        <v>4940</v>
      </c>
      <c r="D1364" s="60">
        <v>98.8</v>
      </c>
      <c r="E1364" s="60">
        <v>1.33</v>
      </c>
      <c r="F1364" s="60">
        <v>953</v>
      </c>
      <c r="G1364" s="60">
        <v>7.0000000000000007E-2</v>
      </c>
      <c r="H1364" s="60">
        <v>48.77</v>
      </c>
      <c r="I1364" s="60">
        <v>4.72</v>
      </c>
      <c r="J1364" s="60">
        <v>1.23</v>
      </c>
      <c r="O1364" s="60" t="s">
        <v>2424</v>
      </c>
      <c r="P1364" s="60" t="s">
        <v>2700</v>
      </c>
      <c r="Q1364" s="60" t="s">
        <v>4940</v>
      </c>
      <c r="R1364" s="60">
        <v>98.8</v>
      </c>
      <c r="S1364" s="60">
        <v>1.33</v>
      </c>
      <c r="T1364" s="60">
        <v>953</v>
      </c>
      <c r="U1364" s="60">
        <v>64.52</v>
      </c>
    </row>
    <row r="1365" spans="1:21">
      <c r="A1365" s="60" t="s">
        <v>2426</v>
      </c>
      <c r="B1365" s="60" t="s">
        <v>2702</v>
      </c>
      <c r="C1365" s="60" t="s">
        <v>5035</v>
      </c>
      <c r="D1365" s="60">
        <v>33.799999999999997</v>
      </c>
      <c r="E1365" s="60">
        <v>-0.88</v>
      </c>
      <c r="F1365" s="60">
        <v>1548</v>
      </c>
      <c r="G1365" s="60">
        <v>0.19</v>
      </c>
      <c r="H1365" s="60">
        <v>2.54</v>
      </c>
      <c r="I1365" s="60">
        <v>20.79</v>
      </c>
      <c r="J1365" s="60">
        <v>0</v>
      </c>
      <c r="O1365" s="60" t="s">
        <v>2426</v>
      </c>
      <c r="P1365" s="60" t="s">
        <v>2702</v>
      </c>
      <c r="Q1365" s="60" t="s">
        <v>5035</v>
      </c>
      <c r="R1365" s="60">
        <v>33.799999999999997</v>
      </c>
      <c r="S1365" s="60">
        <v>-0.88</v>
      </c>
      <c r="T1365" s="60">
        <v>1548</v>
      </c>
      <c r="U1365" s="60">
        <v>22.78</v>
      </c>
    </row>
    <row r="1366" spans="1:21">
      <c r="A1366" s="60" t="s">
        <v>2428</v>
      </c>
      <c r="B1366" s="60" t="s">
        <v>2704</v>
      </c>
      <c r="C1366" s="60" t="s">
        <v>4766</v>
      </c>
      <c r="D1366" s="60">
        <v>22.25</v>
      </c>
      <c r="E1366" s="60">
        <v>-0.67</v>
      </c>
      <c r="F1366" s="60">
        <v>86</v>
      </c>
      <c r="G1366" s="60">
        <v>0</v>
      </c>
      <c r="H1366" s="60">
        <v>3.4</v>
      </c>
      <c r="I1366" s="60">
        <v>17.899999999999999</v>
      </c>
      <c r="J1366" s="60">
        <v>0</v>
      </c>
      <c r="O1366" s="60" t="s">
        <v>2428</v>
      </c>
      <c r="P1366" s="60" t="s">
        <v>2704</v>
      </c>
      <c r="Q1366" s="60" t="s">
        <v>4766</v>
      </c>
      <c r="R1366" s="60">
        <v>22.25</v>
      </c>
      <c r="S1366" s="60">
        <v>-0.67</v>
      </c>
      <c r="T1366" s="60">
        <v>86</v>
      </c>
      <c r="U1366" s="60">
        <v>47.77</v>
      </c>
    </row>
    <row r="1367" spans="1:21">
      <c r="A1367" s="60" t="s">
        <v>2429</v>
      </c>
      <c r="B1367" s="60" t="s">
        <v>2706</v>
      </c>
      <c r="C1367" s="60" t="s">
        <v>4043</v>
      </c>
      <c r="D1367" s="60">
        <v>82</v>
      </c>
      <c r="E1367" s="60">
        <v>0</v>
      </c>
      <c r="F1367" s="60">
        <v>59</v>
      </c>
      <c r="G1367" s="60">
        <v>0</v>
      </c>
      <c r="H1367" s="60">
        <v>14.8</v>
      </c>
      <c r="I1367" s="60">
        <v>0.55000000000000004</v>
      </c>
      <c r="J1367" s="60">
        <v>0</v>
      </c>
      <c r="O1367" s="60" t="s">
        <v>2429</v>
      </c>
      <c r="P1367" s="60" t="s">
        <v>2706</v>
      </c>
      <c r="Q1367" s="60" t="s">
        <v>4043</v>
      </c>
      <c r="R1367" s="60">
        <v>82</v>
      </c>
      <c r="S1367" s="60">
        <v>0</v>
      </c>
      <c r="T1367" s="60">
        <v>59</v>
      </c>
      <c r="U1367" s="60">
        <v>44.27</v>
      </c>
    </row>
    <row r="1368" spans="1:21">
      <c r="A1368" s="60" t="s">
        <v>2431</v>
      </c>
      <c r="B1368" s="60" t="s">
        <v>2708</v>
      </c>
      <c r="C1368" s="60" t="s">
        <v>4098</v>
      </c>
      <c r="D1368" s="60">
        <v>123</v>
      </c>
      <c r="E1368" s="60">
        <v>0.41</v>
      </c>
      <c r="F1368" s="60">
        <v>4662</v>
      </c>
      <c r="G1368" s="60">
        <v>0.38</v>
      </c>
      <c r="H1368" s="60">
        <v>17.61</v>
      </c>
      <c r="I1368" s="60">
        <v>20.94</v>
      </c>
      <c r="J1368" s="60">
        <v>1.18</v>
      </c>
      <c r="O1368" s="60" t="s">
        <v>2431</v>
      </c>
      <c r="P1368" s="60" t="s">
        <v>2708</v>
      </c>
      <c r="Q1368" s="60" t="s">
        <v>4098</v>
      </c>
      <c r="R1368" s="60">
        <v>123</v>
      </c>
      <c r="S1368" s="60">
        <v>0.41</v>
      </c>
      <c r="T1368" s="60">
        <v>4662</v>
      </c>
      <c r="U1368" s="60">
        <v>54.32</v>
      </c>
    </row>
    <row r="1369" spans="1:21">
      <c r="A1369" s="60" t="s">
        <v>2433</v>
      </c>
      <c r="B1369" s="60" t="s">
        <v>2710</v>
      </c>
      <c r="C1369" s="60" t="s">
        <v>4941</v>
      </c>
      <c r="D1369" s="60">
        <v>132.5</v>
      </c>
      <c r="E1369" s="60">
        <v>-0.75</v>
      </c>
      <c r="F1369" s="60">
        <v>629</v>
      </c>
      <c r="G1369" s="60">
        <v>0.21</v>
      </c>
      <c r="H1369" s="60">
        <v>15.33</v>
      </c>
      <c r="I1369" s="60">
        <v>14.68</v>
      </c>
      <c r="J1369" s="60">
        <v>2.8</v>
      </c>
      <c r="O1369" s="60" t="s">
        <v>2433</v>
      </c>
      <c r="P1369" s="60" t="s">
        <v>2710</v>
      </c>
      <c r="Q1369" s="60" t="s">
        <v>4941</v>
      </c>
      <c r="R1369" s="60">
        <v>132.5</v>
      </c>
      <c r="S1369" s="60">
        <v>-0.75</v>
      </c>
      <c r="T1369" s="60">
        <v>629</v>
      </c>
      <c r="U1369" s="60">
        <v>45.7</v>
      </c>
    </row>
    <row r="1370" spans="1:21">
      <c r="A1370" s="60" t="s">
        <v>2435</v>
      </c>
      <c r="B1370" s="60" t="s">
        <v>2712</v>
      </c>
      <c r="C1370" s="60" t="s">
        <v>4246</v>
      </c>
      <c r="D1370" s="60">
        <v>83.2</v>
      </c>
      <c r="E1370" s="60">
        <v>0</v>
      </c>
      <c r="F1370" s="60">
        <v>26</v>
      </c>
      <c r="G1370" s="60">
        <v>0</v>
      </c>
      <c r="H1370" s="60">
        <v>2.5299999999999998</v>
      </c>
      <c r="I1370" s="60">
        <v>0.23</v>
      </c>
      <c r="J1370" s="60">
        <v>0</v>
      </c>
      <c r="O1370" s="60" t="s">
        <v>2435</v>
      </c>
      <c r="P1370" s="60" t="s">
        <v>2712</v>
      </c>
      <c r="Q1370" s="60" t="s">
        <v>4246</v>
      </c>
      <c r="R1370" s="60">
        <v>83.2</v>
      </c>
      <c r="S1370" s="60">
        <v>0</v>
      </c>
      <c r="T1370" s="60">
        <v>26</v>
      </c>
      <c r="U1370" s="60">
        <v>52.84</v>
      </c>
    </row>
    <row r="1371" spans="1:21">
      <c r="A1371" s="60" t="s">
        <v>2437</v>
      </c>
      <c r="B1371" s="60" t="s">
        <v>2714</v>
      </c>
      <c r="C1371" s="60" t="s">
        <v>4221</v>
      </c>
      <c r="D1371" s="60">
        <v>35.4</v>
      </c>
      <c r="E1371" s="60">
        <v>-1.39</v>
      </c>
      <c r="F1371" s="60">
        <v>11953</v>
      </c>
      <c r="G1371" s="60">
        <v>0.68</v>
      </c>
      <c r="H1371" s="60">
        <v>10.79</v>
      </c>
      <c r="I1371" s="60">
        <v>15.09</v>
      </c>
      <c r="J1371" s="60">
        <v>0.09</v>
      </c>
      <c r="O1371" s="60" t="s">
        <v>2437</v>
      </c>
      <c r="P1371" s="60" t="s">
        <v>2714</v>
      </c>
      <c r="Q1371" s="60" t="s">
        <v>4221</v>
      </c>
      <c r="R1371" s="60">
        <v>35.4</v>
      </c>
      <c r="S1371" s="60">
        <v>-1.39</v>
      </c>
      <c r="T1371" s="60">
        <v>11953</v>
      </c>
      <c r="U1371" s="60">
        <v>39.840000000000003</v>
      </c>
    </row>
    <row r="1372" spans="1:21">
      <c r="A1372" s="60" t="s">
        <v>2439</v>
      </c>
      <c r="B1372" s="60" t="s">
        <v>2716</v>
      </c>
      <c r="C1372" s="60" t="s">
        <v>4291</v>
      </c>
      <c r="D1372" s="60">
        <v>51.6</v>
      </c>
      <c r="E1372" s="60">
        <v>1.38</v>
      </c>
      <c r="F1372" s="60">
        <v>2038</v>
      </c>
      <c r="G1372" s="60">
        <v>2.0499999999999998</v>
      </c>
      <c r="H1372" s="60">
        <v>18.54</v>
      </c>
      <c r="I1372" s="60">
        <v>38.21</v>
      </c>
      <c r="J1372" s="60">
        <v>0</v>
      </c>
      <c r="O1372" s="60" t="s">
        <v>2439</v>
      </c>
      <c r="P1372" s="60" t="s">
        <v>2716</v>
      </c>
      <c r="Q1372" s="60" t="s">
        <v>4291</v>
      </c>
      <c r="R1372" s="60">
        <v>51.6</v>
      </c>
      <c r="S1372" s="60">
        <v>1.38</v>
      </c>
      <c r="T1372" s="60">
        <v>2038</v>
      </c>
      <c r="U1372" s="60">
        <v>53.94</v>
      </c>
    </row>
    <row r="1373" spans="1:21">
      <c r="A1373" s="60" t="s">
        <v>2441</v>
      </c>
      <c r="B1373" s="60" t="s">
        <v>2718</v>
      </c>
      <c r="C1373" s="60" t="s">
        <v>4942</v>
      </c>
      <c r="D1373" s="60">
        <v>65.8</v>
      </c>
      <c r="E1373" s="60">
        <v>9.85</v>
      </c>
      <c r="F1373" s="60">
        <v>14520</v>
      </c>
      <c r="G1373" s="60">
        <v>0.2</v>
      </c>
      <c r="H1373" s="60">
        <v>2.2799999999999998</v>
      </c>
      <c r="I1373" s="60">
        <v>16.64</v>
      </c>
      <c r="J1373" s="60">
        <v>0.1</v>
      </c>
      <c r="O1373" s="60" t="s">
        <v>2441</v>
      </c>
      <c r="P1373" s="60" t="s">
        <v>2718</v>
      </c>
      <c r="Q1373" s="60" t="s">
        <v>4942</v>
      </c>
      <c r="R1373" s="60">
        <v>65.8</v>
      </c>
      <c r="S1373" s="60">
        <v>9.85</v>
      </c>
      <c r="T1373" s="60">
        <v>14520</v>
      </c>
      <c r="U1373" s="60">
        <v>44.98</v>
      </c>
    </row>
    <row r="1374" spans="1:21">
      <c r="A1374" s="60" t="s">
        <v>2443</v>
      </c>
      <c r="B1374" s="60" t="s">
        <v>2720</v>
      </c>
      <c r="C1374" s="60" t="s">
        <v>4138</v>
      </c>
      <c r="D1374" s="60">
        <v>77</v>
      </c>
      <c r="E1374" s="60">
        <v>1.58</v>
      </c>
      <c r="F1374" s="60">
        <v>3548</v>
      </c>
      <c r="G1374" s="60">
        <v>0.05</v>
      </c>
      <c r="H1374" s="60">
        <v>10.83</v>
      </c>
      <c r="I1374" s="60">
        <v>7.71</v>
      </c>
      <c r="J1374" s="60">
        <v>0.11</v>
      </c>
      <c r="O1374" s="60" t="s">
        <v>2443</v>
      </c>
      <c r="P1374" s="60" t="s">
        <v>2720</v>
      </c>
      <c r="Q1374" s="60" t="s">
        <v>4138</v>
      </c>
      <c r="R1374" s="60">
        <v>77</v>
      </c>
      <c r="S1374" s="60">
        <v>1.58</v>
      </c>
      <c r="T1374" s="60">
        <v>3548</v>
      </c>
      <c r="U1374" s="60">
        <v>55.16</v>
      </c>
    </row>
    <row r="1375" spans="1:21">
      <c r="A1375" s="60" t="s">
        <v>2445</v>
      </c>
      <c r="B1375" s="60" t="s">
        <v>3327</v>
      </c>
      <c r="C1375" s="60" t="s">
        <v>4704</v>
      </c>
      <c r="D1375" s="60">
        <v>11.25</v>
      </c>
      <c r="E1375" s="60">
        <v>0.45</v>
      </c>
      <c r="F1375" s="60">
        <v>110</v>
      </c>
      <c r="G1375" s="60">
        <v>0</v>
      </c>
      <c r="H1375" s="60">
        <v>4.3</v>
      </c>
      <c r="I1375" s="60">
        <v>0</v>
      </c>
      <c r="J1375" s="60">
        <v>0</v>
      </c>
      <c r="O1375" s="60" t="s">
        <v>2445</v>
      </c>
      <c r="P1375" s="60" t="s">
        <v>3327</v>
      </c>
      <c r="Q1375" s="60" t="s">
        <v>4704</v>
      </c>
      <c r="R1375" s="60">
        <v>11.25</v>
      </c>
      <c r="S1375" s="60">
        <v>0.45</v>
      </c>
      <c r="T1375" s="60">
        <v>110</v>
      </c>
      <c r="U1375" s="60">
        <v>90.37</v>
      </c>
    </row>
    <row r="1376" spans="1:21">
      <c r="A1376" s="60" t="s">
        <v>2447</v>
      </c>
      <c r="B1376" s="60" t="s">
        <v>2723</v>
      </c>
      <c r="C1376" s="60" t="s">
        <v>3939</v>
      </c>
      <c r="D1376" s="60">
        <v>26.85</v>
      </c>
      <c r="E1376" s="60">
        <v>0.37</v>
      </c>
      <c r="F1376" s="60">
        <v>508</v>
      </c>
      <c r="G1376" s="60">
        <v>1.1499999999999999</v>
      </c>
      <c r="H1376" s="60">
        <v>1.72</v>
      </c>
      <c r="I1376" s="60">
        <v>13.96</v>
      </c>
      <c r="J1376" s="60">
        <v>0.72</v>
      </c>
      <c r="O1376" s="60" t="s">
        <v>2447</v>
      </c>
      <c r="P1376" s="60" t="s">
        <v>2723</v>
      </c>
      <c r="Q1376" s="60" t="s">
        <v>3939</v>
      </c>
      <c r="R1376" s="60">
        <v>26.85</v>
      </c>
      <c r="S1376" s="60">
        <v>0.37</v>
      </c>
      <c r="T1376" s="60">
        <v>508</v>
      </c>
      <c r="U1376" s="60">
        <v>45.64</v>
      </c>
    </row>
    <row r="1377" spans="1:21">
      <c r="A1377" s="60" t="s">
        <v>2449</v>
      </c>
      <c r="B1377" s="60" t="s">
        <v>3328</v>
      </c>
      <c r="C1377" s="60" t="s">
        <v>4099</v>
      </c>
      <c r="D1377" s="60">
        <v>2.4500000000000002</v>
      </c>
      <c r="E1377" s="60">
        <v>-1.61</v>
      </c>
      <c r="F1377" s="60">
        <v>46</v>
      </c>
      <c r="G1377" s="60">
        <v>0</v>
      </c>
      <c r="H1377" s="60">
        <v>0.04</v>
      </c>
      <c r="I1377" s="60">
        <v>0</v>
      </c>
      <c r="J1377" s="60">
        <v>0</v>
      </c>
      <c r="O1377" s="60" t="s">
        <v>2449</v>
      </c>
      <c r="P1377" s="60" t="s">
        <v>3328</v>
      </c>
      <c r="Q1377" s="60" t="s">
        <v>4099</v>
      </c>
      <c r="R1377" s="60">
        <v>2.4500000000000002</v>
      </c>
      <c r="S1377" s="60">
        <v>-1.61</v>
      </c>
      <c r="T1377" s="60">
        <v>46</v>
      </c>
      <c r="U1377" s="60">
        <v>47.62</v>
      </c>
    </row>
    <row r="1378" spans="1:21">
      <c r="A1378" s="60" t="s">
        <v>2451</v>
      </c>
      <c r="B1378" s="60" t="s">
        <v>2726</v>
      </c>
      <c r="C1378" s="60" t="s">
        <v>4943</v>
      </c>
      <c r="D1378" s="60">
        <v>53.2</v>
      </c>
      <c r="E1378" s="60">
        <v>0.76</v>
      </c>
      <c r="F1378" s="60">
        <v>1254</v>
      </c>
      <c r="G1378" s="60">
        <v>2.59</v>
      </c>
      <c r="H1378" s="60">
        <v>2.0699999999999998</v>
      </c>
      <c r="I1378" s="60">
        <v>24.6</v>
      </c>
      <c r="J1378" s="60">
        <v>0</v>
      </c>
      <c r="O1378" s="60" t="s">
        <v>2451</v>
      </c>
      <c r="P1378" s="60" t="s">
        <v>2726</v>
      </c>
      <c r="Q1378" s="60" t="s">
        <v>4943</v>
      </c>
      <c r="R1378" s="60">
        <v>53.2</v>
      </c>
      <c r="S1378" s="60">
        <v>0.76</v>
      </c>
      <c r="T1378" s="60">
        <v>1254</v>
      </c>
      <c r="U1378" s="60">
        <v>18.8</v>
      </c>
    </row>
    <row r="1379" spans="1:21">
      <c r="A1379" s="60" t="s">
        <v>2453</v>
      </c>
      <c r="B1379" s="60" t="s">
        <v>3329</v>
      </c>
      <c r="C1379" s="60" t="s">
        <v>4705</v>
      </c>
      <c r="D1379" s="60">
        <v>44.65</v>
      </c>
      <c r="E1379" s="60">
        <v>5.18</v>
      </c>
      <c r="F1379" s="60">
        <v>32</v>
      </c>
      <c r="G1379" s="60">
        <v>0</v>
      </c>
      <c r="H1379" s="60">
        <v>1.97</v>
      </c>
      <c r="I1379" s="60">
        <v>0</v>
      </c>
      <c r="J1379" s="60">
        <v>0</v>
      </c>
      <c r="O1379" s="60" t="s">
        <v>2453</v>
      </c>
      <c r="P1379" s="60" t="s">
        <v>3329</v>
      </c>
      <c r="Q1379" s="60" t="s">
        <v>4705</v>
      </c>
      <c r="R1379" s="60">
        <v>44.65</v>
      </c>
      <c r="S1379" s="60">
        <v>5.18</v>
      </c>
      <c r="T1379" s="60">
        <v>32</v>
      </c>
      <c r="U1379" s="60">
        <v>87.94</v>
      </c>
    </row>
    <row r="1380" spans="1:21">
      <c r="A1380" s="60" t="s">
        <v>2455</v>
      </c>
      <c r="B1380" s="60" t="s">
        <v>2729</v>
      </c>
      <c r="C1380" s="60" t="s">
        <v>4944</v>
      </c>
      <c r="D1380" s="60">
        <v>42.9</v>
      </c>
      <c r="E1380" s="60">
        <v>-0.23</v>
      </c>
      <c r="F1380" s="60">
        <v>43</v>
      </c>
      <c r="G1380" s="60">
        <v>0</v>
      </c>
      <c r="H1380" s="60">
        <v>0.96</v>
      </c>
      <c r="I1380" s="60">
        <v>1.87</v>
      </c>
      <c r="J1380" s="60">
        <v>0</v>
      </c>
      <c r="O1380" s="60" t="s">
        <v>2455</v>
      </c>
      <c r="P1380" s="60" t="s">
        <v>2729</v>
      </c>
      <c r="Q1380" s="60" t="s">
        <v>4944</v>
      </c>
      <c r="R1380" s="60">
        <v>42.9</v>
      </c>
      <c r="S1380" s="60">
        <v>-0.23</v>
      </c>
      <c r="T1380" s="60">
        <v>43</v>
      </c>
      <c r="U1380" s="60">
        <v>47.41</v>
      </c>
    </row>
    <row r="1381" spans="1:21">
      <c r="A1381" s="60" t="s">
        <v>2457</v>
      </c>
      <c r="B1381" s="60" t="s">
        <v>2731</v>
      </c>
      <c r="C1381" s="60" t="s">
        <v>5189</v>
      </c>
      <c r="D1381" s="60">
        <v>127</v>
      </c>
      <c r="E1381" s="60">
        <v>-1.17</v>
      </c>
      <c r="F1381" s="60">
        <v>22</v>
      </c>
      <c r="G1381" s="60">
        <v>0</v>
      </c>
      <c r="H1381" s="60">
        <v>10.09</v>
      </c>
      <c r="I1381" s="60">
        <v>0.37</v>
      </c>
      <c r="J1381" s="60">
        <v>0</v>
      </c>
      <c r="O1381" s="60" t="s">
        <v>2457</v>
      </c>
      <c r="P1381" s="60" t="s">
        <v>2731</v>
      </c>
      <c r="Q1381" s="60" t="s">
        <v>5189</v>
      </c>
      <c r="R1381" s="60">
        <v>127</v>
      </c>
      <c r="S1381" s="60">
        <v>-1.17</v>
      </c>
      <c r="T1381" s="60">
        <v>22</v>
      </c>
      <c r="U1381" s="60">
        <v>40.15</v>
      </c>
    </row>
    <row r="1382" spans="1:21">
      <c r="A1382" s="60" t="s">
        <v>2458</v>
      </c>
      <c r="B1382" s="60" t="s">
        <v>5757</v>
      </c>
      <c r="C1382" s="60" t="s">
        <v>4995</v>
      </c>
      <c r="D1382" s="60">
        <v>21.8</v>
      </c>
      <c r="E1382" s="60">
        <v>0</v>
      </c>
      <c r="F1382" s="60">
        <v>1</v>
      </c>
      <c r="G1382" s="60">
        <v>0</v>
      </c>
      <c r="H1382" s="60">
        <v>48.61</v>
      </c>
      <c r="I1382" s="60">
        <v>0</v>
      </c>
      <c r="J1382" s="60">
        <v>0</v>
      </c>
      <c r="O1382" s="60" t="s">
        <v>2458</v>
      </c>
      <c r="P1382" s="60" t="s">
        <v>5757</v>
      </c>
      <c r="Q1382" s="60" t="s">
        <v>4995</v>
      </c>
      <c r="R1382" s="60">
        <v>21.8</v>
      </c>
      <c r="S1382" s="60">
        <v>0</v>
      </c>
      <c r="T1382" s="60">
        <v>1</v>
      </c>
      <c r="U1382" s="60">
        <v>32.299999999999997</v>
      </c>
    </row>
    <row r="1383" spans="1:21">
      <c r="A1383" s="60" t="s">
        <v>2460</v>
      </c>
      <c r="B1383" s="60" t="s">
        <v>2734</v>
      </c>
      <c r="C1383" s="60" t="s">
        <v>4100</v>
      </c>
      <c r="D1383" s="60">
        <v>29.6</v>
      </c>
      <c r="E1383" s="60">
        <v>1.2</v>
      </c>
      <c r="F1383" s="60">
        <v>160</v>
      </c>
      <c r="G1383" s="60">
        <v>1.29</v>
      </c>
      <c r="H1383" s="60">
        <v>1.41</v>
      </c>
      <c r="I1383" s="60">
        <v>26.74</v>
      </c>
      <c r="J1383" s="60">
        <v>0</v>
      </c>
      <c r="O1383" s="60" t="s">
        <v>2460</v>
      </c>
      <c r="P1383" s="60" t="s">
        <v>2734</v>
      </c>
      <c r="Q1383" s="60" t="s">
        <v>4100</v>
      </c>
      <c r="R1383" s="60">
        <v>29.6</v>
      </c>
      <c r="S1383" s="60">
        <v>1.2</v>
      </c>
      <c r="T1383" s="60">
        <v>160</v>
      </c>
      <c r="U1383" s="60">
        <v>37.26</v>
      </c>
    </row>
    <row r="1384" spans="1:21">
      <c r="A1384" s="60" t="s">
        <v>2462</v>
      </c>
      <c r="B1384" s="60" t="s">
        <v>2736</v>
      </c>
      <c r="C1384" s="60" t="s">
        <v>4292</v>
      </c>
      <c r="D1384" s="60">
        <v>1710</v>
      </c>
      <c r="E1384" s="60">
        <v>0</v>
      </c>
      <c r="F1384" s="60">
        <v>254</v>
      </c>
      <c r="G1384" s="60">
        <v>0</v>
      </c>
      <c r="H1384" s="60">
        <v>68.510000000000005</v>
      </c>
      <c r="I1384" s="60">
        <v>0.56000000000000005</v>
      </c>
      <c r="J1384" s="60">
        <v>0.18</v>
      </c>
      <c r="O1384" s="60" t="s">
        <v>2462</v>
      </c>
      <c r="P1384" s="60" t="s">
        <v>2736</v>
      </c>
      <c r="Q1384" s="60" t="s">
        <v>4292</v>
      </c>
      <c r="R1384" s="60">
        <v>1710</v>
      </c>
      <c r="S1384" s="60">
        <v>0</v>
      </c>
      <c r="T1384" s="60">
        <v>254</v>
      </c>
      <c r="U1384" s="60">
        <v>44.75</v>
      </c>
    </row>
    <row r="1385" spans="1:21">
      <c r="A1385" s="60" t="s">
        <v>2464</v>
      </c>
      <c r="B1385" s="60" t="s">
        <v>2738</v>
      </c>
      <c r="C1385" s="60" t="s">
        <v>4706</v>
      </c>
      <c r="D1385" s="60">
        <v>273</v>
      </c>
      <c r="E1385" s="60">
        <v>3.02</v>
      </c>
      <c r="F1385" s="60">
        <v>8909</v>
      </c>
      <c r="G1385" s="60">
        <v>16.510000000000002</v>
      </c>
      <c r="H1385" s="60">
        <v>24.64</v>
      </c>
      <c r="I1385" s="60">
        <v>38.49</v>
      </c>
      <c r="J1385" s="60">
        <v>13.8</v>
      </c>
      <c r="O1385" s="60" t="s">
        <v>2464</v>
      </c>
      <c r="P1385" s="60" t="s">
        <v>2738</v>
      </c>
      <c r="Q1385" s="60" t="s">
        <v>4706</v>
      </c>
      <c r="R1385" s="60">
        <v>273</v>
      </c>
      <c r="S1385" s="60">
        <v>3.02</v>
      </c>
      <c r="T1385" s="60">
        <v>8909</v>
      </c>
      <c r="U1385" s="60">
        <v>28.05</v>
      </c>
    </row>
    <row r="1386" spans="1:21">
      <c r="A1386" s="60" t="s">
        <v>2466</v>
      </c>
      <c r="B1386" s="60" t="s">
        <v>2740</v>
      </c>
      <c r="C1386" s="60" t="s">
        <v>4222</v>
      </c>
      <c r="D1386" s="60">
        <v>78.900000000000006</v>
      </c>
      <c r="E1386" s="60">
        <v>0.64</v>
      </c>
      <c r="F1386" s="60">
        <v>465</v>
      </c>
      <c r="G1386" s="60">
        <v>0</v>
      </c>
      <c r="H1386" s="60">
        <v>14.25</v>
      </c>
      <c r="I1386" s="60">
        <v>0.72</v>
      </c>
      <c r="J1386" s="60">
        <v>0.65</v>
      </c>
      <c r="O1386" s="60" t="s">
        <v>2466</v>
      </c>
      <c r="P1386" s="60" t="s">
        <v>2740</v>
      </c>
      <c r="Q1386" s="60" t="s">
        <v>4222</v>
      </c>
      <c r="R1386" s="60">
        <v>78.900000000000006</v>
      </c>
      <c r="S1386" s="60">
        <v>0.64</v>
      </c>
      <c r="T1386" s="60">
        <v>465</v>
      </c>
      <c r="U1386" s="60">
        <v>81.02</v>
      </c>
    </row>
    <row r="1387" spans="1:21">
      <c r="A1387" s="60" t="s">
        <v>2468</v>
      </c>
      <c r="B1387" s="60" t="s">
        <v>2742</v>
      </c>
      <c r="C1387" s="60" t="s">
        <v>3524</v>
      </c>
      <c r="D1387" s="60">
        <v>216</v>
      </c>
      <c r="E1387" s="60">
        <v>1.41</v>
      </c>
      <c r="F1387" s="60">
        <v>606</v>
      </c>
      <c r="G1387" s="60">
        <v>0.21</v>
      </c>
      <c r="H1387" s="60">
        <v>9.14</v>
      </c>
      <c r="I1387" s="60">
        <v>15.62</v>
      </c>
      <c r="J1387" s="60">
        <v>1</v>
      </c>
      <c r="O1387" s="60" t="s">
        <v>2468</v>
      </c>
      <c r="P1387" s="60" t="s">
        <v>2742</v>
      </c>
      <c r="Q1387" s="60" t="s">
        <v>3524</v>
      </c>
      <c r="R1387" s="60">
        <v>216</v>
      </c>
      <c r="S1387" s="60">
        <v>1.41</v>
      </c>
      <c r="T1387" s="60">
        <v>606</v>
      </c>
      <c r="U1387" s="60">
        <v>44.05</v>
      </c>
    </row>
    <row r="1388" spans="1:21">
      <c r="A1388" s="60" t="s">
        <v>2469</v>
      </c>
      <c r="B1388" s="60" t="s">
        <v>2744</v>
      </c>
      <c r="C1388" s="60" t="s">
        <v>3987</v>
      </c>
      <c r="D1388" s="60">
        <v>5000</v>
      </c>
      <c r="E1388" s="60">
        <v>-4.76</v>
      </c>
      <c r="F1388" s="60">
        <v>319</v>
      </c>
      <c r="G1388" s="60">
        <v>0</v>
      </c>
      <c r="H1388" s="60">
        <v>97.02</v>
      </c>
      <c r="I1388" s="60">
        <v>0.3</v>
      </c>
      <c r="J1388" s="60">
        <v>2.15</v>
      </c>
      <c r="O1388" s="60" t="s">
        <v>2469</v>
      </c>
      <c r="P1388" s="60" t="s">
        <v>2744</v>
      </c>
      <c r="Q1388" s="60" t="s">
        <v>3987</v>
      </c>
      <c r="R1388" s="60">
        <v>5000</v>
      </c>
      <c r="S1388" s="60">
        <v>-4.76</v>
      </c>
      <c r="T1388" s="60">
        <v>319</v>
      </c>
      <c r="U1388" s="60">
        <v>36.130000000000003</v>
      </c>
    </row>
    <row r="1389" spans="1:21">
      <c r="A1389" s="60" t="s">
        <v>2471</v>
      </c>
      <c r="B1389" s="60" t="s">
        <v>2746</v>
      </c>
      <c r="C1389" s="60" t="s">
        <v>4139</v>
      </c>
      <c r="D1389" s="60">
        <v>103</v>
      </c>
      <c r="E1389" s="60">
        <v>5.0999999999999996</v>
      </c>
      <c r="F1389" s="60">
        <v>571</v>
      </c>
      <c r="G1389" s="60">
        <v>0.34</v>
      </c>
      <c r="H1389" s="60">
        <v>0.85</v>
      </c>
      <c r="I1389" s="60">
        <v>21.03</v>
      </c>
      <c r="J1389" s="60">
        <v>0</v>
      </c>
      <c r="O1389" s="60" t="s">
        <v>2471</v>
      </c>
      <c r="P1389" s="60" t="s">
        <v>2746</v>
      </c>
      <c r="Q1389" s="60" t="s">
        <v>4139</v>
      </c>
      <c r="R1389" s="60">
        <v>103</v>
      </c>
      <c r="S1389" s="60">
        <v>5.0999999999999996</v>
      </c>
      <c r="T1389" s="60">
        <v>571</v>
      </c>
      <c r="U1389" s="60">
        <v>38</v>
      </c>
    </row>
    <row r="1390" spans="1:21">
      <c r="A1390" s="60" t="s">
        <v>2473</v>
      </c>
      <c r="B1390" s="60" t="s">
        <v>2748</v>
      </c>
      <c r="C1390" s="60" t="s">
        <v>4850</v>
      </c>
      <c r="D1390" s="60">
        <v>79.2</v>
      </c>
      <c r="E1390" s="60">
        <v>1.54</v>
      </c>
      <c r="F1390" s="60">
        <v>40</v>
      </c>
      <c r="G1390" s="60">
        <v>0</v>
      </c>
      <c r="H1390" s="60">
        <v>11.6</v>
      </c>
      <c r="I1390" s="60">
        <v>21.22</v>
      </c>
      <c r="J1390" s="60">
        <v>0</v>
      </c>
      <c r="O1390" s="60" t="s">
        <v>2473</v>
      </c>
      <c r="P1390" s="60" t="s">
        <v>2748</v>
      </c>
      <c r="Q1390" s="60" t="s">
        <v>4850</v>
      </c>
      <c r="R1390" s="60">
        <v>79.2</v>
      </c>
      <c r="S1390" s="60">
        <v>1.54</v>
      </c>
      <c r="T1390" s="60">
        <v>40</v>
      </c>
      <c r="U1390" s="60">
        <v>57.87</v>
      </c>
    </row>
    <row r="1391" spans="1:21">
      <c r="A1391" s="60" t="s">
        <v>2475</v>
      </c>
      <c r="B1391" s="60" t="s">
        <v>2750</v>
      </c>
      <c r="C1391" s="60" t="s">
        <v>4945</v>
      </c>
      <c r="D1391" s="60">
        <v>24.9</v>
      </c>
      <c r="E1391" s="60">
        <v>9.93</v>
      </c>
      <c r="F1391" s="60">
        <v>1839</v>
      </c>
      <c r="G1391" s="60">
        <v>0.54</v>
      </c>
      <c r="H1391" s="60">
        <v>0.31</v>
      </c>
      <c r="I1391" s="60">
        <v>33.57</v>
      </c>
      <c r="J1391" s="60">
        <v>0</v>
      </c>
      <c r="O1391" s="60" t="s">
        <v>2475</v>
      </c>
      <c r="P1391" s="60" t="s">
        <v>2750</v>
      </c>
      <c r="Q1391" s="60" t="s">
        <v>4945</v>
      </c>
      <c r="R1391" s="60">
        <v>24.9</v>
      </c>
      <c r="S1391" s="60">
        <v>9.93</v>
      </c>
      <c r="T1391" s="60">
        <v>1839</v>
      </c>
      <c r="U1391" s="60">
        <v>41.44</v>
      </c>
    </row>
    <row r="1392" spans="1:21">
      <c r="A1392" s="60" t="s">
        <v>2477</v>
      </c>
      <c r="B1392" s="60" t="s">
        <v>3330</v>
      </c>
      <c r="C1392" s="60" t="s">
        <v>4809</v>
      </c>
      <c r="D1392" s="60">
        <v>43.45</v>
      </c>
      <c r="E1392" s="60">
        <v>-0.11</v>
      </c>
      <c r="F1392" s="60">
        <v>64</v>
      </c>
      <c r="G1392" s="60">
        <v>0</v>
      </c>
      <c r="H1392" s="60">
        <v>12.47</v>
      </c>
      <c r="I1392" s="60">
        <v>0</v>
      </c>
      <c r="J1392" s="60">
        <v>0</v>
      </c>
      <c r="O1392" s="60" t="s">
        <v>2477</v>
      </c>
      <c r="P1392" s="60" t="s">
        <v>3330</v>
      </c>
      <c r="Q1392" s="60" t="s">
        <v>4809</v>
      </c>
      <c r="R1392" s="60">
        <v>43.45</v>
      </c>
      <c r="S1392" s="60">
        <v>-0.11</v>
      </c>
      <c r="T1392" s="60">
        <v>64</v>
      </c>
      <c r="U1392" s="60">
        <v>29.26</v>
      </c>
    </row>
    <row r="1393" spans="1:21">
      <c r="A1393" s="60" t="s">
        <v>2479</v>
      </c>
      <c r="B1393" s="60" t="s">
        <v>2752</v>
      </c>
      <c r="C1393" s="60" t="s">
        <v>4552</v>
      </c>
      <c r="D1393" s="60">
        <v>26.2</v>
      </c>
      <c r="E1393" s="60">
        <v>-1.5</v>
      </c>
      <c r="F1393" s="60">
        <v>57</v>
      </c>
      <c r="G1393" s="60">
        <v>0.17</v>
      </c>
      <c r="H1393" s="60">
        <v>0.13</v>
      </c>
      <c r="I1393" s="60">
        <v>20.96</v>
      </c>
      <c r="J1393" s="60">
        <v>0</v>
      </c>
      <c r="O1393" s="60" t="s">
        <v>2479</v>
      </c>
      <c r="P1393" s="60" t="s">
        <v>2752</v>
      </c>
      <c r="Q1393" s="60" t="s">
        <v>4552</v>
      </c>
      <c r="R1393" s="60">
        <v>26.2</v>
      </c>
      <c r="S1393" s="60">
        <v>-1.5</v>
      </c>
      <c r="T1393" s="60">
        <v>57</v>
      </c>
      <c r="U1393" s="60">
        <v>41.8</v>
      </c>
    </row>
    <row r="1394" spans="1:21">
      <c r="A1394" s="60" t="s">
        <v>2481</v>
      </c>
      <c r="B1394" s="60" t="s">
        <v>2754</v>
      </c>
      <c r="C1394" s="60" t="s">
        <v>3680</v>
      </c>
      <c r="D1394" s="60">
        <v>81</v>
      </c>
      <c r="E1394" s="60">
        <v>4.38</v>
      </c>
      <c r="F1394" s="60">
        <v>452</v>
      </c>
      <c r="G1394" s="60">
        <v>1.1299999999999999</v>
      </c>
      <c r="H1394" s="60">
        <v>5.69</v>
      </c>
      <c r="I1394" s="60">
        <v>26.47</v>
      </c>
      <c r="J1394" s="60">
        <v>0</v>
      </c>
      <c r="O1394" s="60" t="s">
        <v>2481</v>
      </c>
      <c r="P1394" s="60" t="s">
        <v>2754</v>
      </c>
      <c r="Q1394" s="60" t="s">
        <v>3680</v>
      </c>
      <c r="R1394" s="60">
        <v>81</v>
      </c>
      <c r="S1394" s="60">
        <v>4.38</v>
      </c>
      <c r="T1394" s="60">
        <v>452</v>
      </c>
      <c r="U1394" s="60">
        <v>34.94</v>
      </c>
    </row>
    <row r="1395" spans="1:21">
      <c r="A1395" s="60" t="s">
        <v>2483</v>
      </c>
      <c r="B1395" s="60" t="s">
        <v>3331</v>
      </c>
      <c r="C1395" s="60" t="s">
        <v>4101</v>
      </c>
      <c r="D1395" s="60">
        <v>29.5</v>
      </c>
      <c r="E1395" s="60">
        <v>-0.67</v>
      </c>
      <c r="F1395" s="60">
        <v>17</v>
      </c>
      <c r="G1395" s="60">
        <v>0</v>
      </c>
      <c r="H1395" s="60">
        <v>18.88</v>
      </c>
      <c r="I1395" s="60">
        <v>0</v>
      </c>
      <c r="J1395" s="60">
        <v>0</v>
      </c>
      <c r="O1395" s="60" t="s">
        <v>2483</v>
      </c>
      <c r="P1395" s="60" t="s">
        <v>3331</v>
      </c>
      <c r="Q1395" s="60" t="s">
        <v>4101</v>
      </c>
      <c r="R1395" s="60">
        <v>29.5</v>
      </c>
      <c r="S1395" s="60">
        <v>-0.67</v>
      </c>
      <c r="T1395" s="60">
        <v>17</v>
      </c>
      <c r="U1395" s="60">
        <v>47.98</v>
      </c>
    </row>
    <row r="1396" spans="1:21">
      <c r="A1396" s="60" t="s">
        <v>2485</v>
      </c>
      <c r="B1396" s="60" t="s">
        <v>3332</v>
      </c>
      <c r="C1396" s="60" t="s">
        <v>4946</v>
      </c>
      <c r="D1396" s="60">
        <v>37.700000000000003</v>
      </c>
      <c r="E1396" s="60">
        <v>1.07</v>
      </c>
      <c r="F1396" s="60">
        <v>89</v>
      </c>
      <c r="G1396" s="60">
        <v>0.03</v>
      </c>
      <c r="H1396" s="60">
        <v>0.72</v>
      </c>
      <c r="I1396" s="60">
        <v>8.75</v>
      </c>
      <c r="J1396" s="60">
        <v>0</v>
      </c>
      <c r="O1396" s="60" t="s">
        <v>2485</v>
      </c>
      <c r="P1396" s="60" t="s">
        <v>3332</v>
      </c>
      <c r="Q1396" s="60" t="s">
        <v>4946</v>
      </c>
      <c r="R1396" s="60">
        <v>37.700000000000003</v>
      </c>
      <c r="S1396" s="60">
        <v>1.07</v>
      </c>
      <c r="T1396" s="60">
        <v>89</v>
      </c>
      <c r="U1396" s="60">
        <v>20.92</v>
      </c>
    </row>
    <row r="1397" spans="1:21">
      <c r="A1397" s="60" t="s">
        <v>2487</v>
      </c>
      <c r="B1397" s="60" t="s">
        <v>2757</v>
      </c>
      <c r="C1397" s="60" t="s">
        <v>4707</v>
      </c>
      <c r="D1397" s="60">
        <v>154.5</v>
      </c>
      <c r="E1397" s="60">
        <v>-2.52</v>
      </c>
      <c r="F1397" s="60">
        <v>1211</v>
      </c>
      <c r="G1397" s="60">
        <v>0.73</v>
      </c>
      <c r="H1397" s="60">
        <v>7.29</v>
      </c>
      <c r="I1397" s="60">
        <v>34.79</v>
      </c>
      <c r="J1397" s="60">
        <v>0.27</v>
      </c>
      <c r="O1397" s="60" t="s">
        <v>2487</v>
      </c>
      <c r="P1397" s="60" t="s">
        <v>2757</v>
      </c>
      <c r="Q1397" s="60" t="s">
        <v>4707</v>
      </c>
      <c r="R1397" s="60">
        <v>154.5</v>
      </c>
      <c r="S1397" s="60">
        <v>-2.52</v>
      </c>
      <c r="T1397" s="60">
        <v>1211</v>
      </c>
      <c r="U1397" s="60">
        <v>43.41</v>
      </c>
    </row>
    <row r="1398" spans="1:21">
      <c r="A1398" s="60" t="s">
        <v>2489</v>
      </c>
      <c r="B1398" s="60" t="s">
        <v>2759</v>
      </c>
      <c r="C1398" s="60" t="s">
        <v>4293</v>
      </c>
      <c r="D1398" s="60">
        <v>119</v>
      </c>
      <c r="E1398" s="60">
        <v>2.59</v>
      </c>
      <c r="F1398" s="60">
        <v>6472</v>
      </c>
      <c r="G1398" s="60">
        <v>2.0099999999999998</v>
      </c>
      <c r="H1398" s="60">
        <v>16.96</v>
      </c>
      <c r="I1398" s="60">
        <v>42.39</v>
      </c>
      <c r="J1398" s="60">
        <v>1</v>
      </c>
      <c r="O1398" s="60" t="s">
        <v>2489</v>
      </c>
      <c r="P1398" s="60" t="s">
        <v>2759</v>
      </c>
      <c r="Q1398" s="60" t="s">
        <v>4293</v>
      </c>
      <c r="R1398" s="60">
        <v>119</v>
      </c>
      <c r="S1398" s="60">
        <v>2.59</v>
      </c>
      <c r="T1398" s="60">
        <v>6472</v>
      </c>
      <c r="U1398" s="60">
        <v>21.48</v>
      </c>
    </row>
    <row r="1399" spans="1:21">
      <c r="A1399" s="60" t="s">
        <v>2491</v>
      </c>
      <c r="B1399" s="60" t="s">
        <v>2761</v>
      </c>
      <c r="C1399" s="60" t="s">
        <v>4767</v>
      </c>
      <c r="D1399" s="60">
        <v>59.4</v>
      </c>
      <c r="E1399" s="60">
        <v>-1.82</v>
      </c>
      <c r="F1399" s="60">
        <v>555</v>
      </c>
      <c r="G1399" s="60">
        <v>4.6900000000000004</v>
      </c>
      <c r="H1399" s="60">
        <v>1.38</v>
      </c>
      <c r="I1399" s="60">
        <v>28.27</v>
      </c>
      <c r="J1399" s="60">
        <v>0</v>
      </c>
      <c r="O1399" s="60" t="s">
        <v>2491</v>
      </c>
      <c r="P1399" s="60" t="s">
        <v>2761</v>
      </c>
      <c r="Q1399" s="60" t="s">
        <v>4767</v>
      </c>
      <c r="R1399" s="60">
        <v>59.4</v>
      </c>
      <c r="S1399" s="60">
        <v>-1.82</v>
      </c>
      <c r="T1399" s="60">
        <v>555</v>
      </c>
      <c r="U1399" s="60">
        <v>38.03</v>
      </c>
    </row>
    <row r="1400" spans="1:21">
      <c r="A1400" s="60" t="s">
        <v>2493</v>
      </c>
      <c r="B1400" s="60" t="s">
        <v>2763</v>
      </c>
      <c r="C1400" s="60" t="s">
        <v>4140</v>
      </c>
      <c r="D1400" s="60">
        <v>35.6</v>
      </c>
      <c r="E1400" s="60">
        <v>0.28000000000000003</v>
      </c>
      <c r="F1400" s="60">
        <v>14</v>
      </c>
      <c r="G1400" s="60">
        <v>0</v>
      </c>
      <c r="H1400" s="60">
        <v>33.159999999999997</v>
      </c>
      <c r="I1400" s="60">
        <v>11.12</v>
      </c>
      <c r="J1400" s="60">
        <v>0</v>
      </c>
      <c r="O1400" s="60" t="s">
        <v>2493</v>
      </c>
      <c r="P1400" s="60" t="s">
        <v>2763</v>
      </c>
      <c r="Q1400" s="60" t="s">
        <v>4140</v>
      </c>
      <c r="R1400" s="60">
        <v>35.6</v>
      </c>
      <c r="S1400" s="60">
        <v>0.28000000000000003</v>
      </c>
      <c r="T1400" s="60">
        <v>14</v>
      </c>
      <c r="U1400" s="60">
        <v>54.21</v>
      </c>
    </row>
    <row r="1401" spans="1:21">
      <c r="A1401" s="60" t="s">
        <v>2495</v>
      </c>
      <c r="B1401" s="60" t="s">
        <v>2765</v>
      </c>
      <c r="C1401" s="60" t="s">
        <v>44</v>
      </c>
      <c r="D1401" s="60">
        <v>37.35</v>
      </c>
      <c r="E1401" s="60">
        <v>2.0499999999999998</v>
      </c>
      <c r="F1401" s="60">
        <v>26907</v>
      </c>
      <c r="G1401" s="60">
        <v>2.82</v>
      </c>
      <c r="H1401" s="60">
        <v>14.43</v>
      </c>
      <c r="I1401" s="60">
        <v>28.25</v>
      </c>
      <c r="J1401" s="60">
        <v>0.13</v>
      </c>
      <c r="O1401" s="60" t="s">
        <v>2495</v>
      </c>
      <c r="P1401" s="60" t="s">
        <v>2765</v>
      </c>
      <c r="Q1401" s="60" t="s">
        <v>44</v>
      </c>
      <c r="R1401" s="60">
        <v>37.35</v>
      </c>
      <c r="S1401" s="60">
        <v>2.0499999999999998</v>
      </c>
      <c r="T1401" s="60">
        <v>26907</v>
      </c>
      <c r="U1401" s="60">
        <v>19.260000000000002</v>
      </c>
    </row>
    <row r="1402" spans="1:21">
      <c r="A1402" s="60" t="s">
        <v>2497</v>
      </c>
      <c r="B1402" s="60" t="s">
        <v>3333</v>
      </c>
      <c r="C1402" s="60" t="s">
        <v>4621</v>
      </c>
      <c r="D1402" s="60">
        <v>181</v>
      </c>
      <c r="E1402" s="60">
        <v>4.93</v>
      </c>
      <c r="F1402" s="60">
        <v>8190</v>
      </c>
      <c r="G1402" s="60">
        <v>0</v>
      </c>
      <c r="H1402" s="60">
        <v>12.37</v>
      </c>
      <c r="I1402" s="60">
        <v>0</v>
      </c>
      <c r="J1402" s="60">
        <v>0.05</v>
      </c>
      <c r="O1402" s="60" t="s">
        <v>2497</v>
      </c>
      <c r="P1402" s="60" t="s">
        <v>3333</v>
      </c>
      <c r="Q1402" s="60" t="s">
        <v>4621</v>
      </c>
      <c r="R1402" s="60">
        <v>181</v>
      </c>
      <c r="S1402" s="60">
        <v>4.93</v>
      </c>
      <c r="T1402" s="60">
        <v>8190</v>
      </c>
      <c r="U1402" s="60">
        <v>48.65</v>
      </c>
    </row>
    <row r="1403" spans="1:21">
      <c r="A1403" s="60" t="s">
        <v>2498</v>
      </c>
      <c r="B1403" s="60" t="s">
        <v>2767</v>
      </c>
      <c r="C1403" s="60" t="s">
        <v>4223</v>
      </c>
      <c r="D1403" s="60">
        <v>56.9</v>
      </c>
      <c r="E1403" s="60">
        <v>1.43</v>
      </c>
      <c r="F1403" s="60">
        <v>67</v>
      </c>
      <c r="G1403" s="60">
        <v>0.02</v>
      </c>
      <c r="H1403" s="60">
        <v>3.05</v>
      </c>
      <c r="I1403" s="60">
        <v>9.7899999999999991</v>
      </c>
      <c r="J1403" s="60">
        <v>0</v>
      </c>
      <c r="O1403" s="60" t="s">
        <v>2498</v>
      </c>
      <c r="P1403" s="60" t="s">
        <v>2767</v>
      </c>
      <c r="Q1403" s="60" t="s">
        <v>4223</v>
      </c>
      <c r="R1403" s="60">
        <v>56.9</v>
      </c>
      <c r="S1403" s="60">
        <v>1.43</v>
      </c>
      <c r="T1403" s="60">
        <v>67</v>
      </c>
      <c r="U1403" s="60">
        <v>57.95</v>
      </c>
    </row>
    <row r="1404" spans="1:21">
      <c r="A1404" s="60" t="s">
        <v>2500</v>
      </c>
      <c r="B1404" s="60" t="s">
        <v>2769</v>
      </c>
      <c r="C1404" s="60" t="s">
        <v>3636</v>
      </c>
      <c r="D1404" s="60">
        <v>105.5</v>
      </c>
      <c r="E1404" s="60">
        <v>9.7799999999999994</v>
      </c>
      <c r="F1404" s="60">
        <v>3426</v>
      </c>
      <c r="G1404" s="60">
        <v>2.8</v>
      </c>
      <c r="H1404" s="60">
        <v>64.010000000000005</v>
      </c>
      <c r="I1404" s="60">
        <v>12.57</v>
      </c>
      <c r="J1404" s="60">
        <v>0.09</v>
      </c>
      <c r="O1404" s="60" t="s">
        <v>2500</v>
      </c>
      <c r="P1404" s="60" t="s">
        <v>2769</v>
      </c>
      <c r="Q1404" s="60" t="s">
        <v>3636</v>
      </c>
      <c r="R1404" s="60">
        <v>105.5</v>
      </c>
      <c r="S1404" s="60">
        <v>9.7799999999999994</v>
      </c>
      <c r="T1404" s="60">
        <v>3426</v>
      </c>
      <c r="U1404" s="60">
        <v>63.53</v>
      </c>
    </row>
    <row r="1405" spans="1:21">
      <c r="A1405" s="60" t="s">
        <v>2502</v>
      </c>
      <c r="B1405" s="60" t="s">
        <v>2771</v>
      </c>
      <c r="C1405" s="60" t="s">
        <v>2772</v>
      </c>
      <c r="D1405" s="60">
        <v>103.5</v>
      </c>
      <c r="E1405" s="60">
        <v>0</v>
      </c>
      <c r="F1405" s="60">
        <v>1103</v>
      </c>
      <c r="G1405" s="60">
        <v>0.04</v>
      </c>
      <c r="H1405" s="60">
        <v>55.98</v>
      </c>
      <c r="I1405" s="60">
        <v>10.029999999999999</v>
      </c>
      <c r="J1405" s="60">
        <v>0.27</v>
      </c>
      <c r="O1405" s="60" t="s">
        <v>2502</v>
      </c>
      <c r="P1405" s="60" t="s">
        <v>2771</v>
      </c>
      <c r="Q1405" s="60" t="s">
        <v>2772</v>
      </c>
      <c r="R1405" s="60">
        <v>103.5</v>
      </c>
      <c r="S1405" s="60">
        <v>0</v>
      </c>
      <c r="T1405" s="60">
        <v>1103</v>
      </c>
      <c r="U1405" s="60">
        <v>51.8</v>
      </c>
    </row>
    <row r="1406" spans="1:21">
      <c r="A1406" s="60" t="s">
        <v>2504</v>
      </c>
      <c r="B1406" s="60" t="s">
        <v>3334</v>
      </c>
      <c r="C1406" s="60" t="s">
        <v>4708</v>
      </c>
      <c r="D1406" s="60">
        <v>214.5</v>
      </c>
      <c r="E1406" s="60">
        <v>1.42</v>
      </c>
      <c r="F1406" s="60">
        <v>2545</v>
      </c>
      <c r="G1406" s="60">
        <v>0</v>
      </c>
      <c r="H1406" s="60">
        <v>17.11</v>
      </c>
      <c r="I1406" s="60">
        <v>0</v>
      </c>
      <c r="J1406" s="60">
        <v>7.74</v>
      </c>
      <c r="O1406" s="60" t="s">
        <v>2504</v>
      </c>
      <c r="P1406" s="60" t="s">
        <v>3334</v>
      </c>
      <c r="Q1406" s="60" t="s">
        <v>4708</v>
      </c>
      <c r="R1406" s="60">
        <v>214.5</v>
      </c>
      <c r="S1406" s="60">
        <v>1.42</v>
      </c>
      <c r="T1406" s="60">
        <v>2545</v>
      </c>
      <c r="U1406" s="60">
        <v>17.43</v>
      </c>
    </row>
    <row r="1407" spans="1:21">
      <c r="A1407" s="60" t="s">
        <v>2506</v>
      </c>
      <c r="B1407" s="60" t="s">
        <v>2774</v>
      </c>
      <c r="C1407" s="60" t="s">
        <v>4622</v>
      </c>
      <c r="D1407" s="60">
        <v>21</v>
      </c>
      <c r="E1407" s="60">
        <v>0.96</v>
      </c>
      <c r="F1407" s="60">
        <v>187</v>
      </c>
      <c r="G1407" s="60">
        <v>0</v>
      </c>
      <c r="H1407" s="60">
        <v>0.85</v>
      </c>
      <c r="I1407" s="60">
        <v>3.48</v>
      </c>
      <c r="J1407" s="60">
        <v>0</v>
      </c>
      <c r="O1407" s="60" t="s">
        <v>2506</v>
      </c>
      <c r="P1407" s="60" t="s">
        <v>2774</v>
      </c>
      <c r="Q1407" s="60" t="s">
        <v>4622</v>
      </c>
      <c r="R1407" s="60">
        <v>21</v>
      </c>
      <c r="S1407" s="60">
        <v>0.96</v>
      </c>
      <c r="T1407" s="60">
        <v>187</v>
      </c>
      <c r="U1407" s="60">
        <v>50.81</v>
      </c>
    </row>
    <row r="1408" spans="1:21">
      <c r="A1408" s="60" t="s">
        <v>2508</v>
      </c>
      <c r="B1408" s="60" t="s">
        <v>2776</v>
      </c>
      <c r="C1408" s="60" t="s">
        <v>4709</v>
      </c>
      <c r="D1408" s="60">
        <v>116.5</v>
      </c>
      <c r="E1408" s="60">
        <v>0.87</v>
      </c>
      <c r="F1408" s="60">
        <v>149</v>
      </c>
      <c r="G1408" s="60">
        <v>1.36</v>
      </c>
      <c r="H1408" s="60">
        <v>21.78</v>
      </c>
      <c r="I1408" s="60">
        <v>26.51</v>
      </c>
      <c r="J1408" s="60">
        <v>0</v>
      </c>
      <c r="O1408" s="60" t="s">
        <v>2508</v>
      </c>
      <c r="P1408" s="60" t="s">
        <v>2776</v>
      </c>
      <c r="Q1408" s="60" t="s">
        <v>4709</v>
      </c>
      <c r="R1408" s="60">
        <v>116.5</v>
      </c>
      <c r="S1408" s="60">
        <v>0.87</v>
      </c>
      <c r="T1408" s="60">
        <v>149</v>
      </c>
      <c r="U1408" s="60">
        <v>16.46</v>
      </c>
    </row>
    <row r="1409" spans="1:21">
      <c r="A1409" s="60" t="s">
        <v>2510</v>
      </c>
      <c r="B1409" s="60" t="s">
        <v>2778</v>
      </c>
      <c r="C1409" s="60" t="s">
        <v>4450</v>
      </c>
      <c r="D1409" s="60">
        <v>96.5</v>
      </c>
      <c r="E1409" s="60">
        <v>-0.82</v>
      </c>
      <c r="F1409" s="60">
        <v>152</v>
      </c>
      <c r="G1409" s="60">
        <v>0</v>
      </c>
      <c r="H1409" s="60">
        <v>0.57999999999999996</v>
      </c>
      <c r="I1409" s="60">
        <v>0.02</v>
      </c>
      <c r="J1409" s="60">
        <v>0</v>
      </c>
      <c r="O1409" s="60" t="s">
        <v>2510</v>
      </c>
      <c r="P1409" s="60" t="s">
        <v>2778</v>
      </c>
      <c r="Q1409" s="60" t="s">
        <v>4450</v>
      </c>
      <c r="R1409" s="60">
        <v>96.5</v>
      </c>
      <c r="S1409" s="60">
        <v>-0.82</v>
      </c>
      <c r="T1409" s="60">
        <v>152</v>
      </c>
      <c r="U1409" s="60">
        <v>73.19</v>
      </c>
    </row>
    <row r="1410" spans="1:21">
      <c r="A1410" s="60" t="s">
        <v>2512</v>
      </c>
      <c r="B1410" s="60" t="s">
        <v>3339</v>
      </c>
      <c r="C1410" s="60" t="s">
        <v>4851</v>
      </c>
      <c r="D1410" s="60">
        <v>24.2</v>
      </c>
      <c r="E1410" s="60">
        <v>0.41</v>
      </c>
      <c r="F1410" s="60">
        <v>1076</v>
      </c>
      <c r="G1410" s="60">
        <v>0</v>
      </c>
      <c r="H1410" s="60">
        <v>0.16</v>
      </c>
      <c r="I1410" s="60">
        <v>0</v>
      </c>
      <c r="J1410" s="60">
        <v>0</v>
      </c>
      <c r="O1410" s="60" t="s">
        <v>2512</v>
      </c>
      <c r="P1410" s="60" t="s">
        <v>3339</v>
      </c>
      <c r="Q1410" s="60" t="s">
        <v>4851</v>
      </c>
      <c r="R1410" s="60">
        <v>24.2</v>
      </c>
      <c r="S1410" s="60">
        <v>0.41</v>
      </c>
      <c r="T1410" s="60">
        <v>1076</v>
      </c>
      <c r="U1410" s="60">
        <v>44.82</v>
      </c>
    </row>
    <row r="1411" spans="1:21">
      <c r="A1411" s="60" t="s">
        <v>2513</v>
      </c>
      <c r="B1411" s="60" t="s">
        <v>2781</v>
      </c>
      <c r="C1411" s="60" t="s">
        <v>4623</v>
      </c>
      <c r="D1411" s="60">
        <v>216</v>
      </c>
      <c r="E1411" s="60">
        <v>0.47</v>
      </c>
      <c r="F1411" s="60">
        <v>370</v>
      </c>
      <c r="G1411" s="60">
        <v>0.17</v>
      </c>
      <c r="H1411" s="60">
        <v>6.07</v>
      </c>
      <c r="I1411" s="60">
        <v>14.61</v>
      </c>
      <c r="J1411" s="60">
        <v>0.09</v>
      </c>
      <c r="O1411" s="60" t="s">
        <v>2513</v>
      </c>
      <c r="P1411" s="60" t="s">
        <v>2781</v>
      </c>
      <c r="Q1411" s="60" t="s">
        <v>4623</v>
      </c>
      <c r="R1411" s="60">
        <v>216</v>
      </c>
      <c r="S1411" s="60">
        <v>0.47</v>
      </c>
      <c r="T1411" s="60">
        <v>370</v>
      </c>
      <c r="U1411" s="60">
        <v>39.33</v>
      </c>
    </row>
    <row r="1412" spans="1:21">
      <c r="A1412" s="60" t="s">
        <v>2515</v>
      </c>
      <c r="B1412" s="60" t="s">
        <v>2783</v>
      </c>
      <c r="C1412" s="60" t="s">
        <v>4852</v>
      </c>
      <c r="D1412" s="60">
        <v>44.8</v>
      </c>
      <c r="E1412" s="60">
        <v>1.1299999999999999</v>
      </c>
      <c r="F1412" s="60">
        <v>67</v>
      </c>
      <c r="G1412" s="60">
        <v>0</v>
      </c>
      <c r="H1412" s="60">
        <v>5.98</v>
      </c>
      <c r="I1412" s="60">
        <v>27.59</v>
      </c>
      <c r="J1412" s="60">
        <v>0.55000000000000004</v>
      </c>
      <c r="O1412" s="60" t="s">
        <v>2515</v>
      </c>
      <c r="P1412" s="60" t="s">
        <v>2783</v>
      </c>
      <c r="Q1412" s="60" t="s">
        <v>4852</v>
      </c>
      <c r="R1412" s="60">
        <v>44.8</v>
      </c>
      <c r="S1412" s="60">
        <v>1.1299999999999999</v>
      </c>
      <c r="T1412" s="60">
        <v>67</v>
      </c>
      <c r="U1412" s="60">
        <v>24.38</v>
      </c>
    </row>
    <row r="1413" spans="1:21">
      <c r="A1413" s="60" t="s">
        <v>2517</v>
      </c>
      <c r="B1413" s="60" t="s">
        <v>2785</v>
      </c>
      <c r="C1413" s="60" t="s">
        <v>53</v>
      </c>
      <c r="D1413" s="60">
        <v>202</v>
      </c>
      <c r="E1413" s="60">
        <v>-0.98</v>
      </c>
      <c r="F1413" s="60">
        <v>322</v>
      </c>
      <c r="G1413" s="60">
        <v>0.03</v>
      </c>
      <c r="H1413" s="60">
        <v>8.84</v>
      </c>
      <c r="I1413" s="60">
        <v>8.44</v>
      </c>
      <c r="J1413" s="60">
        <v>0.76</v>
      </c>
      <c r="O1413" s="60" t="s">
        <v>2517</v>
      </c>
      <c r="P1413" s="60" t="s">
        <v>2785</v>
      </c>
      <c r="Q1413" s="60" t="s">
        <v>53</v>
      </c>
      <c r="R1413" s="60">
        <v>202</v>
      </c>
      <c r="S1413" s="60">
        <v>-0.98</v>
      </c>
      <c r="T1413" s="60">
        <v>322</v>
      </c>
      <c r="U1413" s="60">
        <v>46.6</v>
      </c>
    </row>
    <row r="1414" spans="1:21">
      <c r="A1414" s="60" t="s">
        <v>2519</v>
      </c>
      <c r="B1414" s="60" t="s">
        <v>2787</v>
      </c>
      <c r="C1414" s="60" t="s">
        <v>4102</v>
      </c>
      <c r="D1414" s="60">
        <v>42.4</v>
      </c>
      <c r="E1414" s="60">
        <v>3.04</v>
      </c>
      <c r="F1414" s="60">
        <v>2043</v>
      </c>
      <c r="G1414" s="60">
        <v>2.42</v>
      </c>
      <c r="H1414" s="60">
        <v>2.71</v>
      </c>
      <c r="I1414" s="60">
        <v>33.39</v>
      </c>
      <c r="J1414" s="60">
        <v>0.24</v>
      </c>
      <c r="O1414" s="60" t="s">
        <v>2519</v>
      </c>
      <c r="P1414" s="60" t="s">
        <v>2787</v>
      </c>
      <c r="Q1414" s="60" t="s">
        <v>4102</v>
      </c>
      <c r="R1414" s="60">
        <v>42.4</v>
      </c>
      <c r="S1414" s="60">
        <v>3.04</v>
      </c>
      <c r="T1414" s="60">
        <v>2043</v>
      </c>
      <c r="U1414" s="60">
        <v>40.369999999999997</v>
      </c>
    </row>
    <row r="1415" spans="1:21">
      <c r="A1415" s="60" t="s">
        <v>2521</v>
      </c>
      <c r="B1415" s="60" t="s">
        <v>3345</v>
      </c>
      <c r="C1415" s="60" t="s">
        <v>5190</v>
      </c>
      <c r="D1415" s="60">
        <v>39.200000000000003</v>
      </c>
      <c r="E1415" s="60">
        <v>5.23</v>
      </c>
      <c r="F1415" s="60">
        <v>38</v>
      </c>
      <c r="G1415" s="60">
        <v>0</v>
      </c>
      <c r="H1415" s="60">
        <v>5.17</v>
      </c>
      <c r="I1415" s="60">
        <v>0</v>
      </c>
      <c r="J1415" s="60">
        <v>0</v>
      </c>
      <c r="O1415" s="60" t="s">
        <v>2521</v>
      </c>
      <c r="P1415" s="60" t="s">
        <v>3345</v>
      </c>
      <c r="Q1415" s="60" t="s">
        <v>5190</v>
      </c>
      <c r="R1415" s="60">
        <v>39.200000000000003</v>
      </c>
      <c r="S1415" s="60">
        <v>5.23</v>
      </c>
      <c r="T1415" s="60">
        <v>38</v>
      </c>
      <c r="U1415" s="60">
        <v>54.47</v>
      </c>
    </row>
    <row r="1416" spans="1:21">
      <c r="A1416" s="60" t="s">
        <v>2523</v>
      </c>
      <c r="B1416" s="60" t="s">
        <v>2789</v>
      </c>
      <c r="C1416" s="60" t="s">
        <v>4710</v>
      </c>
      <c r="D1416" s="60">
        <v>155.5</v>
      </c>
      <c r="E1416" s="60">
        <v>0.97</v>
      </c>
      <c r="F1416" s="60">
        <v>5395</v>
      </c>
      <c r="G1416" s="60">
        <v>11.24</v>
      </c>
      <c r="H1416" s="60">
        <v>11.54</v>
      </c>
      <c r="I1416" s="60">
        <v>57.24</v>
      </c>
      <c r="J1416" s="60">
        <v>0</v>
      </c>
      <c r="O1416" s="60" t="s">
        <v>2523</v>
      </c>
      <c r="P1416" s="60" t="s">
        <v>2789</v>
      </c>
      <c r="Q1416" s="60" t="s">
        <v>4710</v>
      </c>
      <c r="R1416" s="60">
        <v>155.5</v>
      </c>
      <c r="S1416" s="60">
        <v>0.97</v>
      </c>
      <c r="T1416" s="60">
        <v>5395</v>
      </c>
      <c r="U1416" s="60">
        <v>12.66</v>
      </c>
    </row>
    <row r="1417" spans="1:21">
      <c r="A1417" s="60" t="s">
        <v>2525</v>
      </c>
      <c r="B1417" s="60" t="s">
        <v>2791</v>
      </c>
      <c r="C1417" s="60" t="s">
        <v>4853</v>
      </c>
      <c r="D1417" s="60">
        <v>74.599999999999994</v>
      </c>
      <c r="E1417" s="60">
        <v>0.54</v>
      </c>
      <c r="F1417" s="60">
        <v>45</v>
      </c>
      <c r="G1417" s="60">
        <v>0.18</v>
      </c>
      <c r="H1417" s="60">
        <v>0.71</v>
      </c>
      <c r="I1417" s="60">
        <v>6.4</v>
      </c>
      <c r="J1417" s="60">
        <v>0</v>
      </c>
      <c r="O1417" s="60" t="s">
        <v>2525</v>
      </c>
      <c r="P1417" s="60" t="s">
        <v>2791</v>
      </c>
      <c r="Q1417" s="60" t="s">
        <v>4853</v>
      </c>
      <c r="R1417" s="60">
        <v>74.599999999999994</v>
      </c>
      <c r="S1417" s="60">
        <v>0.54</v>
      </c>
      <c r="T1417" s="60">
        <v>45</v>
      </c>
      <c r="U1417" s="60">
        <v>49.75</v>
      </c>
    </row>
    <row r="1418" spans="1:21">
      <c r="A1418" s="60" t="s">
        <v>2527</v>
      </c>
      <c r="B1418" s="60" t="s">
        <v>2793</v>
      </c>
      <c r="C1418" s="60" t="s">
        <v>3520</v>
      </c>
      <c r="D1418" s="60">
        <v>844</v>
      </c>
      <c r="E1418" s="60">
        <v>4.2</v>
      </c>
      <c r="F1418" s="60">
        <v>4027</v>
      </c>
      <c r="G1418" s="60">
        <v>0.17</v>
      </c>
      <c r="H1418" s="60">
        <v>32.450000000000003</v>
      </c>
      <c r="I1418" s="60">
        <v>2.96</v>
      </c>
      <c r="J1418" s="60">
        <v>2.79</v>
      </c>
      <c r="O1418" s="60" t="s">
        <v>2527</v>
      </c>
      <c r="P1418" s="60" t="s">
        <v>2793</v>
      </c>
      <c r="Q1418" s="60" t="s">
        <v>3520</v>
      </c>
      <c r="R1418" s="60">
        <v>844</v>
      </c>
      <c r="S1418" s="60">
        <v>4.2</v>
      </c>
      <c r="T1418" s="60">
        <v>4027</v>
      </c>
      <c r="U1418" s="60">
        <v>72.989999999999995</v>
      </c>
    </row>
    <row r="1419" spans="1:21">
      <c r="A1419" s="60" t="s">
        <v>2528</v>
      </c>
      <c r="B1419" s="60" t="s">
        <v>2795</v>
      </c>
      <c r="C1419" s="60" t="s">
        <v>3875</v>
      </c>
      <c r="D1419" s="60">
        <v>472.5</v>
      </c>
      <c r="E1419" s="60">
        <v>-0.11</v>
      </c>
      <c r="F1419" s="60">
        <v>592</v>
      </c>
      <c r="G1419" s="60">
        <v>0.3</v>
      </c>
      <c r="H1419" s="60">
        <v>19.940000000000001</v>
      </c>
      <c r="I1419" s="60">
        <v>5.13</v>
      </c>
      <c r="J1419" s="60">
        <v>3.4</v>
      </c>
      <c r="O1419" s="60" t="s">
        <v>2528</v>
      </c>
      <c r="P1419" s="60" t="s">
        <v>2795</v>
      </c>
      <c r="Q1419" s="60" t="s">
        <v>3875</v>
      </c>
      <c r="R1419" s="60">
        <v>472.5</v>
      </c>
      <c r="S1419" s="60">
        <v>-0.11</v>
      </c>
      <c r="T1419" s="60">
        <v>592</v>
      </c>
      <c r="U1419" s="60">
        <v>57.99</v>
      </c>
    </row>
    <row r="1420" spans="1:21">
      <c r="A1420" s="60" t="s">
        <v>2530</v>
      </c>
      <c r="B1420" s="60" t="s">
        <v>3351</v>
      </c>
      <c r="C1420" s="60" t="s">
        <v>47</v>
      </c>
      <c r="D1420" s="60">
        <v>90.1</v>
      </c>
      <c r="E1420" s="60">
        <v>2.85</v>
      </c>
      <c r="F1420" s="60">
        <v>680</v>
      </c>
      <c r="G1420" s="60">
        <v>0</v>
      </c>
      <c r="H1420" s="60">
        <v>9.08</v>
      </c>
      <c r="I1420" s="60">
        <v>0</v>
      </c>
      <c r="J1420" s="60">
        <v>0.87</v>
      </c>
      <c r="O1420" s="60" t="s">
        <v>2530</v>
      </c>
      <c r="P1420" s="60" t="s">
        <v>3351</v>
      </c>
      <c r="Q1420" s="60" t="s">
        <v>47</v>
      </c>
      <c r="R1420" s="60">
        <v>90.1</v>
      </c>
      <c r="S1420" s="60">
        <v>2.85</v>
      </c>
      <c r="T1420" s="60">
        <v>680</v>
      </c>
      <c r="U1420" s="60">
        <v>24.17</v>
      </c>
    </row>
    <row r="1421" spans="1:21">
      <c r="A1421" s="60" t="s">
        <v>2532</v>
      </c>
      <c r="B1421" s="60" t="s">
        <v>2797</v>
      </c>
      <c r="C1421" s="60" t="s">
        <v>4711</v>
      </c>
      <c r="D1421" s="60">
        <v>161</v>
      </c>
      <c r="E1421" s="60">
        <v>0.94</v>
      </c>
      <c r="F1421" s="60">
        <v>687</v>
      </c>
      <c r="G1421" s="60">
        <v>3.84</v>
      </c>
      <c r="H1421" s="60">
        <v>12.72</v>
      </c>
      <c r="I1421" s="60">
        <v>36.68</v>
      </c>
      <c r="J1421" s="60">
        <v>0</v>
      </c>
      <c r="O1421" s="60" t="s">
        <v>2532</v>
      </c>
      <c r="P1421" s="60" t="s">
        <v>2797</v>
      </c>
      <c r="Q1421" s="60" t="s">
        <v>4711</v>
      </c>
      <c r="R1421" s="60">
        <v>161</v>
      </c>
      <c r="S1421" s="60">
        <v>0.94</v>
      </c>
      <c r="T1421" s="60">
        <v>687</v>
      </c>
      <c r="U1421" s="60">
        <v>5.23</v>
      </c>
    </row>
    <row r="1422" spans="1:21">
      <c r="A1422" s="60" t="s">
        <v>2534</v>
      </c>
      <c r="B1422" s="60" t="s">
        <v>2799</v>
      </c>
      <c r="C1422" s="60" t="s">
        <v>4624</v>
      </c>
      <c r="D1422" s="60">
        <v>29.15</v>
      </c>
      <c r="E1422" s="60">
        <v>0.87</v>
      </c>
      <c r="F1422" s="60">
        <v>19</v>
      </c>
      <c r="G1422" s="60">
        <v>0</v>
      </c>
      <c r="H1422" s="60">
        <v>0.64</v>
      </c>
      <c r="I1422" s="60">
        <v>0.56999999999999995</v>
      </c>
      <c r="J1422" s="60">
        <v>0</v>
      </c>
      <c r="O1422" s="60" t="s">
        <v>2534</v>
      </c>
      <c r="P1422" s="60" t="s">
        <v>2799</v>
      </c>
      <c r="Q1422" s="60" t="s">
        <v>4624</v>
      </c>
      <c r="R1422" s="60">
        <v>29.15</v>
      </c>
      <c r="S1422" s="60">
        <v>0.87</v>
      </c>
      <c r="T1422" s="60">
        <v>19</v>
      </c>
      <c r="U1422" s="60">
        <v>58.93</v>
      </c>
    </row>
    <row r="1423" spans="1:21">
      <c r="A1423" s="60" t="s">
        <v>2536</v>
      </c>
      <c r="B1423" s="60" t="s">
        <v>3355</v>
      </c>
      <c r="C1423" s="60" t="s">
        <v>4625</v>
      </c>
      <c r="D1423" s="60">
        <v>66.099999999999994</v>
      </c>
      <c r="E1423" s="60">
        <v>0.15</v>
      </c>
      <c r="F1423" s="60">
        <v>62</v>
      </c>
      <c r="G1423" s="60">
        <v>0</v>
      </c>
      <c r="H1423" s="60">
        <v>13.15</v>
      </c>
      <c r="I1423" s="60">
        <v>1.96</v>
      </c>
      <c r="J1423" s="60">
        <v>0.86</v>
      </c>
      <c r="O1423" s="60" t="s">
        <v>2536</v>
      </c>
      <c r="P1423" s="60" t="s">
        <v>3355</v>
      </c>
      <c r="Q1423" s="60" t="s">
        <v>4625</v>
      </c>
      <c r="R1423" s="60">
        <v>66.099999999999994</v>
      </c>
      <c r="S1423" s="60">
        <v>0.15</v>
      </c>
      <c r="T1423" s="60">
        <v>62</v>
      </c>
      <c r="U1423" s="60">
        <v>53.33</v>
      </c>
    </row>
    <row r="1424" spans="1:21">
      <c r="A1424" s="60" t="s">
        <v>2538</v>
      </c>
      <c r="B1424" s="60" t="s">
        <v>2801</v>
      </c>
      <c r="C1424" s="60" t="s">
        <v>3550</v>
      </c>
      <c r="D1424" s="60">
        <v>113.5</v>
      </c>
      <c r="E1424" s="60">
        <v>-0.44</v>
      </c>
      <c r="F1424" s="60">
        <v>141</v>
      </c>
      <c r="G1424" s="60">
        <v>0.78</v>
      </c>
      <c r="H1424" s="60">
        <v>6.2</v>
      </c>
      <c r="I1424" s="60">
        <v>3.37</v>
      </c>
      <c r="J1424" s="60">
        <v>0.02</v>
      </c>
      <c r="O1424" s="60" t="s">
        <v>2538</v>
      </c>
      <c r="P1424" s="60" t="s">
        <v>2801</v>
      </c>
      <c r="Q1424" s="60" t="s">
        <v>3550</v>
      </c>
      <c r="R1424" s="60">
        <v>113.5</v>
      </c>
      <c r="S1424" s="60">
        <v>-0.44</v>
      </c>
      <c r="T1424" s="60">
        <v>141</v>
      </c>
      <c r="U1424" s="60">
        <v>53.48</v>
      </c>
    </row>
    <row r="1425" spans="1:21">
      <c r="A1425" s="60" t="s">
        <v>2540</v>
      </c>
      <c r="B1425" s="60" t="s">
        <v>2803</v>
      </c>
      <c r="C1425" s="60" t="s">
        <v>4429</v>
      </c>
      <c r="D1425" s="60">
        <v>97</v>
      </c>
      <c r="E1425" s="60">
        <v>-1.82</v>
      </c>
      <c r="F1425" s="60">
        <v>5501</v>
      </c>
      <c r="G1425" s="60">
        <v>0</v>
      </c>
      <c r="H1425" s="60">
        <v>7.53</v>
      </c>
      <c r="I1425" s="60">
        <v>0.03</v>
      </c>
      <c r="J1425" s="60">
        <v>0.17</v>
      </c>
      <c r="O1425" s="60" t="s">
        <v>2540</v>
      </c>
      <c r="P1425" s="60" t="s">
        <v>2803</v>
      </c>
      <c r="Q1425" s="60" t="s">
        <v>4429</v>
      </c>
      <c r="R1425" s="60">
        <v>97</v>
      </c>
      <c r="S1425" s="60">
        <v>-1.82</v>
      </c>
      <c r="T1425" s="60">
        <v>5501</v>
      </c>
      <c r="U1425" s="60">
        <v>96.95</v>
      </c>
    </row>
    <row r="1426" spans="1:21">
      <c r="A1426" s="60" t="s">
        <v>2542</v>
      </c>
      <c r="B1426" s="60" t="s">
        <v>2805</v>
      </c>
      <c r="C1426" s="60" t="s">
        <v>4571</v>
      </c>
      <c r="D1426" s="60">
        <v>18.45</v>
      </c>
      <c r="E1426" s="60">
        <v>-0.27</v>
      </c>
      <c r="F1426" s="60">
        <v>233</v>
      </c>
      <c r="G1426" s="60">
        <v>0.03</v>
      </c>
      <c r="H1426" s="60">
        <v>0.98</v>
      </c>
      <c r="I1426" s="60">
        <v>6.41</v>
      </c>
      <c r="J1426" s="60">
        <v>0</v>
      </c>
      <c r="O1426" s="60" t="s">
        <v>2542</v>
      </c>
      <c r="P1426" s="60" t="s">
        <v>2805</v>
      </c>
      <c r="Q1426" s="60" t="s">
        <v>4571</v>
      </c>
      <c r="R1426" s="60">
        <v>18.45</v>
      </c>
      <c r="S1426" s="60">
        <v>-0.27</v>
      </c>
      <c r="T1426" s="60">
        <v>233</v>
      </c>
      <c r="U1426" s="60">
        <v>41.3</v>
      </c>
    </row>
    <row r="1427" spans="1:21">
      <c r="A1427" s="60" t="s">
        <v>2544</v>
      </c>
      <c r="B1427" s="60" t="s">
        <v>2807</v>
      </c>
      <c r="C1427" s="60" t="s">
        <v>5199</v>
      </c>
      <c r="D1427" s="60">
        <v>32.950000000000003</v>
      </c>
      <c r="E1427" s="60">
        <v>0.61</v>
      </c>
      <c r="F1427" s="60">
        <v>191</v>
      </c>
      <c r="G1427" s="60">
        <v>0.01</v>
      </c>
      <c r="H1427" s="60">
        <v>1.08</v>
      </c>
      <c r="I1427" s="60">
        <v>4.4400000000000004</v>
      </c>
      <c r="J1427" s="60">
        <v>0</v>
      </c>
      <c r="O1427" s="60" t="s">
        <v>2544</v>
      </c>
      <c r="P1427" s="60" t="s">
        <v>2807</v>
      </c>
      <c r="Q1427" s="60" t="s">
        <v>5199</v>
      </c>
      <c r="R1427" s="60">
        <v>32.950000000000003</v>
      </c>
      <c r="S1427" s="60">
        <v>0.61</v>
      </c>
      <c r="T1427" s="60">
        <v>191</v>
      </c>
      <c r="U1427" s="60">
        <v>57.58</v>
      </c>
    </row>
    <row r="1428" spans="1:21">
      <c r="A1428" s="60" t="s">
        <v>2546</v>
      </c>
      <c r="B1428" s="60" t="s">
        <v>2809</v>
      </c>
      <c r="C1428" s="60" t="s">
        <v>4572</v>
      </c>
      <c r="D1428" s="60">
        <v>70.3</v>
      </c>
      <c r="E1428" s="60">
        <v>-3.7</v>
      </c>
      <c r="F1428" s="60">
        <v>14263</v>
      </c>
      <c r="G1428" s="60">
        <v>7.78</v>
      </c>
      <c r="H1428" s="60">
        <v>5.56</v>
      </c>
      <c r="I1428" s="60">
        <v>43.12</v>
      </c>
      <c r="J1428" s="60">
        <v>1.17</v>
      </c>
      <c r="O1428" s="60" t="s">
        <v>2546</v>
      </c>
      <c r="P1428" s="60" t="s">
        <v>2809</v>
      </c>
      <c r="Q1428" s="60" t="s">
        <v>4572</v>
      </c>
      <c r="R1428" s="60">
        <v>70.3</v>
      </c>
      <c r="S1428" s="60">
        <v>-3.7</v>
      </c>
      <c r="T1428" s="60">
        <v>14263</v>
      </c>
      <c r="U1428" s="60">
        <v>16.010000000000002</v>
      </c>
    </row>
    <row r="1429" spans="1:21">
      <c r="A1429" s="60" t="s">
        <v>2548</v>
      </c>
      <c r="B1429" s="60" t="s">
        <v>2811</v>
      </c>
      <c r="C1429" s="60" t="s">
        <v>4712</v>
      </c>
      <c r="D1429" s="60">
        <v>727</v>
      </c>
      <c r="E1429" s="60">
        <v>1.25</v>
      </c>
      <c r="F1429" s="60">
        <v>169</v>
      </c>
      <c r="G1429" s="60">
        <v>2.0099999999999998</v>
      </c>
      <c r="H1429" s="60">
        <v>16.98</v>
      </c>
      <c r="I1429" s="60">
        <v>14.57</v>
      </c>
      <c r="J1429" s="60">
        <v>5.03</v>
      </c>
      <c r="O1429" s="60" t="s">
        <v>2548</v>
      </c>
      <c r="P1429" s="60" t="s">
        <v>2811</v>
      </c>
      <c r="Q1429" s="60" t="s">
        <v>4712</v>
      </c>
      <c r="R1429" s="60">
        <v>727</v>
      </c>
      <c r="S1429" s="60">
        <v>1.25</v>
      </c>
      <c r="T1429" s="60">
        <v>169</v>
      </c>
      <c r="U1429" s="60">
        <v>42.68</v>
      </c>
    </row>
    <row r="1430" spans="1:21">
      <c r="A1430" s="60" t="s">
        <v>2550</v>
      </c>
      <c r="B1430" s="60" t="s">
        <v>3363</v>
      </c>
      <c r="C1430" s="60" t="s">
        <v>5036</v>
      </c>
      <c r="D1430" s="60">
        <v>18.5</v>
      </c>
      <c r="E1430" s="60">
        <v>6.02</v>
      </c>
      <c r="F1430" s="60">
        <v>103</v>
      </c>
      <c r="G1430" s="60">
        <v>0</v>
      </c>
      <c r="H1430" s="60">
        <v>0.04</v>
      </c>
      <c r="I1430" s="60">
        <v>0</v>
      </c>
      <c r="J1430" s="60">
        <v>0</v>
      </c>
      <c r="O1430" s="60" t="s">
        <v>2550</v>
      </c>
      <c r="P1430" s="60" t="s">
        <v>3363</v>
      </c>
      <c r="Q1430" s="60" t="s">
        <v>5036</v>
      </c>
      <c r="R1430" s="60">
        <v>18.5</v>
      </c>
      <c r="S1430" s="60">
        <v>6.02</v>
      </c>
      <c r="T1430" s="60">
        <v>103</v>
      </c>
      <c r="U1430" s="60">
        <v>14.84</v>
      </c>
    </row>
    <row r="1431" spans="1:21">
      <c r="A1431" s="60" t="s">
        <v>2551</v>
      </c>
      <c r="B1431" s="60" t="s">
        <v>2813</v>
      </c>
      <c r="C1431" s="60" t="s">
        <v>4854</v>
      </c>
      <c r="D1431" s="60">
        <v>54.3</v>
      </c>
      <c r="E1431" s="60">
        <v>-1.45</v>
      </c>
      <c r="F1431" s="60">
        <v>138</v>
      </c>
      <c r="G1431" s="60">
        <v>7.0000000000000007E-2</v>
      </c>
      <c r="H1431" s="60">
        <v>53.92</v>
      </c>
      <c r="I1431" s="60">
        <v>8.98</v>
      </c>
      <c r="J1431" s="60">
        <v>0</v>
      </c>
      <c r="O1431" s="60" t="s">
        <v>2551</v>
      </c>
      <c r="P1431" s="60" t="s">
        <v>2813</v>
      </c>
      <c r="Q1431" s="60" t="s">
        <v>4854</v>
      </c>
      <c r="R1431" s="60">
        <v>54.3</v>
      </c>
      <c r="S1431" s="60">
        <v>-1.45</v>
      </c>
      <c r="T1431" s="60">
        <v>138</v>
      </c>
      <c r="U1431" s="60">
        <v>57.08</v>
      </c>
    </row>
    <row r="1432" spans="1:21">
      <c r="A1432" s="60" t="s">
        <v>2553</v>
      </c>
      <c r="B1432" s="60" t="s">
        <v>3366</v>
      </c>
      <c r="C1432" s="60" t="s">
        <v>3988</v>
      </c>
      <c r="D1432" s="60">
        <v>362.5</v>
      </c>
      <c r="E1432" s="60">
        <v>-2.0299999999999998</v>
      </c>
      <c r="F1432" s="60">
        <v>359</v>
      </c>
      <c r="G1432" s="60">
        <v>0.01</v>
      </c>
      <c r="H1432" s="60">
        <v>8.2100000000000009</v>
      </c>
      <c r="I1432" s="60">
        <v>10.199999999999999</v>
      </c>
      <c r="J1432" s="60">
        <v>2.74</v>
      </c>
      <c r="O1432" s="60" t="s">
        <v>2553</v>
      </c>
      <c r="P1432" s="60" t="s">
        <v>3366</v>
      </c>
      <c r="Q1432" s="60" t="s">
        <v>3988</v>
      </c>
      <c r="R1432" s="60">
        <v>362.5</v>
      </c>
      <c r="S1432" s="60">
        <v>-2.0299999999999998</v>
      </c>
      <c r="T1432" s="60">
        <v>359</v>
      </c>
      <c r="U1432" s="60">
        <v>30.58</v>
      </c>
    </row>
    <row r="1433" spans="1:21">
      <c r="A1433" s="60" t="s">
        <v>2555</v>
      </c>
      <c r="B1433" s="60" t="s">
        <v>2815</v>
      </c>
      <c r="C1433" s="60" t="s">
        <v>4996</v>
      </c>
      <c r="D1433" s="60">
        <v>100</v>
      </c>
      <c r="E1433" s="60">
        <v>-0.5</v>
      </c>
      <c r="F1433" s="60">
        <v>113</v>
      </c>
      <c r="G1433" s="60">
        <v>0</v>
      </c>
      <c r="H1433" s="60">
        <v>0.57999999999999996</v>
      </c>
      <c r="I1433" s="60">
        <v>18.45</v>
      </c>
      <c r="J1433" s="60">
        <v>0</v>
      </c>
      <c r="O1433" s="60" t="s">
        <v>2555</v>
      </c>
      <c r="P1433" s="60" t="s">
        <v>2815</v>
      </c>
      <c r="Q1433" s="60" t="s">
        <v>4996</v>
      </c>
      <c r="R1433" s="60">
        <v>100</v>
      </c>
      <c r="S1433" s="60">
        <v>-0.5</v>
      </c>
      <c r="T1433" s="60">
        <v>113</v>
      </c>
      <c r="U1433" s="60">
        <v>36.26</v>
      </c>
    </row>
    <row r="1434" spans="1:21">
      <c r="A1434" s="60" t="s">
        <v>2557</v>
      </c>
      <c r="B1434" s="60" t="s">
        <v>2817</v>
      </c>
      <c r="C1434" s="60" t="s">
        <v>4626</v>
      </c>
      <c r="D1434" s="60">
        <v>136</v>
      </c>
      <c r="E1434" s="60">
        <v>-3.89</v>
      </c>
      <c r="F1434" s="60">
        <v>1140</v>
      </c>
      <c r="G1434" s="60">
        <v>2.1800000000000002</v>
      </c>
      <c r="H1434" s="60">
        <v>10.52</v>
      </c>
      <c r="I1434" s="60">
        <v>10.82</v>
      </c>
      <c r="J1434" s="60">
        <v>0</v>
      </c>
      <c r="O1434" s="60" t="s">
        <v>2557</v>
      </c>
      <c r="P1434" s="60" t="s">
        <v>2817</v>
      </c>
      <c r="Q1434" s="60" t="s">
        <v>4626</v>
      </c>
      <c r="R1434" s="60">
        <v>136</v>
      </c>
      <c r="S1434" s="60">
        <v>-3.89</v>
      </c>
      <c r="T1434" s="60">
        <v>1140</v>
      </c>
      <c r="U1434" s="60">
        <v>64.05</v>
      </c>
    </row>
    <row r="1435" spans="1:21">
      <c r="A1435" s="60" t="s">
        <v>2558</v>
      </c>
      <c r="B1435" s="60" t="s">
        <v>2819</v>
      </c>
      <c r="C1435" s="60" t="s">
        <v>3669</v>
      </c>
      <c r="D1435" s="60">
        <v>99.2</v>
      </c>
      <c r="E1435" s="60">
        <v>-1.29</v>
      </c>
      <c r="F1435" s="60">
        <v>1446</v>
      </c>
      <c r="G1435" s="60">
        <v>0.12</v>
      </c>
      <c r="H1435" s="60">
        <v>16.8</v>
      </c>
      <c r="I1435" s="60">
        <v>12.96</v>
      </c>
      <c r="J1435" s="60">
        <v>2.67</v>
      </c>
      <c r="O1435" s="60" t="s">
        <v>2558</v>
      </c>
      <c r="P1435" s="60" t="s">
        <v>2819</v>
      </c>
      <c r="Q1435" s="60" t="s">
        <v>3669</v>
      </c>
      <c r="R1435" s="60">
        <v>99.2</v>
      </c>
      <c r="S1435" s="60">
        <v>-1.29</v>
      </c>
      <c r="T1435" s="60">
        <v>1446</v>
      </c>
      <c r="U1435" s="60">
        <v>63.6</v>
      </c>
    </row>
    <row r="1436" spans="1:21">
      <c r="A1436" s="60" t="s">
        <v>2560</v>
      </c>
      <c r="B1436" s="60" t="s">
        <v>3371</v>
      </c>
      <c r="C1436" s="60" t="s">
        <v>4627</v>
      </c>
      <c r="D1436" s="60">
        <v>48.2</v>
      </c>
      <c r="E1436" s="60">
        <v>0</v>
      </c>
      <c r="F1436" s="60">
        <v>42</v>
      </c>
      <c r="G1436" s="60">
        <v>0</v>
      </c>
      <c r="H1436" s="60">
        <v>0.42</v>
      </c>
      <c r="I1436" s="60">
        <v>0</v>
      </c>
      <c r="J1436" s="60">
        <v>0</v>
      </c>
      <c r="O1436" s="60" t="s">
        <v>2560</v>
      </c>
      <c r="P1436" s="60" t="s">
        <v>3371</v>
      </c>
      <c r="Q1436" s="60" t="s">
        <v>4627</v>
      </c>
      <c r="R1436" s="60">
        <v>48.2</v>
      </c>
      <c r="S1436" s="60">
        <v>0</v>
      </c>
      <c r="T1436" s="60">
        <v>42</v>
      </c>
      <c r="U1436" s="60">
        <v>27.7</v>
      </c>
    </row>
    <row r="1437" spans="1:21">
      <c r="A1437" s="60" t="s">
        <v>2562</v>
      </c>
      <c r="B1437" s="60" t="s">
        <v>2821</v>
      </c>
      <c r="C1437" s="60" t="s">
        <v>4855</v>
      </c>
      <c r="D1437" s="60">
        <v>22.7</v>
      </c>
      <c r="E1437" s="60">
        <v>1.79</v>
      </c>
      <c r="F1437" s="60">
        <v>175</v>
      </c>
      <c r="G1437" s="60">
        <v>7.0000000000000007E-2</v>
      </c>
      <c r="H1437" s="60">
        <v>1.6</v>
      </c>
      <c r="I1437" s="60">
        <v>8.77</v>
      </c>
      <c r="J1437" s="60">
        <v>0</v>
      </c>
      <c r="O1437" s="60" t="s">
        <v>2562</v>
      </c>
      <c r="P1437" s="60" t="s">
        <v>2821</v>
      </c>
      <c r="Q1437" s="60" t="s">
        <v>4855</v>
      </c>
      <c r="R1437" s="60">
        <v>22.7</v>
      </c>
      <c r="S1437" s="60">
        <v>1.79</v>
      </c>
      <c r="T1437" s="60">
        <v>175</v>
      </c>
      <c r="U1437" s="60">
        <v>24.77</v>
      </c>
    </row>
    <row r="1438" spans="1:21">
      <c r="A1438" s="60" t="s">
        <v>2564</v>
      </c>
      <c r="B1438" s="60" t="s">
        <v>2823</v>
      </c>
      <c r="C1438" s="60" t="s">
        <v>5513</v>
      </c>
      <c r="D1438" s="60">
        <v>512</v>
      </c>
      <c r="E1438" s="60">
        <v>-1.54</v>
      </c>
      <c r="F1438" s="60">
        <v>4123</v>
      </c>
      <c r="G1438" s="60">
        <v>3.56</v>
      </c>
      <c r="H1438" s="60">
        <v>19.38</v>
      </c>
      <c r="I1438" s="60">
        <v>41.13</v>
      </c>
      <c r="J1438" s="60">
        <v>0</v>
      </c>
      <c r="O1438" s="60" t="s">
        <v>2564</v>
      </c>
      <c r="P1438" s="60" t="s">
        <v>2823</v>
      </c>
      <c r="Q1438" s="60" t="s">
        <v>5513</v>
      </c>
      <c r="R1438" s="60">
        <v>512</v>
      </c>
      <c r="S1438" s="60">
        <v>-1.54</v>
      </c>
      <c r="T1438" s="60">
        <v>4123</v>
      </c>
      <c r="U1438" s="60">
        <v>53.27</v>
      </c>
    </row>
    <row r="1439" spans="1:21">
      <c r="A1439" s="60" t="s">
        <v>2566</v>
      </c>
      <c r="B1439" s="60" t="s">
        <v>2825</v>
      </c>
      <c r="C1439" s="60" t="s">
        <v>4713</v>
      </c>
      <c r="D1439" s="60">
        <v>43.5</v>
      </c>
      <c r="E1439" s="60">
        <v>0.23</v>
      </c>
      <c r="F1439" s="60">
        <v>88</v>
      </c>
      <c r="G1439" s="60">
        <v>0.02</v>
      </c>
      <c r="H1439" s="60">
        <v>2.86</v>
      </c>
      <c r="I1439" s="60">
        <v>20.190000000000001</v>
      </c>
      <c r="J1439" s="60">
        <v>0</v>
      </c>
      <c r="O1439" s="60" t="s">
        <v>2566</v>
      </c>
      <c r="P1439" s="60" t="s">
        <v>2825</v>
      </c>
      <c r="Q1439" s="60" t="s">
        <v>4713</v>
      </c>
      <c r="R1439" s="60">
        <v>43.5</v>
      </c>
      <c r="S1439" s="60">
        <v>0.23</v>
      </c>
      <c r="T1439" s="60">
        <v>88</v>
      </c>
      <c r="U1439" s="60">
        <v>15.08</v>
      </c>
    </row>
    <row r="1440" spans="1:21">
      <c r="A1440" s="60" t="s">
        <v>2568</v>
      </c>
      <c r="B1440" s="60" t="s">
        <v>2827</v>
      </c>
      <c r="C1440" s="60" t="s">
        <v>3989</v>
      </c>
      <c r="D1440" s="60">
        <v>603</v>
      </c>
      <c r="E1440" s="60">
        <v>-1.95</v>
      </c>
      <c r="F1440" s="60">
        <v>1421</v>
      </c>
      <c r="G1440" s="60">
        <v>3.96</v>
      </c>
      <c r="H1440" s="60">
        <v>34.270000000000003</v>
      </c>
      <c r="I1440" s="60">
        <v>51.06</v>
      </c>
      <c r="J1440" s="60">
        <v>0.9</v>
      </c>
      <c r="O1440" s="60" t="s">
        <v>2568</v>
      </c>
      <c r="P1440" s="60" t="s">
        <v>2827</v>
      </c>
      <c r="Q1440" s="60" t="s">
        <v>3989</v>
      </c>
      <c r="R1440" s="60">
        <v>603</v>
      </c>
      <c r="S1440" s="60">
        <v>-1.95</v>
      </c>
      <c r="T1440" s="60">
        <v>1421</v>
      </c>
      <c r="U1440" s="60">
        <v>39.1</v>
      </c>
    </row>
    <row r="1441" spans="1:21">
      <c r="A1441" s="60" t="s">
        <v>2570</v>
      </c>
      <c r="B1441" s="60" t="s">
        <v>3377</v>
      </c>
      <c r="C1441" s="60" t="s">
        <v>4628</v>
      </c>
      <c r="D1441" s="60">
        <v>38.6</v>
      </c>
      <c r="E1441" s="60">
        <v>-5.97</v>
      </c>
      <c r="F1441" s="60">
        <v>1655</v>
      </c>
      <c r="G1441" s="60">
        <v>0</v>
      </c>
      <c r="H1441" s="60">
        <v>1.05</v>
      </c>
      <c r="I1441" s="60">
        <v>0</v>
      </c>
      <c r="J1441" s="60">
        <v>0</v>
      </c>
      <c r="O1441" s="60" t="s">
        <v>2570</v>
      </c>
      <c r="P1441" s="60" t="s">
        <v>3377</v>
      </c>
      <c r="Q1441" s="60" t="s">
        <v>4628</v>
      </c>
      <c r="R1441" s="60">
        <v>38.6</v>
      </c>
      <c r="S1441" s="60">
        <v>-5.97</v>
      </c>
      <c r="T1441" s="60">
        <v>1655</v>
      </c>
      <c r="U1441" s="60">
        <v>55.29</v>
      </c>
    </row>
    <row r="1442" spans="1:21">
      <c r="A1442" s="60" t="s">
        <v>2572</v>
      </c>
      <c r="B1442" s="60" t="s">
        <v>2829</v>
      </c>
      <c r="C1442" s="60" t="s">
        <v>3608</v>
      </c>
      <c r="D1442" s="60">
        <v>74.099999999999994</v>
      </c>
      <c r="E1442" s="60">
        <v>1.0900000000000001</v>
      </c>
      <c r="F1442" s="60">
        <v>87</v>
      </c>
      <c r="G1442" s="60">
        <v>1.17</v>
      </c>
      <c r="H1442" s="60">
        <v>4.2300000000000004</v>
      </c>
      <c r="I1442" s="60">
        <v>28.05</v>
      </c>
      <c r="J1442" s="60">
        <v>0</v>
      </c>
      <c r="O1442" s="60" t="s">
        <v>2572</v>
      </c>
      <c r="P1442" s="60" t="s">
        <v>2829</v>
      </c>
      <c r="Q1442" s="60" t="s">
        <v>3608</v>
      </c>
      <c r="R1442" s="60">
        <v>74.099999999999994</v>
      </c>
      <c r="S1442" s="60">
        <v>1.0900000000000001</v>
      </c>
      <c r="T1442" s="60">
        <v>87</v>
      </c>
      <c r="U1442" s="60">
        <v>9.9700000000000006</v>
      </c>
    </row>
    <row r="1443" spans="1:21">
      <c r="A1443" s="60" t="s">
        <v>2574</v>
      </c>
      <c r="B1443" s="60" t="s">
        <v>3380</v>
      </c>
      <c r="C1443" s="60" t="s">
        <v>3640</v>
      </c>
      <c r="D1443" s="60">
        <v>51.7</v>
      </c>
      <c r="E1443" s="60">
        <v>1.57</v>
      </c>
      <c r="F1443" s="60">
        <v>959</v>
      </c>
      <c r="G1443" s="60">
        <v>0</v>
      </c>
      <c r="H1443" s="60">
        <v>32.659999999999997</v>
      </c>
      <c r="I1443" s="60">
        <v>0</v>
      </c>
      <c r="J1443" s="60">
        <v>0</v>
      </c>
      <c r="O1443" s="60" t="s">
        <v>2574</v>
      </c>
      <c r="P1443" s="60" t="s">
        <v>3380</v>
      </c>
      <c r="Q1443" s="60" t="s">
        <v>3640</v>
      </c>
      <c r="R1443" s="60">
        <v>51.7</v>
      </c>
      <c r="S1443" s="60">
        <v>1.57</v>
      </c>
      <c r="T1443" s="60">
        <v>959</v>
      </c>
      <c r="U1443" s="60">
        <v>67.27</v>
      </c>
    </row>
    <row r="1444" spans="1:21">
      <c r="A1444" s="60" t="s">
        <v>2576</v>
      </c>
      <c r="B1444" s="60" t="s">
        <v>2832</v>
      </c>
      <c r="C1444" s="60" t="s">
        <v>5191</v>
      </c>
      <c r="D1444" s="60">
        <v>59.9</v>
      </c>
      <c r="E1444" s="60">
        <v>-0.5</v>
      </c>
      <c r="F1444" s="60">
        <v>0</v>
      </c>
      <c r="G1444" s="60">
        <v>0</v>
      </c>
      <c r="H1444" s="60">
        <v>21</v>
      </c>
      <c r="I1444" s="60">
        <v>0.67</v>
      </c>
      <c r="J1444" s="60">
        <v>0</v>
      </c>
      <c r="O1444" s="60" t="s">
        <v>2576</v>
      </c>
      <c r="P1444" s="60" t="s">
        <v>2832</v>
      </c>
      <c r="Q1444" s="60" t="s">
        <v>5191</v>
      </c>
      <c r="R1444" s="60">
        <v>59.9</v>
      </c>
      <c r="S1444" s="60">
        <v>-0.5</v>
      </c>
      <c r="T1444" s="60">
        <v>0</v>
      </c>
      <c r="U1444" s="60">
        <v>73.77</v>
      </c>
    </row>
    <row r="1445" spans="1:21">
      <c r="A1445" s="60" t="s">
        <v>2578</v>
      </c>
      <c r="B1445" s="60" t="s">
        <v>3383</v>
      </c>
      <c r="C1445" s="60" t="s">
        <v>45</v>
      </c>
      <c r="D1445" s="60">
        <v>228</v>
      </c>
      <c r="E1445" s="60">
        <v>9.8800000000000008</v>
      </c>
      <c r="F1445" s="60">
        <v>2398</v>
      </c>
      <c r="G1445" s="60">
        <v>0</v>
      </c>
      <c r="H1445" s="60">
        <v>5.74</v>
      </c>
      <c r="I1445" s="60">
        <v>0</v>
      </c>
      <c r="J1445" s="60">
        <v>0</v>
      </c>
      <c r="O1445" s="60" t="s">
        <v>2578</v>
      </c>
      <c r="P1445" s="60" t="s">
        <v>3383</v>
      </c>
      <c r="Q1445" s="60" t="s">
        <v>45</v>
      </c>
      <c r="R1445" s="60">
        <v>228</v>
      </c>
      <c r="S1445" s="60">
        <v>9.8800000000000008</v>
      </c>
      <c r="T1445" s="60">
        <v>2398</v>
      </c>
      <c r="U1445" s="60">
        <v>31.52</v>
      </c>
    </row>
    <row r="1446" spans="1:21">
      <c r="A1446" s="60" t="s">
        <v>2580</v>
      </c>
      <c r="B1446" s="60" t="s">
        <v>2834</v>
      </c>
      <c r="C1446" s="60" t="s">
        <v>4714</v>
      </c>
      <c r="D1446" s="60">
        <v>103.5</v>
      </c>
      <c r="E1446" s="60">
        <v>2.48</v>
      </c>
      <c r="F1446" s="60">
        <v>1639</v>
      </c>
      <c r="G1446" s="60">
        <v>1.19</v>
      </c>
      <c r="H1446" s="60">
        <v>5.65</v>
      </c>
      <c r="I1446" s="60">
        <v>6.32</v>
      </c>
      <c r="J1446" s="60">
        <v>0.28999999999999998</v>
      </c>
      <c r="O1446" s="60" t="s">
        <v>2580</v>
      </c>
      <c r="P1446" s="60" t="s">
        <v>2834</v>
      </c>
      <c r="Q1446" s="60" t="s">
        <v>4714</v>
      </c>
      <c r="R1446" s="60">
        <v>103.5</v>
      </c>
      <c r="S1446" s="60">
        <v>2.48</v>
      </c>
      <c r="T1446" s="60">
        <v>1639</v>
      </c>
      <c r="U1446" s="60">
        <v>85.5</v>
      </c>
    </row>
    <row r="1447" spans="1:21">
      <c r="A1447" s="60" t="s">
        <v>2582</v>
      </c>
      <c r="B1447" s="60" t="s">
        <v>2836</v>
      </c>
      <c r="C1447" s="60" t="s">
        <v>3990</v>
      </c>
      <c r="D1447" s="60">
        <v>57.4</v>
      </c>
      <c r="E1447" s="60">
        <v>0.17</v>
      </c>
      <c r="F1447" s="60">
        <v>218</v>
      </c>
      <c r="G1447" s="60">
        <v>0.22</v>
      </c>
      <c r="H1447" s="60">
        <v>2.2200000000000002</v>
      </c>
      <c r="I1447" s="60">
        <v>22.82</v>
      </c>
      <c r="J1447" s="60">
        <v>0</v>
      </c>
      <c r="O1447" s="60" t="s">
        <v>2582</v>
      </c>
      <c r="P1447" s="60" t="s">
        <v>2836</v>
      </c>
      <c r="Q1447" s="60" t="s">
        <v>3990</v>
      </c>
      <c r="R1447" s="60">
        <v>57.4</v>
      </c>
      <c r="S1447" s="60">
        <v>0.17</v>
      </c>
      <c r="T1447" s="60">
        <v>218</v>
      </c>
      <c r="U1447" s="60">
        <v>57.04</v>
      </c>
    </row>
    <row r="1448" spans="1:21">
      <c r="A1448" s="60" t="s">
        <v>2584</v>
      </c>
      <c r="B1448" s="60" t="s">
        <v>3387</v>
      </c>
      <c r="C1448" s="60" t="s">
        <v>4810</v>
      </c>
      <c r="D1448" s="60">
        <v>48</v>
      </c>
      <c r="E1448" s="60">
        <v>0.63</v>
      </c>
      <c r="F1448" s="60">
        <v>2</v>
      </c>
      <c r="G1448" s="60">
        <v>0</v>
      </c>
      <c r="H1448" s="60">
        <v>0.05</v>
      </c>
      <c r="I1448" s="60">
        <v>0</v>
      </c>
      <c r="J1448" s="60">
        <v>0</v>
      </c>
      <c r="O1448" s="60" t="s">
        <v>2584</v>
      </c>
      <c r="P1448" s="60" t="s">
        <v>3387</v>
      </c>
      <c r="Q1448" s="60" t="s">
        <v>4810</v>
      </c>
      <c r="R1448" s="60">
        <v>48</v>
      </c>
      <c r="S1448" s="60">
        <v>0.63</v>
      </c>
      <c r="T1448" s="60">
        <v>2</v>
      </c>
      <c r="U1448" s="60">
        <v>72.849999999999994</v>
      </c>
    </row>
    <row r="1449" spans="1:21">
      <c r="A1449" s="60" t="s">
        <v>2586</v>
      </c>
      <c r="B1449" s="60" t="s">
        <v>2838</v>
      </c>
      <c r="C1449" s="60" t="s">
        <v>4294</v>
      </c>
      <c r="D1449" s="60">
        <v>34.200000000000003</v>
      </c>
      <c r="E1449" s="60">
        <v>3.17</v>
      </c>
      <c r="F1449" s="60">
        <v>343</v>
      </c>
      <c r="G1449" s="60">
        <v>0.02</v>
      </c>
      <c r="H1449" s="60">
        <v>1.75</v>
      </c>
      <c r="I1449" s="60">
        <v>14.18</v>
      </c>
      <c r="J1449" s="60">
        <v>0</v>
      </c>
      <c r="O1449" s="60" t="s">
        <v>2586</v>
      </c>
      <c r="P1449" s="60" t="s">
        <v>2838</v>
      </c>
      <c r="Q1449" s="60" t="s">
        <v>4294</v>
      </c>
      <c r="R1449" s="60">
        <v>34.200000000000003</v>
      </c>
      <c r="S1449" s="60">
        <v>3.17</v>
      </c>
      <c r="T1449" s="60">
        <v>343</v>
      </c>
      <c r="U1449" s="60">
        <v>39.76</v>
      </c>
    </row>
    <row r="1450" spans="1:21">
      <c r="A1450" s="60" t="s">
        <v>2588</v>
      </c>
      <c r="B1450" s="60" t="s">
        <v>3390</v>
      </c>
      <c r="C1450" s="60" t="s">
        <v>4811</v>
      </c>
      <c r="D1450" s="60">
        <v>86.5</v>
      </c>
      <c r="E1450" s="60">
        <v>0.12</v>
      </c>
      <c r="F1450" s="60">
        <v>58</v>
      </c>
      <c r="G1450" s="60">
        <v>0</v>
      </c>
      <c r="H1450" s="60">
        <v>4.99</v>
      </c>
      <c r="I1450" s="60">
        <v>0</v>
      </c>
      <c r="J1450" s="60">
        <v>0</v>
      </c>
      <c r="O1450" s="60" t="s">
        <v>2588</v>
      </c>
      <c r="P1450" s="60" t="s">
        <v>3390</v>
      </c>
      <c r="Q1450" s="60" t="s">
        <v>4811</v>
      </c>
      <c r="R1450" s="60">
        <v>86.5</v>
      </c>
      <c r="S1450" s="60">
        <v>0.12</v>
      </c>
      <c r="T1450" s="60">
        <v>58</v>
      </c>
      <c r="U1450" s="60">
        <v>27.76</v>
      </c>
    </row>
    <row r="1451" spans="1:21">
      <c r="A1451" s="60" t="s">
        <v>2590</v>
      </c>
      <c r="B1451" s="60" t="s">
        <v>2840</v>
      </c>
      <c r="C1451" s="60" t="s">
        <v>4856</v>
      </c>
      <c r="D1451" s="60">
        <v>283</v>
      </c>
      <c r="E1451" s="60">
        <v>-0.7</v>
      </c>
      <c r="F1451" s="60">
        <v>27</v>
      </c>
      <c r="G1451" s="60">
        <v>0</v>
      </c>
      <c r="H1451" s="60">
        <v>13.62</v>
      </c>
      <c r="I1451" s="60">
        <v>1.18</v>
      </c>
      <c r="J1451" s="60">
        <v>0.02</v>
      </c>
      <c r="O1451" s="60" t="s">
        <v>2590</v>
      </c>
      <c r="P1451" s="60" t="s">
        <v>2840</v>
      </c>
      <c r="Q1451" s="60" t="s">
        <v>4856</v>
      </c>
      <c r="R1451" s="60">
        <v>283</v>
      </c>
      <c r="S1451" s="60">
        <v>-0.7</v>
      </c>
      <c r="T1451" s="60">
        <v>27</v>
      </c>
      <c r="U1451" s="60">
        <v>75.89</v>
      </c>
    </row>
    <row r="1452" spans="1:21">
      <c r="A1452" s="60" t="s">
        <v>2592</v>
      </c>
      <c r="B1452" s="60" t="s">
        <v>3393</v>
      </c>
      <c r="C1452" s="60" t="s">
        <v>4715</v>
      </c>
      <c r="D1452" s="60">
        <v>390</v>
      </c>
      <c r="E1452" s="60">
        <v>-2.0099999999999998</v>
      </c>
      <c r="F1452" s="60">
        <v>3173</v>
      </c>
      <c r="G1452" s="60">
        <v>0</v>
      </c>
      <c r="H1452" s="60">
        <v>4.6399999999999997</v>
      </c>
      <c r="I1452" s="60">
        <v>0</v>
      </c>
      <c r="J1452" s="60">
        <v>0</v>
      </c>
      <c r="O1452" s="60" t="s">
        <v>2592</v>
      </c>
      <c r="P1452" s="60" t="s">
        <v>3393</v>
      </c>
      <c r="Q1452" s="60" t="s">
        <v>4715</v>
      </c>
      <c r="R1452" s="60">
        <v>390</v>
      </c>
      <c r="S1452" s="60">
        <v>-2.0099999999999998</v>
      </c>
      <c r="T1452" s="60">
        <v>3173</v>
      </c>
      <c r="U1452" s="60">
        <v>13.14</v>
      </c>
    </row>
    <row r="1453" spans="1:21">
      <c r="A1453" s="60" t="s">
        <v>2594</v>
      </c>
      <c r="B1453" s="60" t="s">
        <v>3395</v>
      </c>
      <c r="C1453" s="60" t="s">
        <v>4629</v>
      </c>
      <c r="D1453" s="60">
        <v>104.5</v>
      </c>
      <c r="E1453" s="60">
        <v>0</v>
      </c>
      <c r="F1453" s="60">
        <v>4</v>
      </c>
      <c r="G1453" s="60">
        <v>0</v>
      </c>
      <c r="H1453" s="60">
        <v>2.63</v>
      </c>
      <c r="I1453" s="60">
        <v>0</v>
      </c>
      <c r="J1453" s="60">
        <v>0</v>
      </c>
      <c r="O1453" s="60" t="s">
        <v>2594</v>
      </c>
      <c r="P1453" s="60" t="s">
        <v>3395</v>
      </c>
      <c r="Q1453" s="60" t="s">
        <v>4629</v>
      </c>
      <c r="R1453" s="60">
        <v>104.5</v>
      </c>
      <c r="S1453" s="60">
        <v>0</v>
      </c>
      <c r="T1453" s="60">
        <v>4</v>
      </c>
      <c r="U1453" s="60">
        <v>66.900000000000006</v>
      </c>
    </row>
    <row r="1454" spans="1:21">
      <c r="A1454" s="60" t="s">
        <v>2596</v>
      </c>
      <c r="B1454" s="60" t="s">
        <v>3397</v>
      </c>
      <c r="C1454" s="60" t="s">
        <v>4768</v>
      </c>
      <c r="D1454" s="60">
        <v>37.25</v>
      </c>
      <c r="E1454" s="60">
        <v>0.54</v>
      </c>
      <c r="F1454" s="60">
        <v>43</v>
      </c>
      <c r="G1454" s="60">
        <v>0</v>
      </c>
      <c r="H1454" s="60">
        <v>0.12</v>
      </c>
      <c r="I1454" s="60">
        <v>1.49</v>
      </c>
      <c r="J1454" s="60">
        <v>0</v>
      </c>
      <c r="O1454" s="60" t="s">
        <v>2596</v>
      </c>
      <c r="P1454" s="60" t="s">
        <v>3397</v>
      </c>
      <c r="Q1454" s="60" t="s">
        <v>4768</v>
      </c>
      <c r="R1454" s="60">
        <v>37.25</v>
      </c>
      <c r="S1454" s="60">
        <v>0.54</v>
      </c>
      <c r="T1454" s="60">
        <v>43</v>
      </c>
      <c r="U1454" s="60">
        <v>31.52</v>
      </c>
    </row>
    <row r="1455" spans="1:21">
      <c r="A1455" s="60" t="s">
        <v>2598</v>
      </c>
      <c r="B1455" s="60" t="s">
        <v>2842</v>
      </c>
      <c r="C1455" s="60" t="s">
        <v>3991</v>
      </c>
      <c r="D1455" s="60">
        <v>23.5</v>
      </c>
      <c r="E1455" s="60">
        <v>0</v>
      </c>
      <c r="F1455" s="60">
        <v>313</v>
      </c>
      <c r="G1455" s="60">
        <v>0.15</v>
      </c>
      <c r="H1455" s="60">
        <v>55.04</v>
      </c>
      <c r="I1455" s="60">
        <v>6.84</v>
      </c>
      <c r="J1455" s="60">
        <v>0</v>
      </c>
      <c r="O1455" s="60" t="s">
        <v>2598</v>
      </c>
      <c r="P1455" s="60" t="s">
        <v>2842</v>
      </c>
      <c r="Q1455" s="60" t="s">
        <v>3991</v>
      </c>
      <c r="R1455" s="60">
        <v>23.5</v>
      </c>
      <c r="S1455" s="60">
        <v>0</v>
      </c>
      <c r="T1455" s="60">
        <v>313</v>
      </c>
      <c r="U1455" s="60">
        <v>62.36</v>
      </c>
    </row>
    <row r="1456" spans="1:21">
      <c r="A1456" s="60" t="s">
        <v>2600</v>
      </c>
      <c r="B1456" s="60" t="s">
        <v>3400</v>
      </c>
      <c r="C1456" s="60" t="s">
        <v>3513</v>
      </c>
      <c r="D1456" s="60">
        <v>49.05</v>
      </c>
      <c r="E1456" s="60">
        <v>2.94</v>
      </c>
      <c r="F1456" s="60">
        <v>2</v>
      </c>
      <c r="G1456" s="60">
        <v>0</v>
      </c>
      <c r="H1456" s="60">
        <v>0</v>
      </c>
      <c r="I1456" s="60">
        <v>0</v>
      </c>
      <c r="J1456" s="60">
        <v>0</v>
      </c>
      <c r="O1456" s="60" t="s">
        <v>2600</v>
      </c>
      <c r="P1456" s="60" t="s">
        <v>3400</v>
      </c>
      <c r="Q1456" s="60" t="s">
        <v>3513</v>
      </c>
      <c r="R1456" s="60">
        <v>49.05</v>
      </c>
      <c r="S1456" s="60">
        <v>2.94</v>
      </c>
      <c r="T1456" s="60">
        <v>2</v>
      </c>
      <c r="U1456" s="60">
        <v>76.39</v>
      </c>
    </row>
    <row r="1457" spans="1:21">
      <c r="A1457" s="60" t="s">
        <v>2602</v>
      </c>
      <c r="B1457" s="60" t="s">
        <v>3402</v>
      </c>
      <c r="C1457" s="60" t="s">
        <v>4630</v>
      </c>
      <c r="D1457" s="60">
        <v>91.8</v>
      </c>
      <c r="E1457" s="60">
        <v>-1.5</v>
      </c>
      <c r="F1457" s="60">
        <v>1072</v>
      </c>
      <c r="G1457" s="60">
        <v>0</v>
      </c>
      <c r="H1457" s="60">
        <v>31.65</v>
      </c>
      <c r="I1457" s="60">
        <v>0</v>
      </c>
      <c r="J1457" s="60">
        <v>0</v>
      </c>
      <c r="O1457" s="60" t="s">
        <v>2602</v>
      </c>
      <c r="P1457" s="60" t="s">
        <v>3402</v>
      </c>
      <c r="Q1457" s="60" t="s">
        <v>4630</v>
      </c>
      <c r="R1457" s="60">
        <v>91.8</v>
      </c>
      <c r="S1457" s="60">
        <v>-1.5</v>
      </c>
      <c r="T1457" s="60">
        <v>1072</v>
      </c>
      <c r="U1457" s="60">
        <v>32.72</v>
      </c>
    </row>
    <row r="1458" spans="1:21">
      <c r="A1458" s="60" t="s">
        <v>2604</v>
      </c>
      <c r="B1458" s="60" t="s">
        <v>2844</v>
      </c>
      <c r="C1458" s="60" t="s">
        <v>4769</v>
      </c>
      <c r="D1458" s="60">
        <v>61.6</v>
      </c>
      <c r="E1458" s="60">
        <v>-0.96</v>
      </c>
      <c r="F1458" s="60">
        <v>25</v>
      </c>
      <c r="G1458" s="60">
        <v>0</v>
      </c>
      <c r="H1458" s="60">
        <v>1.32</v>
      </c>
      <c r="I1458" s="60">
        <v>0.5</v>
      </c>
      <c r="J1458" s="60">
        <v>0.31</v>
      </c>
      <c r="O1458" s="60" t="s">
        <v>2604</v>
      </c>
      <c r="P1458" s="60" t="s">
        <v>2844</v>
      </c>
      <c r="Q1458" s="60" t="s">
        <v>4769</v>
      </c>
      <c r="R1458" s="60">
        <v>61.6</v>
      </c>
      <c r="S1458" s="60">
        <v>-0.96</v>
      </c>
      <c r="T1458" s="60">
        <v>25</v>
      </c>
      <c r="U1458" s="60">
        <v>66.209999999999994</v>
      </c>
    </row>
    <row r="1459" spans="1:21">
      <c r="A1459" s="60" t="s">
        <v>2606</v>
      </c>
      <c r="B1459" s="60" t="s">
        <v>2846</v>
      </c>
      <c r="C1459" s="60" t="s">
        <v>5200</v>
      </c>
      <c r="D1459" s="60">
        <v>17.7</v>
      </c>
      <c r="E1459" s="60">
        <v>0.28000000000000003</v>
      </c>
      <c r="F1459" s="60">
        <v>65</v>
      </c>
      <c r="G1459" s="60">
        <v>0</v>
      </c>
      <c r="H1459" s="60">
        <v>0.16</v>
      </c>
      <c r="I1459" s="60">
        <v>4.6500000000000004</v>
      </c>
      <c r="J1459" s="60">
        <v>0</v>
      </c>
      <c r="O1459" s="60" t="s">
        <v>2606</v>
      </c>
      <c r="P1459" s="60" t="s">
        <v>2846</v>
      </c>
      <c r="Q1459" s="60" t="s">
        <v>5200</v>
      </c>
      <c r="R1459" s="60">
        <v>17.7</v>
      </c>
      <c r="S1459" s="60">
        <v>0.28000000000000003</v>
      </c>
      <c r="T1459" s="60">
        <v>65</v>
      </c>
      <c r="U1459" s="60">
        <v>26.52</v>
      </c>
    </row>
    <row r="1460" spans="1:21">
      <c r="A1460" s="60" t="s">
        <v>2608</v>
      </c>
      <c r="B1460" s="60" t="s">
        <v>2848</v>
      </c>
      <c r="C1460" s="60" t="s">
        <v>4044</v>
      </c>
      <c r="D1460" s="60">
        <v>63.6</v>
      </c>
      <c r="E1460" s="60">
        <v>-0.31</v>
      </c>
      <c r="F1460" s="60">
        <v>5</v>
      </c>
      <c r="G1460" s="60">
        <v>0</v>
      </c>
      <c r="H1460" s="60">
        <v>3.13</v>
      </c>
      <c r="I1460" s="60">
        <v>0.05</v>
      </c>
      <c r="J1460" s="60">
        <v>0</v>
      </c>
      <c r="O1460" s="60" t="s">
        <v>2608</v>
      </c>
      <c r="P1460" s="60" t="s">
        <v>2848</v>
      </c>
      <c r="Q1460" s="60" t="s">
        <v>4044</v>
      </c>
      <c r="R1460" s="60">
        <v>63.6</v>
      </c>
      <c r="S1460" s="60">
        <v>-0.31</v>
      </c>
      <c r="T1460" s="60">
        <v>5</v>
      </c>
      <c r="U1460" s="60">
        <v>89.49</v>
      </c>
    </row>
    <row r="1461" spans="1:21">
      <c r="A1461" s="60" t="s">
        <v>2610</v>
      </c>
      <c r="B1461" s="60" t="s">
        <v>2850</v>
      </c>
      <c r="C1461" s="60" t="s">
        <v>4451</v>
      </c>
      <c r="D1461" s="60">
        <v>79.900000000000006</v>
      </c>
      <c r="E1461" s="60">
        <v>1.4</v>
      </c>
      <c r="F1461" s="60">
        <v>116</v>
      </c>
      <c r="G1461" s="60">
        <v>0</v>
      </c>
      <c r="H1461" s="60">
        <v>0.76</v>
      </c>
      <c r="I1461" s="60">
        <v>1.33</v>
      </c>
      <c r="J1461" s="60">
        <v>0</v>
      </c>
      <c r="O1461" s="60" t="s">
        <v>2610</v>
      </c>
      <c r="P1461" s="60" t="s">
        <v>2850</v>
      </c>
      <c r="Q1461" s="60" t="s">
        <v>4451</v>
      </c>
      <c r="R1461" s="60">
        <v>79.900000000000006</v>
      </c>
      <c r="S1461" s="60">
        <v>1.4</v>
      </c>
      <c r="T1461" s="60">
        <v>116</v>
      </c>
      <c r="U1461" s="60">
        <v>83.33</v>
      </c>
    </row>
    <row r="1462" spans="1:21">
      <c r="A1462" s="60" t="s">
        <v>2612</v>
      </c>
      <c r="B1462" s="60" t="s">
        <v>2852</v>
      </c>
      <c r="C1462" s="60" t="s">
        <v>3614</v>
      </c>
      <c r="D1462" s="60">
        <v>178.5</v>
      </c>
      <c r="E1462" s="60">
        <v>3.18</v>
      </c>
      <c r="F1462" s="60">
        <v>322</v>
      </c>
      <c r="G1462" s="60">
        <v>0.43</v>
      </c>
      <c r="H1462" s="60">
        <v>17.57</v>
      </c>
      <c r="I1462" s="60">
        <v>4.2</v>
      </c>
      <c r="J1462" s="60">
        <v>0</v>
      </c>
      <c r="O1462" s="60" t="s">
        <v>2612</v>
      </c>
      <c r="P1462" s="60" t="s">
        <v>2852</v>
      </c>
      <c r="Q1462" s="60" t="s">
        <v>3614</v>
      </c>
      <c r="R1462" s="60">
        <v>178.5</v>
      </c>
      <c r="S1462" s="60">
        <v>3.18</v>
      </c>
      <c r="T1462" s="60">
        <v>322</v>
      </c>
      <c r="U1462" s="60">
        <v>78.349999999999994</v>
      </c>
    </row>
    <row r="1463" spans="1:21">
      <c r="A1463" s="60" t="s">
        <v>2614</v>
      </c>
      <c r="B1463" s="60" t="s">
        <v>3409</v>
      </c>
      <c r="C1463" s="60" t="s">
        <v>4857</v>
      </c>
      <c r="D1463" s="60">
        <v>50.9</v>
      </c>
      <c r="E1463" s="60">
        <v>0.99</v>
      </c>
      <c r="F1463" s="60">
        <v>28</v>
      </c>
      <c r="G1463" s="60">
        <v>0</v>
      </c>
      <c r="H1463" s="60">
        <v>0.03</v>
      </c>
      <c r="I1463" s="60">
        <v>0</v>
      </c>
      <c r="J1463" s="60">
        <v>0</v>
      </c>
      <c r="O1463" s="60" t="s">
        <v>2614</v>
      </c>
      <c r="P1463" s="60" t="s">
        <v>3409</v>
      </c>
      <c r="Q1463" s="60" t="s">
        <v>4857</v>
      </c>
      <c r="R1463" s="60">
        <v>50.9</v>
      </c>
      <c r="S1463" s="60">
        <v>0.99</v>
      </c>
      <c r="T1463" s="60">
        <v>28</v>
      </c>
      <c r="U1463" s="60">
        <v>34.89</v>
      </c>
    </row>
    <row r="1464" spans="1:21">
      <c r="A1464" s="60" t="s">
        <v>2616</v>
      </c>
      <c r="B1464" s="60" t="s">
        <v>3411</v>
      </c>
      <c r="C1464" s="60" t="s">
        <v>4631</v>
      </c>
      <c r="D1464" s="60">
        <v>108</v>
      </c>
      <c r="E1464" s="60">
        <v>4.3499999999999996</v>
      </c>
      <c r="F1464" s="60">
        <v>2039</v>
      </c>
      <c r="G1464" s="60">
        <v>0</v>
      </c>
      <c r="H1464" s="60">
        <v>5.1100000000000003</v>
      </c>
      <c r="I1464" s="60">
        <v>0</v>
      </c>
      <c r="J1464" s="60">
        <v>0</v>
      </c>
      <c r="O1464" s="60" t="s">
        <v>2616</v>
      </c>
      <c r="P1464" s="60" t="s">
        <v>3411</v>
      </c>
      <c r="Q1464" s="60" t="s">
        <v>4631</v>
      </c>
      <c r="R1464" s="60">
        <v>108</v>
      </c>
      <c r="S1464" s="60">
        <v>4.3499999999999996</v>
      </c>
      <c r="T1464" s="60">
        <v>2039</v>
      </c>
      <c r="U1464" s="60">
        <v>39.81</v>
      </c>
    </row>
    <row r="1465" spans="1:21">
      <c r="A1465" s="60" t="s">
        <v>2618</v>
      </c>
      <c r="B1465" s="60" t="s">
        <v>3413</v>
      </c>
      <c r="C1465" s="60" t="s">
        <v>4997</v>
      </c>
      <c r="D1465" s="60">
        <v>60.7</v>
      </c>
      <c r="E1465" s="60">
        <v>1.17</v>
      </c>
      <c r="F1465" s="60">
        <v>10</v>
      </c>
      <c r="G1465" s="60">
        <v>0</v>
      </c>
      <c r="H1465" s="60">
        <v>0.01</v>
      </c>
      <c r="I1465" s="60">
        <v>0</v>
      </c>
      <c r="J1465" s="60">
        <v>0</v>
      </c>
      <c r="O1465" s="60" t="s">
        <v>2618</v>
      </c>
      <c r="P1465" s="60" t="s">
        <v>3413</v>
      </c>
      <c r="Q1465" s="60" t="s">
        <v>4997</v>
      </c>
      <c r="R1465" s="60">
        <v>60.7</v>
      </c>
      <c r="S1465" s="60">
        <v>1.17</v>
      </c>
      <c r="T1465" s="60">
        <v>10</v>
      </c>
      <c r="U1465" s="60">
        <v>25.2</v>
      </c>
    </row>
    <row r="1466" spans="1:21">
      <c r="A1466" s="60" t="s">
        <v>2620</v>
      </c>
      <c r="B1466" s="60" t="s">
        <v>2854</v>
      </c>
      <c r="C1466" s="60" t="s">
        <v>4045</v>
      </c>
      <c r="D1466" s="60">
        <v>54.9</v>
      </c>
      <c r="E1466" s="60">
        <v>0.37</v>
      </c>
      <c r="F1466" s="60">
        <v>199</v>
      </c>
      <c r="G1466" s="60">
        <v>0.2</v>
      </c>
      <c r="H1466" s="60">
        <v>23.53</v>
      </c>
      <c r="I1466" s="60">
        <v>28.75</v>
      </c>
      <c r="J1466" s="60">
        <v>0</v>
      </c>
      <c r="O1466" s="60" t="s">
        <v>2620</v>
      </c>
      <c r="P1466" s="60" t="s">
        <v>2854</v>
      </c>
      <c r="Q1466" s="60" t="s">
        <v>4045</v>
      </c>
      <c r="R1466" s="60">
        <v>54.9</v>
      </c>
      <c r="S1466" s="60">
        <v>0.37</v>
      </c>
      <c r="T1466" s="60">
        <v>199</v>
      </c>
      <c r="U1466" s="60">
        <v>23.12</v>
      </c>
    </row>
    <row r="1467" spans="1:21">
      <c r="A1467" s="60" t="s">
        <v>2622</v>
      </c>
      <c r="B1467" s="60" t="s">
        <v>2856</v>
      </c>
      <c r="C1467" s="60" t="s">
        <v>4452</v>
      </c>
      <c r="D1467" s="60">
        <v>91.4</v>
      </c>
      <c r="E1467" s="60">
        <v>-0.11</v>
      </c>
      <c r="F1467" s="60">
        <v>390</v>
      </c>
      <c r="G1467" s="60">
        <v>0</v>
      </c>
      <c r="H1467" s="60">
        <v>28.01</v>
      </c>
      <c r="I1467" s="60">
        <v>0.87</v>
      </c>
      <c r="J1467" s="60">
        <v>0.06</v>
      </c>
      <c r="O1467" s="60" t="s">
        <v>2622</v>
      </c>
      <c r="P1467" s="60" t="s">
        <v>2856</v>
      </c>
      <c r="Q1467" s="60" t="s">
        <v>4452</v>
      </c>
      <c r="R1467" s="60">
        <v>91.4</v>
      </c>
      <c r="S1467" s="60">
        <v>-0.11</v>
      </c>
      <c r="T1467" s="60">
        <v>390</v>
      </c>
      <c r="U1467" s="60">
        <v>79.27</v>
      </c>
    </row>
    <row r="1468" spans="1:21">
      <c r="A1468" s="60" t="s">
        <v>2624</v>
      </c>
      <c r="B1468" s="60" t="s">
        <v>3417</v>
      </c>
      <c r="C1468" s="60" t="s">
        <v>4998</v>
      </c>
      <c r="D1468" s="60">
        <v>28</v>
      </c>
      <c r="E1468" s="60">
        <v>3.51</v>
      </c>
      <c r="F1468" s="60">
        <v>12</v>
      </c>
      <c r="G1468" s="60">
        <v>0</v>
      </c>
      <c r="H1468" s="60">
        <v>1.1200000000000001</v>
      </c>
      <c r="I1468" s="60">
        <v>0</v>
      </c>
      <c r="J1468" s="60">
        <v>0</v>
      </c>
      <c r="O1468" s="60" t="s">
        <v>2624</v>
      </c>
      <c r="P1468" s="60" t="s">
        <v>3417</v>
      </c>
      <c r="Q1468" s="60" t="s">
        <v>4998</v>
      </c>
      <c r="R1468" s="60">
        <v>28</v>
      </c>
      <c r="S1468" s="60">
        <v>3.51</v>
      </c>
      <c r="T1468" s="60">
        <v>12</v>
      </c>
      <c r="U1468" s="60">
        <v>45.32</v>
      </c>
    </row>
    <row r="1469" spans="1:21">
      <c r="A1469" s="60" t="s">
        <v>2626</v>
      </c>
      <c r="B1469" s="60" t="s">
        <v>3419</v>
      </c>
      <c r="C1469" s="60" t="s">
        <v>4716</v>
      </c>
      <c r="D1469" s="60">
        <v>39.549999999999997</v>
      </c>
      <c r="E1469" s="60">
        <v>1.67</v>
      </c>
      <c r="F1469" s="60">
        <v>161</v>
      </c>
      <c r="G1469" s="60">
        <v>0</v>
      </c>
      <c r="H1469" s="60">
        <v>1.21</v>
      </c>
      <c r="I1469" s="60">
        <v>0</v>
      </c>
      <c r="J1469" s="60">
        <v>0</v>
      </c>
      <c r="O1469" s="60" t="s">
        <v>2626</v>
      </c>
      <c r="P1469" s="60" t="s">
        <v>3419</v>
      </c>
      <c r="Q1469" s="60" t="s">
        <v>4716</v>
      </c>
      <c r="R1469" s="60">
        <v>39.549999999999997</v>
      </c>
      <c r="S1469" s="60">
        <v>1.67</v>
      </c>
      <c r="T1469" s="60">
        <v>161</v>
      </c>
      <c r="U1469" s="60">
        <v>50.17</v>
      </c>
    </row>
    <row r="1470" spans="1:21">
      <c r="A1470" s="60" t="s">
        <v>2628</v>
      </c>
      <c r="B1470" s="60" t="s">
        <v>2858</v>
      </c>
      <c r="C1470" s="60" t="s">
        <v>5192</v>
      </c>
      <c r="D1470" s="60">
        <v>50.2</v>
      </c>
      <c r="E1470" s="60">
        <v>-0.4</v>
      </c>
      <c r="F1470" s="60">
        <v>31</v>
      </c>
      <c r="G1470" s="60">
        <v>0</v>
      </c>
      <c r="H1470" s="60">
        <v>0.15</v>
      </c>
      <c r="I1470" s="60">
        <v>0.72</v>
      </c>
      <c r="J1470" s="60">
        <v>0</v>
      </c>
      <c r="O1470" s="60" t="s">
        <v>2628</v>
      </c>
      <c r="P1470" s="60" t="s">
        <v>2858</v>
      </c>
      <c r="Q1470" s="60" t="s">
        <v>5192</v>
      </c>
      <c r="R1470" s="60">
        <v>50.2</v>
      </c>
      <c r="S1470" s="60">
        <v>-0.4</v>
      </c>
      <c r="T1470" s="60">
        <v>31</v>
      </c>
      <c r="U1470" s="60">
        <v>43.09</v>
      </c>
    </row>
    <row r="1471" spans="1:21">
      <c r="A1471" s="60" t="s">
        <v>2630</v>
      </c>
      <c r="B1471" s="60" t="s">
        <v>2860</v>
      </c>
      <c r="C1471" s="60" t="s">
        <v>51</v>
      </c>
      <c r="D1471" s="60">
        <v>31.3</v>
      </c>
      <c r="E1471" s="60">
        <v>3.47</v>
      </c>
      <c r="F1471" s="60">
        <v>171</v>
      </c>
      <c r="G1471" s="60">
        <v>0</v>
      </c>
      <c r="H1471" s="60">
        <v>36.56</v>
      </c>
      <c r="I1471" s="60">
        <v>4.57</v>
      </c>
      <c r="J1471" s="60">
        <v>0</v>
      </c>
      <c r="O1471" s="60" t="s">
        <v>2630</v>
      </c>
      <c r="P1471" s="60" t="s">
        <v>2860</v>
      </c>
      <c r="Q1471" s="60" t="s">
        <v>51</v>
      </c>
      <c r="R1471" s="60">
        <v>31.3</v>
      </c>
      <c r="S1471" s="60">
        <v>3.47</v>
      </c>
      <c r="T1471" s="60">
        <v>171</v>
      </c>
      <c r="U1471" s="60">
        <v>50.09</v>
      </c>
    </row>
    <row r="1472" spans="1:21">
      <c r="A1472" s="60" t="s">
        <v>2632</v>
      </c>
      <c r="B1472" s="60" t="s">
        <v>2862</v>
      </c>
      <c r="C1472" s="60" t="s">
        <v>4553</v>
      </c>
      <c r="D1472" s="60">
        <v>18.3</v>
      </c>
      <c r="E1472" s="60">
        <v>9.91</v>
      </c>
      <c r="F1472" s="60">
        <v>18767</v>
      </c>
      <c r="G1472" s="60">
        <v>0.08</v>
      </c>
      <c r="H1472" s="60">
        <v>1.89</v>
      </c>
      <c r="I1472" s="60">
        <v>15.44</v>
      </c>
      <c r="J1472" s="60">
        <v>0</v>
      </c>
      <c r="O1472" s="60" t="s">
        <v>2632</v>
      </c>
      <c r="P1472" s="60" t="s">
        <v>2862</v>
      </c>
      <c r="Q1472" s="60" t="s">
        <v>4553</v>
      </c>
      <c r="R1472" s="60">
        <v>18.3</v>
      </c>
      <c r="S1472" s="60">
        <v>9.91</v>
      </c>
      <c r="T1472" s="60">
        <v>18767</v>
      </c>
      <c r="U1472" s="60">
        <v>36.1</v>
      </c>
    </row>
    <row r="1473" spans="1:21">
      <c r="A1473" s="60" t="s">
        <v>2634</v>
      </c>
      <c r="B1473" s="60" t="s">
        <v>2864</v>
      </c>
      <c r="C1473" s="60" t="s">
        <v>3940</v>
      </c>
      <c r="D1473" s="60">
        <v>58.7</v>
      </c>
      <c r="E1473" s="60">
        <v>-1.01</v>
      </c>
      <c r="F1473" s="60">
        <v>232</v>
      </c>
      <c r="G1473" s="60">
        <v>0</v>
      </c>
      <c r="H1473" s="60">
        <v>13.32</v>
      </c>
      <c r="I1473" s="60">
        <v>2.41</v>
      </c>
      <c r="J1473" s="60">
        <v>0</v>
      </c>
      <c r="O1473" s="60" t="s">
        <v>2634</v>
      </c>
      <c r="P1473" s="60" t="s">
        <v>2864</v>
      </c>
      <c r="Q1473" s="60" t="s">
        <v>3940</v>
      </c>
      <c r="R1473" s="60">
        <v>58.7</v>
      </c>
      <c r="S1473" s="60">
        <v>-1.01</v>
      </c>
      <c r="T1473" s="60">
        <v>232</v>
      </c>
      <c r="U1473" s="60">
        <v>58.92</v>
      </c>
    </row>
    <row r="1474" spans="1:21">
      <c r="A1474" s="60" t="s">
        <v>2636</v>
      </c>
      <c r="B1474" s="60" t="s">
        <v>2866</v>
      </c>
      <c r="C1474" s="60" t="s">
        <v>4554</v>
      </c>
      <c r="D1474" s="60">
        <v>29.1</v>
      </c>
      <c r="E1474" s="60">
        <v>0.17</v>
      </c>
      <c r="F1474" s="60">
        <v>59</v>
      </c>
      <c r="G1474" s="60">
        <v>0</v>
      </c>
      <c r="H1474" s="60">
        <v>53.57</v>
      </c>
      <c r="I1474" s="60">
        <v>3.46</v>
      </c>
      <c r="J1474" s="60">
        <v>0</v>
      </c>
      <c r="O1474" s="60" t="s">
        <v>2636</v>
      </c>
      <c r="P1474" s="60" t="s">
        <v>2866</v>
      </c>
      <c r="Q1474" s="60" t="s">
        <v>4554</v>
      </c>
      <c r="R1474" s="60">
        <v>29.1</v>
      </c>
      <c r="S1474" s="60">
        <v>0.17</v>
      </c>
      <c r="T1474" s="60">
        <v>59</v>
      </c>
      <c r="U1474" s="60">
        <v>56.33</v>
      </c>
    </row>
    <row r="1475" spans="1:21">
      <c r="A1475" s="60" t="s">
        <v>2638</v>
      </c>
      <c r="B1475" s="60" t="s">
        <v>2868</v>
      </c>
      <c r="C1475" s="60" t="s">
        <v>4632</v>
      </c>
      <c r="D1475" s="60">
        <v>61</v>
      </c>
      <c r="E1475" s="60">
        <v>-0.81</v>
      </c>
      <c r="F1475" s="60">
        <v>15</v>
      </c>
      <c r="G1475" s="60">
        <v>0</v>
      </c>
      <c r="H1475" s="60">
        <v>27.5</v>
      </c>
      <c r="I1475" s="60">
        <v>1.24</v>
      </c>
      <c r="J1475" s="60">
        <v>0</v>
      </c>
      <c r="O1475" s="60" t="s">
        <v>2638</v>
      </c>
      <c r="P1475" s="60" t="s">
        <v>2868</v>
      </c>
      <c r="Q1475" s="60" t="s">
        <v>4632</v>
      </c>
      <c r="R1475" s="60">
        <v>61</v>
      </c>
      <c r="S1475" s="60">
        <v>-0.81</v>
      </c>
      <c r="T1475" s="60">
        <v>15</v>
      </c>
      <c r="U1475" s="60">
        <v>45.32</v>
      </c>
    </row>
    <row r="1476" spans="1:21">
      <c r="A1476" s="60" t="s">
        <v>2640</v>
      </c>
      <c r="B1476" s="60" t="s">
        <v>2870</v>
      </c>
      <c r="C1476" s="60" t="s">
        <v>5037</v>
      </c>
      <c r="D1476" s="60">
        <v>153.5</v>
      </c>
      <c r="E1476" s="60">
        <v>-1.6</v>
      </c>
      <c r="F1476" s="60">
        <v>38</v>
      </c>
      <c r="G1476" s="60">
        <v>0</v>
      </c>
      <c r="H1476" s="60">
        <v>1.56</v>
      </c>
      <c r="I1476" s="60">
        <v>1.67</v>
      </c>
      <c r="J1476" s="60">
        <v>0.06</v>
      </c>
      <c r="O1476" s="60" t="s">
        <v>2640</v>
      </c>
      <c r="P1476" s="60" t="s">
        <v>2870</v>
      </c>
      <c r="Q1476" s="60" t="s">
        <v>5037</v>
      </c>
      <c r="R1476" s="60">
        <v>153.5</v>
      </c>
      <c r="S1476" s="60">
        <v>-1.6</v>
      </c>
      <c r="T1476" s="60">
        <v>38</v>
      </c>
      <c r="U1476" s="60">
        <v>63.66</v>
      </c>
    </row>
    <row r="1477" spans="1:21">
      <c r="A1477" s="60" t="s">
        <v>2642</v>
      </c>
      <c r="B1477" s="60" t="s">
        <v>3428</v>
      </c>
      <c r="C1477" s="60" t="s">
        <v>4633</v>
      </c>
      <c r="D1477" s="60">
        <v>46.15</v>
      </c>
      <c r="E1477" s="60">
        <v>0.11</v>
      </c>
      <c r="F1477" s="60">
        <v>7</v>
      </c>
      <c r="G1477" s="60">
        <v>0</v>
      </c>
      <c r="H1477" s="60">
        <v>0.03</v>
      </c>
      <c r="I1477" s="60">
        <v>0</v>
      </c>
      <c r="J1477" s="60">
        <v>0</v>
      </c>
      <c r="O1477" s="60" t="s">
        <v>2642</v>
      </c>
      <c r="P1477" s="60" t="s">
        <v>3428</v>
      </c>
      <c r="Q1477" s="60" t="s">
        <v>4633</v>
      </c>
      <c r="R1477" s="60">
        <v>46.15</v>
      </c>
      <c r="S1477" s="60">
        <v>0.11</v>
      </c>
      <c r="T1477" s="60">
        <v>7</v>
      </c>
      <c r="U1477" s="60">
        <v>36.28</v>
      </c>
    </row>
    <row r="1478" spans="1:21">
      <c r="A1478" s="60" t="s">
        <v>2643</v>
      </c>
      <c r="B1478" s="60" t="s">
        <v>3430</v>
      </c>
      <c r="C1478" s="60" t="s">
        <v>5143</v>
      </c>
      <c r="D1478" s="60">
        <v>21.8</v>
      </c>
      <c r="E1478" s="60">
        <v>-0.46</v>
      </c>
      <c r="F1478" s="60">
        <v>12</v>
      </c>
      <c r="G1478" s="60">
        <v>0</v>
      </c>
      <c r="H1478" s="60">
        <v>81.760000000000005</v>
      </c>
      <c r="I1478" s="60">
        <v>0</v>
      </c>
      <c r="J1478" s="60">
        <v>0</v>
      </c>
      <c r="O1478" s="60" t="s">
        <v>2643</v>
      </c>
      <c r="P1478" s="60" t="s">
        <v>3430</v>
      </c>
      <c r="Q1478" s="60" t="s">
        <v>5143</v>
      </c>
      <c r="R1478" s="60">
        <v>21.8</v>
      </c>
      <c r="S1478" s="60">
        <v>-0.46</v>
      </c>
      <c r="T1478" s="60">
        <v>12</v>
      </c>
      <c r="U1478" s="60">
        <v>80.95</v>
      </c>
    </row>
    <row r="1479" spans="1:21">
      <c r="A1479" s="60" t="s">
        <v>2645</v>
      </c>
      <c r="B1479" s="60" t="s">
        <v>3432</v>
      </c>
      <c r="C1479" s="60" t="s">
        <v>5144</v>
      </c>
      <c r="D1479" s="60">
        <v>32.5</v>
      </c>
      <c r="E1479" s="60">
        <v>0.93</v>
      </c>
      <c r="F1479" s="60">
        <v>14</v>
      </c>
      <c r="G1479" s="60">
        <v>0</v>
      </c>
      <c r="H1479" s="60">
        <v>0.01</v>
      </c>
      <c r="I1479" s="60">
        <v>0</v>
      </c>
      <c r="J1479" s="60">
        <v>0</v>
      </c>
      <c r="O1479" s="60" t="s">
        <v>2645</v>
      </c>
      <c r="P1479" s="60" t="s">
        <v>3432</v>
      </c>
      <c r="Q1479" s="60" t="s">
        <v>5144</v>
      </c>
      <c r="R1479" s="60">
        <v>32.5</v>
      </c>
      <c r="S1479" s="60">
        <v>0.93</v>
      </c>
      <c r="T1479" s="60">
        <v>14</v>
      </c>
      <c r="U1479" s="60">
        <v>26.68</v>
      </c>
    </row>
    <row r="1480" spans="1:21">
      <c r="A1480" s="60" t="s">
        <v>2647</v>
      </c>
      <c r="B1480" s="60" t="s">
        <v>2872</v>
      </c>
      <c r="C1480" s="60" t="s">
        <v>4453</v>
      </c>
      <c r="D1480" s="60">
        <v>35.35</v>
      </c>
      <c r="E1480" s="60">
        <v>8.27</v>
      </c>
      <c r="F1480" s="60">
        <v>1319</v>
      </c>
      <c r="G1480" s="60">
        <v>0.04</v>
      </c>
      <c r="H1480" s="60">
        <v>1.78</v>
      </c>
      <c r="I1480" s="60">
        <v>2.17</v>
      </c>
      <c r="J1480" s="60">
        <v>0</v>
      </c>
      <c r="O1480" s="60" t="s">
        <v>2647</v>
      </c>
      <c r="P1480" s="60" t="s">
        <v>2872</v>
      </c>
      <c r="Q1480" s="60" t="s">
        <v>4453</v>
      </c>
      <c r="R1480" s="60">
        <v>35.35</v>
      </c>
      <c r="S1480" s="60">
        <v>8.27</v>
      </c>
      <c r="T1480" s="60">
        <v>1319</v>
      </c>
      <c r="U1480" s="60">
        <v>52.62</v>
      </c>
    </row>
    <row r="1481" spans="1:21">
      <c r="A1481" s="60" t="s">
        <v>2648</v>
      </c>
      <c r="B1481" s="60" t="s">
        <v>3435</v>
      </c>
      <c r="C1481" s="60" t="s">
        <v>5145</v>
      </c>
      <c r="D1481" s="60">
        <v>60.2</v>
      </c>
      <c r="E1481" s="60">
        <v>-1.31</v>
      </c>
      <c r="F1481" s="60">
        <v>11</v>
      </c>
      <c r="G1481" s="60">
        <v>0</v>
      </c>
      <c r="H1481" s="60">
        <v>85.5</v>
      </c>
      <c r="I1481" s="60">
        <v>0</v>
      </c>
      <c r="J1481" s="60">
        <v>0.01</v>
      </c>
      <c r="O1481" s="60" t="s">
        <v>2648</v>
      </c>
      <c r="P1481" s="60" t="s">
        <v>3435</v>
      </c>
      <c r="Q1481" s="60" t="s">
        <v>5145</v>
      </c>
      <c r="R1481" s="60">
        <v>60.2</v>
      </c>
      <c r="S1481" s="60">
        <v>-1.31</v>
      </c>
      <c r="T1481" s="60">
        <v>11</v>
      </c>
      <c r="U1481" s="60">
        <v>83.27</v>
      </c>
    </row>
    <row r="1482" spans="1:21">
      <c r="A1482" s="60" t="s">
        <v>2650</v>
      </c>
      <c r="B1482" s="60" t="s">
        <v>3437</v>
      </c>
      <c r="C1482" s="60" t="s">
        <v>4717</v>
      </c>
      <c r="D1482" s="60">
        <v>111</v>
      </c>
      <c r="E1482" s="60">
        <v>0.91</v>
      </c>
      <c r="F1482" s="60">
        <v>37</v>
      </c>
      <c r="G1482" s="60">
        <v>0</v>
      </c>
      <c r="H1482" s="60">
        <v>2.64</v>
      </c>
      <c r="I1482" s="60">
        <v>0</v>
      </c>
      <c r="J1482" s="60">
        <v>0</v>
      </c>
      <c r="O1482" s="60" t="s">
        <v>2650</v>
      </c>
      <c r="P1482" s="60" t="s">
        <v>3437</v>
      </c>
      <c r="Q1482" s="60" t="s">
        <v>4717</v>
      </c>
      <c r="R1482" s="60">
        <v>111</v>
      </c>
      <c r="S1482" s="60">
        <v>0.91</v>
      </c>
      <c r="T1482" s="60">
        <v>37</v>
      </c>
      <c r="U1482" s="60">
        <v>67.78</v>
      </c>
    </row>
    <row r="1483" spans="1:21">
      <c r="A1483" s="60" t="s">
        <v>2652</v>
      </c>
      <c r="B1483" s="60" t="s">
        <v>2874</v>
      </c>
      <c r="C1483" s="60" t="s">
        <v>4454</v>
      </c>
      <c r="D1483" s="60">
        <v>59</v>
      </c>
      <c r="E1483" s="60">
        <v>0.85</v>
      </c>
      <c r="F1483" s="60">
        <v>20</v>
      </c>
      <c r="G1483" s="60">
        <v>0</v>
      </c>
      <c r="H1483" s="60">
        <v>30.83</v>
      </c>
      <c r="I1483" s="60">
        <v>2.0099999999999998</v>
      </c>
      <c r="J1483" s="60">
        <v>0</v>
      </c>
      <c r="O1483" s="60" t="s">
        <v>2652</v>
      </c>
      <c r="P1483" s="60" t="s">
        <v>2874</v>
      </c>
      <c r="Q1483" s="60" t="s">
        <v>4454</v>
      </c>
      <c r="R1483" s="60">
        <v>59</v>
      </c>
      <c r="S1483" s="60">
        <v>0.85</v>
      </c>
      <c r="T1483" s="60">
        <v>20</v>
      </c>
      <c r="U1483" s="60">
        <v>61.49</v>
      </c>
    </row>
    <row r="1484" spans="1:21">
      <c r="A1484" s="60" t="s">
        <v>2653</v>
      </c>
      <c r="B1484" s="60" t="s">
        <v>3440</v>
      </c>
      <c r="C1484" s="60" t="s">
        <v>4947</v>
      </c>
      <c r="D1484" s="60">
        <v>69.8</v>
      </c>
      <c r="E1484" s="60">
        <v>-0.99</v>
      </c>
      <c r="F1484" s="60">
        <v>79</v>
      </c>
      <c r="G1484" s="60">
        <v>0</v>
      </c>
      <c r="H1484" s="60">
        <v>3.56</v>
      </c>
      <c r="I1484" s="60">
        <v>25.39</v>
      </c>
      <c r="J1484" s="60">
        <v>0</v>
      </c>
      <c r="O1484" s="60" t="s">
        <v>2653</v>
      </c>
      <c r="P1484" s="60" t="s">
        <v>3440</v>
      </c>
      <c r="Q1484" s="60" t="s">
        <v>4947</v>
      </c>
      <c r="R1484" s="60">
        <v>69.8</v>
      </c>
      <c r="S1484" s="60">
        <v>-0.99</v>
      </c>
      <c r="T1484" s="60">
        <v>79</v>
      </c>
      <c r="U1484" s="60">
        <v>49.91</v>
      </c>
    </row>
    <row r="1485" spans="1:21">
      <c r="A1485" s="60" t="s">
        <v>2655</v>
      </c>
      <c r="B1485" s="60" t="s">
        <v>2876</v>
      </c>
      <c r="C1485" s="60" t="s">
        <v>2877</v>
      </c>
      <c r="D1485" s="60">
        <v>458.5</v>
      </c>
      <c r="E1485" s="60">
        <v>0.99</v>
      </c>
      <c r="F1485" s="60">
        <v>1752</v>
      </c>
      <c r="G1485" s="60">
        <v>0.7</v>
      </c>
      <c r="H1485" s="60">
        <v>9.6300000000000008</v>
      </c>
      <c r="I1485" s="60">
        <v>33.840000000000003</v>
      </c>
      <c r="J1485" s="60">
        <v>0</v>
      </c>
      <c r="O1485" s="60" t="s">
        <v>2655</v>
      </c>
      <c r="P1485" s="60" t="s">
        <v>2876</v>
      </c>
      <c r="Q1485" s="60" t="s">
        <v>2877</v>
      </c>
      <c r="R1485" s="60">
        <v>458.5</v>
      </c>
      <c r="S1485" s="60">
        <v>0.99</v>
      </c>
      <c r="T1485" s="60">
        <v>1752</v>
      </c>
      <c r="U1485" s="60">
        <v>40.31</v>
      </c>
    </row>
    <row r="1486" spans="1:21">
      <c r="A1486" s="60" t="s">
        <v>2657</v>
      </c>
      <c r="B1486" s="60" t="s">
        <v>3443</v>
      </c>
      <c r="C1486" s="60" t="s">
        <v>4634</v>
      </c>
      <c r="D1486" s="60">
        <v>25.05</v>
      </c>
      <c r="E1486" s="60">
        <v>0</v>
      </c>
      <c r="F1486" s="60">
        <v>15</v>
      </c>
      <c r="G1486" s="60">
        <v>0</v>
      </c>
      <c r="H1486" s="60">
        <v>3.72</v>
      </c>
      <c r="I1486" s="60">
        <v>0</v>
      </c>
      <c r="J1486" s="60">
        <v>0</v>
      </c>
      <c r="O1486" s="60" t="s">
        <v>2657</v>
      </c>
      <c r="P1486" s="60" t="s">
        <v>3443</v>
      </c>
      <c r="Q1486" s="60" t="s">
        <v>4634</v>
      </c>
      <c r="R1486" s="60">
        <v>25.05</v>
      </c>
      <c r="S1486" s="60">
        <v>0</v>
      </c>
      <c r="T1486" s="60">
        <v>15</v>
      </c>
      <c r="U1486" s="60">
        <v>41.08</v>
      </c>
    </row>
    <row r="1487" spans="1:21">
      <c r="A1487" s="60" t="s">
        <v>2659</v>
      </c>
      <c r="B1487" s="60" t="s">
        <v>3445</v>
      </c>
      <c r="C1487" s="60" t="s">
        <v>4718</v>
      </c>
      <c r="D1487" s="60">
        <v>111.5</v>
      </c>
      <c r="E1487" s="60">
        <v>-1.33</v>
      </c>
      <c r="F1487" s="60">
        <v>181</v>
      </c>
      <c r="G1487" s="60">
        <v>7.0000000000000007E-2</v>
      </c>
      <c r="H1487" s="60">
        <v>0.28999999999999998</v>
      </c>
      <c r="I1487" s="60">
        <v>6.92</v>
      </c>
      <c r="J1487" s="60">
        <v>0</v>
      </c>
      <c r="O1487" s="60" t="s">
        <v>2659</v>
      </c>
      <c r="P1487" s="60" t="s">
        <v>3445</v>
      </c>
      <c r="Q1487" s="60" t="s">
        <v>4718</v>
      </c>
      <c r="R1487" s="60">
        <v>111.5</v>
      </c>
      <c r="S1487" s="60">
        <v>-1.33</v>
      </c>
      <c r="T1487" s="60">
        <v>181</v>
      </c>
      <c r="U1487" s="60">
        <v>27.68</v>
      </c>
    </row>
    <row r="1488" spans="1:21">
      <c r="A1488" s="60" t="s">
        <v>2661</v>
      </c>
      <c r="B1488" s="60" t="s">
        <v>2879</v>
      </c>
      <c r="C1488" s="60" t="s">
        <v>5038</v>
      </c>
      <c r="D1488" s="60">
        <v>99.5</v>
      </c>
      <c r="E1488" s="60">
        <v>1.84</v>
      </c>
      <c r="F1488" s="60">
        <v>1097</v>
      </c>
      <c r="G1488" s="60">
        <v>0</v>
      </c>
      <c r="H1488" s="60">
        <v>2.71</v>
      </c>
      <c r="I1488" s="60">
        <v>12.92</v>
      </c>
      <c r="J1488" s="60">
        <v>0</v>
      </c>
      <c r="O1488" s="60" t="s">
        <v>2661</v>
      </c>
      <c r="P1488" s="60" t="s">
        <v>2879</v>
      </c>
      <c r="Q1488" s="60" t="s">
        <v>5038</v>
      </c>
      <c r="R1488" s="60">
        <v>99.5</v>
      </c>
      <c r="S1488" s="60">
        <v>1.84</v>
      </c>
      <c r="T1488" s="60">
        <v>1097</v>
      </c>
      <c r="U1488" s="60">
        <v>63.9</v>
      </c>
    </row>
    <row r="1489" spans="1:21">
      <c r="A1489" s="60" t="s">
        <v>2663</v>
      </c>
      <c r="B1489" s="60" t="s">
        <v>2881</v>
      </c>
      <c r="C1489" s="60" t="s">
        <v>4455</v>
      </c>
      <c r="D1489" s="60">
        <v>83</v>
      </c>
      <c r="E1489" s="60">
        <v>-1.19</v>
      </c>
      <c r="F1489" s="60">
        <v>21</v>
      </c>
      <c r="G1489" s="60">
        <v>0</v>
      </c>
      <c r="H1489" s="60">
        <v>0.64</v>
      </c>
      <c r="I1489" s="60">
        <v>0.31</v>
      </c>
      <c r="J1489" s="60">
        <v>0</v>
      </c>
      <c r="O1489" s="60" t="s">
        <v>2663</v>
      </c>
      <c r="P1489" s="60" t="s">
        <v>2881</v>
      </c>
      <c r="Q1489" s="60" t="s">
        <v>4455</v>
      </c>
      <c r="R1489" s="60">
        <v>83</v>
      </c>
      <c r="S1489" s="60">
        <v>-1.19</v>
      </c>
      <c r="T1489" s="60">
        <v>21</v>
      </c>
      <c r="U1489" s="60">
        <v>69.87</v>
      </c>
    </row>
    <row r="1490" spans="1:21">
      <c r="A1490" s="60" t="s">
        <v>2665</v>
      </c>
      <c r="B1490" s="60" t="s">
        <v>3449</v>
      </c>
      <c r="C1490" s="60" t="s">
        <v>4635</v>
      </c>
      <c r="D1490" s="60">
        <v>24.85</v>
      </c>
      <c r="E1490" s="60">
        <v>-0.2</v>
      </c>
      <c r="F1490" s="60">
        <v>14</v>
      </c>
      <c r="G1490" s="60">
        <v>0</v>
      </c>
      <c r="H1490" s="60">
        <v>0</v>
      </c>
      <c r="I1490" s="60">
        <v>0</v>
      </c>
      <c r="J1490" s="60">
        <v>0</v>
      </c>
      <c r="O1490" s="60" t="s">
        <v>2665</v>
      </c>
      <c r="P1490" s="60" t="s">
        <v>3449</v>
      </c>
      <c r="Q1490" s="60" t="s">
        <v>4635</v>
      </c>
      <c r="R1490" s="60">
        <v>24.85</v>
      </c>
      <c r="S1490" s="60">
        <v>-0.2</v>
      </c>
      <c r="T1490" s="60">
        <v>14</v>
      </c>
      <c r="U1490" s="60">
        <v>49.47</v>
      </c>
    </row>
    <row r="1491" spans="1:21">
      <c r="A1491" s="60" t="s">
        <v>2667</v>
      </c>
      <c r="B1491" s="60" t="s">
        <v>3451</v>
      </c>
      <c r="C1491" s="60" t="s">
        <v>4636</v>
      </c>
      <c r="D1491" s="60">
        <v>30.7</v>
      </c>
      <c r="E1491" s="60">
        <v>0.99</v>
      </c>
      <c r="F1491" s="60">
        <v>18</v>
      </c>
      <c r="G1491" s="60">
        <v>0</v>
      </c>
      <c r="H1491" s="60">
        <v>0.05</v>
      </c>
      <c r="I1491" s="60">
        <v>0</v>
      </c>
      <c r="J1491" s="60">
        <v>0</v>
      </c>
      <c r="O1491" s="60" t="s">
        <v>2667</v>
      </c>
      <c r="P1491" s="60" t="s">
        <v>3451</v>
      </c>
      <c r="Q1491" s="60" t="s">
        <v>4636</v>
      </c>
      <c r="R1491" s="60">
        <v>30.7</v>
      </c>
      <c r="S1491" s="60">
        <v>0.99</v>
      </c>
      <c r="T1491" s="60">
        <v>18</v>
      </c>
      <c r="U1491" s="60">
        <v>45.14</v>
      </c>
    </row>
    <row r="1492" spans="1:21">
      <c r="A1492" s="60" t="s">
        <v>2669</v>
      </c>
      <c r="B1492" s="60" t="s">
        <v>2883</v>
      </c>
      <c r="C1492" s="60" t="s">
        <v>4948</v>
      </c>
      <c r="D1492" s="60">
        <v>65.3</v>
      </c>
      <c r="E1492" s="60">
        <v>0.31</v>
      </c>
      <c r="F1492" s="60">
        <v>26</v>
      </c>
      <c r="G1492" s="60">
        <v>0</v>
      </c>
      <c r="H1492" s="60">
        <v>0.78</v>
      </c>
      <c r="I1492" s="60">
        <v>5.32</v>
      </c>
      <c r="J1492" s="60">
        <v>0</v>
      </c>
      <c r="O1492" s="60" t="s">
        <v>2669</v>
      </c>
      <c r="P1492" s="60" t="s">
        <v>2883</v>
      </c>
      <c r="Q1492" s="60" t="s">
        <v>4948</v>
      </c>
      <c r="R1492" s="60">
        <v>65.3</v>
      </c>
      <c r="S1492" s="60">
        <v>0.31</v>
      </c>
      <c r="T1492" s="60">
        <v>26</v>
      </c>
      <c r="U1492" s="60">
        <v>42.89</v>
      </c>
    </row>
    <row r="1493" spans="1:21">
      <c r="A1493" s="60" t="s">
        <v>2671</v>
      </c>
      <c r="B1493" s="60" t="s">
        <v>2885</v>
      </c>
      <c r="C1493" s="60" t="s">
        <v>3876</v>
      </c>
      <c r="D1493" s="60">
        <v>69.099999999999994</v>
      </c>
      <c r="E1493" s="60">
        <v>0.73</v>
      </c>
      <c r="F1493" s="60">
        <v>8</v>
      </c>
      <c r="G1493" s="60">
        <v>0</v>
      </c>
      <c r="H1493" s="60">
        <v>79.45</v>
      </c>
      <c r="I1493" s="60">
        <v>2.41</v>
      </c>
      <c r="J1493" s="60">
        <v>0</v>
      </c>
      <c r="O1493" s="60" t="s">
        <v>2671</v>
      </c>
      <c r="P1493" s="60" t="s">
        <v>2885</v>
      </c>
      <c r="Q1493" s="60" t="s">
        <v>3876</v>
      </c>
      <c r="R1493" s="60">
        <v>69.099999999999994</v>
      </c>
      <c r="S1493" s="60">
        <v>0.73</v>
      </c>
      <c r="T1493" s="60">
        <v>8</v>
      </c>
      <c r="U1493" s="60">
        <v>78.989999999999995</v>
      </c>
    </row>
    <row r="1494" spans="1:21">
      <c r="A1494" s="60" t="s">
        <v>2672</v>
      </c>
      <c r="B1494" s="60" t="s">
        <v>2887</v>
      </c>
      <c r="C1494" s="60" t="s">
        <v>5039</v>
      </c>
      <c r="D1494" s="60">
        <v>76.2</v>
      </c>
      <c r="E1494" s="60">
        <v>4.96</v>
      </c>
      <c r="F1494" s="60">
        <v>391</v>
      </c>
      <c r="G1494" s="60">
        <v>0.01</v>
      </c>
      <c r="H1494" s="60">
        <v>2.77</v>
      </c>
      <c r="I1494" s="60">
        <v>16.8</v>
      </c>
      <c r="J1494" s="60">
        <v>0.24</v>
      </c>
      <c r="O1494" s="60" t="s">
        <v>2672</v>
      </c>
      <c r="P1494" s="60" t="s">
        <v>2887</v>
      </c>
      <c r="Q1494" s="60" t="s">
        <v>5039</v>
      </c>
      <c r="R1494" s="60">
        <v>76.2</v>
      </c>
      <c r="S1494" s="60">
        <v>4.96</v>
      </c>
      <c r="T1494" s="60">
        <v>391</v>
      </c>
      <c r="U1494" s="60">
        <v>51.32</v>
      </c>
    </row>
    <row r="1495" spans="1:21">
      <c r="A1495" s="60" t="s">
        <v>2673</v>
      </c>
      <c r="B1495" s="60" t="s">
        <v>2889</v>
      </c>
      <c r="C1495" s="60" t="s">
        <v>4103</v>
      </c>
      <c r="D1495" s="60">
        <v>64.5</v>
      </c>
      <c r="E1495" s="60">
        <v>9.8800000000000008</v>
      </c>
      <c r="F1495" s="60">
        <v>1242</v>
      </c>
      <c r="G1495" s="60">
        <v>0.89</v>
      </c>
      <c r="H1495" s="60">
        <v>23.18</v>
      </c>
      <c r="I1495" s="60">
        <v>13.37</v>
      </c>
      <c r="J1495" s="60">
        <v>0</v>
      </c>
      <c r="O1495" s="60" t="s">
        <v>2673</v>
      </c>
      <c r="P1495" s="60" t="s">
        <v>2889</v>
      </c>
      <c r="Q1495" s="60" t="s">
        <v>4103</v>
      </c>
      <c r="R1495" s="60">
        <v>64.5</v>
      </c>
      <c r="S1495" s="60">
        <v>9.8800000000000008</v>
      </c>
      <c r="T1495" s="60">
        <v>1242</v>
      </c>
      <c r="U1495" s="60">
        <v>55.76</v>
      </c>
    </row>
    <row r="1496" spans="1:21">
      <c r="A1496" s="60" t="s">
        <v>2674</v>
      </c>
      <c r="B1496" s="60" t="s">
        <v>2891</v>
      </c>
      <c r="C1496" s="60" t="s">
        <v>4046</v>
      </c>
      <c r="D1496" s="60">
        <v>1030</v>
      </c>
      <c r="E1496" s="60">
        <v>1.98</v>
      </c>
      <c r="F1496" s="60">
        <v>1071</v>
      </c>
      <c r="G1496" s="60">
        <v>0.05</v>
      </c>
      <c r="H1496" s="60">
        <v>33.020000000000003</v>
      </c>
      <c r="I1496" s="60">
        <v>0.67</v>
      </c>
      <c r="J1496" s="60">
        <v>0.98</v>
      </c>
      <c r="O1496" s="60" t="s">
        <v>2674</v>
      </c>
      <c r="P1496" s="60" t="s">
        <v>2891</v>
      </c>
      <c r="Q1496" s="60" t="s">
        <v>4046</v>
      </c>
      <c r="R1496" s="60">
        <v>1030</v>
      </c>
      <c r="S1496" s="60">
        <v>1.98</v>
      </c>
      <c r="T1496" s="60">
        <v>1071</v>
      </c>
      <c r="U1496" s="60">
        <v>63.35</v>
      </c>
    </row>
    <row r="1497" spans="1:21">
      <c r="A1497" s="60" t="s">
        <v>2676</v>
      </c>
      <c r="B1497" s="60" t="s">
        <v>2893</v>
      </c>
      <c r="C1497" s="60" t="s">
        <v>4456</v>
      </c>
      <c r="D1497" s="60">
        <v>195</v>
      </c>
      <c r="E1497" s="60">
        <v>0.26</v>
      </c>
      <c r="F1497" s="60">
        <v>44</v>
      </c>
      <c r="G1497" s="60">
        <v>0</v>
      </c>
      <c r="H1497" s="60">
        <v>21.31</v>
      </c>
      <c r="I1497" s="60">
        <v>0.81</v>
      </c>
      <c r="J1497" s="60">
        <v>0.23</v>
      </c>
      <c r="O1497" s="60" t="s">
        <v>2676</v>
      </c>
      <c r="P1497" s="60" t="s">
        <v>2893</v>
      </c>
      <c r="Q1497" s="60" t="s">
        <v>4456</v>
      </c>
      <c r="R1497" s="60">
        <v>195</v>
      </c>
      <c r="S1497" s="60">
        <v>0.26</v>
      </c>
      <c r="T1497" s="60">
        <v>44</v>
      </c>
      <c r="U1497" s="60">
        <v>74.33</v>
      </c>
    </row>
    <row r="1498" spans="1:21">
      <c r="A1498" s="60" t="s">
        <v>2678</v>
      </c>
      <c r="B1498" s="60" t="s">
        <v>2895</v>
      </c>
      <c r="C1498" s="60" t="s">
        <v>4457</v>
      </c>
      <c r="D1498" s="60">
        <v>47.5</v>
      </c>
      <c r="E1498" s="60">
        <v>0.21</v>
      </c>
      <c r="F1498" s="60">
        <v>10</v>
      </c>
      <c r="G1498" s="60">
        <v>0</v>
      </c>
      <c r="H1498" s="60">
        <v>54.79</v>
      </c>
      <c r="I1498" s="60">
        <v>0.65</v>
      </c>
      <c r="J1498" s="60">
        <v>0</v>
      </c>
      <c r="O1498" s="60" t="s">
        <v>2678</v>
      </c>
      <c r="P1498" s="60" t="s">
        <v>2895</v>
      </c>
      <c r="Q1498" s="60" t="s">
        <v>4457</v>
      </c>
      <c r="R1498" s="60">
        <v>47.5</v>
      </c>
      <c r="S1498" s="60">
        <v>0.21</v>
      </c>
      <c r="T1498" s="60">
        <v>10</v>
      </c>
      <c r="U1498" s="60">
        <v>57.82</v>
      </c>
    </row>
    <row r="1499" spans="1:21">
      <c r="A1499" s="60" t="s">
        <v>2680</v>
      </c>
      <c r="B1499" s="60" t="s">
        <v>2897</v>
      </c>
      <c r="C1499" s="60" t="s">
        <v>4224</v>
      </c>
      <c r="D1499" s="60">
        <v>136</v>
      </c>
      <c r="E1499" s="60">
        <v>0.37</v>
      </c>
      <c r="F1499" s="60">
        <v>746</v>
      </c>
      <c r="G1499" s="60">
        <v>0.13</v>
      </c>
      <c r="H1499" s="60">
        <v>26.32</v>
      </c>
      <c r="I1499" s="60">
        <v>31.75</v>
      </c>
      <c r="J1499" s="60">
        <v>0.01</v>
      </c>
      <c r="O1499" s="60" t="s">
        <v>2680</v>
      </c>
      <c r="P1499" s="60" t="s">
        <v>2897</v>
      </c>
      <c r="Q1499" s="60" t="s">
        <v>4224</v>
      </c>
      <c r="R1499" s="60">
        <v>136</v>
      </c>
      <c r="S1499" s="60">
        <v>0.37</v>
      </c>
      <c r="T1499" s="60">
        <v>746</v>
      </c>
      <c r="U1499" s="60">
        <v>29</v>
      </c>
    </row>
    <row r="1500" spans="1:21">
      <c r="A1500" s="60" t="s">
        <v>2682</v>
      </c>
      <c r="B1500" s="60" t="s">
        <v>2899</v>
      </c>
      <c r="C1500" s="60" t="s">
        <v>4141</v>
      </c>
      <c r="D1500" s="60">
        <v>31.2</v>
      </c>
      <c r="E1500" s="60">
        <v>0.97</v>
      </c>
      <c r="F1500" s="60">
        <v>36</v>
      </c>
      <c r="G1500" s="60">
        <v>0</v>
      </c>
      <c r="H1500" s="60">
        <v>0.54</v>
      </c>
      <c r="I1500" s="60">
        <v>0.96</v>
      </c>
      <c r="J1500" s="60">
        <v>0</v>
      </c>
      <c r="O1500" s="60" t="s">
        <v>2682</v>
      </c>
      <c r="P1500" s="60" t="s">
        <v>2899</v>
      </c>
      <c r="Q1500" s="60" t="s">
        <v>4141</v>
      </c>
      <c r="R1500" s="60">
        <v>31.2</v>
      </c>
      <c r="S1500" s="60">
        <v>0.97</v>
      </c>
      <c r="T1500" s="60">
        <v>36</v>
      </c>
      <c r="U1500" s="60">
        <v>81.459999999999994</v>
      </c>
    </row>
    <row r="1501" spans="1:21">
      <c r="A1501" s="60" t="s">
        <v>2684</v>
      </c>
      <c r="B1501" s="60" t="s">
        <v>2901</v>
      </c>
      <c r="C1501" s="60" t="s">
        <v>3606</v>
      </c>
      <c r="D1501" s="60">
        <v>375.5</v>
      </c>
      <c r="E1501" s="60">
        <v>4.3099999999999996</v>
      </c>
      <c r="F1501" s="60">
        <v>1218</v>
      </c>
      <c r="G1501" s="60">
        <v>0.35</v>
      </c>
      <c r="H1501" s="60">
        <v>22.58</v>
      </c>
      <c r="I1501" s="60">
        <v>14.74</v>
      </c>
      <c r="J1501" s="60">
        <v>10.09</v>
      </c>
      <c r="O1501" s="60" t="s">
        <v>2684</v>
      </c>
      <c r="P1501" s="60" t="s">
        <v>2901</v>
      </c>
      <c r="Q1501" s="60" t="s">
        <v>3606</v>
      </c>
      <c r="R1501" s="60">
        <v>375.5</v>
      </c>
      <c r="S1501" s="60">
        <v>4.3099999999999996</v>
      </c>
      <c r="T1501" s="60">
        <v>1218</v>
      </c>
      <c r="U1501" s="60">
        <v>34.659999999999997</v>
      </c>
    </row>
    <row r="1502" spans="1:21">
      <c r="A1502" s="60" t="s">
        <v>2686</v>
      </c>
      <c r="B1502" s="60" t="s">
        <v>3456</v>
      </c>
      <c r="C1502" s="60" t="s">
        <v>4770</v>
      </c>
      <c r="D1502" s="60">
        <v>49.1</v>
      </c>
      <c r="E1502" s="60">
        <v>-1.8</v>
      </c>
      <c r="F1502" s="60">
        <v>4</v>
      </c>
      <c r="G1502" s="60">
        <v>0</v>
      </c>
      <c r="H1502" s="60">
        <v>0</v>
      </c>
      <c r="I1502" s="60">
        <v>0</v>
      </c>
      <c r="J1502" s="60">
        <v>0</v>
      </c>
      <c r="O1502" s="60" t="s">
        <v>2686</v>
      </c>
      <c r="P1502" s="60" t="s">
        <v>3456</v>
      </c>
      <c r="Q1502" s="60" t="s">
        <v>4770</v>
      </c>
      <c r="R1502" s="60">
        <v>49.1</v>
      </c>
      <c r="S1502" s="60">
        <v>-1.8</v>
      </c>
      <c r="T1502" s="60">
        <v>4</v>
      </c>
      <c r="U1502" s="60">
        <v>57.65</v>
      </c>
    </row>
    <row r="1503" spans="1:21">
      <c r="A1503" s="60" t="s">
        <v>2688</v>
      </c>
      <c r="B1503" s="60" t="s">
        <v>3457</v>
      </c>
      <c r="C1503" s="60" t="s">
        <v>4719</v>
      </c>
      <c r="D1503" s="60">
        <v>336</v>
      </c>
      <c r="E1503" s="60">
        <v>0.45</v>
      </c>
      <c r="F1503" s="60">
        <v>148</v>
      </c>
      <c r="G1503" s="60">
        <v>0</v>
      </c>
      <c r="H1503" s="60">
        <v>24.77</v>
      </c>
      <c r="I1503" s="60">
        <v>0</v>
      </c>
      <c r="J1503" s="60">
        <v>10.130000000000001</v>
      </c>
      <c r="O1503" s="60" t="s">
        <v>2688</v>
      </c>
      <c r="P1503" s="60" t="s">
        <v>3457</v>
      </c>
      <c r="Q1503" s="60" t="s">
        <v>4719</v>
      </c>
      <c r="R1503" s="60">
        <v>336</v>
      </c>
      <c r="S1503" s="60">
        <v>0.45</v>
      </c>
      <c r="T1503" s="60">
        <v>148</v>
      </c>
      <c r="U1503" s="60">
        <v>11.44</v>
      </c>
    </row>
    <row r="1504" spans="1:21">
      <c r="A1504" s="60" t="s">
        <v>2689</v>
      </c>
      <c r="B1504" s="60" t="s">
        <v>5526</v>
      </c>
      <c r="C1504" s="60" t="s">
        <v>5309</v>
      </c>
      <c r="D1504" s="60">
        <v>193</v>
      </c>
      <c r="E1504" s="60">
        <v>-4.93</v>
      </c>
      <c r="F1504" s="60">
        <v>2206</v>
      </c>
      <c r="G1504" s="60">
        <v>0</v>
      </c>
      <c r="H1504" s="60">
        <v>5.98</v>
      </c>
      <c r="I1504" s="60">
        <v>0</v>
      </c>
      <c r="J1504" s="60">
        <v>0</v>
      </c>
      <c r="O1504" s="60" t="s">
        <v>2689</v>
      </c>
      <c r="P1504" s="60" t="s">
        <v>5526</v>
      </c>
      <c r="Q1504" s="60" t="s">
        <v>5309</v>
      </c>
      <c r="R1504" s="60">
        <v>193</v>
      </c>
      <c r="S1504" s="60">
        <v>-4.93</v>
      </c>
      <c r="T1504" s="60">
        <v>2206</v>
      </c>
      <c r="U1504" s="60">
        <v>19.53</v>
      </c>
    </row>
    <row r="1505" spans="1:21">
      <c r="A1505" s="60" t="s">
        <v>2691</v>
      </c>
      <c r="B1505" s="60" t="s">
        <v>3458</v>
      </c>
      <c r="C1505" s="60" t="s">
        <v>4999</v>
      </c>
      <c r="D1505" s="60">
        <v>121.5</v>
      </c>
      <c r="E1505" s="60">
        <v>2.1</v>
      </c>
      <c r="F1505" s="60">
        <v>5</v>
      </c>
      <c r="G1505" s="60">
        <v>0</v>
      </c>
      <c r="H1505" s="60">
        <v>0.37</v>
      </c>
      <c r="I1505" s="60">
        <v>0</v>
      </c>
      <c r="J1505" s="60">
        <v>0.18</v>
      </c>
      <c r="O1505" s="60" t="s">
        <v>2691</v>
      </c>
      <c r="P1505" s="60" t="s">
        <v>3458</v>
      </c>
      <c r="Q1505" s="60" t="s">
        <v>4999</v>
      </c>
      <c r="R1505" s="60">
        <v>121.5</v>
      </c>
      <c r="S1505" s="60">
        <v>2.1</v>
      </c>
      <c r="T1505" s="60">
        <v>5</v>
      </c>
      <c r="U1505" s="60">
        <v>64.540000000000006</v>
      </c>
    </row>
    <row r="1506" spans="1:21">
      <c r="A1506" s="60" t="s">
        <v>2693</v>
      </c>
      <c r="B1506" s="60" t="s">
        <v>3459</v>
      </c>
      <c r="C1506" s="60" t="s">
        <v>5000</v>
      </c>
      <c r="D1506" s="60">
        <v>39.25</v>
      </c>
      <c r="E1506" s="60">
        <v>-1.1299999999999999</v>
      </c>
      <c r="F1506" s="60">
        <v>21</v>
      </c>
      <c r="G1506" s="60">
        <v>0</v>
      </c>
      <c r="H1506" s="60">
        <v>0.02</v>
      </c>
      <c r="I1506" s="60">
        <v>0</v>
      </c>
      <c r="J1506" s="60">
        <v>0</v>
      </c>
      <c r="O1506" s="60" t="s">
        <v>2693</v>
      </c>
      <c r="P1506" s="60" t="s">
        <v>3459</v>
      </c>
      <c r="Q1506" s="60" t="s">
        <v>5000</v>
      </c>
      <c r="R1506" s="60">
        <v>39.25</v>
      </c>
      <c r="S1506" s="60">
        <v>-1.1299999999999999</v>
      </c>
      <c r="T1506" s="60">
        <v>21</v>
      </c>
      <c r="U1506" s="60">
        <v>70.36</v>
      </c>
    </row>
    <row r="1507" spans="1:21">
      <c r="A1507" s="60" t="s">
        <v>2695</v>
      </c>
      <c r="B1507" s="60" t="s">
        <v>2903</v>
      </c>
      <c r="C1507" s="60" t="s">
        <v>4295</v>
      </c>
      <c r="D1507" s="60">
        <v>40.6</v>
      </c>
      <c r="E1507" s="60">
        <v>2.78</v>
      </c>
      <c r="F1507" s="60">
        <v>75</v>
      </c>
      <c r="G1507" s="60">
        <v>0</v>
      </c>
      <c r="H1507" s="60">
        <v>2.31</v>
      </c>
      <c r="I1507" s="60">
        <v>9.5</v>
      </c>
      <c r="J1507" s="60">
        <v>0.27</v>
      </c>
      <c r="O1507" s="60" t="s">
        <v>2695</v>
      </c>
      <c r="P1507" s="60" t="s">
        <v>2903</v>
      </c>
      <c r="Q1507" s="60" t="s">
        <v>4295</v>
      </c>
      <c r="R1507" s="60">
        <v>40.6</v>
      </c>
      <c r="S1507" s="60">
        <v>2.78</v>
      </c>
      <c r="T1507" s="60">
        <v>75</v>
      </c>
      <c r="U1507" s="60">
        <v>36.94</v>
      </c>
    </row>
    <row r="1508" spans="1:21">
      <c r="A1508" s="60" t="s">
        <v>2697</v>
      </c>
      <c r="B1508" s="60" t="s">
        <v>3460</v>
      </c>
      <c r="C1508" s="60" t="s">
        <v>4637</v>
      </c>
      <c r="D1508" s="60">
        <v>87</v>
      </c>
      <c r="E1508" s="60">
        <v>0</v>
      </c>
      <c r="F1508" s="60">
        <v>42</v>
      </c>
      <c r="G1508" s="60">
        <v>0</v>
      </c>
      <c r="H1508" s="60">
        <v>11.67</v>
      </c>
      <c r="I1508" s="60">
        <v>0</v>
      </c>
      <c r="J1508" s="60">
        <v>0</v>
      </c>
      <c r="O1508" s="60" t="s">
        <v>2697</v>
      </c>
      <c r="P1508" s="60" t="s">
        <v>3460</v>
      </c>
      <c r="Q1508" s="60" t="s">
        <v>4637</v>
      </c>
      <c r="R1508" s="60">
        <v>87</v>
      </c>
      <c r="S1508" s="60">
        <v>0</v>
      </c>
      <c r="T1508" s="60">
        <v>42</v>
      </c>
      <c r="U1508" s="60">
        <v>32.75</v>
      </c>
    </row>
    <row r="1509" spans="1:21">
      <c r="A1509" s="60" t="s">
        <v>2699</v>
      </c>
      <c r="B1509" s="60" t="s">
        <v>2905</v>
      </c>
      <c r="C1509" s="60" t="s">
        <v>4104</v>
      </c>
      <c r="D1509" s="60">
        <v>221.5</v>
      </c>
      <c r="E1509" s="60">
        <v>5.73</v>
      </c>
      <c r="F1509" s="60">
        <v>3859</v>
      </c>
      <c r="G1509" s="60">
        <v>2.79</v>
      </c>
      <c r="H1509" s="60">
        <v>23.89</v>
      </c>
      <c r="I1509" s="60">
        <v>35.049999999999997</v>
      </c>
      <c r="J1509" s="60">
        <v>5.79</v>
      </c>
      <c r="O1509" s="60" t="s">
        <v>2699</v>
      </c>
      <c r="P1509" s="60" t="s">
        <v>2905</v>
      </c>
      <c r="Q1509" s="60" t="s">
        <v>4104</v>
      </c>
      <c r="R1509" s="60">
        <v>221.5</v>
      </c>
      <c r="S1509" s="60">
        <v>5.73</v>
      </c>
      <c r="T1509" s="60">
        <v>3859</v>
      </c>
      <c r="U1509" s="60">
        <v>28.58</v>
      </c>
    </row>
    <row r="1510" spans="1:21">
      <c r="A1510" s="60" t="s">
        <v>2701</v>
      </c>
      <c r="B1510" s="60" t="s">
        <v>3461</v>
      </c>
      <c r="C1510" s="60" t="s">
        <v>4638</v>
      </c>
      <c r="D1510" s="60">
        <v>243</v>
      </c>
      <c r="E1510" s="60">
        <v>5.19</v>
      </c>
      <c r="F1510" s="60">
        <v>1846</v>
      </c>
      <c r="G1510" s="60">
        <v>0</v>
      </c>
      <c r="H1510" s="60">
        <v>2.4500000000000002</v>
      </c>
      <c r="I1510" s="60">
        <v>0</v>
      </c>
      <c r="J1510" s="60">
        <v>0.09</v>
      </c>
      <c r="O1510" s="60" t="s">
        <v>2701</v>
      </c>
      <c r="P1510" s="60" t="s">
        <v>3461</v>
      </c>
      <c r="Q1510" s="60" t="s">
        <v>4638</v>
      </c>
      <c r="R1510" s="60">
        <v>243</v>
      </c>
      <c r="S1510" s="60">
        <v>5.19</v>
      </c>
      <c r="T1510" s="60">
        <v>1846</v>
      </c>
      <c r="U1510" s="60">
        <v>45.84</v>
      </c>
    </row>
    <row r="1511" spans="1:21">
      <c r="A1511" s="60" t="s">
        <v>2703</v>
      </c>
      <c r="B1511" s="60" t="s">
        <v>2907</v>
      </c>
      <c r="C1511" s="60" t="s">
        <v>4225</v>
      </c>
      <c r="D1511" s="60">
        <v>116.5</v>
      </c>
      <c r="E1511" s="60">
        <v>-0.85</v>
      </c>
      <c r="F1511" s="60">
        <v>65</v>
      </c>
      <c r="G1511" s="60">
        <v>0</v>
      </c>
      <c r="H1511" s="60">
        <v>1.82</v>
      </c>
      <c r="I1511" s="60">
        <v>18.02</v>
      </c>
      <c r="J1511" s="60">
        <v>0</v>
      </c>
      <c r="O1511" s="60" t="s">
        <v>2703</v>
      </c>
      <c r="P1511" s="60" t="s">
        <v>2907</v>
      </c>
      <c r="Q1511" s="60" t="s">
        <v>4225</v>
      </c>
      <c r="R1511" s="60">
        <v>116.5</v>
      </c>
      <c r="S1511" s="60">
        <v>-0.85</v>
      </c>
      <c r="T1511" s="60">
        <v>65</v>
      </c>
      <c r="U1511" s="60">
        <v>73.97</v>
      </c>
    </row>
    <row r="1512" spans="1:21">
      <c r="A1512" s="60" t="s">
        <v>2705</v>
      </c>
      <c r="B1512" s="60" t="s">
        <v>3462</v>
      </c>
      <c r="C1512" s="60" t="s">
        <v>4720</v>
      </c>
      <c r="D1512" s="60">
        <v>168</v>
      </c>
      <c r="E1512" s="60">
        <v>-0.59</v>
      </c>
      <c r="F1512" s="60">
        <v>100</v>
      </c>
      <c r="G1512" s="60">
        <v>0</v>
      </c>
      <c r="H1512" s="60">
        <v>1.8</v>
      </c>
      <c r="I1512" s="60">
        <v>0</v>
      </c>
      <c r="J1512" s="60">
        <v>0.27</v>
      </c>
      <c r="O1512" s="60" t="s">
        <v>2705</v>
      </c>
      <c r="P1512" s="60" t="s">
        <v>3462</v>
      </c>
      <c r="Q1512" s="60" t="s">
        <v>4720</v>
      </c>
      <c r="R1512" s="60">
        <v>168</v>
      </c>
      <c r="S1512" s="60">
        <v>-0.59</v>
      </c>
      <c r="T1512" s="60">
        <v>100</v>
      </c>
      <c r="U1512" s="60">
        <v>28.86</v>
      </c>
    </row>
    <row r="1513" spans="1:21">
      <c r="A1513" s="60" t="s">
        <v>2707</v>
      </c>
      <c r="B1513" s="60" t="s">
        <v>3463</v>
      </c>
      <c r="C1513" s="60" t="s">
        <v>4949</v>
      </c>
      <c r="D1513" s="60">
        <v>68.5</v>
      </c>
      <c r="E1513" s="60">
        <v>-0.57999999999999996</v>
      </c>
      <c r="F1513" s="60">
        <v>67</v>
      </c>
      <c r="G1513" s="60">
        <v>0</v>
      </c>
      <c r="H1513" s="60">
        <v>8.2899999999999991</v>
      </c>
      <c r="I1513" s="60">
        <v>0</v>
      </c>
      <c r="J1513" s="60">
        <v>0</v>
      </c>
      <c r="O1513" s="60" t="s">
        <v>2707</v>
      </c>
      <c r="P1513" s="60" t="s">
        <v>3463</v>
      </c>
      <c r="Q1513" s="60" t="s">
        <v>4949</v>
      </c>
      <c r="R1513" s="60">
        <v>68.5</v>
      </c>
      <c r="S1513" s="60">
        <v>-0.57999999999999996</v>
      </c>
      <c r="T1513" s="60">
        <v>67</v>
      </c>
      <c r="U1513" s="60">
        <v>7.65</v>
      </c>
    </row>
    <row r="1514" spans="1:21">
      <c r="A1514" s="60" t="s">
        <v>2709</v>
      </c>
      <c r="B1514" s="60" t="s">
        <v>3464</v>
      </c>
      <c r="C1514" s="60" t="s">
        <v>5118</v>
      </c>
      <c r="D1514" s="60">
        <v>89.8</v>
      </c>
      <c r="E1514" s="60">
        <v>0.11</v>
      </c>
      <c r="F1514" s="60">
        <v>12</v>
      </c>
      <c r="G1514" s="60">
        <v>0</v>
      </c>
      <c r="H1514" s="60">
        <v>0.78</v>
      </c>
      <c r="I1514" s="60">
        <v>0</v>
      </c>
      <c r="J1514" s="60">
        <v>0</v>
      </c>
      <c r="O1514" s="60" t="s">
        <v>2709</v>
      </c>
      <c r="P1514" s="60" t="s">
        <v>3464</v>
      </c>
      <c r="Q1514" s="60" t="s">
        <v>5118</v>
      </c>
      <c r="R1514" s="60">
        <v>89.8</v>
      </c>
      <c r="S1514" s="60">
        <v>0.11</v>
      </c>
      <c r="T1514" s="60">
        <v>12</v>
      </c>
      <c r="U1514" s="60">
        <v>62.98</v>
      </c>
    </row>
    <row r="1515" spans="1:21">
      <c r="A1515" s="60" t="s">
        <v>2711</v>
      </c>
      <c r="B1515" s="60" t="s">
        <v>2909</v>
      </c>
      <c r="C1515" s="60" t="s">
        <v>4721</v>
      </c>
      <c r="D1515" s="60">
        <v>530</v>
      </c>
      <c r="E1515" s="60">
        <v>0.19</v>
      </c>
      <c r="F1515" s="60">
        <v>193</v>
      </c>
      <c r="G1515" s="60">
        <v>0.74</v>
      </c>
      <c r="H1515" s="60">
        <v>10.3</v>
      </c>
      <c r="I1515" s="60">
        <v>6.71</v>
      </c>
      <c r="J1515" s="60">
        <v>3.27</v>
      </c>
      <c r="O1515" s="60" t="s">
        <v>2711</v>
      </c>
      <c r="P1515" s="60" t="s">
        <v>2909</v>
      </c>
      <c r="Q1515" s="60" t="s">
        <v>4721</v>
      </c>
      <c r="R1515" s="60">
        <v>530</v>
      </c>
      <c r="S1515" s="60">
        <v>0.19</v>
      </c>
      <c r="T1515" s="60">
        <v>193</v>
      </c>
      <c r="U1515" s="60">
        <v>56.44</v>
      </c>
    </row>
    <row r="1516" spans="1:21">
      <c r="A1516" s="60" t="s">
        <v>2713</v>
      </c>
      <c r="B1516" s="60" t="s">
        <v>3465</v>
      </c>
      <c r="C1516" s="60" t="s">
        <v>4639</v>
      </c>
      <c r="D1516" s="60">
        <v>24.35</v>
      </c>
      <c r="E1516" s="60">
        <v>3.18</v>
      </c>
      <c r="F1516" s="60">
        <v>186</v>
      </c>
      <c r="G1516" s="60">
        <v>0</v>
      </c>
      <c r="H1516" s="60">
        <v>8.02</v>
      </c>
      <c r="I1516" s="60">
        <v>0</v>
      </c>
      <c r="J1516" s="60">
        <v>0</v>
      </c>
      <c r="O1516" s="60" t="s">
        <v>2713</v>
      </c>
      <c r="P1516" s="60" t="s">
        <v>3465</v>
      </c>
      <c r="Q1516" s="60" t="s">
        <v>4639</v>
      </c>
      <c r="R1516" s="60">
        <v>24.35</v>
      </c>
      <c r="S1516" s="60">
        <v>3.18</v>
      </c>
      <c r="T1516" s="60">
        <v>186</v>
      </c>
      <c r="U1516" s="60">
        <v>54.21</v>
      </c>
    </row>
    <row r="1517" spans="1:21">
      <c r="A1517" s="60" t="s">
        <v>2715</v>
      </c>
      <c r="B1517" s="60" t="s">
        <v>5527</v>
      </c>
      <c r="C1517" s="60" t="s">
        <v>5528</v>
      </c>
      <c r="D1517" s="60">
        <v>297</v>
      </c>
      <c r="E1517" s="60">
        <v>6.26</v>
      </c>
      <c r="F1517" s="60">
        <v>1375</v>
      </c>
      <c r="G1517" s="60">
        <v>0</v>
      </c>
      <c r="H1517" s="60">
        <v>68.61</v>
      </c>
      <c r="I1517" s="60">
        <v>0</v>
      </c>
      <c r="J1517" s="60">
        <v>1.32</v>
      </c>
      <c r="O1517" s="60" t="s">
        <v>2715</v>
      </c>
      <c r="P1517" s="60" t="s">
        <v>5527</v>
      </c>
      <c r="Q1517" s="60" t="s">
        <v>5528</v>
      </c>
      <c r="R1517" s="60">
        <v>297</v>
      </c>
      <c r="S1517" s="60">
        <v>6.26</v>
      </c>
      <c r="T1517" s="60">
        <v>1375</v>
      </c>
      <c r="U1517" s="60">
        <v>74.540000000000006</v>
      </c>
    </row>
    <row r="1518" spans="1:21">
      <c r="A1518" s="60" t="s">
        <v>2717</v>
      </c>
      <c r="B1518" s="60" t="s">
        <v>3466</v>
      </c>
      <c r="C1518" s="60" t="s">
        <v>41</v>
      </c>
      <c r="D1518" s="60">
        <v>79.900000000000006</v>
      </c>
      <c r="E1518" s="60">
        <v>-1.36</v>
      </c>
      <c r="F1518" s="60">
        <v>1035</v>
      </c>
      <c r="G1518" s="60">
        <v>0.19</v>
      </c>
      <c r="H1518" s="60">
        <v>3.79</v>
      </c>
      <c r="I1518" s="60">
        <v>7.81</v>
      </c>
      <c r="J1518" s="60">
        <v>0</v>
      </c>
      <c r="O1518" s="60" t="s">
        <v>2717</v>
      </c>
      <c r="P1518" s="60" t="s">
        <v>3466</v>
      </c>
      <c r="Q1518" s="60" t="s">
        <v>41</v>
      </c>
      <c r="R1518" s="60">
        <v>79.900000000000006</v>
      </c>
      <c r="S1518" s="60">
        <v>-1.36</v>
      </c>
      <c r="T1518" s="60">
        <v>1035</v>
      </c>
      <c r="U1518" s="60">
        <v>59.93</v>
      </c>
    </row>
    <row r="1519" spans="1:21">
      <c r="A1519" s="60" t="s">
        <v>2719</v>
      </c>
      <c r="B1519" s="60" t="s">
        <v>3467</v>
      </c>
      <c r="C1519" s="60" t="s">
        <v>4640</v>
      </c>
      <c r="D1519" s="60">
        <v>333</v>
      </c>
      <c r="E1519" s="60">
        <v>-0.45</v>
      </c>
      <c r="F1519" s="60">
        <v>12</v>
      </c>
      <c r="G1519" s="60">
        <v>0</v>
      </c>
      <c r="H1519" s="60">
        <v>13.07</v>
      </c>
      <c r="I1519" s="60">
        <v>0</v>
      </c>
      <c r="J1519" s="60">
        <v>0.15</v>
      </c>
      <c r="O1519" s="60" t="s">
        <v>2719</v>
      </c>
      <c r="P1519" s="60" t="s">
        <v>3467</v>
      </c>
      <c r="Q1519" s="60" t="s">
        <v>4640</v>
      </c>
      <c r="R1519" s="60">
        <v>333</v>
      </c>
      <c r="S1519" s="60">
        <v>-0.45</v>
      </c>
      <c r="T1519" s="60">
        <v>12</v>
      </c>
      <c r="U1519" s="60">
        <v>63.61</v>
      </c>
    </row>
    <row r="1520" spans="1:21">
      <c r="A1520" s="60" t="s">
        <v>2721</v>
      </c>
      <c r="B1520" s="60" t="s">
        <v>3468</v>
      </c>
      <c r="C1520" s="60" t="s">
        <v>5001</v>
      </c>
      <c r="D1520" s="60">
        <v>52.3</v>
      </c>
      <c r="E1520" s="60">
        <v>0.38</v>
      </c>
      <c r="F1520" s="60">
        <v>16</v>
      </c>
      <c r="G1520" s="60">
        <v>0</v>
      </c>
      <c r="H1520" s="60">
        <v>0.01</v>
      </c>
      <c r="I1520" s="60">
        <v>0</v>
      </c>
      <c r="J1520" s="60">
        <v>0</v>
      </c>
      <c r="O1520" s="60" t="s">
        <v>2721</v>
      </c>
      <c r="P1520" s="60" t="s">
        <v>3468</v>
      </c>
      <c r="Q1520" s="60" t="s">
        <v>5001</v>
      </c>
      <c r="R1520" s="60">
        <v>52.3</v>
      </c>
      <c r="S1520" s="60">
        <v>0.38</v>
      </c>
      <c r="T1520" s="60">
        <v>16</v>
      </c>
      <c r="U1520" s="60">
        <v>61.25</v>
      </c>
    </row>
    <row r="1521" spans="1:21">
      <c r="A1521" s="60" t="s">
        <v>2722</v>
      </c>
      <c r="B1521" s="60" t="s">
        <v>3469</v>
      </c>
      <c r="C1521" s="60" t="s">
        <v>5002</v>
      </c>
      <c r="D1521" s="60">
        <v>62.8</v>
      </c>
      <c r="E1521" s="60">
        <v>0.48</v>
      </c>
      <c r="F1521" s="60">
        <v>90</v>
      </c>
      <c r="G1521" s="60">
        <v>0</v>
      </c>
      <c r="H1521" s="60">
        <v>0.03</v>
      </c>
      <c r="I1521" s="60">
        <v>0</v>
      </c>
      <c r="J1521" s="60">
        <v>0</v>
      </c>
      <c r="O1521" s="60" t="s">
        <v>2722</v>
      </c>
      <c r="P1521" s="60" t="s">
        <v>3469</v>
      </c>
      <c r="Q1521" s="60" t="s">
        <v>5002</v>
      </c>
      <c r="R1521" s="60">
        <v>62.8</v>
      </c>
      <c r="S1521" s="60">
        <v>0.48</v>
      </c>
      <c r="T1521" s="60">
        <v>90</v>
      </c>
      <c r="U1521" s="60">
        <v>18.46</v>
      </c>
    </row>
    <row r="1522" spans="1:21">
      <c r="A1522" s="60" t="s">
        <v>2724</v>
      </c>
      <c r="B1522" s="60" t="s">
        <v>2911</v>
      </c>
      <c r="C1522" s="60" t="s">
        <v>4458</v>
      </c>
      <c r="D1522" s="60">
        <v>41.5</v>
      </c>
      <c r="E1522" s="60">
        <v>-0.48</v>
      </c>
      <c r="F1522" s="60">
        <v>50</v>
      </c>
      <c r="G1522" s="60">
        <v>0</v>
      </c>
      <c r="H1522" s="60">
        <v>21.28</v>
      </c>
      <c r="I1522" s="60">
        <v>8.19</v>
      </c>
      <c r="J1522" s="60">
        <v>0</v>
      </c>
      <c r="O1522" s="60" t="s">
        <v>2724</v>
      </c>
      <c r="P1522" s="60" t="s">
        <v>2911</v>
      </c>
      <c r="Q1522" s="60" t="s">
        <v>4458</v>
      </c>
      <c r="R1522" s="60">
        <v>41.5</v>
      </c>
      <c r="S1522" s="60">
        <v>-0.48</v>
      </c>
      <c r="T1522" s="60">
        <v>50</v>
      </c>
      <c r="U1522" s="60">
        <v>82.39</v>
      </c>
    </row>
    <row r="1523" spans="1:21">
      <c r="A1523" s="60" t="s">
        <v>2725</v>
      </c>
      <c r="B1523" s="60" t="s">
        <v>3470</v>
      </c>
      <c r="C1523" s="60" t="s">
        <v>3992</v>
      </c>
      <c r="D1523" s="60">
        <v>592</v>
      </c>
      <c r="E1523" s="60">
        <v>-2.95</v>
      </c>
      <c r="F1523" s="60">
        <v>6304</v>
      </c>
      <c r="G1523" s="60">
        <v>2.5499999999999998</v>
      </c>
      <c r="H1523" s="60">
        <v>9.17</v>
      </c>
      <c r="I1523" s="60">
        <v>18.420000000000002</v>
      </c>
      <c r="J1523" s="60">
        <v>3.18</v>
      </c>
      <c r="O1523" s="60" t="s">
        <v>2725</v>
      </c>
      <c r="P1523" s="60" t="s">
        <v>3470</v>
      </c>
      <c r="Q1523" s="60" t="s">
        <v>3992</v>
      </c>
      <c r="R1523" s="60">
        <v>592</v>
      </c>
      <c r="S1523" s="60">
        <v>-2.95</v>
      </c>
      <c r="T1523" s="60">
        <v>6304</v>
      </c>
      <c r="U1523" s="60">
        <v>59.93</v>
      </c>
    </row>
    <row r="1524" spans="1:21">
      <c r="A1524" s="60" t="s">
        <v>2727</v>
      </c>
      <c r="B1524" s="60" t="s">
        <v>5758</v>
      </c>
      <c r="C1524" s="60" t="s">
        <v>5379</v>
      </c>
      <c r="D1524" s="60">
        <v>198</v>
      </c>
      <c r="E1524" s="60">
        <v>-1.98</v>
      </c>
      <c r="F1524" s="60">
        <v>488</v>
      </c>
      <c r="G1524" s="60">
        <v>0</v>
      </c>
      <c r="H1524" s="60">
        <v>2.58</v>
      </c>
      <c r="I1524" s="60">
        <v>0</v>
      </c>
      <c r="J1524" s="60">
        <v>0</v>
      </c>
      <c r="O1524" s="60" t="s">
        <v>2727</v>
      </c>
      <c r="P1524" s="60" t="s">
        <v>5758</v>
      </c>
      <c r="Q1524" s="60" t="s">
        <v>5379</v>
      </c>
      <c r="R1524" s="60">
        <v>198</v>
      </c>
      <c r="S1524" s="60">
        <v>-1.98</v>
      </c>
      <c r="T1524" s="60">
        <v>488</v>
      </c>
      <c r="U1524" s="60">
        <v>45.93</v>
      </c>
    </row>
    <row r="1525" spans="1:21">
      <c r="A1525" s="60" t="s">
        <v>2728</v>
      </c>
      <c r="B1525" s="60" t="s">
        <v>3471</v>
      </c>
      <c r="C1525" s="60" t="s">
        <v>4641</v>
      </c>
      <c r="D1525" s="60">
        <v>264</v>
      </c>
      <c r="E1525" s="60">
        <v>0</v>
      </c>
      <c r="F1525" s="60">
        <v>1</v>
      </c>
      <c r="G1525" s="60">
        <v>0</v>
      </c>
      <c r="H1525" s="60">
        <v>2.02</v>
      </c>
      <c r="I1525" s="60">
        <v>0</v>
      </c>
      <c r="J1525" s="60">
        <v>0</v>
      </c>
      <c r="O1525" s="60" t="s">
        <v>2728</v>
      </c>
      <c r="P1525" s="60" t="s">
        <v>3471</v>
      </c>
      <c r="Q1525" s="60" t="s">
        <v>4641</v>
      </c>
      <c r="R1525" s="60">
        <v>264</v>
      </c>
      <c r="S1525" s="60">
        <v>0</v>
      </c>
      <c r="T1525" s="60">
        <v>1</v>
      </c>
      <c r="U1525" s="60">
        <v>59.31</v>
      </c>
    </row>
    <row r="1526" spans="1:21">
      <c r="A1526" s="60" t="s">
        <v>2730</v>
      </c>
      <c r="B1526" s="60" t="s">
        <v>3472</v>
      </c>
      <c r="C1526" s="60" t="s">
        <v>4642</v>
      </c>
      <c r="D1526" s="60">
        <v>30</v>
      </c>
      <c r="E1526" s="60">
        <v>-0.17</v>
      </c>
      <c r="F1526" s="60">
        <v>45</v>
      </c>
      <c r="G1526" s="60">
        <v>0</v>
      </c>
      <c r="H1526" s="60">
        <v>0.06</v>
      </c>
      <c r="I1526" s="60">
        <v>0</v>
      </c>
      <c r="J1526" s="60">
        <v>0</v>
      </c>
      <c r="O1526" s="60" t="s">
        <v>2730</v>
      </c>
      <c r="P1526" s="60" t="s">
        <v>3472</v>
      </c>
      <c r="Q1526" s="60" t="s">
        <v>4642</v>
      </c>
      <c r="R1526" s="60">
        <v>30</v>
      </c>
      <c r="S1526" s="60">
        <v>-0.17</v>
      </c>
      <c r="T1526" s="60">
        <v>45</v>
      </c>
      <c r="U1526" s="60">
        <v>45.21</v>
      </c>
    </row>
    <row r="1527" spans="1:21">
      <c r="A1527" s="60" t="s">
        <v>2732</v>
      </c>
      <c r="B1527" s="60" t="s">
        <v>3527</v>
      </c>
      <c r="C1527" s="60" t="s">
        <v>4459</v>
      </c>
      <c r="D1527" s="60">
        <v>69.2</v>
      </c>
      <c r="E1527" s="60">
        <v>-0.43</v>
      </c>
      <c r="F1527" s="60">
        <v>48</v>
      </c>
      <c r="G1527" s="60">
        <v>0</v>
      </c>
      <c r="H1527" s="60">
        <v>76.7</v>
      </c>
      <c r="I1527" s="60">
        <v>1.22</v>
      </c>
      <c r="J1527" s="60">
        <v>0</v>
      </c>
      <c r="O1527" s="60" t="s">
        <v>2732</v>
      </c>
      <c r="P1527" s="60" t="s">
        <v>3527</v>
      </c>
      <c r="Q1527" s="60" t="s">
        <v>4459</v>
      </c>
      <c r="R1527" s="60">
        <v>69.2</v>
      </c>
      <c r="S1527" s="60">
        <v>-0.43</v>
      </c>
      <c r="T1527" s="60">
        <v>48</v>
      </c>
      <c r="U1527" s="60">
        <v>85.27</v>
      </c>
    </row>
    <row r="1528" spans="1:21">
      <c r="A1528" s="60" t="s">
        <v>2733</v>
      </c>
      <c r="B1528" s="60" t="s">
        <v>3473</v>
      </c>
      <c r="C1528" s="60" t="s">
        <v>4247</v>
      </c>
      <c r="D1528" s="60">
        <v>44.1</v>
      </c>
      <c r="E1528" s="60">
        <v>2.56</v>
      </c>
      <c r="F1528" s="60">
        <v>2941</v>
      </c>
      <c r="G1528" s="60">
        <v>0</v>
      </c>
      <c r="H1528" s="60">
        <v>0.27</v>
      </c>
      <c r="I1528" s="60">
        <v>0.88</v>
      </c>
      <c r="J1528" s="60">
        <v>0</v>
      </c>
      <c r="O1528" s="60" t="s">
        <v>2733</v>
      </c>
      <c r="P1528" s="60" t="s">
        <v>3473</v>
      </c>
      <c r="Q1528" s="60" t="s">
        <v>4247</v>
      </c>
      <c r="R1528" s="60">
        <v>44.1</v>
      </c>
      <c r="S1528" s="60">
        <v>2.56</v>
      </c>
      <c r="T1528" s="60">
        <v>2941</v>
      </c>
      <c r="U1528" s="60">
        <v>73.14</v>
      </c>
    </row>
    <row r="1529" spans="1:21">
      <c r="A1529" s="60" t="s">
        <v>2735</v>
      </c>
      <c r="B1529" s="60" t="s">
        <v>3474</v>
      </c>
      <c r="C1529" s="60" t="s">
        <v>36</v>
      </c>
      <c r="D1529" s="60">
        <v>1505</v>
      </c>
      <c r="E1529" s="60">
        <v>3.08</v>
      </c>
      <c r="F1529" s="60">
        <v>341</v>
      </c>
      <c r="G1529" s="60">
        <v>0.08</v>
      </c>
      <c r="H1529" s="60">
        <v>80.61</v>
      </c>
      <c r="I1529" s="60">
        <v>3.55</v>
      </c>
      <c r="J1529" s="60">
        <v>3.45</v>
      </c>
      <c r="O1529" s="60" t="s">
        <v>2735</v>
      </c>
      <c r="P1529" s="60" t="s">
        <v>3474</v>
      </c>
      <c r="Q1529" s="60" t="s">
        <v>36</v>
      </c>
      <c r="R1529" s="60">
        <v>1505</v>
      </c>
      <c r="S1529" s="60">
        <v>3.08</v>
      </c>
      <c r="T1529" s="60">
        <v>341</v>
      </c>
      <c r="U1529" s="60">
        <v>78.569999999999993</v>
      </c>
    </row>
    <row r="1530" spans="1:21">
      <c r="A1530" s="60" t="s">
        <v>2737</v>
      </c>
      <c r="B1530" s="60" t="s">
        <v>5529</v>
      </c>
      <c r="C1530" s="60" t="s">
        <v>5318</v>
      </c>
      <c r="D1530" s="60">
        <v>238</v>
      </c>
      <c r="E1530" s="60">
        <v>-4.42</v>
      </c>
      <c r="F1530" s="60">
        <v>817</v>
      </c>
      <c r="G1530" s="60">
        <v>0</v>
      </c>
      <c r="H1530" s="60">
        <v>3.96</v>
      </c>
      <c r="I1530" s="60">
        <v>0</v>
      </c>
      <c r="J1530" s="60">
        <v>2.14</v>
      </c>
      <c r="O1530" s="60" t="s">
        <v>2737</v>
      </c>
      <c r="P1530" s="60" t="s">
        <v>5529</v>
      </c>
      <c r="Q1530" s="60" t="s">
        <v>5318</v>
      </c>
      <c r="R1530" s="60">
        <v>238</v>
      </c>
      <c r="S1530" s="60">
        <v>-4.42</v>
      </c>
      <c r="T1530" s="60">
        <v>817</v>
      </c>
      <c r="U1530" s="60">
        <v>18.350000000000001</v>
      </c>
    </row>
    <row r="1531" spans="1:21">
      <c r="A1531" s="60" t="s">
        <v>2739</v>
      </c>
      <c r="B1531" s="60" t="s">
        <v>5530</v>
      </c>
      <c r="C1531" s="60" t="s">
        <v>5456</v>
      </c>
      <c r="D1531" s="60">
        <v>49.5</v>
      </c>
      <c r="E1531" s="60">
        <v>-1.2</v>
      </c>
      <c r="F1531" s="60">
        <v>465</v>
      </c>
      <c r="G1531" s="60">
        <v>0</v>
      </c>
      <c r="H1531" s="60">
        <v>3.05</v>
      </c>
      <c r="I1531" s="60">
        <v>0</v>
      </c>
      <c r="J1531" s="60">
        <v>0</v>
      </c>
      <c r="O1531" s="60" t="s">
        <v>2739</v>
      </c>
      <c r="P1531" s="60" t="s">
        <v>5530</v>
      </c>
      <c r="Q1531" s="60" t="s">
        <v>5456</v>
      </c>
      <c r="R1531" s="60">
        <v>49.5</v>
      </c>
      <c r="S1531" s="60">
        <v>-1.2</v>
      </c>
      <c r="T1531" s="60">
        <v>465</v>
      </c>
      <c r="U1531" s="60">
        <v>81.64</v>
      </c>
    </row>
    <row r="1532" spans="1:21">
      <c r="A1532" s="60" t="s">
        <v>2741</v>
      </c>
      <c r="B1532" s="60" t="s">
        <v>2913</v>
      </c>
      <c r="C1532" s="60" t="s">
        <v>5146</v>
      </c>
      <c r="D1532" s="60">
        <v>236.5</v>
      </c>
      <c r="E1532" s="60">
        <v>-0.42</v>
      </c>
      <c r="F1532" s="60">
        <v>15</v>
      </c>
      <c r="G1532" s="60">
        <v>0</v>
      </c>
      <c r="H1532" s="60">
        <v>2.69</v>
      </c>
      <c r="I1532" s="60">
        <v>0.01</v>
      </c>
      <c r="J1532" s="60">
        <v>0.08</v>
      </c>
      <c r="O1532" s="60" t="s">
        <v>2741</v>
      </c>
      <c r="P1532" s="60" t="s">
        <v>2913</v>
      </c>
      <c r="Q1532" s="60" t="s">
        <v>5146</v>
      </c>
      <c r="R1532" s="60">
        <v>236.5</v>
      </c>
      <c r="S1532" s="60">
        <v>-0.42</v>
      </c>
      <c r="T1532" s="60">
        <v>15</v>
      </c>
      <c r="U1532" s="60">
        <v>63.37</v>
      </c>
    </row>
    <row r="1533" spans="1:21">
      <c r="A1533" s="60" t="s">
        <v>2743</v>
      </c>
      <c r="B1533" s="60" t="s">
        <v>5759</v>
      </c>
      <c r="C1533" s="60" t="s">
        <v>5459</v>
      </c>
      <c r="D1533" s="60">
        <v>100</v>
      </c>
      <c r="E1533" s="60">
        <v>-4.3099999999999996</v>
      </c>
      <c r="F1533" s="60">
        <v>1712</v>
      </c>
      <c r="G1533" s="60">
        <v>0</v>
      </c>
      <c r="H1533" s="60">
        <v>0.47</v>
      </c>
      <c r="I1533" s="60">
        <v>0</v>
      </c>
      <c r="J1533" s="60">
        <v>0</v>
      </c>
      <c r="O1533" s="60" t="s">
        <v>2743</v>
      </c>
      <c r="P1533" s="60" t="s">
        <v>5759</v>
      </c>
      <c r="Q1533" s="60" t="s">
        <v>5459</v>
      </c>
      <c r="R1533" s="60">
        <v>100</v>
      </c>
      <c r="S1533" s="60">
        <v>-4.3099999999999996</v>
      </c>
      <c r="T1533" s="60">
        <v>1712</v>
      </c>
      <c r="U1533" s="60">
        <v>65.760000000000005</v>
      </c>
    </row>
    <row r="1534" spans="1:21">
      <c r="A1534" s="60" t="s">
        <v>2745</v>
      </c>
      <c r="B1534" s="60" t="s">
        <v>5760</v>
      </c>
      <c r="C1534" s="60" t="s">
        <v>5593</v>
      </c>
      <c r="D1534" s="60">
        <v>49</v>
      </c>
      <c r="E1534" s="60">
        <v>0</v>
      </c>
      <c r="F1534" s="60">
        <v>2</v>
      </c>
      <c r="G1534" s="60">
        <v>0</v>
      </c>
      <c r="H1534" s="60">
        <v>0</v>
      </c>
      <c r="I1534" s="60">
        <v>0</v>
      </c>
      <c r="J1534" s="60">
        <v>0</v>
      </c>
      <c r="O1534" s="60" t="s">
        <v>2745</v>
      </c>
      <c r="P1534" s="60" t="s">
        <v>5531</v>
      </c>
      <c r="Q1534" s="60" t="s">
        <v>5532</v>
      </c>
      <c r="R1534" s="60">
        <v>87.5</v>
      </c>
      <c r="S1534" s="60">
        <v>0</v>
      </c>
      <c r="T1534" s="60">
        <v>3</v>
      </c>
      <c r="U1534" s="60">
        <v>56.86</v>
      </c>
    </row>
    <row r="1535" spans="1:21">
      <c r="A1535" s="60" t="s">
        <v>2747</v>
      </c>
      <c r="B1535" s="60" t="s">
        <v>5533</v>
      </c>
      <c r="C1535" s="60" t="s">
        <v>5534</v>
      </c>
      <c r="D1535" s="60">
        <v>97</v>
      </c>
      <c r="E1535" s="60">
        <v>0.21</v>
      </c>
      <c r="F1535" s="60">
        <v>3</v>
      </c>
      <c r="G1535" s="60">
        <v>0</v>
      </c>
      <c r="H1535" s="60">
        <v>0</v>
      </c>
      <c r="I1535" s="60">
        <v>0</v>
      </c>
      <c r="J1535" s="60">
        <v>0</v>
      </c>
      <c r="O1535" s="60" t="s">
        <v>2747</v>
      </c>
      <c r="P1535" s="60" t="s">
        <v>5760</v>
      </c>
      <c r="Q1535" s="60" t="s">
        <v>5593</v>
      </c>
      <c r="R1535" s="60">
        <v>49</v>
      </c>
      <c r="S1535" s="60">
        <v>0</v>
      </c>
      <c r="T1535" s="60">
        <v>2</v>
      </c>
      <c r="U1535" s="60">
        <v>79.150000000000006</v>
      </c>
    </row>
    <row r="1536" spans="1:21">
      <c r="A1536" s="60" t="s">
        <v>2749</v>
      </c>
      <c r="B1536" s="60" t="s">
        <v>3475</v>
      </c>
      <c r="C1536" s="60" t="s">
        <v>4812</v>
      </c>
      <c r="D1536" s="60">
        <v>50.5</v>
      </c>
      <c r="E1536" s="60">
        <v>0.2</v>
      </c>
      <c r="F1536" s="60">
        <v>22</v>
      </c>
      <c r="G1536" s="60">
        <v>0</v>
      </c>
      <c r="H1536" s="60">
        <v>13.55</v>
      </c>
      <c r="I1536" s="60">
        <v>0</v>
      </c>
      <c r="J1536" s="60">
        <v>0</v>
      </c>
      <c r="O1536" s="60" t="s">
        <v>2749</v>
      </c>
      <c r="P1536" s="60" t="s">
        <v>5533</v>
      </c>
      <c r="Q1536" s="60" t="s">
        <v>5534</v>
      </c>
      <c r="R1536" s="60">
        <v>97</v>
      </c>
      <c r="S1536" s="60">
        <v>0.21</v>
      </c>
      <c r="T1536" s="60">
        <v>3</v>
      </c>
      <c r="U1536" s="60">
        <v>77.06</v>
      </c>
    </row>
    <row r="1537" spans="1:21">
      <c r="A1537" s="60" t="s">
        <v>2751</v>
      </c>
      <c r="B1537" s="60" t="s">
        <v>3476</v>
      </c>
      <c r="C1537" s="60" t="s">
        <v>4722</v>
      </c>
      <c r="D1537" s="60">
        <v>117</v>
      </c>
      <c r="E1537" s="60">
        <v>0</v>
      </c>
      <c r="F1537" s="60">
        <v>13</v>
      </c>
      <c r="G1537" s="60">
        <v>0</v>
      </c>
      <c r="H1537" s="60">
        <v>2.83</v>
      </c>
      <c r="I1537" s="60">
        <v>0</v>
      </c>
      <c r="J1537" s="60">
        <v>0.25</v>
      </c>
      <c r="O1537" s="60" t="s">
        <v>2751</v>
      </c>
      <c r="P1537" s="60" t="s">
        <v>5535</v>
      </c>
      <c r="Q1537" s="60" t="s">
        <v>5536</v>
      </c>
      <c r="R1537" s="60">
        <v>82</v>
      </c>
      <c r="S1537" s="60">
        <v>5.13</v>
      </c>
      <c r="T1537" s="60">
        <v>6</v>
      </c>
      <c r="U1537" s="60">
        <v>97.29</v>
      </c>
    </row>
    <row r="1538" spans="1:21">
      <c r="A1538" s="60" t="s">
        <v>2753</v>
      </c>
      <c r="B1538" s="60" t="s">
        <v>2915</v>
      </c>
      <c r="C1538" s="60" t="s">
        <v>4142</v>
      </c>
      <c r="D1538" s="60">
        <v>20.9</v>
      </c>
      <c r="E1538" s="60">
        <v>10</v>
      </c>
      <c r="F1538" s="60">
        <v>7184</v>
      </c>
      <c r="G1538" s="60">
        <v>2.68</v>
      </c>
      <c r="H1538" s="60">
        <v>2.29</v>
      </c>
      <c r="I1538" s="60">
        <v>13.76</v>
      </c>
      <c r="J1538" s="60">
        <v>0</v>
      </c>
      <c r="O1538" s="60" t="s">
        <v>2753</v>
      </c>
      <c r="P1538" s="60" t="s">
        <v>3475</v>
      </c>
      <c r="Q1538" s="60" t="s">
        <v>4812</v>
      </c>
      <c r="R1538" s="60">
        <v>50.5</v>
      </c>
      <c r="S1538" s="60">
        <v>0.2</v>
      </c>
      <c r="T1538" s="60">
        <v>22</v>
      </c>
      <c r="U1538" s="60">
        <v>33.770000000000003</v>
      </c>
    </row>
    <row r="1539" spans="1:21">
      <c r="A1539" s="60" t="s">
        <v>2755</v>
      </c>
      <c r="B1539" s="60" t="s">
        <v>2917</v>
      </c>
      <c r="C1539" s="60" t="s">
        <v>3993</v>
      </c>
      <c r="D1539" s="60">
        <v>293.5</v>
      </c>
      <c r="E1539" s="60">
        <v>0.51</v>
      </c>
      <c r="F1539" s="60">
        <v>2832</v>
      </c>
      <c r="G1539" s="60">
        <v>1.8</v>
      </c>
      <c r="H1539" s="60">
        <v>35.03</v>
      </c>
      <c r="I1539" s="60">
        <v>22.62</v>
      </c>
      <c r="J1539" s="60">
        <v>2.52</v>
      </c>
      <c r="O1539" s="60" t="s">
        <v>2755</v>
      </c>
      <c r="P1539" s="60" t="s">
        <v>3476</v>
      </c>
      <c r="Q1539" s="60" t="s">
        <v>4722</v>
      </c>
      <c r="R1539" s="60">
        <v>117</v>
      </c>
      <c r="S1539" s="60">
        <v>0</v>
      </c>
      <c r="T1539" s="60">
        <v>13</v>
      </c>
      <c r="U1539" s="60">
        <v>57.11</v>
      </c>
    </row>
    <row r="1540" spans="1:21">
      <c r="A1540" s="60" t="s">
        <v>2756</v>
      </c>
      <c r="B1540" s="60" t="s">
        <v>2919</v>
      </c>
      <c r="C1540" s="60" t="s">
        <v>3638</v>
      </c>
      <c r="D1540" s="60">
        <v>41.5</v>
      </c>
      <c r="E1540" s="60">
        <v>1.1000000000000001</v>
      </c>
      <c r="F1540" s="60">
        <v>1216</v>
      </c>
      <c r="G1540" s="60">
        <v>0.37</v>
      </c>
      <c r="H1540" s="60">
        <v>14.17</v>
      </c>
      <c r="I1540" s="60">
        <v>17.54</v>
      </c>
      <c r="J1540" s="60">
        <v>0.01</v>
      </c>
      <c r="O1540" s="60" t="s">
        <v>2756</v>
      </c>
      <c r="P1540" s="60" t="s">
        <v>2915</v>
      </c>
      <c r="Q1540" s="60" t="s">
        <v>4142</v>
      </c>
      <c r="R1540" s="60">
        <v>20.9</v>
      </c>
      <c r="S1540" s="60">
        <v>10</v>
      </c>
      <c r="T1540" s="60">
        <v>7184</v>
      </c>
      <c r="U1540" s="60">
        <v>23.28</v>
      </c>
    </row>
    <row r="1541" spans="1:21">
      <c r="A1541" s="60" t="s">
        <v>2758</v>
      </c>
      <c r="B1541" s="60" t="s">
        <v>2921</v>
      </c>
      <c r="C1541" s="60" t="s">
        <v>4723</v>
      </c>
      <c r="D1541" s="60">
        <v>28.2</v>
      </c>
      <c r="E1541" s="60">
        <v>2.36</v>
      </c>
      <c r="F1541" s="60">
        <v>759</v>
      </c>
      <c r="G1541" s="60">
        <v>0.27</v>
      </c>
      <c r="H1541" s="60">
        <v>5.29</v>
      </c>
      <c r="I1541" s="60">
        <v>40.72</v>
      </c>
      <c r="J1541" s="60">
        <v>0</v>
      </c>
      <c r="O1541" s="60" t="s">
        <v>2758</v>
      </c>
      <c r="P1541" s="60" t="s">
        <v>2917</v>
      </c>
      <c r="Q1541" s="60" t="s">
        <v>3993</v>
      </c>
      <c r="R1541" s="60">
        <v>293.5</v>
      </c>
      <c r="S1541" s="60">
        <v>0.51</v>
      </c>
      <c r="T1541" s="60">
        <v>2832</v>
      </c>
      <c r="U1541" s="60">
        <v>22.64</v>
      </c>
    </row>
    <row r="1542" spans="1:21">
      <c r="A1542" s="60" t="s">
        <v>2760</v>
      </c>
      <c r="B1542" s="60" t="s">
        <v>2923</v>
      </c>
      <c r="C1542" s="60" t="s">
        <v>4555</v>
      </c>
      <c r="D1542" s="60">
        <v>70.5</v>
      </c>
      <c r="E1542" s="60">
        <v>2.62</v>
      </c>
      <c r="F1542" s="60">
        <v>1557</v>
      </c>
      <c r="G1542" s="60">
        <v>0.11</v>
      </c>
      <c r="H1542" s="60">
        <v>5.76</v>
      </c>
      <c r="I1542" s="60">
        <v>45.17</v>
      </c>
      <c r="J1542" s="60">
        <v>0</v>
      </c>
      <c r="O1542" s="60" t="s">
        <v>2760</v>
      </c>
      <c r="P1542" s="60" t="s">
        <v>2919</v>
      </c>
      <c r="Q1542" s="60" t="s">
        <v>3638</v>
      </c>
      <c r="R1542" s="60">
        <v>41.5</v>
      </c>
      <c r="S1542" s="60">
        <v>1.1000000000000001</v>
      </c>
      <c r="T1542" s="60">
        <v>1216</v>
      </c>
      <c r="U1542" s="60">
        <v>25.55</v>
      </c>
    </row>
    <row r="1543" spans="1:21">
      <c r="A1543" s="60" t="s">
        <v>2762</v>
      </c>
      <c r="B1543" s="60" t="s">
        <v>2925</v>
      </c>
      <c r="C1543" s="60" t="s">
        <v>3994</v>
      </c>
      <c r="D1543" s="60">
        <v>52.7</v>
      </c>
      <c r="E1543" s="60">
        <v>1.1499999999999999</v>
      </c>
      <c r="F1543" s="60">
        <v>1251</v>
      </c>
      <c r="G1543" s="60">
        <v>0.17</v>
      </c>
      <c r="H1543" s="60">
        <v>14.11</v>
      </c>
      <c r="I1543" s="60">
        <v>12.93</v>
      </c>
      <c r="J1543" s="60">
        <v>0.2</v>
      </c>
      <c r="O1543" s="60" t="s">
        <v>2762</v>
      </c>
      <c r="P1543" s="60" t="s">
        <v>2921</v>
      </c>
      <c r="Q1543" s="60" t="s">
        <v>4723</v>
      </c>
      <c r="R1543" s="60">
        <v>28.2</v>
      </c>
      <c r="S1543" s="60">
        <v>2.36</v>
      </c>
      <c r="T1543" s="60">
        <v>759</v>
      </c>
      <c r="U1543" s="60">
        <v>18.86</v>
      </c>
    </row>
    <row r="1544" spans="1:21">
      <c r="A1544" s="60" t="s">
        <v>2764</v>
      </c>
      <c r="B1544" s="60" t="s">
        <v>2927</v>
      </c>
      <c r="C1544" s="60" t="s">
        <v>4974</v>
      </c>
      <c r="D1544" s="60">
        <v>28.75</v>
      </c>
      <c r="E1544" s="60">
        <v>1.77</v>
      </c>
      <c r="F1544" s="60">
        <v>1038</v>
      </c>
      <c r="G1544" s="60">
        <v>0.02</v>
      </c>
      <c r="H1544" s="60">
        <v>1.01</v>
      </c>
      <c r="I1544" s="60">
        <v>3.23</v>
      </c>
      <c r="J1544" s="60">
        <v>0</v>
      </c>
      <c r="O1544" s="60" t="s">
        <v>2764</v>
      </c>
      <c r="P1544" s="60" t="s">
        <v>2923</v>
      </c>
      <c r="Q1544" s="60" t="s">
        <v>4555</v>
      </c>
      <c r="R1544" s="60">
        <v>70.5</v>
      </c>
      <c r="S1544" s="60">
        <v>2.62</v>
      </c>
      <c r="T1544" s="60">
        <v>1557</v>
      </c>
      <c r="U1544" s="60">
        <v>27.32</v>
      </c>
    </row>
    <row r="1545" spans="1:21">
      <c r="A1545" s="60" t="s">
        <v>2766</v>
      </c>
      <c r="B1545" s="60" t="s">
        <v>3477</v>
      </c>
      <c r="C1545" s="60" t="s">
        <v>4460</v>
      </c>
      <c r="D1545" s="60">
        <v>18.850000000000001</v>
      </c>
      <c r="E1545" s="60">
        <v>9.91</v>
      </c>
      <c r="F1545" s="60">
        <v>6873</v>
      </c>
      <c r="G1545" s="60">
        <v>0</v>
      </c>
      <c r="H1545" s="60">
        <v>1.45</v>
      </c>
      <c r="I1545" s="60">
        <v>0</v>
      </c>
      <c r="J1545" s="60">
        <v>0.09</v>
      </c>
      <c r="O1545" s="60" t="s">
        <v>2766</v>
      </c>
      <c r="P1545" s="60" t="s">
        <v>2925</v>
      </c>
      <c r="Q1545" s="60" t="s">
        <v>3994</v>
      </c>
      <c r="R1545" s="60">
        <v>52.7</v>
      </c>
      <c r="S1545" s="60">
        <v>1.1499999999999999</v>
      </c>
      <c r="T1545" s="60">
        <v>1251</v>
      </c>
      <c r="U1545" s="60">
        <v>31.37</v>
      </c>
    </row>
    <row r="1546" spans="1:21">
      <c r="A1546" s="60" t="s">
        <v>2768</v>
      </c>
      <c r="B1546" s="60" t="s">
        <v>2930</v>
      </c>
      <c r="C1546" s="60" t="s">
        <v>4858</v>
      </c>
      <c r="D1546" s="60">
        <v>16.3</v>
      </c>
      <c r="E1546" s="60">
        <v>0</v>
      </c>
      <c r="F1546" s="60">
        <v>313</v>
      </c>
      <c r="G1546" s="60">
        <v>0.1</v>
      </c>
      <c r="H1546" s="60">
        <v>1.58</v>
      </c>
      <c r="I1546" s="60">
        <v>18.77</v>
      </c>
      <c r="J1546" s="60">
        <v>0</v>
      </c>
      <c r="O1546" s="60" t="s">
        <v>2768</v>
      </c>
      <c r="P1546" s="60" t="s">
        <v>2927</v>
      </c>
      <c r="Q1546" s="60" t="s">
        <v>4974</v>
      </c>
      <c r="R1546" s="60">
        <v>28.75</v>
      </c>
      <c r="S1546" s="60">
        <v>1.77</v>
      </c>
      <c r="T1546" s="60">
        <v>1038</v>
      </c>
      <c r="U1546" s="60">
        <v>81.48</v>
      </c>
    </row>
    <row r="1547" spans="1:21">
      <c r="A1547" s="60" t="s">
        <v>2770</v>
      </c>
      <c r="B1547" s="60" t="s">
        <v>3478</v>
      </c>
      <c r="C1547" s="60" t="s">
        <v>4950</v>
      </c>
      <c r="D1547" s="60">
        <v>37.9</v>
      </c>
      <c r="E1547" s="60">
        <v>2.16</v>
      </c>
      <c r="F1547" s="60">
        <v>339</v>
      </c>
      <c r="G1547" s="60">
        <v>0</v>
      </c>
      <c r="H1547" s="60">
        <v>2.72</v>
      </c>
      <c r="I1547" s="60">
        <v>0</v>
      </c>
      <c r="J1547" s="60">
        <v>0</v>
      </c>
      <c r="O1547" s="60" t="s">
        <v>2770</v>
      </c>
      <c r="P1547" s="60" t="s">
        <v>3477</v>
      </c>
      <c r="Q1547" s="60" t="s">
        <v>4460</v>
      </c>
      <c r="R1547" s="60">
        <v>18.850000000000001</v>
      </c>
      <c r="S1547" s="60">
        <v>9.91</v>
      </c>
      <c r="T1547" s="60">
        <v>6873</v>
      </c>
      <c r="U1547" s="60">
        <v>19.989999999999998</v>
      </c>
    </row>
    <row r="1548" spans="1:21">
      <c r="A1548" s="60" t="s">
        <v>2773</v>
      </c>
      <c r="B1548" s="60" t="s">
        <v>2932</v>
      </c>
      <c r="C1548" s="60" t="s">
        <v>3686</v>
      </c>
      <c r="D1548" s="60">
        <v>46.45</v>
      </c>
      <c r="E1548" s="60">
        <v>0.76</v>
      </c>
      <c r="F1548" s="60">
        <v>403</v>
      </c>
      <c r="G1548" s="60">
        <v>0.03</v>
      </c>
      <c r="H1548" s="60">
        <v>15.04</v>
      </c>
      <c r="I1548" s="60">
        <v>7.49</v>
      </c>
      <c r="J1548" s="60">
        <v>0</v>
      </c>
      <c r="O1548" s="60" t="s">
        <v>2773</v>
      </c>
      <c r="P1548" s="60" t="s">
        <v>2930</v>
      </c>
      <c r="Q1548" s="60" t="s">
        <v>4858</v>
      </c>
      <c r="R1548" s="60">
        <v>16.3</v>
      </c>
      <c r="S1548" s="60">
        <v>0</v>
      </c>
      <c r="T1548" s="60">
        <v>313</v>
      </c>
      <c r="U1548" s="60">
        <v>12.27</v>
      </c>
    </row>
    <row r="1549" spans="1:21">
      <c r="A1549" s="60" t="s">
        <v>2775</v>
      </c>
      <c r="B1549" s="60" t="s">
        <v>3479</v>
      </c>
      <c r="C1549" s="60" t="s">
        <v>4724</v>
      </c>
      <c r="D1549" s="60">
        <v>79.2</v>
      </c>
      <c r="E1549" s="60">
        <v>4.07</v>
      </c>
      <c r="F1549" s="60">
        <v>14355</v>
      </c>
      <c r="G1549" s="60">
        <v>2.97</v>
      </c>
      <c r="H1549" s="60">
        <v>4.1500000000000004</v>
      </c>
      <c r="I1549" s="60">
        <v>35.33</v>
      </c>
      <c r="J1549" s="60">
        <v>0</v>
      </c>
      <c r="O1549" s="60" t="s">
        <v>2775</v>
      </c>
      <c r="P1549" s="60" t="s">
        <v>3478</v>
      </c>
      <c r="Q1549" s="60" t="s">
        <v>4950</v>
      </c>
      <c r="R1549" s="60">
        <v>37.9</v>
      </c>
      <c r="S1549" s="60">
        <v>2.16</v>
      </c>
      <c r="T1549" s="60">
        <v>339</v>
      </c>
      <c r="U1549" s="60">
        <v>24.07</v>
      </c>
    </row>
    <row r="1550" spans="1:21">
      <c r="A1550" s="60" t="s">
        <v>2777</v>
      </c>
      <c r="B1550" s="60" t="s">
        <v>2935</v>
      </c>
      <c r="C1550" s="60" t="s">
        <v>4951</v>
      </c>
      <c r="D1550" s="60">
        <v>46.25</v>
      </c>
      <c r="E1550" s="60">
        <v>0.43</v>
      </c>
      <c r="F1550" s="60">
        <v>41</v>
      </c>
      <c r="G1550" s="60">
        <v>0.02</v>
      </c>
      <c r="H1550" s="60">
        <v>5.01</v>
      </c>
      <c r="I1550" s="60">
        <v>2.85</v>
      </c>
      <c r="J1550" s="60">
        <v>0</v>
      </c>
      <c r="O1550" s="60" t="s">
        <v>2777</v>
      </c>
      <c r="P1550" s="60" t="s">
        <v>2932</v>
      </c>
      <c r="Q1550" s="60" t="s">
        <v>3686</v>
      </c>
      <c r="R1550" s="60">
        <v>46.45</v>
      </c>
      <c r="S1550" s="60">
        <v>0.76</v>
      </c>
      <c r="T1550" s="60">
        <v>403</v>
      </c>
      <c r="U1550" s="60">
        <v>50.52</v>
      </c>
    </row>
    <row r="1551" spans="1:21">
      <c r="A1551" s="60" t="s">
        <v>2779</v>
      </c>
      <c r="B1551" s="60" t="s">
        <v>2937</v>
      </c>
      <c r="C1551" s="60" t="s">
        <v>4952</v>
      </c>
      <c r="D1551" s="60">
        <v>28.15</v>
      </c>
      <c r="E1551" s="60">
        <v>1.62</v>
      </c>
      <c r="F1551" s="60">
        <v>285</v>
      </c>
      <c r="G1551" s="60">
        <v>0.02</v>
      </c>
      <c r="H1551" s="60">
        <v>1.01</v>
      </c>
      <c r="I1551" s="60">
        <v>8.25</v>
      </c>
      <c r="J1551" s="60">
        <v>0</v>
      </c>
      <c r="O1551" s="60" t="s">
        <v>2779</v>
      </c>
      <c r="P1551" s="60" t="s">
        <v>3479</v>
      </c>
      <c r="Q1551" s="60" t="s">
        <v>4724</v>
      </c>
      <c r="R1551" s="60">
        <v>79.2</v>
      </c>
      <c r="S1551" s="60">
        <v>4.07</v>
      </c>
      <c r="T1551" s="60">
        <v>14355</v>
      </c>
      <c r="U1551" s="60">
        <v>24.51</v>
      </c>
    </row>
    <row r="1552" spans="1:21">
      <c r="A1552" s="60" t="s">
        <v>2780</v>
      </c>
      <c r="B1552" s="60" t="s">
        <v>2939</v>
      </c>
      <c r="C1552" s="60" t="s">
        <v>3547</v>
      </c>
      <c r="D1552" s="60">
        <v>140</v>
      </c>
      <c r="E1552" s="60">
        <v>0.72</v>
      </c>
      <c r="F1552" s="60">
        <v>3916</v>
      </c>
      <c r="G1552" s="60">
        <v>6.5</v>
      </c>
      <c r="H1552" s="60">
        <v>34.619999999999997</v>
      </c>
      <c r="I1552" s="60">
        <v>26.84</v>
      </c>
      <c r="J1552" s="60">
        <v>0.57999999999999996</v>
      </c>
      <c r="O1552" s="60" t="s">
        <v>2780</v>
      </c>
      <c r="P1552" s="60" t="s">
        <v>2935</v>
      </c>
      <c r="Q1552" s="60" t="s">
        <v>4951</v>
      </c>
      <c r="R1552" s="60">
        <v>46.25</v>
      </c>
      <c r="S1552" s="60">
        <v>0.43</v>
      </c>
      <c r="T1552" s="60">
        <v>41</v>
      </c>
      <c r="U1552" s="60">
        <v>63.3</v>
      </c>
    </row>
    <row r="1553" spans="1:21">
      <c r="A1553" s="60" t="s">
        <v>2782</v>
      </c>
      <c r="B1553" s="60" t="s">
        <v>2941</v>
      </c>
      <c r="C1553" s="60" t="s">
        <v>4226</v>
      </c>
      <c r="D1553" s="60">
        <v>561</v>
      </c>
      <c r="E1553" s="60">
        <v>2.37</v>
      </c>
      <c r="F1553" s="60">
        <v>3099</v>
      </c>
      <c r="G1553" s="60">
        <v>1.25</v>
      </c>
      <c r="H1553" s="60">
        <v>18.36</v>
      </c>
      <c r="I1553" s="60">
        <v>3.85</v>
      </c>
      <c r="J1553" s="60">
        <v>6.54</v>
      </c>
      <c r="O1553" s="60" t="s">
        <v>2782</v>
      </c>
      <c r="P1553" s="60" t="s">
        <v>2937</v>
      </c>
      <c r="Q1553" s="60" t="s">
        <v>4952</v>
      </c>
      <c r="R1553" s="60">
        <v>28.15</v>
      </c>
      <c r="S1553" s="60">
        <v>1.62</v>
      </c>
      <c r="T1553" s="60">
        <v>285</v>
      </c>
      <c r="U1553" s="60">
        <v>55.71</v>
      </c>
    </row>
    <row r="1554" spans="1:21">
      <c r="A1554" s="60" t="s">
        <v>2784</v>
      </c>
      <c r="B1554" s="60" t="s">
        <v>2943</v>
      </c>
      <c r="C1554" s="60" t="s">
        <v>5040</v>
      </c>
      <c r="D1554" s="60">
        <v>13</v>
      </c>
      <c r="E1554" s="60">
        <v>2.77</v>
      </c>
      <c r="F1554" s="60">
        <v>58</v>
      </c>
      <c r="G1554" s="60">
        <v>0.1</v>
      </c>
      <c r="H1554" s="60">
        <v>0.27</v>
      </c>
      <c r="I1554" s="60">
        <v>7.29</v>
      </c>
      <c r="J1554" s="60">
        <v>0</v>
      </c>
      <c r="O1554" s="60" t="s">
        <v>2784</v>
      </c>
      <c r="P1554" s="60" t="s">
        <v>2939</v>
      </c>
      <c r="Q1554" s="60" t="s">
        <v>3547</v>
      </c>
      <c r="R1554" s="60">
        <v>140</v>
      </c>
      <c r="S1554" s="60">
        <v>0.72</v>
      </c>
      <c r="T1554" s="60">
        <v>3916</v>
      </c>
      <c r="U1554" s="60">
        <v>48.04</v>
      </c>
    </row>
    <row r="1555" spans="1:21">
      <c r="A1555" s="60" t="s">
        <v>2786</v>
      </c>
      <c r="B1555" s="60" t="s">
        <v>2945</v>
      </c>
      <c r="C1555" s="60" t="s">
        <v>4859</v>
      </c>
      <c r="D1555" s="60">
        <v>35.75</v>
      </c>
      <c r="E1555" s="60">
        <v>2</v>
      </c>
      <c r="F1555" s="60">
        <v>187</v>
      </c>
      <c r="G1555" s="60">
        <v>0</v>
      </c>
      <c r="H1555" s="60">
        <v>0.94</v>
      </c>
      <c r="I1555" s="60">
        <v>9.5</v>
      </c>
      <c r="J1555" s="60">
        <v>0</v>
      </c>
      <c r="O1555" s="60" t="s">
        <v>2786</v>
      </c>
      <c r="P1555" s="60" t="s">
        <v>2941</v>
      </c>
      <c r="Q1555" s="60" t="s">
        <v>4226</v>
      </c>
      <c r="R1555" s="60">
        <v>561</v>
      </c>
      <c r="S1555" s="60">
        <v>2.37</v>
      </c>
      <c r="T1555" s="60">
        <v>3099</v>
      </c>
      <c r="U1555" s="60">
        <v>81.81</v>
      </c>
    </row>
    <row r="1556" spans="1:21">
      <c r="A1556" s="60" t="s">
        <v>2788</v>
      </c>
      <c r="B1556" s="60" t="s">
        <v>2947</v>
      </c>
      <c r="C1556" s="60" t="s">
        <v>4813</v>
      </c>
      <c r="D1556" s="60">
        <v>25.3</v>
      </c>
      <c r="E1556" s="60">
        <v>0.4</v>
      </c>
      <c r="F1556" s="60">
        <v>407</v>
      </c>
      <c r="G1556" s="60">
        <v>0.06</v>
      </c>
      <c r="H1556" s="60">
        <v>2.95</v>
      </c>
      <c r="I1556" s="60">
        <v>5.08</v>
      </c>
      <c r="J1556" s="60">
        <v>0</v>
      </c>
      <c r="O1556" s="60" t="s">
        <v>2788</v>
      </c>
      <c r="P1556" s="60" t="s">
        <v>2943</v>
      </c>
      <c r="Q1556" s="60" t="s">
        <v>5040</v>
      </c>
      <c r="R1556" s="60">
        <v>13</v>
      </c>
      <c r="S1556" s="60">
        <v>2.77</v>
      </c>
      <c r="T1556" s="60">
        <v>58</v>
      </c>
      <c r="U1556" s="60">
        <v>60.54</v>
      </c>
    </row>
    <row r="1557" spans="1:21">
      <c r="A1557" s="60" t="s">
        <v>2790</v>
      </c>
      <c r="B1557" s="60" t="s">
        <v>2949</v>
      </c>
      <c r="C1557" s="60" t="s">
        <v>4771</v>
      </c>
      <c r="D1557" s="60">
        <v>39.25</v>
      </c>
      <c r="E1557" s="60">
        <v>-0.63</v>
      </c>
      <c r="F1557" s="60">
        <v>93</v>
      </c>
      <c r="G1557" s="60">
        <v>0</v>
      </c>
      <c r="H1557" s="60">
        <v>2.98</v>
      </c>
      <c r="I1557" s="60">
        <v>1.67</v>
      </c>
      <c r="J1557" s="60">
        <v>0</v>
      </c>
      <c r="O1557" s="60" t="s">
        <v>2790</v>
      </c>
      <c r="P1557" s="60" t="s">
        <v>2945</v>
      </c>
      <c r="Q1557" s="60" t="s">
        <v>4859</v>
      </c>
      <c r="R1557" s="60">
        <v>35.75</v>
      </c>
      <c r="S1557" s="60">
        <v>2</v>
      </c>
      <c r="T1557" s="60">
        <v>187</v>
      </c>
      <c r="U1557" s="60">
        <v>33.36</v>
      </c>
    </row>
    <row r="1558" spans="1:21">
      <c r="A1558" s="60" t="s">
        <v>2792</v>
      </c>
      <c r="B1558" s="60" t="s">
        <v>2951</v>
      </c>
      <c r="C1558" s="60" t="s">
        <v>4725</v>
      </c>
      <c r="D1558" s="60">
        <v>66.8</v>
      </c>
      <c r="E1558" s="60">
        <v>2.93</v>
      </c>
      <c r="F1558" s="60">
        <v>9348</v>
      </c>
      <c r="G1558" s="60">
        <v>2.36</v>
      </c>
      <c r="H1558" s="60">
        <v>6.56</v>
      </c>
      <c r="I1558" s="60">
        <v>55.75</v>
      </c>
      <c r="J1558" s="60">
        <v>0</v>
      </c>
      <c r="O1558" s="60" t="s">
        <v>2792</v>
      </c>
      <c r="P1558" s="60" t="s">
        <v>2947</v>
      </c>
      <c r="Q1558" s="60" t="s">
        <v>4813</v>
      </c>
      <c r="R1558" s="60">
        <v>25.3</v>
      </c>
      <c r="S1558" s="60">
        <v>0.4</v>
      </c>
      <c r="T1558" s="60">
        <v>407</v>
      </c>
      <c r="U1558" s="60">
        <v>26.89</v>
      </c>
    </row>
    <row r="1559" spans="1:21">
      <c r="A1559" s="60" t="s">
        <v>2794</v>
      </c>
      <c r="B1559" s="60" t="s">
        <v>2953</v>
      </c>
      <c r="C1559" s="60" t="s">
        <v>4860</v>
      </c>
      <c r="D1559" s="60">
        <v>11.15</v>
      </c>
      <c r="E1559" s="60">
        <v>0.9</v>
      </c>
      <c r="F1559" s="60">
        <v>284</v>
      </c>
      <c r="G1559" s="60">
        <v>0</v>
      </c>
      <c r="H1559" s="60">
        <v>0.85</v>
      </c>
      <c r="I1559" s="60">
        <v>13.91</v>
      </c>
      <c r="J1559" s="60">
        <v>0</v>
      </c>
      <c r="O1559" s="60" t="s">
        <v>2794</v>
      </c>
      <c r="P1559" s="60" t="s">
        <v>2949</v>
      </c>
      <c r="Q1559" s="60" t="s">
        <v>4771</v>
      </c>
      <c r="R1559" s="60">
        <v>39.25</v>
      </c>
      <c r="S1559" s="60">
        <v>-0.63</v>
      </c>
      <c r="T1559" s="60">
        <v>93</v>
      </c>
      <c r="U1559" s="60">
        <v>43.42</v>
      </c>
    </row>
    <row r="1560" spans="1:21">
      <c r="A1560" s="60" t="s">
        <v>2796</v>
      </c>
      <c r="B1560" s="60" t="s">
        <v>2955</v>
      </c>
      <c r="C1560" s="60" t="s">
        <v>4814</v>
      </c>
      <c r="D1560" s="60">
        <v>22.2</v>
      </c>
      <c r="E1560" s="60">
        <v>2.54</v>
      </c>
      <c r="F1560" s="60">
        <v>5005</v>
      </c>
      <c r="G1560" s="60">
        <v>0.16</v>
      </c>
      <c r="H1560" s="60">
        <v>8.14</v>
      </c>
      <c r="I1560" s="60">
        <v>18.07</v>
      </c>
      <c r="J1560" s="60">
        <v>0</v>
      </c>
      <c r="O1560" s="60" t="s">
        <v>2796</v>
      </c>
      <c r="P1560" s="60" t="s">
        <v>2951</v>
      </c>
      <c r="Q1560" s="60" t="s">
        <v>4725</v>
      </c>
      <c r="R1560" s="60">
        <v>66.8</v>
      </c>
      <c r="S1560" s="60">
        <v>2.93</v>
      </c>
      <c r="T1560" s="60">
        <v>9348</v>
      </c>
      <c r="U1560" s="60">
        <v>3.13</v>
      </c>
    </row>
    <row r="1561" spans="1:21">
      <c r="A1561" s="60" t="s">
        <v>2798</v>
      </c>
      <c r="B1561" s="60" t="s">
        <v>2957</v>
      </c>
      <c r="C1561" s="60" t="s">
        <v>5119</v>
      </c>
      <c r="D1561" s="60">
        <v>33.65</v>
      </c>
      <c r="E1561" s="60">
        <v>1.66</v>
      </c>
      <c r="F1561" s="60">
        <v>226</v>
      </c>
      <c r="G1561" s="60">
        <v>0.01</v>
      </c>
      <c r="H1561" s="60">
        <v>9.35</v>
      </c>
      <c r="I1561" s="60">
        <v>6.96</v>
      </c>
      <c r="J1561" s="60">
        <v>0</v>
      </c>
      <c r="O1561" s="60" t="s">
        <v>2798</v>
      </c>
      <c r="P1561" s="60" t="s">
        <v>2953</v>
      </c>
      <c r="Q1561" s="60" t="s">
        <v>4860</v>
      </c>
      <c r="R1561" s="60">
        <v>11.15</v>
      </c>
      <c r="S1561" s="60">
        <v>0.9</v>
      </c>
      <c r="T1561" s="60">
        <v>284</v>
      </c>
      <c r="U1561" s="60">
        <v>72.69</v>
      </c>
    </row>
    <row r="1562" spans="1:21">
      <c r="A1562" s="60" t="s">
        <v>2800</v>
      </c>
      <c r="B1562" s="60" t="s">
        <v>3480</v>
      </c>
      <c r="C1562" s="60" t="s">
        <v>4975</v>
      </c>
      <c r="D1562" s="60">
        <v>9.2799999999999994</v>
      </c>
      <c r="E1562" s="60">
        <v>-6.26</v>
      </c>
      <c r="F1562" s="60">
        <v>111</v>
      </c>
      <c r="G1562" s="60">
        <v>0</v>
      </c>
      <c r="H1562" s="60">
        <v>10.029999999999999</v>
      </c>
      <c r="I1562" s="60">
        <v>0</v>
      </c>
      <c r="J1562" s="60">
        <v>0</v>
      </c>
      <c r="O1562" s="60" t="s">
        <v>2800</v>
      </c>
      <c r="P1562" s="60" t="s">
        <v>2955</v>
      </c>
      <c r="Q1562" s="60" t="s">
        <v>4814</v>
      </c>
      <c r="R1562" s="60">
        <v>22.2</v>
      </c>
      <c r="S1562" s="60">
        <v>2.54</v>
      </c>
      <c r="T1562" s="60">
        <v>5005</v>
      </c>
      <c r="U1562" s="60">
        <v>32.25</v>
      </c>
    </row>
    <row r="1563" spans="1:21">
      <c r="A1563" s="60" t="s">
        <v>2802</v>
      </c>
      <c r="B1563" s="60" t="s">
        <v>3481</v>
      </c>
      <c r="C1563" s="60" t="s">
        <v>4976</v>
      </c>
      <c r="D1563" s="60">
        <v>27.45</v>
      </c>
      <c r="E1563" s="60">
        <v>1.1000000000000001</v>
      </c>
      <c r="F1563" s="60">
        <v>44</v>
      </c>
      <c r="G1563" s="60">
        <v>0</v>
      </c>
      <c r="H1563" s="60">
        <v>11.18</v>
      </c>
      <c r="I1563" s="60">
        <v>0</v>
      </c>
      <c r="J1563" s="60">
        <v>0</v>
      </c>
      <c r="O1563" s="60" t="s">
        <v>2802</v>
      </c>
      <c r="P1563" s="60" t="s">
        <v>2957</v>
      </c>
      <c r="Q1563" s="60" t="s">
        <v>5119</v>
      </c>
      <c r="R1563" s="60">
        <v>33.65</v>
      </c>
      <c r="S1563" s="60">
        <v>1.66</v>
      </c>
      <c r="T1563" s="60">
        <v>226</v>
      </c>
      <c r="U1563" s="60">
        <v>0</v>
      </c>
    </row>
    <row r="1564" spans="1:21">
      <c r="A1564" s="60" t="s">
        <v>2804</v>
      </c>
      <c r="B1564" s="60" t="s">
        <v>2960</v>
      </c>
      <c r="C1564" s="60" t="s">
        <v>3688</v>
      </c>
      <c r="D1564" s="60">
        <v>121</v>
      </c>
      <c r="E1564" s="60">
        <v>3.42</v>
      </c>
      <c r="F1564" s="60">
        <v>69054</v>
      </c>
      <c r="G1564" s="60">
        <v>0.93</v>
      </c>
      <c r="H1564" s="60">
        <v>37.92</v>
      </c>
      <c r="I1564" s="60">
        <v>7.1</v>
      </c>
      <c r="J1564" s="60">
        <v>3.2</v>
      </c>
      <c r="O1564" s="60" t="s">
        <v>2804</v>
      </c>
      <c r="P1564" s="60" t="s">
        <v>3480</v>
      </c>
      <c r="Q1564" s="60" t="s">
        <v>4975</v>
      </c>
      <c r="R1564" s="60">
        <v>9.2799999999999994</v>
      </c>
      <c r="S1564" s="60">
        <v>-6.26</v>
      </c>
      <c r="T1564" s="60">
        <v>111</v>
      </c>
      <c r="U1564" s="60">
        <v>74.61</v>
      </c>
    </row>
    <row r="1565" spans="1:21">
      <c r="A1565" s="60" t="s">
        <v>2806</v>
      </c>
      <c r="B1565" s="60" t="s">
        <v>2962</v>
      </c>
      <c r="C1565" s="60" t="s">
        <v>4248</v>
      </c>
      <c r="D1565" s="60">
        <v>34.9</v>
      </c>
      <c r="E1565" s="60">
        <v>0.43</v>
      </c>
      <c r="F1565" s="60">
        <v>931</v>
      </c>
      <c r="G1565" s="60">
        <v>0.02</v>
      </c>
      <c r="H1565" s="60">
        <v>11.71</v>
      </c>
      <c r="I1565" s="60">
        <v>4.91</v>
      </c>
      <c r="J1565" s="60">
        <v>0</v>
      </c>
      <c r="O1565" s="60" t="s">
        <v>2806</v>
      </c>
      <c r="P1565" s="60" t="s">
        <v>3481</v>
      </c>
      <c r="Q1565" s="60" t="s">
        <v>4976</v>
      </c>
      <c r="R1565" s="60">
        <v>27.45</v>
      </c>
      <c r="S1565" s="60">
        <v>1.1000000000000001</v>
      </c>
      <c r="T1565" s="60">
        <v>44</v>
      </c>
      <c r="U1565" s="60">
        <v>78.67</v>
      </c>
    </row>
    <row r="1566" spans="1:21">
      <c r="A1566" s="60" t="s">
        <v>2808</v>
      </c>
      <c r="B1566" s="60" t="s">
        <v>2964</v>
      </c>
      <c r="C1566" s="60" t="s">
        <v>4953</v>
      </c>
      <c r="D1566" s="60">
        <v>12.5</v>
      </c>
      <c r="E1566" s="60">
        <v>-0.4</v>
      </c>
      <c r="F1566" s="60">
        <v>79</v>
      </c>
      <c r="G1566" s="60">
        <v>0</v>
      </c>
      <c r="H1566" s="60">
        <v>4.91</v>
      </c>
      <c r="I1566" s="60">
        <v>15.44</v>
      </c>
      <c r="J1566" s="60">
        <v>0</v>
      </c>
      <c r="O1566" s="60" t="s">
        <v>2808</v>
      </c>
      <c r="P1566" s="60" t="s">
        <v>2960</v>
      </c>
      <c r="Q1566" s="60" t="s">
        <v>3688</v>
      </c>
      <c r="R1566" s="60">
        <v>121</v>
      </c>
      <c r="S1566" s="60">
        <v>3.42</v>
      </c>
      <c r="T1566" s="60">
        <v>69054</v>
      </c>
      <c r="U1566" s="60">
        <v>73.44</v>
      </c>
    </row>
    <row r="1567" spans="1:21">
      <c r="A1567" s="60" t="s">
        <v>2810</v>
      </c>
      <c r="B1567" s="60" t="s">
        <v>2966</v>
      </c>
      <c r="C1567" s="60" t="s">
        <v>4249</v>
      </c>
      <c r="D1567" s="60">
        <v>24.45</v>
      </c>
      <c r="E1567" s="60">
        <v>0.41</v>
      </c>
      <c r="F1567" s="60">
        <v>23</v>
      </c>
      <c r="G1567" s="60">
        <v>0</v>
      </c>
      <c r="H1567" s="60">
        <v>1.26</v>
      </c>
      <c r="I1567" s="60">
        <v>1.92</v>
      </c>
      <c r="J1567" s="60">
        <v>0</v>
      </c>
      <c r="O1567" s="60" t="s">
        <v>2810</v>
      </c>
      <c r="P1567" s="60" t="s">
        <v>2962</v>
      </c>
      <c r="Q1567" s="60" t="s">
        <v>4248</v>
      </c>
      <c r="R1567" s="60">
        <v>34.9</v>
      </c>
      <c r="S1567" s="60">
        <v>0.43</v>
      </c>
      <c r="T1567" s="60">
        <v>931</v>
      </c>
      <c r="U1567" s="60">
        <v>71.7</v>
      </c>
    </row>
    <row r="1568" spans="1:21">
      <c r="A1568" s="60" t="s">
        <v>2812</v>
      </c>
      <c r="B1568" s="60" t="s">
        <v>2968</v>
      </c>
      <c r="C1568" s="60" t="s">
        <v>4954</v>
      </c>
      <c r="D1568" s="60">
        <v>19.3</v>
      </c>
      <c r="E1568" s="60">
        <v>0.52</v>
      </c>
      <c r="F1568" s="60">
        <v>49</v>
      </c>
      <c r="G1568" s="60">
        <v>0</v>
      </c>
      <c r="H1568" s="60">
        <v>2.87</v>
      </c>
      <c r="I1568" s="60">
        <v>9.59</v>
      </c>
      <c r="J1568" s="60">
        <v>0</v>
      </c>
      <c r="O1568" s="60" t="s">
        <v>2812</v>
      </c>
      <c r="P1568" s="60" t="s">
        <v>2964</v>
      </c>
      <c r="Q1568" s="60" t="s">
        <v>4953</v>
      </c>
      <c r="R1568" s="60">
        <v>12.5</v>
      </c>
      <c r="S1568" s="60">
        <v>-0.4</v>
      </c>
      <c r="T1568" s="60">
        <v>79</v>
      </c>
      <c r="U1568" s="60">
        <v>36.17</v>
      </c>
    </row>
    <row r="1569" spans="1:21">
      <c r="A1569" s="60" t="s">
        <v>2814</v>
      </c>
      <c r="B1569" s="60" t="s">
        <v>2970</v>
      </c>
      <c r="C1569" s="60" t="s">
        <v>4772</v>
      </c>
      <c r="D1569" s="60">
        <v>32.549999999999997</v>
      </c>
      <c r="E1569" s="60">
        <v>2.36</v>
      </c>
      <c r="F1569" s="60">
        <v>971</v>
      </c>
      <c r="G1569" s="60">
        <v>0.02</v>
      </c>
      <c r="H1569" s="60">
        <v>6.76</v>
      </c>
      <c r="I1569" s="60">
        <v>11.58</v>
      </c>
      <c r="J1569" s="60">
        <v>0</v>
      </c>
      <c r="O1569" s="60" t="s">
        <v>2814</v>
      </c>
      <c r="P1569" s="60" t="s">
        <v>2966</v>
      </c>
      <c r="Q1569" s="60" t="s">
        <v>4249</v>
      </c>
      <c r="R1569" s="60">
        <v>24.45</v>
      </c>
      <c r="S1569" s="60">
        <v>0.41</v>
      </c>
      <c r="T1569" s="60">
        <v>23</v>
      </c>
      <c r="U1569" s="60">
        <v>67.34</v>
      </c>
    </row>
    <row r="1570" spans="1:21">
      <c r="A1570" s="60" t="s">
        <v>2816</v>
      </c>
      <c r="B1570" s="60" t="s">
        <v>3482</v>
      </c>
      <c r="C1570" s="60" t="s">
        <v>5099</v>
      </c>
      <c r="D1570" s="60">
        <v>11.4</v>
      </c>
      <c r="E1570" s="60">
        <v>-1.72</v>
      </c>
      <c r="F1570" s="60">
        <v>7</v>
      </c>
      <c r="G1570" s="60">
        <v>0</v>
      </c>
      <c r="H1570" s="60">
        <v>51.14</v>
      </c>
      <c r="I1570" s="60">
        <v>0</v>
      </c>
      <c r="J1570" s="60">
        <v>0</v>
      </c>
      <c r="O1570" s="60" t="s">
        <v>2816</v>
      </c>
      <c r="P1570" s="60" t="s">
        <v>2968</v>
      </c>
      <c r="Q1570" s="60" t="s">
        <v>4954</v>
      </c>
      <c r="R1570" s="60">
        <v>19.3</v>
      </c>
      <c r="S1570" s="60">
        <v>0.52</v>
      </c>
      <c r="T1570" s="60">
        <v>49</v>
      </c>
      <c r="U1570" s="60">
        <v>39.68</v>
      </c>
    </row>
    <row r="1571" spans="1:21">
      <c r="A1571" s="60" t="s">
        <v>2818</v>
      </c>
      <c r="B1571" s="60" t="s">
        <v>5537</v>
      </c>
      <c r="C1571" s="60" t="s">
        <v>5538</v>
      </c>
      <c r="D1571" s="60">
        <v>8.1</v>
      </c>
      <c r="E1571" s="60">
        <v>-4.71</v>
      </c>
      <c r="F1571" s="60">
        <v>27</v>
      </c>
      <c r="G1571" s="60">
        <v>0</v>
      </c>
      <c r="H1571" s="60">
        <v>0.01</v>
      </c>
      <c r="I1571" s="60">
        <v>0</v>
      </c>
      <c r="J1571" s="60">
        <v>0</v>
      </c>
      <c r="O1571" s="60" t="s">
        <v>2818</v>
      </c>
      <c r="P1571" s="60" t="s">
        <v>2970</v>
      </c>
      <c r="Q1571" s="60" t="s">
        <v>4772</v>
      </c>
      <c r="R1571" s="60">
        <v>32.549999999999997</v>
      </c>
      <c r="S1571" s="60">
        <v>2.36</v>
      </c>
      <c r="T1571" s="60">
        <v>971</v>
      </c>
      <c r="U1571" s="60">
        <v>30.05</v>
      </c>
    </row>
    <row r="1572" spans="1:21">
      <c r="A1572" s="60" t="s">
        <v>2820</v>
      </c>
      <c r="B1572" s="60" t="s">
        <v>2972</v>
      </c>
      <c r="C1572" s="60" t="s">
        <v>3594</v>
      </c>
      <c r="D1572" s="60">
        <v>250.5</v>
      </c>
      <c r="E1572" s="60">
        <v>-0.4</v>
      </c>
      <c r="F1572" s="60">
        <v>661</v>
      </c>
      <c r="G1572" s="60">
        <v>0.14000000000000001</v>
      </c>
      <c r="H1572" s="60">
        <v>25.48</v>
      </c>
      <c r="I1572" s="60">
        <v>11.24</v>
      </c>
      <c r="J1572" s="60">
        <v>2.34</v>
      </c>
      <c r="O1572" s="60" t="s">
        <v>2820</v>
      </c>
      <c r="P1572" s="60" t="s">
        <v>3482</v>
      </c>
      <c r="Q1572" s="60" t="s">
        <v>5099</v>
      </c>
      <c r="R1572" s="60">
        <v>11.4</v>
      </c>
      <c r="S1572" s="60">
        <v>-1.72</v>
      </c>
      <c r="T1572" s="60">
        <v>7</v>
      </c>
      <c r="U1572" s="60">
        <v>88.92</v>
      </c>
    </row>
    <row r="1573" spans="1:21">
      <c r="A1573" s="60" t="s">
        <v>2822</v>
      </c>
      <c r="B1573" s="60" t="s">
        <v>2974</v>
      </c>
      <c r="C1573" s="60" t="s">
        <v>4556</v>
      </c>
      <c r="D1573" s="60">
        <v>173</v>
      </c>
      <c r="E1573" s="60">
        <v>0</v>
      </c>
      <c r="F1573" s="60">
        <v>25</v>
      </c>
      <c r="G1573" s="60">
        <v>0</v>
      </c>
      <c r="H1573" s="60">
        <v>0.89</v>
      </c>
      <c r="I1573" s="60">
        <v>0.81</v>
      </c>
      <c r="J1573" s="60">
        <v>0</v>
      </c>
      <c r="O1573" s="60" t="s">
        <v>2822</v>
      </c>
      <c r="P1573" s="60" t="s">
        <v>5537</v>
      </c>
      <c r="Q1573" s="60" t="s">
        <v>5538</v>
      </c>
      <c r="R1573" s="60">
        <v>8.1</v>
      </c>
      <c r="S1573" s="60">
        <v>-4.71</v>
      </c>
      <c r="T1573" s="60">
        <v>27</v>
      </c>
      <c r="U1573" s="60">
        <v>45.57</v>
      </c>
    </row>
    <row r="1574" spans="1:21">
      <c r="A1574" s="60" t="s">
        <v>2824</v>
      </c>
      <c r="B1574" s="60" t="s">
        <v>3483</v>
      </c>
      <c r="C1574" s="60" t="s">
        <v>4977</v>
      </c>
      <c r="D1574" s="60">
        <v>63.3</v>
      </c>
      <c r="E1574" s="60">
        <v>-0.63</v>
      </c>
      <c r="F1574" s="60">
        <v>72</v>
      </c>
      <c r="G1574" s="60">
        <v>0</v>
      </c>
      <c r="H1574" s="60">
        <v>0.05</v>
      </c>
      <c r="I1574" s="60">
        <v>0</v>
      </c>
      <c r="J1574" s="60">
        <v>0</v>
      </c>
      <c r="O1574" s="60" t="s">
        <v>2824</v>
      </c>
      <c r="P1574" s="60" t="s">
        <v>2972</v>
      </c>
      <c r="Q1574" s="60" t="s">
        <v>3594</v>
      </c>
      <c r="R1574" s="60">
        <v>250.5</v>
      </c>
      <c r="S1574" s="60">
        <v>-0.4</v>
      </c>
      <c r="T1574" s="60">
        <v>661</v>
      </c>
      <c r="U1574" s="60">
        <v>25.51</v>
      </c>
    </row>
    <row r="1575" spans="1:21">
      <c r="A1575" s="60" t="s">
        <v>2826</v>
      </c>
      <c r="B1575" s="60" t="s">
        <v>3484</v>
      </c>
      <c r="C1575" s="60" t="s">
        <v>5041</v>
      </c>
      <c r="D1575" s="60">
        <v>17.05</v>
      </c>
      <c r="E1575" s="60">
        <v>-2.29</v>
      </c>
      <c r="F1575" s="60">
        <v>621</v>
      </c>
      <c r="G1575" s="60">
        <v>0</v>
      </c>
      <c r="H1575" s="60">
        <v>0.66</v>
      </c>
      <c r="I1575" s="60">
        <v>0</v>
      </c>
      <c r="J1575" s="60">
        <v>0</v>
      </c>
      <c r="O1575" s="60" t="s">
        <v>2826</v>
      </c>
      <c r="P1575" s="60" t="s">
        <v>2974</v>
      </c>
      <c r="Q1575" s="60" t="s">
        <v>4556</v>
      </c>
      <c r="R1575" s="60">
        <v>173</v>
      </c>
      <c r="S1575" s="60">
        <v>0</v>
      </c>
      <c r="T1575" s="60">
        <v>25</v>
      </c>
      <c r="U1575" s="60">
        <v>39.89</v>
      </c>
    </row>
    <row r="1576" spans="1:21">
      <c r="A1576" s="60" t="s">
        <v>2828</v>
      </c>
      <c r="B1576" s="60" t="s">
        <v>2975</v>
      </c>
      <c r="C1576" s="60" t="s">
        <v>4726</v>
      </c>
      <c r="D1576" s="60">
        <v>156</v>
      </c>
      <c r="E1576" s="60">
        <v>0</v>
      </c>
      <c r="F1576" s="60">
        <v>2566</v>
      </c>
      <c r="G1576" s="60">
        <v>3.78</v>
      </c>
      <c r="H1576" s="60">
        <v>23.2</v>
      </c>
      <c r="I1576" s="60">
        <v>22.8</v>
      </c>
      <c r="J1576" s="60">
        <v>4.76</v>
      </c>
      <c r="O1576" s="60" t="s">
        <v>2828</v>
      </c>
      <c r="P1576" s="60" t="s">
        <v>3483</v>
      </c>
      <c r="Q1576" s="60" t="s">
        <v>4977</v>
      </c>
      <c r="R1576" s="60">
        <v>63.3</v>
      </c>
      <c r="S1576" s="60">
        <v>-0.63</v>
      </c>
      <c r="T1576" s="60">
        <v>72</v>
      </c>
      <c r="U1576" s="60">
        <v>57.27</v>
      </c>
    </row>
    <row r="1577" spans="1:21">
      <c r="A1577" s="60" t="s">
        <v>2830</v>
      </c>
      <c r="B1577" s="60" t="s">
        <v>3485</v>
      </c>
      <c r="C1577" s="60" t="s">
        <v>4815</v>
      </c>
      <c r="D1577" s="60">
        <v>25.55</v>
      </c>
      <c r="E1577" s="60">
        <v>-3.95</v>
      </c>
      <c r="F1577" s="60">
        <v>44</v>
      </c>
      <c r="G1577" s="60">
        <v>0</v>
      </c>
      <c r="H1577" s="60">
        <v>1.72</v>
      </c>
      <c r="I1577" s="60">
        <v>0</v>
      </c>
      <c r="J1577" s="60">
        <v>0</v>
      </c>
      <c r="O1577" s="60" t="s">
        <v>2830</v>
      </c>
      <c r="P1577" s="60" t="s">
        <v>3484</v>
      </c>
      <c r="Q1577" s="60" t="s">
        <v>5041</v>
      </c>
      <c r="R1577" s="60">
        <v>17.05</v>
      </c>
      <c r="S1577" s="60">
        <v>-2.29</v>
      </c>
      <c r="T1577" s="60">
        <v>621</v>
      </c>
      <c r="U1577" s="60">
        <v>57.68</v>
      </c>
    </row>
    <row r="1578" spans="1:21">
      <c r="A1578" s="60" t="s">
        <v>2831</v>
      </c>
      <c r="B1578" s="60" t="s">
        <v>2976</v>
      </c>
      <c r="C1578" s="60" t="s">
        <v>4727</v>
      </c>
      <c r="D1578" s="60">
        <v>25.05</v>
      </c>
      <c r="E1578" s="60">
        <v>9.8699999999999992</v>
      </c>
      <c r="F1578" s="60">
        <v>2171</v>
      </c>
      <c r="G1578" s="60">
        <v>0.12</v>
      </c>
      <c r="H1578" s="60">
        <v>9.9600000000000009</v>
      </c>
      <c r="I1578" s="60">
        <v>16.03</v>
      </c>
      <c r="J1578" s="60">
        <v>0</v>
      </c>
      <c r="O1578" s="60" t="s">
        <v>2831</v>
      </c>
      <c r="P1578" s="60" t="s">
        <v>2975</v>
      </c>
      <c r="Q1578" s="60" t="s">
        <v>4726</v>
      </c>
      <c r="R1578" s="60">
        <v>156</v>
      </c>
      <c r="S1578" s="60">
        <v>0</v>
      </c>
      <c r="T1578" s="60">
        <v>2566</v>
      </c>
      <c r="U1578" s="60">
        <v>44.16</v>
      </c>
    </row>
    <row r="1579" spans="1:21">
      <c r="A1579" s="60" t="s">
        <v>2833</v>
      </c>
      <c r="B1579" s="60" t="s">
        <v>2977</v>
      </c>
      <c r="C1579" s="60" t="s">
        <v>4861</v>
      </c>
      <c r="D1579" s="60">
        <v>27.45</v>
      </c>
      <c r="E1579" s="60">
        <v>1.29</v>
      </c>
      <c r="F1579" s="60">
        <v>40</v>
      </c>
      <c r="G1579" s="60">
        <v>0</v>
      </c>
      <c r="H1579" s="60">
        <v>5.0199999999999996</v>
      </c>
      <c r="I1579" s="60">
        <v>3.77</v>
      </c>
      <c r="J1579" s="60">
        <v>0</v>
      </c>
      <c r="O1579" s="60" t="s">
        <v>2833</v>
      </c>
      <c r="P1579" s="60" t="s">
        <v>3485</v>
      </c>
      <c r="Q1579" s="60" t="s">
        <v>4815</v>
      </c>
      <c r="R1579" s="60">
        <v>25.55</v>
      </c>
      <c r="S1579" s="60">
        <v>-3.95</v>
      </c>
      <c r="T1579" s="60">
        <v>44</v>
      </c>
      <c r="U1579" s="60">
        <v>40.98</v>
      </c>
    </row>
    <row r="1580" spans="1:21">
      <c r="A1580" s="60" t="s">
        <v>2835</v>
      </c>
      <c r="B1580" s="60" t="s">
        <v>2978</v>
      </c>
      <c r="C1580" s="60" t="s">
        <v>4955</v>
      </c>
      <c r="D1580" s="60">
        <v>72.8</v>
      </c>
      <c r="E1580" s="60">
        <v>0.69</v>
      </c>
      <c r="F1580" s="60">
        <v>152</v>
      </c>
      <c r="G1580" s="60">
        <v>0.03</v>
      </c>
      <c r="H1580" s="60">
        <v>4.92</v>
      </c>
      <c r="I1580" s="60">
        <v>16.59</v>
      </c>
      <c r="J1580" s="60">
        <v>0.47</v>
      </c>
      <c r="O1580" s="60" t="s">
        <v>2835</v>
      </c>
      <c r="P1580" s="60" t="s">
        <v>2976</v>
      </c>
      <c r="Q1580" s="60" t="s">
        <v>4727</v>
      </c>
      <c r="R1580" s="60">
        <v>25.05</v>
      </c>
      <c r="S1580" s="60">
        <v>9.8699999999999992</v>
      </c>
      <c r="T1580" s="60">
        <v>2171</v>
      </c>
      <c r="U1580" s="60">
        <v>18.809999999999999</v>
      </c>
    </row>
    <row r="1581" spans="1:21">
      <c r="A1581" s="60" t="s">
        <v>2837</v>
      </c>
      <c r="B1581" s="60" t="s">
        <v>3486</v>
      </c>
      <c r="C1581" s="60" t="s">
        <v>5042</v>
      </c>
      <c r="D1581" s="60">
        <v>9.02</v>
      </c>
      <c r="E1581" s="60">
        <v>0.56000000000000005</v>
      </c>
      <c r="F1581" s="60">
        <v>96</v>
      </c>
      <c r="G1581" s="60">
        <v>0</v>
      </c>
      <c r="H1581" s="60">
        <v>0.21</v>
      </c>
      <c r="I1581" s="60">
        <v>0</v>
      </c>
      <c r="J1581" s="60">
        <v>0</v>
      </c>
      <c r="O1581" s="60" t="s">
        <v>2837</v>
      </c>
      <c r="P1581" s="60" t="s">
        <v>2977</v>
      </c>
      <c r="Q1581" s="60" t="s">
        <v>4861</v>
      </c>
      <c r="R1581" s="60">
        <v>27.45</v>
      </c>
      <c r="S1581" s="60">
        <v>1.29</v>
      </c>
      <c r="T1581" s="60">
        <v>40</v>
      </c>
      <c r="U1581" s="60">
        <v>45.48</v>
      </c>
    </row>
    <row r="1582" spans="1:21">
      <c r="A1582" s="60" t="s">
        <v>2839</v>
      </c>
      <c r="B1582" s="60" t="s">
        <v>3487</v>
      </c>
      <c r="C1582" s="60" t="s">
        <v>4956</v>
      </c>
      <c r="D1582" s="60">
        <v>8.1</v>
      </c>
      <c r="E1582" s="60">
        <v>0.62</v>
      </c>
      <c r="F1582" s="60">
        <v>68</v>
      </c>
      <c r="G1582" s="60">
        <v>0</v>
      </c>
      <c r="H1582" s="60">
        <v>0</v>
      </c>
      <c r="I1582" s="60">
        <v>0</v>
      </c>
      <c r="J1582" s="60">
        <v>0</v>
      </c>
      <c r="O1582" s="60" t="s">
        <v>2839</v>
      </c>
      <c r="P1582" s="60" t="s">
        <v>2978</v>
      </c>
      <c r="Q1582" s="60" t="s">
        <v>4955</v>
      </c>
      <c r="R1582" s="60">
        <v>72.8</v>
      </c>
      <c r="S1582" s="60">
        <v>0.69</v>
      </c>
      <c r="T1582" s="60">
        <v>152</v>
      </c>
      <c r="U1582" s="60">
        <v>25.47</v>
      </c>
    </row>
    <row r="1583" spans="1:21">
      <c r="A1583" s="60" t="s">
        <v>2841</v>
      </c>
      <c r="B1583" s="60" t="s">
        <v>2979</v>
      </c>
      <c r="C1583" s="60" t="s">
        <v>4978</v>
      </c>
      <c r="D1583" s="60">
        <v>13.25</v>
      </c>
      <c r="E1583" s="60">
        <v>2.71</v>
      </c>
      <c r="F1583" s="60">
        <v>1545</v>
      </c>
      <c r="G1583" s="60">
        <v>0</v>
      </c>
      <c r="H1583" s="60">
        <v>23.19</v>
      </c>
      <c r="I1583" s="60">
        <v>13.45</v>
      </c>
      <c r="J1583" s="60">
        <v>0</v>
      </c>
      <c r="O1583" s="60" t="s">
        <v>2841</v>
      </c>
      <c r="P1583" s="60" t="s">
        <v>3486</v>
      </c>
      <c r="Q1583" s="60" t="s">
        <v>5042</v>
      </c>
      <c r="R1583" s="60">
        <v>9.02</v>
      </c>
      <c r="S1583" s="60">
        <v>0.56000000000000005</v>
      </c>
      <c r="T1583" s="60">
        <v>96</v>
      </c>
      <c r="U1583" s="60">
        <v>42.76</v>
      </c>
    </row>
    <row r="1584" spans="1:21">
      <c r="A1584" s="60" t="s">
        <v>2843</v>
      </c>
      <c r="B1584" s="60" t="s">
        <v>2980</v>
      </c>
      <c r="C1584" s="60" t="s">
        <v>4862</v>
      </c>
      <c r="D1584" s="60">
        <v>26.35</v>
      </c>
      <c r="E1584" s="60">
        <v>-1.31</v>
      </c>
      <c r="F1584" s="60">
        <v>294</v>
      </c>
      <c r="G1584" s="60">
        <v>1.1299999999999999</v>
      </c>
      <c r="H1584" s="60">
        <v>0.45</v>
      </c>
      <c r="I1584" s="60">
        <v>67.040000000000006</v>
      </c>
      <c r="J1584" s="60">
        <v>0</v>
      </c>
      <c r="O1584" s="60" t="s">
        <v>2843</v>
      </c>
      <c r="P1584" s="60" t="s">
        <v>3487</v>
      </c>
      <c r="Q1584" s="60" t="s">
        <v>4956</v>
      </c>
      <c r="R1584" s="60">
        <v>8.1</v>
      </c>
      <c r="S1584" s="60">
        <v>0.62</v>
      </c>
      <c r="T1584" s="60">
        <v>68</v>
      </c>
      <c r="U1584" s="60">
        <v>42.55</v>
      </c>
    </row>
    <row r="1585" spans="1:21">
      <c r="A1585" s="60" t="s">
        <v>2845</v>
      </c>
      <c r="B1585" s="60" t="s">
        <v>2981</v>
      </c>
      <c r="C1585" s="60" t="s">
        <v>3603</v>
      </c>
      <c r="D1585" s="60">
        <v>43.15</v>
      </c>
      <c r="E1585" s="60">
        <v>1.05</v>
      </c>
      <c r="F1585" s="60">
        <v>803</v>
      </c>
      <c r="G1585" s="60">
        <v>7.0000000000000007E-2</v>
      </c>
      <c r="H1585" s="60">
        <v>2.11</v>
      </c>
      <c r="I1585" s="60">
        <v>34.979999999999997</v>
      </c>
      <c r="J1585" s="60">
        <v>0</v>
      </c>
      <c r="O1585" s="60" t="s">
        <v>2845</v>
      </c>
      <c r="P1585" s="60" t="s">
        <v>2979</v>
      </c>
      <c r="Q1585" s="60" t="s">
        <v>4978</v>
      </c>
      <c r="R1585" s="60">
        <v>13.25</v>
      </c>
      <c r="S1585" s="60">
        <v>2.71</v>
      </c>
      <c r="T1585" s="60">
        <v>1545</v>
      </c>
      <c r="U1585" s="60">
        <v>23.87</v>
      </c>
    </row>
    <row r="1586" spans="1:21">
      <c r="A1586" s="60" t="s">
        <v>2847</v>
      </c>
      <c r="B1586" s="60" t="s">
        <v>3488</v>
      </c>
      <c r="C1586" s="60" t="s">
        <v>4143</v>
      </c>
      <c r="D1586" s="60">
        <v>2.4</v>
      </c>
      <c r="E1586" s="60">
        <v>0</v>
      </c>
      <c r="F1586" s="60">
        <v>233</v>
      </c>
      <c r="G1586" s="60">
        <v>0</v>
      </c>
      <c r="H1586" s="60">
        <v>0.21</v>
      </c>
      <c r="I1586" s="60">
        <v>0</v>
      </c>
      <c r="J1586" s="60">
        <v>0</v>
      </c>
      <c r="O1586" s="60" t="s">
        <v>2847</v>
      </c>
      <c r="P1586" s="60" t="s">
        <v>2980</v>
      </c>
      <c r="Q1586" s="60" t="s">
        <v>4862</v>
      </c>
      <c r="R1586" s="60">
        <v>26.35</v>
      </c>
      <c r="S1586" s="60">
        <v>-1.31</v>
      </c>
      <c r="T1586" s="60">
        <v>294</v>
      </c>
      <c r="U1586" s="60">
        <v>39.18</v>
      </c>
    </row>
    <row r="1587" spans="1:21">
      <c r="A1587" s="60" t="s">
        <v>2849</v>
      </c>
      <c r="B1587" s="60" t="s">
        <v>2982</v>
      </c>
      <c r="C1587" s="60" t="s">
        <v>4227</v>
      </c>
      <c r="D1587" s="60">
        <v>51.8</v>
      </c>
      <c r="E1587" s="60">
        <v>3.91</v>
      </c>
      <c r="F1587" s="60">
        <v>4298</v>
      </c>
      <c r="G1587" s="60">
        <v>2.93</v>
      </c>
      <c r="H1587" s="60">
        <v>16.8</v>
      </c>
      <c r="I1587" s="60">
        <v>29.67</v>
      </c>
      <c r="J1587" s="60">
        <v>0</v>
      </c>
      <c r="O1587" s="60" t="s">
        <v>2849</v>
      </c>
      <c r="P1587" s="60" t="s">
        <v>2981</v>
      </c>
      <c r="Q1587" s="60" t="s">
        <v>3603</v>
      </c>
      <c r="R1587" s="60">
        <v>43.15</v>
      </c>
      <c r="S1587" s="60">
        <v>1.05</v>
      </c>
      <c r="T1587" s="60">
        <v>803</v>
      </c>
      <c r="U1587" s="60">
        <v>74.8</v>
      </c>
    </row>
    <row r="1588" spans="1:21">
      <c r="A1588" s="60" t="s">
        <v>2851</v>
      </c>
      <c r="B1588" s="60" t="s">
        <v>2983</v>
      </c>
      <c r="C1588" s="60" t="s">
        <v>4105</v>
      </c>
      <c r="D1588" s="60">
        <v>49.05</v>
      </c>
      <c r="E1588" s="60">
        <v>0.2</v>
      </c>
      <c r="F1588" s="60">
        <v>170</v>
      </c>
      <c r="G1588" s="60">
        <v>0.06</v>
      </c>
      <c r="H1588" s="60">
        <v>1.32</v>
      </c>
      <c r="I1588" s="60">
        <v>8.8699999999999992</v>
      </c>
      <c r="J1588" s="60">
        <v>0</v>
      </c>
      <c r="O1588" s="60" t="s">
        <v>2851</v>
      </c>
      <c r="P1588" s="60" t="s">
        <v>3488</v>
      </c>
      <c r="Q1588" s="60" t="s">
        <v>4143</v>
      </c>
      <c r="R1588" s="60">
        <v>2.4</v>
      </c>
      <c r="S1588" s="60">
        <v>0</v>
      </c>
      <c r="T1588" s="60">
        <v>233</v>
      </c>
      <c r="U1588" s="60">
        <v>47.08</v>
      </c>
    </row>
    <row r="1589" spans="1:21">
      <c r="A1589" s="60" t="s">
        <v>2853</v>
      </c>
      <c r="B1589" s="60" t="s">
        <v>2984</v>
      </c>
      <c r="C1589" s="60" t="s">
        <v>4106</v>
      </c>
      <c r="D1589" s="60">
        <v>12.95</v>
      </c>
      <c r="E1589" s="60">
        <v>-0.38</v>
      </c>
      <c r="F1589" s="60">
        <v>1075</v>
      </c>
      <c r="G1589" s="60">
        <v>0.03</v>
      </c>
      <c r="H1589" s="60">
        <v>60.36</v>
      </c>
      <c r="I1589" s="60">
        <v>9.39</v>
      </c>
      <c r="J1589" s="60">
        <v>0</v>
      </c>
      <c r="O1589" s="60" t="s">
        <v>2853</v>
      </c>
      <c r="P1589" s="60" t="s">
        <v>2982</v>
      </c>
      <c r="Q1589" s="60" t="s">
        <v>4227</v>
      </c>
      <c r="R1589" s="60">
        <v>51.8</v>
      </c>
      <c r="S1589" s="60">
        <v>3.91</v>
      </c>
      <c r="T1589" s="60">
        <v>4298</v>
      </c>
      <c r="U1589" s="60">
        <v>26.66</v>
      </c>
    </row>
    <row r="1590" spans="1:21">
      <c r="A1590" s="60" t="s">
        <v>2855</v>
      </c>
      <c r="B1590" s="60" t="s">
        <v>2985</v>
      </c>
      <c r="C1590" s="60" t="s">
        <v>3571</v>
      </c>
      <c r="D1590" s="60">
        <v>18.649999999999999</v>
      </c>
      <c r="E1590" s="60">
        <v>0.81</v>
      </c>
      <c r="F1590" s="60">
        <v>71</v>
      </c>
      <c r="G1590" s="60">
        <v>0.01</v>
      </c>
      <c r="H1590" s="60">
        <v>2.12</v>
      </c>
      <c r="I1590" s="60">
        <v>11.2</v>
      </c>
      <c r="J1590" s="60">
        <v>0.03</v>
      </c>
      <c r="O1590" s="60" t="s">
        <v>2855</v>
      </c>
      <c r="P1590" s="60" t="s">
        <v>2983</v>
      </c>
      <c r="Q1590" s="60" t="s">
        <v>4105</v>
      </c>
      <c r="R1590" s="60">
        <v>49.05</v>
      </c>
      <c r="S1590" s="60">
        <v>0.2</v>
      </c>
      <c r="T1590" s="60">
        <v>170</v>
      </c>
      <c r="U1590" s="60">
        <v>52.93</v>
      </c>
    </row>
    <row r="1591" spans="1:21">
      <c r="A1591" s="60" t="s">
        <v>2857</v>
      </c>
      <c r="B1591" s="60" t="s">
        <v>2986</v>
      </c>
      <c r="C1591" s="60" t="s">
        <v>4957</v>
      </c>
      <c r="D1591" s="60">
        <v>71.599999999999994</v>
      </c>
      <c r="E1591" s="60">
        <v>0.14000000000000001</v>
      </c>
      <c r="F1591" s="60">
        <v>20</v>
      </c>
      <c r="G1591" s="60">
        <v>0</v>
      </c>
      <c r="H1591" s="60">
        <v>1.72</v>
      </c>
      <c r="I1591" s="60">
        <v>0.44</v>
      </c>
      <c r="J1591" s="60">
        <v>0.44</v>
      </c>
      <c r="O1591" s="60" t="s">
        <v>2857</v>
      </c>
      <c r="P1591" s="60" t="s">
        <v>2984</v>
      </c>
      <c r="Q1591" s="60" t="s">
        <v>4106</v>
      </c>
      <c r="R1591" s="60">
        <v>12.95</v>
      </c>
      <c r="S1591" s="60">
        <v>-0.38</v>
      </c>
      <c r="T1591" s="60">
        <v>1075</v>
      </c>
      <c r="U1591" s="60">
        <v>60.46</v>
      </c>
    </row>
    <row r="1592" spans="1:21">
      <c r="A1592" s="60" t="s">
        <v>2859</v>
      </c>
      <c r="B1592" s="60" t="s">
        <v>2987</v>
      </c>
      <c r="C1592" s="60" t="s">
        <v>3995</v>
      </c>
      <c r="D1592" s="60">
        <v>19.25</v>
      </c>
      <c r="E1592" s="60">
        <v>0.79</v>
      </c>
      <c r="F1592" s="60">
        <v>8584</v>
      </c>
      <c r="G1592" s="60">
        <v>0.09</v>
      </c>
      <c r="H1592" s="60">
        <v>4.46</v>
      </c>
      <c r="I1592" s="60">
        <v>10.96</v>
      </c>
      <c r="J1592" s="60">
        <v>0</v>
      </c>
      <c r="O1592" s="60" t="s">
        <v>2859</v>
      </c>
      <c r="P1592" s="60" t="s">
        <v>2985</v>
      </c>
      <c r="Q1592" s="60" t="s">
        <v>3571</v>
      </c>
      <c r="R1592" s="60">
        <v>18.649999999999999</v>
      </c>
      <c r="S1592" s="60">
        <v>0.81</v>
      </c>
      <c r="T1592" s="60">
        <v>71</v>
      </c>
      <c r="U1592" s="60">
        <v>47.02</v>
      </c>
    </row>
    <row r="1593" spans="1:21">
      <c r="A1593" s="60" t="s">
        <v>2861</v>
      </c>
      <c r="B1593" s="60" t="s">
        <v>2988</v>
      </c>
      <c r="C1593" s="60" t="s">
        <v>4816</v>
      </c>
      <c r="D1593" s="60">
        <v>21.7</v>
      </c>
      <c r="E1593" s="60">
        <v>1.64</v>
      </c>
      <c r="F1593" s="60">
        <v>1425</v>
      </c>
      <c r="G1593" s="60">
        <v>0.55000000000000004</v>
      </c>
      <c r="H1593" s="60">
        <v>1.17</v>
      </c>
      <c r="I1593" s="60">
        <v>12.38</v>
      </c>
      <c r="J1593" s="60">
        <v>0</v>
      </c>
      <c r="O1593" s="60" t="s">
        <v>2861</v>
      </c>
      <c r="P1593" s="60" t="s">
        <v>2986</v>
      </c>
      <c r="Q1593" s="60" t="s">
        <v>4957</v>
      </c>
      <c r="R1593" s="60">
        <v>71.599999999999994</v>
      </c>
      <c r="S1593" s="60">
        <v>0.14000000000000001</v>
      </c>
      <c r="T1593" s="60">
        <v>20</v>
      </c>
      <c r="U1593" s="60">
        <v>37.11</v>
      </c>
    </row>
    <row r="1594" spans="1:21">
      <c r="A1594" s="60" t="s">
        <v>2863</v>
      </c>
      <c r="B1594" s="60" t="s">
        <v>2989</v>
      </c>
      <c r="C1594" s="60" t="s">
        <v>4250</v>
      </c>
      <c r="D1594" s="60">
        <v>44.6</v>
      </c>
      <c r="E1594" s="60">
        <v>1.36</v>
      </c>
      <c r="F1594" s="60">
        <v>4610</v>
      </c>
      <c r="G1594" s="60">
        <v>0.02</v>
      </c>
      <c r="H1594" s="60">
        <v>21.41</v>
      </c>
      <c r="I1594" s="60">
        <v>8.44</v>
      </c>
      <c r="J1594" s="60">
        <v>0.13</v>
      </c>
      <c r="O1594" s="60" t="s">
        <v>2863</v>
      </c>
      <c r="P1594" s="60" t="s">
        <v>2987</v>
      </c>
      <c r="Q1594" s="60" t="s">
        <v>3995</v>
      </c>
      <c r="R1594" s="60">
        <v>19.25</v>
      </c>
      <c r="S1594" s="60">
        <v>0.79</v>
      </c>
      <c r="T1594" s="60">
        <v>8584</v>
      </c>
      <c r="U1594" s="60">
        <v>57.69</v>
      </c>
    </row>
    <row r="1595" spans="1:21">
      <c r="A1595" s="60" t="s">
        <v>2865</v>
      </c>
      <c r="B1595" s="60" t="s">
        <v>2990</v>
      </c>
      <c r="C1595" s="60" t="s">
        <v>4047</v>
      </c>
      <c r="D1595" s="60">
        <v>107</v>
      </c>
      <c r="E1595" s="60">
        <v>3.38</v>
      </c>
      <c r="F1595" s="60">
        <v>484</v>
      </c>
      <c r="G1595" s="60">
        <v>0.01</v>
      </c>
      <c r="H1595" s="60">
        <v>7.34</v>
      </c>
      <c r="I1595" s="60">
        <v>4.09</v>
      </c>
      <c r="J1595" s="60">
        <v>0.19</v>
      </c>
      <c r="O1595" s="60" t="s">
        <v>2865</v>
      </c>
      <c r="P1595" s="60" t="s">
        <v>2988</v>
      </c>
      <c r="Q1595" s="60" t="s">
        <v>4816</v>
      </c>
      <c r="R1595" s="60">
        <v>21.7</v>
      </c>
      <c r="S1595" s="60">
        <v>1.64</v>
      </c>
      <c r="T1595" s="60">
        <v>1425</v>
      </c>
      <c r="U1595" s="60">
        <v>29.03</v>
      </c>
    </row>
    <row r="1596" spans="1:21">
      <c r="A1596" s="60" t="s">
        <v>2867</v>
      </c>
      <c r="B1596" s="60" t="s">
        <v>3489</v>
      </c>
      <c r="C1596" s="60" t="s">
        <v>4958</v>
      </c>
      <c r="D1596" s="60">
        <v>54.3</v>
      </c>
      <c r="E1596" s="60">
        <v>1.31</v>
      </c>
      <c r="F1596" s="60">
        <v>1913</v>
      </c>
      <c r="G1596" s="60">
        <v>0</v>
      </c>
      <c r="H1596" s="60">
        <v>2.42</v>
      </c>
      <c r="I1596" s="60">
        <v>0</v>
      </c>
      <c r="J1596" s="60">
        <v>0</v>
      </c>
      <c r="O1596" s="60" t="s">
        <v>2867</v>
      </c>
      <c r="P1596" s="60" t="s">
        <v>2989</v>
      </c>
      <c r="Q1596" s="60" t="s">
        <v>4250</v>
      </c>
      <c r="R1596" s="60">
        <v>44.6</v>
      </c>
      <c r="S1596" s="60">
        <v>1.36</v>
      </c>
      <c r="T1596" s="60">
        <v>4610</v>
      </c>
      <c r="U1596" s="60">
        <v>28.18</v>
      </c>
    </row>
    <row r="1597" spans="1:21">
      <c r="A1597" s="60" t="s">
        <v>2869</v>
      </c>
      <c r="B1597" s="60" t="s">
        <v>2991</v>
      </c>
      <c r="C1597" s="60" t="s">
        <v>3996</v>
      </c>
      <c r="D1597" s="60">
        <v>39.25</v>
      </c>
      <c r="E1597" s="60">
        <v>0.26</v>
      </c>
      <c r="F1597" s="60">
        <v>293</v>
      </c>
      <c r="G1597" s="60">
        <v>0</v>
      </c>
      <c r="H1597" s="60">
        <v>5.19</v>
      </c>
      <c r="I1597" s="60">
        <v>0.78</v>
      </c>
      <c r="J1597" s="60">
        <v>0</v>
      </c>
      <c r="O1597" s="60" t="s">
        <v>2869</v>
      </c>
      <c r="P1597" s="60" t="s">
        <v>2990</v>
      </c>
      <c r="Q1597" s="60" t="s">
        <v>4047</v>
      </c>
      <c r="R1597" s="60">
        <v>107</v>
      </c>
      <c r="S1597" s="60">
        <v>3.38</v>
      </c>
      <c r="T1597" s="60">
        <v>484</v>
      </c>
      <c r="U1597" s="60">
        <v>43.71</v>
      </c>
    </row>
    <row r="1598" spans="1:21">
      <c r="A1598" s="60" t="s">
        <v>2871</v>
      </c>
      <c r="B1598" s="60" t="s">
        <v>2992</v>
      </c>
      <c r="C1598" s="60" t="s">
        <v>4959</v>
      </c>
      <c r="D1598" s="60">
        <v>52.1</v>
      </c>
      <c r="E1598" s="60">
        <v>2.16</v>
      </c>
      <c r="F1598" s="60">
        <v>77</v>
      </c>
      <c r="G1598" s="60">
        <v>0</v>
      </c>
      <c r="H1598" s="60">
        <v>3.92</v>
      </c>
      <c r="I1598" s="60">
        <v>8.59</v>
      </c>
      <c r="J1598" s="60">
        <v>0</v>
      </c>
      <c r="O1598" s="60" t="s">
        <v>2871</v>
      </c>
      <c r="P1598" s="60" t="s">
        <v>3489</v>
      </c>
      <c r="Q1598" s="60" t="s">
        <v>4958</v>
      </c>
      <c r="R1598" s="60">
        <v>54.3</v>
      </c>
      <c r="S1598" s="60">
        <v>1.31</v>
      </c>
      <c r="T1598" s="60">
        <v>1913</v>
      </c>
      <c r="U1598" s="60">
        <v>48.03</v>
      </c>
    </row>
    <row r="1599" spans="1:21">
      <c r="A1599" s="60" t="s">
        <v>2873</v>
      </c>
      <c r="B1599" s="60" t="s">
        <v>2993</v>
      </c>
      <c r="C1599" s="60" t="s">
        <v>3997</v>
      </c>
      <c r="D1599" s="60">
        <v>47.45</v>
      </c>
      <c r="E1599" s="60">
        <v>0.32</v>
      </c>
      <c r="F1599" s="60">
        <v>6163</v>
      </c>
      <c r="G1599" s="60">
        <v>0.45</v>
      </c>
      <c r="H1599" s="60">
        <v>50.72</v>
      </c>
      <c r="I1599" s="60">
        <v>8.3699999999999992</v>
      </c>
      <c r="J1599" s="60">
        <v>1.91</v>
      </c>
      <c r="O1599" s="60" t="s">
        <v>2873</v>
      </c>
      <c r="P1599" s="60" t="s">
        <v>2991</v>
      </c>
      <c r="Q1599" s="60" t="s">
        <v>3996</v>
      </c>
      <c r="R1599" s="60">
        <v>39.25</v>
      </c>
      <c r="S1599" s="60">
        <v>0.26</v>
      </c>
      <c r="T1599" s="60">
        <v>293</v>
      </c>
      <c r="U1599" s="60">
        <v>74.73</v>
      </c>
    </row>
    <row r="1600" spans="1:21">
      <c r="A1600" s="60" t="s">
        <v>2875</v>
      </c>
      <c r="B1600" s="60" t="s">
        <v>2994</v>
      </c>
      <c r="C1600" s="60" t="s">
        <v>4960</v>
      </c>
      <c r="D1600" s="60">
        <v>148</v>
      </c>
      <c r="E1600" s="60">
        <v>-0.67</v>
      </c>
      <c r="F1600" s="60">
        <v>438</v>
      </c>
      <c r="G1600" s="60">
        <v>0.85</v>
      </c>
      <c r="H1600" s="60">
        <v>13.02</v>
      </c>
      <c r="I1600" s="60">
        <v>24.5</v>
      </c>
      <c r="J1600" s="60">
        <v>7.13</v>
      </c>
      <c r="O1600" s="60" t="s">
        <v>2875</v>
      </c>
      <c r="P1600" s="60" t="s">
        <v>2992</v>
      </c>
      <c r="Q1600" s="60" t="s">
        <v>4959</v>
      </c>
      <c r="R1600" s="60">
        <v>52.1</v>
      </c>
      <c r="S1600" s="60">
        <v>2.16</v>
      </c>
      <c r="T1600" s="60">
        <v>77</v>
      </c>
      <c r="U1600" s="60">
        <v>35.57</v>
      </c>
    </row>
    <row r="1601" spans="1:21">
      <c r="A1601" s="60" t="s">
        <v>2878</v>
      </c>
      <c r="B1601" s="60" t="s">
        <v>2995</v>
      </c>
      <c r="C1601" s="60" t="s">
        <v>4048</v>
      </c>
      <c r="D1601" s="60">
        <v>45.45</v>
      </c>
      <c r="E1601" s="60">
        <v>5.94</v>
      </c>
      <c r="F1601" s="60">
        <v>7040</v>
      </c>
      <c r="G1601" s="60">
        <v>0</v>
      </c>
      <c r="H1601" s="60">
        <v>12.71</v>
      </c>
      <c r="I1601" s="60">
        <v>4.37</v>
      </c>
      <c r="J1601" s="60">
        <v>0.03</v>
      </c>
      <c r="O1601" s="60" t="s">
        <v>2878</v>
      </c>
      <c r="P1601" s="60" t="s">
        <v>2993</v>
      </c>
      <c r="Q1601" s="60" t="s">
        <v>3997</v>
      </c>
      <c r="R1601" s="60">
        <v>47.45</v>
      </c>
      <c r="S1601" s="60">
        <v>0.32</v>
      </c>
      <c r="T1601" s="60">
        <v>6163</v>
      </c>
      <c r="U1601" s="60">
        <v>66.73</v>
      </c>
    </row>
    <row r="1602" spans="1:21">
      <c r="A1602" s="60" t="s">
        <v>2880</v>
      </c>
      <c r="B1602" s="60" t="s">
        <v>2996</v>
      </c>
      <c r="C1602" s="60" t="s">
        <v>4863</v>
      </c>
      <c r="D1602" s="60">
        <v>52.8</v>
      </c>
      <c r="E1602" s="60">
        <v>1.1499999999999999</v>
      </c>
      <c r="F1602" s="60">
        <v>690</v>
      </c>
      <c r="G1602" s="60">
        <v>3.81</v>
      </c>
      <c r="H1602" s="60">
        <v>2.2599999999999998</v>
      </c>
      <c r="I1602" s="60">
        <v>61.18</v>
      </c>
      <c r="J1602" s="60">
        <v>0.93</v>
      </c>
      <c r="O1602" s="60" t="s">
        <v>2880</v>
      </c>
      <c r="P1602" s="60" t="s">
        <v>2994</v>
      </c>
      <c r="Q1602" s="60" t="s">
        <v>4960</v>
      </c>
      <c r="R1602" s="60">
        <v>148</v>
      </c>
      <c r="S1602" s="60">
        <v>-0.67</v>
      </c>
      <c r="T1602" s="60">
        <v>438</v>
      </c>
      <c r="U1602" s="60">
        <v>45.13</v>
      </c>
    </row>
    <row r="1603" spans="1:21">
      <c r="A1603" s="60" t="s">
        <v>2882</v>
      </c>
      <c r="B1603" s="60" t="s">
        <v>3490</v>
      </c>
      <c r="C1603" s="60" t="s">
        <v>4864</v>
      </c>
      <c r="D1603" s="60">
        <v>8.89</v>
      </c>
      <c r="E1603" s="60">
        <v>1.1399999999999999</v>
      </c>
      <c r="F1603" s="60">
        <v>68</v>
      </c>
      <c r="G1603" s="60">
        <v>0</v>
      </c>
      <c r="H1603" s="60">
        <v>0.69</v>
      </c>
      <c r="I1603" s="60">
        <v>0</v>
      </c>
      <c r="J1603" s="60">
        <v>0</v>
      </c>
      <c r="O1603" s="60" t="s">
        <v>2882</v>
      </c>
      <c r="P1603" s="60" t="s">
        <v>2995</v>
      </c>
      <c r="Q1603" s="60" t="s">
        <v>4048</v>
      </c>
      <c r="R1603" s="60">
        <v>45.45</v>
      </c>
      <c r="S1603" s="60">
        <v>5.94</v>
      </c>
      <c r="T1603" s="60">
        <v>7040</v>
      </c>
      <c r="U1603" s="60">
        <v>40.130000000000003</v>
      </c>
    </row>
    <row r="1604" spans="1:21">
      <c r="A1604" s="60" t="s">
        <v>2884</v>
      </c>
      <c r="B1604" s="60" t="s">
        <v>2997</v>
      </c>
      <c r="C1604" s="60" t="s">
        <v>4961</v>
      </c>
      <c r="D1604" s="60">
        <v>60.6</v>
      </c>
      <c r="E1604" s="60">
        <v>0.17</v>
      </c>
      <c r="F1604" s="60">
        <v>5557</v>
      </c>
      <c r="G1604" s="60">
        <v>0.83</v>
      </c>
      <c r="H1604" s="60">
        <v>52.92</v>
      </c>
      <c r="I1604" s="60">
        <v>25.49</v>
      </c>
      <c r="J1604" s="60">
        <v>0</v>
      </c>
      <c r="O1604" s="60" t="s">
        <v>2884</v>
      </c>
      <c r="P1604" s="60" t="s">
        <v>2996</v>
      </c>
      <c r="Q1604" s="60" t="s">
        <v>4863</v>
      </c>
      <c r="R1604" s="60">
        <v>52.8</v>
      </c>
      <c r="S1604" s="60">
        <v>1.1499999999999999</v>
      </c>
      <c r="T1604" s="60">
        <v>690</v>
      </c>
      <c r="U1604" s="60">
        <v>25.58</v>
      </c>
    </row>
    <row r="1605" spans="1:21">
      <c r="A1605" s="60" t="s">
        <v>2886</v>
      </c>
      <c r="B1605" s="60" t="s">
        <v>2998</v>
      </c>
      <c r="C1605" s="60" t="s">
        <v>3611</v>
      </c>
      <c r="D1605" s="60">
        <v>60.9</v>
      </c>
      <c r="E1605" s="60">
        <v>9.93</v>
      </c>
      <c r="F1605" s="60">
        <v>24672</v>
      </c>
      <c r="G1605" s="60">
        <v>0.55000000000000004</v>
      </c>
      <c r="H1605" s="60">
        <v>3.05</v>
      </c>
      <c r="I1605" s="60">
        <v>30.93</v>
      </c>
      <c r="J1605" s="60">
        <v>0.93</v>
      </c>
      <c r="O1605" s="60" t="s">
        <v>2886</v>
      </c>
      <c r="P1605" s="60" t="s">
        <v>3490</v>
      </c>
      <c r="Q1605" s="60" t="s">
        <v>4864</v>
      </c>
      <c r="R1605" s="60">
        <v>8.89</v>
      </c>
      <c r="S1605" s="60">
        <v>1.1399999999999999</v>
      </c>
      <c r="T1605" s="60">
        <v>68</v>
      </c>
      <c r="U1605" s="60">
        <v>28.97</v>
      </c>
    </row>
    <row r="1606" spans="1:21">
      <c r="A1606" s="60" t="s">
        <v>2888</v>
      </c>
      <c r="B1606" s="60" t="s">
        <v>3491</v>
      </c>
      <c r="C1606" s="60" t="s">
        <v>4296</v>
      </c>
      <c r="D1606" s="60">
        <v>17.8</v>
      </c>
      <c r="E1606" s="60">
        <v>-2.2000000000000002</v>
      </c>
      <c r="F1606" s="60">
        <v>2686</v>
      </c>
      <c r="G1606" s="60">
        <v>4.32</v>
      </c>
      <c r="H1606" s="60">
        <v>3.04</v>
      </c>
      <c r="I1606" s="60">
        <v>22.85</v>
      </c>
      <c r="J1606" s="60">
        <v>0.06</v>
      </c>
      <c r="O1606" s="60" t="s">
        <v>2888</v>
      </c>
      <c r="P1606" s="60" t="s">
        <v>2997</v>
      </c>
      <c r="Q1606" s="60" t="s">
        <v>4961</v>
      </c>
      <c r="R1606" s="60">
        <v>60.6</v>
      </c>
      <c r="S1606" s="60">
        <v>0.17</v>
      </c>
      <c r="T1606" s="60">
        <v>5557</v>
      </c>
      <c r="U1606" s="60">
        <v>65.349999999999994</v>
      </c>
    </row>
    <row r="1607" spans="1:21">
      <c r="A1607" s="60" t="s">
        <v>2890</v>
      </c>
      <c r="B1607" s="60" t="s">
        <v>2999</v>
      </c>
      <c r="C1607" s="60" t="s">
        <v>4049</v>
      </c>
      <c r="D1607" s="60">
        <v>77.2</v>
      </c>
      <c r="E1607" s="60">
        <v>0.65</v>
      </c>
      <c r="F1607" s="60">
        <v>168</v>
      </c>
      <c r="G1607" s="60">
        <v>0</v>
      </c>
      <c r="H1607" s="60">
        <v>7.57</v>
      </c>
      <c r="I1607" s="60">
        <v>3.75</v>
      </c>
      <c r="J1607" s="60">
        <v>0.21</v>
      </c>
      <c r="O1607" s="60" t="s">
        <v>2890</v>
      </c>
      <c r="P1607" s="60" t="s">
        <v>2998</v>
      </c>
      <c r="Q1607" s="60" t="s">
        <v>3611</v>
      </c>
      <c r="R1607" s="60">
        <v>60.9</v>
      </c>
      <c r="S1607" s="60">
        <v>9.93</v>
      </c>
      <c r="T1607" s="60">
        <v>24672</v>
      </c>
      <c r="U1607" s="60">
        <v>48.69</v>
      </c>
    </row>
    <row r="1608" spans="1:21">
      <c r="A1608" s="60" t="s">
        <v>2892</v>
      </c>
      <c r="B1608" s="60" t="s">
        <v>3000</v>
      </c>
      <c r="C1608" s="60" t="s">
        <v>4228</v>
      </c>
      <c r="D1608" s="60">
        <v>48.4</v>
      </c>
      <c r="E1608" s="60">
        <v>-0.1</v>
      </c>
      <c r="F1608" s="60">
        <v>745</v>
      </c>
      <c r="G1608" s="60">
        <v>0.01</v>
      </c>
      <c r="H1608" s="60">
        <v>21.03</v>
      </c>
      <c r="I1608" s="60">
        <v>8.98</v>
      </c>
      <c r="J1608" s="60">
        <v>0.05</v>
      </c>
      <c r="O1608" s="60" t="s">
        <v>2892</v>
      </c>
      <c r="P1608" s="60" t="s">
        <v>3491</v>
      </c>
      <c r="Q1608" s="60" t="s">
        <v>4296</v>
      </c>
      <c r="R1608" s="60">
        <v>17.8</v>
      </c>
      <c r="S1608" s="60">
        <v>-2.2000000000000002</v>
      </c>
      <c r="T1608" s="60">
        <v>2686</v>
      </c>
      <c r="U1608" s="60">
        <v>48.31</v>
      </c>
    </row>
    <row r="1609" spans="1:21">
      <c r="A1609" s="60" t="s">
        <v>2894</v>
      </c>
      <c r="B1609" s="60" t="s">
        <v>3001</v>
      </c>
      <c r="C1609" s="60" t="s">
        <v>4107</v>
      </c>
      <c r="D1609" s="60">
        <v>37.950000000000003</v>
      </c>
      <c r="E1609" s="60">
        <v>-2.19</v>
      </c>
      <c r="F1609" s="60">
        <v>11265</v>
      </c>
      <c r="G1609" s="60">
        <v>0.64</v>
      </c>
      <c r="H1609" s="60">
        <v>9.1300000000000008</v>
      </c>
      <c r="I1609" s="60">
        <v>14.46</v>
      </c>
      <c r="J1609" s="60">
        <v>3.41</v>
      </c>
      <c r="O1609" s="60" t="s">
        <v>2894</v>
      </c>
      <c r="P1609" s="60" t="s">
        <v>2999</v>
      </c>
      <c r="Q1609" s="60" t="s">
        <v>4049</v>
      </c>
      <c r="R1609" s="60">
        <v>77.2</v>
      </c>
      <c r="S1609" s="60">
        <v>0.65</v>
      </c>
      <c r="T1609" s="60">
        <v>168</v>
      </c>
      <c r="U1609" s="60">
        <v>62.82</v>
      </c>
    </row>
    <row r="1610" spans="1:21">
      <c r="A1610" s="60" t="s">
        <v>2896</v>
      </c>
      <c r="B1610" s="60" t="s">
        <v>3002</v>
      </c>
      <c r="C1610" s="60" t="s">
        <v>3814</v>
      </c>
      <c r="D1610" s="60">
        <v>15.15</v>
      </c>
      <c r="E1610" s="60">
        <v>0</v>
      </c>
      <c r="F1610" s="60">
        <v>293</v>
      </c>
      <c r="G1610" s="60">
        <v>0.01</v>
      </c>
      <c r="H1610" s="60">
        <v>0.69</v>
      </c>
      <c r="I1610" s="60">
        <v>7.72</v>
      </c>
      <c r="J1610" s="60">
        <v>0</v>
      </c>
      <c r="O1610" s="60" t="s">
        <v>2896</v>
      </c>
      <c r="P1610" s="60" t="s">
        <v>3000</v>
      </c>
      <c r="Q1610" s="60" t="s">
        <v>4228</v>
      </c>
      <c r="R1610" s="60">
        <v>48.4</v>
      </c>
      <c r="S1610" s="60">
        <v>-0.1</v>
      </c>
      <c r="T1610" s="60">
        <v>745</v>
      </c>
      <c r="U1610" s="60">
        <v>34.82</v>
      </c>
    </row>
    <row r="1611" spans="1:21">
      <c r="A1611" s="60" t="s">
        <v>2898</v>
      </c>
      <c r="B1611" s="60" t="s">
        <v>3003</v>
      </c>
      <c r="C1611" s="60" t="s">
        <v>4773</v>
      </c>
      <c r="D1611" s="60">
        <v>23.5</v>
      </c>
      <c r="E1611" s="60">
        <v>-0.21</v>
      </c>
      <c r="F1611" s="60">
        <v>61</v>
      </c>
      <c r="G1611" s="60">
        <v>0</v>
      </c>
      <c r="H1611" s="60">
        <v>2.57</v>
      </c>
      <c r="I1611" s="60">
        <v>2.3199999999999998</v>
      </c>
      <c r="J1611" s="60">
        <v>0</v>
      </c>
      <c r="O1611" s="60" t="s">
        <v>2898</v>
      </c>
      <c r="P1611" s="60" t="s">
        <v>3001</v>
      </c>
      <c r="Q1611" s="60" t="s">
        <v>4107</v>
      </c>
      <c r="R1611" s="60">
        <v>37.950000000000003</v>
      </c>
      <c r="S1611" s="60">
        <v>-2.19</v>
      </c>
      <c r="T1611" s="60">
        <v>11265</v>
      </c>
      <c r="U1611" s="60">
        <v>54.67</v>
      </c>
    </row>
    <row r="1612" spans="1:21">
      <c r="A1612" s="60" t="s">
        <v>2900</v>
      </c>
      <c r="B1612" s="60" t="s">
        <v>3004</v>
      </c>
      <c r="C1612" s="60" t="s">
        <v>4817</v>
      </c>
      <c r="D1612" s="60">
        <v>31.4</v>
      </c>
      <c r="E1612" s="60">
        <v>0.96</v>
      </c>
      <c r="F1612" s="60">
        <v>191</v>
      </c>
      <c r="G1612" s="60">
        <v>0</v>
      </c>
      <c r="H1612" s="60">
        <v>5.83</v>
      </c>
      <c r="I1612" s="60">
        <v>6.58</v>
      </c>
      <c r="J1612" s="60">
        <v>0</v>
      </c>
      <c r="O1612" s="60" t="s">
        <v>2900</v>
      </c>
      <c r="P1612" s="60" t="s">
        <v>3002</v>
      </c>
      <c r="Q1612" s="60" t="s">
        <v>3814</v>
      </c>
      <c r="R1612" s="60">
        <v>15.15</v>
      </c>
      <c r="S1612" s="60">
        <v>0</v>
      </c>
      <c r="T1612" s="60">
        <v>293</v>
      </c>
      <c r="U1612" s="60">
        <v>34.68</v>
      </c>
    </row>
    <row r="1613" spans="1:21">
      <c r="A1613" s="60" t="s">
        <v>2902</v>
      </c>
      <c r="B1613" s="60" t="s">
        <v>3005</v>
      </c>
      <c r="C1613" s="60" t="s">
        <v>4229</v>
      </c>
      <c r="D1613" s="60">
        <v>27.45</v>
      </c>
      <c r="E1613" s="60">
        <v>1.86</v>
      </c>
      <c r="F1613" s="60">
        <v>213</v>
      </c>
      <c r="G1613" s="60">
        <v>0</v>
      </c>
      <c r="H1613" s="60">
        <v>5.38</v>
      </c>
      <c r="I1613" s="60">
        <v>2.72</v>
      </c>
      <c r="J1613" s="60">
        <v>0</v>
      </c>
      <c r="O1613" s="60" t="s">
        <v>2902</v>
      </c>
      <c r="P1613" s="60" t="s">
        <v>3003</v>
      </c>
      <c r="Q1613" s="60" t="s">
        <v>4773</v>
      </c>
      <c r="R1613" s="60">
        <v>23.5</v>
      </c>
      <c r="S1613" s="60">
        <v>-0.21</v>
      </c>
      <c r="T1613" s="60">
        <v>61</v>
      </c>
      <c r="U1613" s="60">
        <v>51.29</v>
      </c>
    </row>
    <row r="1614" spans="1:21">
      <c r="A1614" s="60" t="s">
        <v>2904</v>
      </c>
      <c r="B1614" s="60" t="s">
        <v>3006</v>
      </c>
      <c r="C1614" s="60" t="s">
        <v>4557</v>
      </c>
      <c r="D1614" s="60">
        <v>260</v>
      </c>
      <c r="E1614" s="60">
        <v>-1.52</v>
      </c>
      <c r="F1614" s="60">
        <v>6332</v>
      </c>
      <c r="G1614" s="60">
        <v>5.46</v>
      </c>
      <c r="H1614" s="60">
        <v>13.01</v>
      </c>
      <c r="I1614" s="60">
        <v>23.36</v>
      </c>
      <c r="J1614" s="60">
        <v>8.66</v>
      </c>
      <c r="O1614" s="60" t="s">
        <v>2904</v>
      </c>
      <c r="P1614" s="60" t="s">
        <v>3004</v>
      </c>
      <c r="Q1614" s="60" t="s">
        <v>4817</v>
      </c>
      <c r="R1614" s="60">
        <v>31.4</v>
      </c>
      <c r="S1614" s="60">
        <v>0.96</v>
      </c>
      <c r="T1614" s="60">
        <v>191</v>
      </c>
      <c r="U1614" s="60">
        <v>50.64</v>
      </c>
    </row>
    <row r="1615" spans="1:21">
      <c r="A1615" s="60" t="s">
        <v>2906</v>
      </c>
      <c r="B1615" s="60" t="s">
        <v>3007</v>
      </c>
      <c r="C1615" s="60" t="s">
        <v>3998</v>
      </c>
      <c r="D1615" s="60">
        <v>111.5</v>
      </c>
      <c r="E1615" s="60">
        <v>-2.19</v>
      </c>
      <c r="F1615" s="60">
        <v>3902</v>
      </c>
      <c r="G1615" s="60">
        <v>3.95</v>
      </c>
      <c r="H1615" s="60">
        <v>13.12</v>
      </c>
      <c r="I1615" s="60">
        <v>51.23</v>
      </c>
      <c r="J1615" s="60">
        <v>0</v>
      </c>
      <c r="O1615" s="60" t="s">
        <v>2906</v>
      </c>
      <c r="P1615" s="60" t="s">
        <v>3005</v>
      </c>
      <c r="Q1615" s="60" t="s">
        <v>4229</v>
      </c>
      <c r="R1615" s="60">
        <v>27.45</v>
      </c>
      <c r="S1615" s="60">
        <v>1.86</v>
      </c>
      <c r="T1615" s="60">
        <v>213</v>
      </c>
      <c r="U1615" s="60">
        <v>69.81</v>
      </c>
    </row>
    <row r="1616" spans="1:21">
      <c r="A1616" s="60" t="s">
        <v>2908</v>
      </c>
      <c r="B1616" s="60" t="s">
        <v>3008</v>
      </c>
      <c r="C1616" s="60" t="s">
        <v>3999</v>
      </c>
      <c r="D1616" s="60">
        <v>46.9</v>
      </c>
      <c r="E1616" s="60">
        <v>2.29</v>
      </c>
      <c r="F1616" s="60">
        <v>5105</v>
      </c>
      <c r="G1616" s="60">
        <v>0.17</v>
      </c>
      <c r="H1616" s="60">
        <v>4</v>
      </c>
      <c r="I1616" s="60">
        <v>14.06</v>
      </c>
      <c r="J1616" s="60">
        <v>0</v>
      </c>
      <c r="O1616" s="60" t="s">
        <v>2908</v>
      </c>
      <c r="P1616" s="60" t="s">
        <v>3006</v>
      </c>
      <c r="Q1616" s="60" t="s">
        <v>4557</v>
      </c>
      <c r="R1616" s="60">
        <v>260</v>
      </c>
      <c r="S1616" s="60">
        <v>-1.52</v>
      </c>
      <c r="T1616" s="60">
        <v>6332</v>
      </c>
      <c r="U1616" s="60">
        <v>44.36</v>
      </c>
    </row>
    <row r="1617" spans="1:21">
      <c r="A1617" s="60" t="s">
        <v>2910</v>
      </c>
      <c r="B1617" s="60" t="s">
        <v>3492</v>
      </c>
      <c r="C1617" s="60" t="s">
        <v>3617</v>
      </c>
      <c r="D1617" s="60">
        <v>12.85</v>
      </c>
      <c r="E1617" s="60">
        <v>9.83</v>
      </c>
      <c r="F1617" s="60">
        <v>1971</v>
      </c>
      <c r="G1617" s="60">
        <v>0</v>
      </c>
      <c r="H1617" s="60">
        <v>4.6500000000000004</v>
      </c>
      <c r="I1617" s="60">
        <v>0</v>
      </c>
      <c r="J1617" s="60">
        <v>0</v>
      </c>
      <c r="O1617" s="60" t="s">
        <v>2910</v>
      </c>
      <c r="P1617" s="60" t="s">
        <v>3007</v>
      </c>
      <c r="Q1617" s="60" t="s">
        <v>3998</v>
      </c>
      <c r="R1617" s="60">
        <v>111.5</v>
      </c>
      <c r="S1617" s="60">
        <v>-2.19</v>
      </c>
      <c r="T1617" s="60">
        <v>3902</v>
      </c>
      <c r="U1617" s="60">
        <v>16.39</v>
      </c>
    </row>
    <row r="1618" spans="1:21">
      <c r="A1618" s="60" t="s">
        <v>2912</v>
      </c>
      <c r="B1618" s="60" t="s">
        <v>3493</v>
      </c>
      <c r="C1618" s="60" t="s">
        <v>4643</v>
      </c>
      <c r="D1618" s="60">
        <v>104</v>
      </c>
      <c r="E1618" s="60">
        <v>-0.48</v>
      </c>
      <c r="F1618" s="60">
        <v>27</v>
      </c>
      <c r="G1618" s="60">
        <v>0</v>
      </c>
      <c r="H1618" s="60">
        <v>2.94</v>
      </c>
      <c r="I1618" s="60">
        <v>0</v>
      </c>
      <c r="J1618" s="60">
        <v>0</v>
      </c>
      <c r="O1618" s="60" t="s">
        <v>2912</v>
      </c>
      <c r="P1618" s="60" t="s">
        <v>3008</v>
      </c>
      <c r="Q1618" s="60" t="s">
        <v>3999</v>
      </c>
      <c r="R1618" s="60">
        <v>46.9</v>
      </c>
      <c r="S1618" s="60">
        <v>2.29</v>
      </c>
      <c r="T1618" s="60">
        <v>5105</v>
      </c>
      <c r="U1618" s="60">
        <v>21.77</v>
      </c>
    </row>
    <row r="1619" spans="1:21">
      <c r="A1619" s="60" t="s">
        <v>2914</v>
      </c>
      <c r="B1619" s="60" t="s">
        <v>3009</v>
      </c>
      <c r="C1619" s="60" t="s">
        <v>5003</v>
      </c>
      <c r="D1619" s="60">
        <v>45.75</v>
      </c>
      <c r="E1619" s="60">
        <v>-0.33</v>
      </c>
      <c r="F1619" s="60">
        <v>9</v>
      </c>
      <c r="G1619" s="60">
        <v>0</v>
      </c>
      <c r="H1619" s="60">
        <v>0.43</v>
      </c>
      <c r="I1619" s="60">
        <v>0.81</v>
      </c>
      <c r="J1619" s="60">
        <v>0</v>
      </c>
      <c r="O1619" s="60" t="s">
        <v>2914</v>
      </c>
      <c r="P1619" s="60" t="s">
        <v>3492</v>
      </c>
      <c r="Q1619" s="60" t="s">
        <v>3617</v>
      </c>
      <c r="R1619" s="60">
        <v>12.85</v>
      </c>
      <c r="S1619" s="60">
        <v>9.83</v>
      </c>
      <c r="T1619" s="60">
        <v>1971</v>
      </c>
      <c r="U1619" s="60">
        <v>17.850000000000001</v>
      </c>
    </row>
    <row r="1620" spans="1:21">
      <c r="A1620" s="60" t="s">
        <v>2916</v>
      </c>
      <c r="B1620" s="60" t="s">
        <v>3010</v>
      </c>
      <c r="C1620" s="60" t="s">
        <v>4962</v>
      </c>
      <c r="D1620" s="60">
        <v>39.4</v>
      </c>
      <c r="E1620" s="60">
        <v>7.07</v>
      </c>
      <c r="F1620" s="60">
        <v>6916</v>
      </c>
      <c r="G1620" s="60">
        <v>0.76</v>
      </c>
      <c r="H1620" s="60">
        <v>10.029999999999999</v>
      </c>
      <c r="I1620" s="60">
        <v>24.63</v>
      </c>
      <c r="J1620" s="60">
        <v>0</v>
      </c>
      <c r="O1620" s="60" t="s">
        <v>2916</v>
      </c>
      <c r="P1620" s="60" t="s">
        <v>3493</v>
      </c>
      <c r="Q1620" s="60" t="s">
        <v>4643</v>
      </c>
      <c r="R1620" s="60">
        <v>104</v>
      </c>
      <c r="S1620" s="60">
        <v>-0.48</v>
      </c>
      <c r="T1620" s="60">
        <v>27</v>
      </c>
      <c r="U1620" s="60">
        <v>57.16</v>
      </c>
    </row>
    <row r="1621" spans="1:21">
      <c r="A1621" s="60" t="s">
        <v>2918</v>
      </c>
      <c r="B1621" s="60" t="s">
        <v>3494</v>
      </c>
      <c r="C1621" s="60" t="s">
        <v>4963</v>
      </c>
      <c r="D1621" s="60">
        <v>7.22</v>
      </c>
      <c r="E1621" s="60">
        <v>2.85</v>
      </c>
      <c r="F1621" s="60">
        <v>6</v>
      </c>
      <c r="G1621" s="60">
        <v>0</v>
      </c>
      <c r="H1621" s="60">
        <v>63.65</v>
      </c>
      <c r="I1621" s="60">
        <v>0</v>
      </c>
      <c r="J1621" s="60">
        <v>0</v>
      </c>
      <c r="O1621" s="60" t="s">
        <v>2918</v>
      </c>
      <c r="P1621" s="60" t="s">
        <v>3009</v>
      </c>
      <c r="Q1621" s="60" t="s">
        <v>5003</v>
      </c>
      <c r="R1621" s="60">
        <v>45.75</v>
      </c>
      <c r="S1621" s="60">
        <v>-0.33</v>
      </c>
      <c r="T1621" s="60">
        <v>9</v>
      </c>
      <c r="U1621" s="60">
        <v>26.48</v>
      </c>
    </row>
    <row r="1622" spans="1:21">
      <c r="A1622" s="60" t="s">
        <v>2920</v>
      </c>
      <c r="B1622" s="60" t="s">
        <v>3011</v>
      </c>
      <c r="C1622" s="60" t="s">
        <v>4728</v>
      </c>
      <c r="D1622" s="60">
        <v>427.5</v>
      </c>
      <c r="E1622" s="60">
        <v>3.14</v>
      </c>
      <c r="F1622" s="60">
        <v>5107</v>
      </c>
      <c r="G1622" s="60">
        <v>0.48</v>
      </c>
      <c r="H1622" s="60">
        <v>47.33</v>
      </c>
      <c r="I1622" s="60">
        <v>14.29</v>
      </c>
      <c r="J1622" s="60">
        <v>2.38</v>
      </c>
      <c r="O1622" s="60" t="s">
        <v>2920</v>
      </c>
      <c r="P1622" s="60" t="s">
        <v>3010</v>
      </c>
      <c r="Q1622" s="60" t="s">
        <v>4962</v>
      </c>
      <c r="R1622" s="60">
        <v>39.4</v>
      </c>
      <c r="S1622" s="60">
        <v>7.07</v>
      </c>
      <c r="T1622" s="60">
        <v>6916</v>
      </c>
      <c r="U1622" s="60">
        <v>36.15</v>
      </c>
    </row>
    <row r="1623" spans="1:21">
      <c r="A1623" s="60" t="s">
        <v>2922</v>
      </c>
      <c r="B1623" s="60" t="s">
        <v>3012</v>
      </c>
      <c r="C1623" s="60" t="s">
        <v>4461</v>
      </c>
      <c r="D1623" s="60">
        <v>203</v>
      </c>
      <c r="E1623" s="60">
        <v>1</v>
      </c>
      <c r="F1623" s="60">
        <v>71</v>
      </c>
      <c r="G1623" s="60">
        <v>0</v>
      </c>
      <c r="H1623" s="60">
        <v>20.079999999999998</v>
      </c>
      <c r="I1623" s="60">
        <v>1.6</v>
      </c>
      <c r="J1623" s="60">
        <v>0.03</v>
      </c>
      <c r="O1623" s="60" t="s">
        <v>2922</v>
      </c>
      <c r="P1623" s="60" t="s">
        <v>3494</v>
      </c>
      <c r="Q1623" s="60" t="s">
        <v>4963</v>
      </c>
      <c r="R1623" s="60">
        <v>7.22</v>
      </c>
      <c r="S1623" s="60">
        <v>2.85</v>
      </c>
      <c r="T1623" s="60">
        <v>6</v>
      </c>
      <c r="U1623" s="60">
        <v>73.34</v>
      </c>
    </row>
    <row r="1624" spans="1:21">
      <c r="A1624" s="60" t="s">
        <v>2924</v>
      </c>
      <c r="B1624" s="60" t="s">
        <v>3013</v>
      </c>
      <c r="C1624" s="60" t="s">
        <v>5147</v>
      </c>
      <c r="D1624" s="60">
        <v>52.1</v>
      </c>
      <c r="E1624" s="60">
        <v>0</v>
      </c>
      <c r="F1624" s="60">
        <v>0</v>
      </c>
      <c r="G1624" s="60">
        <v>0</v>
      </c>
      <c r="H1624" s="60">
        <v>0.37</v>
      </c>
      <c r="I1624" s="60">
        <v>0.35</v>
      </c>
      <c r="J1624" s="60">
        <v>0</v>
      </c>
      <c r="O1624" s="60" t="s">
        <v>2924</v>
      </c>
      <c r="P1624" s="60" t="s">
        <v>3011</v>
      </c>
      <c r="Q1624" s="60" t="s">
        <v>4728</v>
      </c>
      <c r="R1624" s="60">
        <v>427.5</v>
      </c>
      <c r="S1624" s="60">
        <v>3.14</v>
      </c>
      <c r="T1624" s="60">
        <v>5107</v>
      </c>
      <c r="U1624" s="60">
        <v>31.36</v>
      </c>
    </row>
    <row r="1625" spans="1:21">
      <c r="A1625" s="60" t="s">
        <v>2926</v>
      </c>
      <c r="B1625" s="60" t="s">
        <v>3014</v>
      </c>
      <c r="C1625" s="60" t="s">
        <v>4657</v>
      </c>
      <c r="D1625" s="60">
        <v>57.5</v>
      </c>
      <c r="E1625" s="60">
        <v>-1.2</v>
      </c>
      <c r="F1625" s="60">
        <v>70</v>
      </c>
      <c r="G1625" s="60">
        <v>0.02</v>
      </c>
      <c r="H1625" s="60">
        <v>1.57</v>
      </c>
      <c r="I1625" s="60">
        <v>1.8</v>
      </c>
      <c r="J1625" s="60">
        <v>0</v>
      </c>
      <c r="O1625" s="60" t="s">
        <v>2926</v>
      </c>
      <c r="P1625" s="60" t="s">
        <v>3012</v>
      </c>
      <c r="Q1625" s="60" t="s">
        <v>4461</v>
      </c>
      <c r="R1625" s="60">
        <v>203</v>
      </c>
      <c r="S1625" s="60">
        <v>1</v>
      </c>
      <c r="T1625" s="60">
        <v>71</v>
      </c>
      <c r="U1625" s="60">
        <v>54.84</v>
      </c>
    </row>
    <row r="1626" spans="1:21">
      <c r="A1626" s="60" t="s">
        <v>2928</v>
      </c>
      <c r="B1626" s="60" t="s">
        <v>3015</v>
      </c>
      <c r="C1626" s="60" t="s">
        <v>4508</v>
      </c>
      <c r="D1626" s="60">
        <v>14.85</v>
      </c>
      <c r="E1626" s="60">
        <v>-0.34</v>
      </c>
      <c r="F1626" s="60">
        <v>2</v>
      </c>
      <c r="G1626" s="60">
        <v>0</v>
      </c>
      <c r="H1626" s="60">
        <v>0.05</v>
      </c>
      <c r="I1626" s="60">
        <v>1.73</v>
      </c>
      <c r="J1626" s="60">
        <v>0</v>
      </c>
      <c r="O1626" s="60" t="s">
        <v>2928</v>
      </c>
      <c r="P1626" s="60" t="s">
        <v>3013</v>
      </c>
      <c r="Q1626" s="60" t="s">
        <v>5147</v>
      </c>
      <c r="R1626" s="60">
        <v>52.1</v>
      </c>
      <c r="S1626" s="60">
        <v>0</v>
      </c>
      <c r="T1626" s="60">
        <v>0</v>
      </c>
      <c r="U1626" s="60">
        <v>56.88</v>
      </c>
    </row>
    <row r="1627" spans="1:21">
      <c r="A1627" s="60" t="s">
        <v>2929</v>
      </c>
      <c r="B1627" s="60" t="s">
        <v>3016</v>
      </c>
      <c r="C1627" s="60" t="s">
        <v>3643</v>
      </c>
      <c r="D1627" s="60">
        <v>83</v>
      </c>
      <c r="E1627" s="60">
        <v>4.93</v>
      </c>
      <c r="F1627" s="60">
        <v>14590</v>
      </c>
      <c r="G1627" s="60">
        <v>0.72</v>
      </c>
      <c r="H1627" s="60">
        <v>21.33</v>
      </c>
      <c r="I1627" s="60">
        <v>23.33</v>
      </c>
      <c r="J1627" s="60">
        <v>11.15</v>
      </c>
      <c r="O1627" s="60" t="s">
        <v>2929</v>
      </c>
      <c r="P1627" s="60" t="s">
        <v>3014</v>
      </c>
      <c r="Q1627" s="60" t="s">
        <v>4657</v>
      </c>
      <c r="R1627" s="60">
        <v>57.5</v>
      </c>
      <c r="S1627" s="60">
        <v>-1.2</v>
      </c>
      <c r="T1627" s="60">
        <v>70</v>
      </c>
      <c r="U1627" s="60">
        <v>65.72</v>
      </c>
    </row>
    <row r="1628" spans="1:21">
      <c r="A1628" s="60" t="s">
        <v>2931</v>
      </c>
      <c r="B1628" s="60" t="s">
        <v>3017</v>
      </c>
      <c r="C1628" s="60" t="s">
        <v>4356</v>
      </c>
      <c r="D1628" s="60">
        <v>54</v>
      </c>
      <c r="E1628" s="60">
        <v>0.75</v>
      </c>
      <c r="F1628" s="60">
        <v>322</v>
      </c>
      <c r="G1628" s="60">
        <v>0.33</v>
      </c>
      <c r="H1628" s="60">
        <v>2.2000000000000002</v>
      </c>
      <c r="I1628" s="60">
        <v>8.7799999999999994</v>
      </c>
      <c r="J1628" s="60">
        <v>0</v>
      </c>
      <c r="O1628" s="60" t="s">
        <v>2931</v>
      </c>
      <c r="P1628" s="60" t="s">
        <v>3015</v>
      </c>
      <c r="Q1628" s="60" t="s">
        <v>4508</v>
      </c>
      <c r="R1628" s="60">
        <v>14.85</v>
      </c>
      <c r="S1628" s="60">
        <v>-0.34</v>
      </c>
      <c r="T1628" s="60">
        <v>2</v>
      </c>
      <c r="U1628" s="60">
        <v>55.25</v>
      </c>
    </row>
    <row r="1629" spans="1:21">
      <c r="A1629" s="60" t="s">
        <v>2933</v>
      </c>
      <c r="B1629" s="60" t="s">
        <v>3018</v>
      </c>
      <c r="C1629" s="60" t="s">
        <v>3815</v>
      </c>
      <c r="D1629" s="60">
        <v>30.15</v>
      </c>
      <c r="E1629" s="60">
        <v>-0.33</v>
      </c>
      <c r="F1629" s="60">
        <v>48</v>
      </c>
      <c r="G1629" s="60">
        <v>0</v>
      </c>
      <c r="H1629" s="60">
        <v>2.94</v>
      </c>
      <c r="I1629" s="60">
        <v>2.78</v>
      </c>
      <c r="J1629" s="60">
        <v>0</v>
      </c>
      <c r="O1629" s="60" t="s">
        <v>2933</v>
      </c>
      <c r="P1629" s="60" t="s">
        <v>3016</v>
      </c>
      <c r="Q1629" s="60" t="s">
        <v>3643</v>
      </c>
      <c r="R1629" s="60">
        <v>83</v>
      </c>
      <c r="S1629" s="60">
        <v>4.93</v>
      </c>
      <c r="T1629" s="60">
        <v>14590</v>
      </c>
      <c r="U1629" s="60">
        <v>41.46</v>
      </c>
    </row>
    <row r="1630" spans="1:21">
      <c r="A1630" s="60" t="s">
        <v>2934</v>
      </c>
      <c r="B1630" s="60" t="s">
        <v>3019</v>
      </c>
      <c r="C1630" s="60" t="s">
        <v>5043</v>
      </c>
      <c r="D1630" s="60">
        <v>41.8</v>
      </c>
      <c r="E1630" s="60">
        <v>0.24</v>
      </c>
      <c r="F1630" s="60">
        <v>178</v>
      </c>
      <c r="G1630" s="60">
        <v>0.02</v>
      </c>
      <c r="H1630" s="60">
        <v>7.87</v>
      </c>
      <c r="I1630" s="60">
        <v>2.87</v>
      </c>
      <c r="J1630" s="60">
        <v>0</v>
      </c>
      <c r="O1630" s="60" t="s">
        <v>2934</v>
      </c>
      <c r="P1630" s="60" t="s">
        <v>3017</v>
      </c>
      <c r="Q1630" s="60" t="s">
        <v>4356</v>
      </c>
      <c r="R1630" s="60">
        <v>54</v>
      </c>
      <c r="S1630" s="60">
        <v>0.75</v>
      </c>
      <c r="T1630" s="60">
        <v>322</v>
      </c>
      <c r="U1630" s="60">
        <v>61.22</v>
      </c>
    </row>
    <row r="1631" spans="1:21">
      <c r="A1631" s="60" t="s">
        <v>2936</v>
      </c>
      <c r="B1631" s="60" t="s">
        <v>3020</v>
      </c>
      <c r="C1631" s="60" t="s">
        <v>5148</v>
      </c>
      <c r="D1631" s="60">
        <v>34</v>
      </c>
      <c r="E1631" s="60">
        <v>1.49</v>
      </c>
      <c r="F1631" s="60">
        <v>226</v>
      </c>
      <c r="G1631" s="60">
        <v>0.03</v>
      </c>
      <c r="H1631" s="60">
        <v>17.68</v>
      </c>
      <c r="I1631" s="60">
        <v>12.5</v>
      </c>
      <c r="J1631" s="60">
        <v>0</v>
      </c>
      <c r="O1631" s="60" t="s">
        <v>2936</v>
      </c>
      <c r="P1631" s="60" t="s">
        <v>3018</v>
      </c>
      <c r="Q1631" s="60" t="s">
        <v>3815</v>
      </c>
      <c r="R1631" s="60">
        <v>30.15</v>
      </c>
      <c r="S1631" s="60">
        <v>-0.33</v>
      </c>
      <c r="T1631" s="60">
        <v>48</v>
      </c>
      <c r="U1631" s="60">
        <v>73.849999999999994</v>
      </c>
    </row>
    <row r="1632" spans="1:21">
      <c r="A1632" s="60" t="s">
        <v>2938</v>
      </c>
      <c r="B1632" s="60" t="s">
        <v>3021</v>
      </c>
      <c r="C1632" s="60" t="s">
        <v>5149</v>
      </c>
      <c r="D1632" s="60">
        <v>13.95</v>
      </c>
      <c r="E1632" s="60">
        <v>-1.06</v>
      </c>
      <c r="F1632" s="60">
        <v>481</v>
      </c>
      <c r="G1632" s="60">
        <v>0.01</v>
      </c>
      <c r="H1632" s="60">
        <v>0.41</v>
      </c>
      <c r="I1632" s="60">
        <v>14.32</v>
      </c>
      <c r="J1632" s="60">
        <v>0</v>
      </c>
      <c r="O1632" s="60" t="s">
        <v>2938</v>
      </c>
      <c r="P1632" s="60" t="s">
        <v>3019</v>
      </c>
      <c r="Q1632" s="60" t="s">
        <v>5043</v>
      </c>
      <c r="R1632" s="60">
        <v>41.8</v>
      </c>
      <c r="S1632" s="60">
        <v>0.24</v>
      </c>
      <c r="T1632" s="60">
        <v>178</v>
      </c>
      <c r="U1632" s="60">
        <v>36.340000000000003</v>
      </c>
    </row>
    <row r="1633" spans="1:21">
      <c r="A1633" s="60" t="s">
        <v>2940</v>
      </c>
      <c r="B1633" s="60" t="s">
        <v>3022</v>
      </c>
      <c r="C1633" s="60" t="s">
        <v>4644</v>
      </c>
      <c r="D1633" s="60">
        <v>26.65</v>
      </c>
      <c r="E1633" s="60">
        <v>0.19</v>
      </c>
      <c r="F1633" s="60">
        <v>105</v>
      </c>
      <c r="G1633" s="60">
        <v>0.99</v>
      </c>
      <c r="H1633" s="60">
        <v>1.49</v>
      </c>
      <c r="I1633" s="60">
        <v>9.1999999999999993</v>
      </c>
      <c r="J1633" s="60">
        <v>0</v>
      </c>
      <c r="O1633" s="60" t="s">
        <v>2940</v>
      </c>
      <c r="P1633" s="60" t="s">
        <v>3020</v>
      </c>
      <c r="Q1633" s="60" t="s">
        <v>5148</v>
      </c>
      <c r="R1633" s="60">
        <v>34</v>
      </c>
      <c r="S1633" s="60">
        <v>1.49</v>
      </c>
      <c r="T1633" s="60">
        <v>226</v>
      </c>
      <c r="U1633" s="60">
        <v>40.130000000000003</v>
      </c>
    </row>
    <row r="1634" spans="1:21">
      <c r="A1634" s="60" t="s">
        <v>2942</v>
      </c>
      <c r="B1634" s="60" t="s">
        <v>3023</v>
      </c>
      <c r="C1634" s="60" t="s">
        <v>4462</v>
      </c>
      <c r="D1634" s="60">
        <v>34.450000000000003</v>
      </c>
      <c r="E1634" s="60">
        <v>-1.43</v>
      </c>
      <c r="F1634" s="60">
        <v>502</v>
      </c>
      <c r="G1634" s="60">
        <v>0.02</v>
      </c>
      <c r="H1634" s="60">
        <v>56.95</v>
      </c>
      <c r="I1634" s="60">
        <v>3.39</v>
      </c>
      <c r="J1634" s="60">
        <v>0</v>
      </c>
      <c r="O1634" s="60" t="s">
        <v>2942</v>
      </c>
      <c r="P1634" s="60" t="s">
        <v>3021</v>
      </c>
      <c r="Q1634" s="60" t="s">
        <v>5149</v>
      </c>
      <c r="R1634" s="60">
        <v>13.95</v>
      </c>
      <c r="S1634" s="60">
        <v>-1.06</v>
      </c>
      <c r="T1634" s="60">
        <v>481</v>
      </c>
      <c r="U1634" s="60">
        <v>41.44</v>
      </c>
    </row>
    <row r="1635" spans="1:21">
      <c r="A1635" s="60" t="s">
        <v>2944</v>
      </c>
      <c r="B1635" s="60" t="s">
        <v>3024</v>
      </c>
      <c r="C1635" s="60" t="s">
        <v>4645</v>
      </c>
      <c r="D1635" s="60">
        <v>196</v>
      </c>
      <c r="E1635" s="60">
        <v>5.66</v>
      </c>
      <c r="F1635" s="60">
        <v>1179</v>
      </c>
      <c r="G1635" s="60">
        <v>0.1</v>
      </c>
      <c r="H1635" s="60">
        <v>67.900000000000006</v>
      </c>
      <c r="I1635" s="60">
        <v>9.7100000000000009</v>
      </c>
      <c r="J1635" s="60">
        <v>0.33</v>
      </c>
      <c r="O1635" s="60" t="s">
        <v>2944</v>
      </c>
      <c r="P1635" s="60" t="s">
        <v>3022</v>
      </c>
      <c r="Q1635" s="60" t="s">
        <v>4644</v>
      </c>
      <c r="R1635" s="60">
        <v>26.65</v>
      </c>
      <c r="S1635" s="60">
        <v>0.19</v>
      </c>
      <c r="T1635" s="60">
        <v>105</v>
      </c>
      <c r="U1635" s="60">
        <v>30.13</v>
      </c>
    </row>
    <row r="1636" spans="1:21">
      <c r="A1636" s="60" t="s">
        <v>2946</v>
      </c>
      <c r="B1636" s="60" t="s">
        <v>3495</v>
      </c>
      <c r="C1636" s="60" t="s">
        <v>4646</v>
      </c>
      <c r="D1636" s="60">
        <v>15.7</v>
      </c>
      <c r="E1636" s="60">
        <v>0.32</v>
      </c>
      <c r="F1636" s="60">
        <v>16</v>
      </c>
      <c r="G1636" s="60">
        <v>0</v>
      </c>
      <c r="H1636" s="60">
        <v>0.08</v>
      </c>
      <c r="I1636" s="60">
        <v>0</v>
      </c>
      <c r="J1636" s="60">
        <v>0</v>
      </c>
      <c r="O1636" s="60" t="s">
        <v>2946</v>
      </c>
      <c r="P1636" s="60" t="s">
        <v>3023</v>
      </c>
      <c r="Q1636" s="60" t="s">
        <v>4462</v>
      </c>
      <c r="R1636" s="60">
        <v>34.450000000000003</v>
      </c>
      <c r="S1636" s="60">
        <v>-1.43</v>
      </c>
      <c r="T1636" s="60">
        <v>502</v>
      </c>
      <c r="U1636" s="60">
        <v>73.260000000000005</v>
      </c>
    </row>
    <row r="1637" spans="1:21">
      <c r="A1637" s="60" t="s">
        <v>2948</v>
      </c>
      <c r="B1637" s="60" t="s">
        <v>3025</v>
      </c>
      <c r="C1637" s="60" t="s">
        <v>4774</v>
      </c>
      <c r="D1637" s="60">
        <v>31.95</v>
      </c>
      <c r="E1637" s="60">
        <v>0.47</v>
      </c>
      <c r="F1637" s="60">
        <v>71</v>
      </c>
      <c r="G1637" s="60">
        <v>0</v>
      </c>
      <c r="H1637" s="60">
        <v>0.56000000000000005</v>
      </c>
      <c r="I1637" s="60">
        <v>4.84</v>
      </c>
      <c r="J1637" s="60">
        <v>0</v>
      </c>
      <c r="O1637" s="60" t="s">
        <v>2948</v>
      </c>
      <c r="P1637" s="60" t="s">
        <v>3024</v>
      </c>
      <c r="Q1637" s="60" t="s">
        <v>4645</v>
      </c>
      <c r="R1637" s="60">
        <v>196</v>
      </c>
      <c r="S1637" s="60">
        <v>5.66</v>
      </c>
      <c r="T1637" s="60">
        <v>1179</v>
      </c>
      <c r="U1637" s="60">
        <v>56.73</v>
      </c>
    </row>
    <row r="1638" spans="1:21">
      <c r="A1638" s="60" t="s">
        <v>2950</v>
      </c>
      <c r="B1638" s="60" t="s">
        <v>3026</v>
      </c>
      <c r="C1638" s="60" t="s">
        <v>4463</v>
      </c>
      <c r="D1638" s="60">
        <v>16.649999999999999</v>
      </c>
      <c r="E1638" s="60">
        <v>1.22</v>
      </c>
      <c r="F1638" s="60">
        <v>145</v>
      </c>
      <c r="G1638" s="60">
        <v>0</v>
      </c>
      <c r="H1638" s="60">
        <v>62.23</v>
      </c>
      <c r="I1638" s="60">
        <v>1.97</v>
      </c>
      <c r="J1638" s="60">
        <v>0</v>
      </c>
      <c r="O1638" s="60" t="s">
        <v>2950</v>
      </c>
      <c r="P1638" s="60" t="s">
        <v>3495</v>
      </c>
      <c r="Q1638" s="60" t="s">
        <v>4646</v>
      </c>
      <c r="R1638" s="60">
        <v>15.7</v>
      </c>
      <c r="S1638" s="60">
        <v>0.32</v>
      </c>
      <c r="T1638" s="60">
        <v>16</v>
      </c>
      <c r="U1638" s="60">
        <v>29.04</v>
      </c>
    </row>
    <row r="1639" spans="1:21">
      <c r="A1639" s="60" t="s">
        <v>2952</v>
      </c>
      <c r="B1639" s="60" t="s">
        <v>3027</v>
      </c>
      <c r="C1639" s="60" t="s">
        <v>3656</v>
      </c>
      <c r="D1639" s="60">
        <v>34.35</v>
      </c>
      <c r="E1639" s="60">
        <v>0.73</v>
      </c>
      <c r="F1639" s="60">
        <v>1062</v>
      </c>
      <c r="G1639" s="60">
        <v>0.03</v>
      </c>
      <c r="H1639" s="60">
        <v>9.09</v>
      </c>
      <c r="I1639" s="60">
        <v>4.2</v>
      </c>
      <c r="J1639" s="60">
        <v>0</v>
      </c>
      <c r="O1639" s="60" t="s">
        <v>2952</v>
      </c>
      <c r="P1639" s="60" t="s">
        <v>3025</v>
      </c>
      <c r="Q1639" s="60" t="s">
        <v>4774</v>
      </c>
      <c r="R1639" s="60">
        <v>31.95</v>
      </c>
      <c r="S1639" s="60">
        <v>0.47</v>
      </c>
      <c r="T1639" s="60">
        <v>71</v>
      </c>
      <c r="U1639" s="60">
        <v>45.78</v>
      </c>
    </row>
    <row r="1640" spans="1:21">
      <c r="A1640" s="60" t="s">
        <v>2954</v>
      </c>
      <c r="B1640" s="60" t="s">
        <v>3496</v>
      </c>
      <c r="C1640" s="60" t="s">
        <v>5004</v>
      </c>
      <c r="D1640" s="60">
        <v>119.5</v>
      </c>
      <c r="E1640" s="60">
        <v>0</v>
      </c>
      <c r="F1640" s="60">
        <v>18</v>
      </c>
      <c r="G1640" s="60">
        <v>0</v>
      </c>
      <c r="H1640" s="60">
        <v>2.63</v>
      </c>
      <c r="I1640" s="60">
        <v>0</v>
      </c>
      <c r="J1640" s="60">
        <v>0</v>
      </c>
      <c r="O1640" s="60" t="s">
        <v>2954</v>
      </c>
      <c r="P1640" s="60" t="s">
        <v>3026</v>
      </c>
      <c r="Q1640" s="60" t="s">
        <v>4463</v>
      </c>
      <c r="R1640" s="60">
        <v>16.649999999999999</v>
      </c>
      <c r="S1640" s="60">
        <v>1.22</v>
      </c>
      <c r="T1640" s="60">
        <v>145</v>
      </c>
      <c r="U1640" s="60">
        <v>73.39</v>
      </c>
    </row>
    <row r="1641" spans="1:21">
      <c r="A1641" s="60" t="s">
        <v>2956</v>
      </c>
      <c r="B1641" s="60" t="s">
        <v>3028</v>
      </c>
      <c r="C1641" s="60" t="s">
        <v>5150</v>
      </c>
      <c r="D1641" s="60">
        <v>10.6</v>
      </c>
      <c r="E1641" s="60">
        <v>0.47</v>
      </c>
      <c r="F1641" s="60">
        <v>3</v>
      </c>
      <c r="G1641" s="60">
        <v>0</v>
      </c>
      <c r="H1641" s="60">
        <v>89.71</v>
      </c>
      <c r="I1641" s="60">
        <v>0.2</v>
      </c>
      <c r="J1641" s="60">
        <v>0</v>
      </c>
      <c r="O1641" s="60" t="s">
        <v>2956</v>
      </c>
      <c r="P1641" s="60" t="s">
        <v>3027</v>
      </c>
      <c r="Q1641" s="60" t="s">
        <v>3656</v>
      </c>
      <c r="R1641" s="60">
        <v>34.35</v>
      </c>
      <c r="S1641" s="60">
        <v>0.73</v>
      </c>
      <c r="T1641" s="60">
        <v>1062</v>
      </c>
      <c r="U1641" s="60">
        <v>83.14</v>
      </c>
    </row>
    <row r="1642" spans="1:21">
      <c r="A1642" s="60" t="s">
        <v>2958</v>
      </c>
      <c r="B1642" s="60" t="s">
        <v>3029</v>
      </c>
      <c r="C1642" s="60" t="s">
        <v>5151</v>
      </c>
      <c r="D1642" s="60">
        <v>38.700000000000003</v>
      </c>
      <c r="E1642" s="60">
        <v>-2.27</v>
      </c>
      <c r="F1642" s="60">
        <v>97</v>
      </c>
      <c r="G1642" s="60">
        <v>0.02</v>
      </c>
      <c r="H1642" s="60">
        <v>0.92</v>
      </c>
      <c r="I1642" s="60">
        <v>6.64</v>
      </c>
      <c r="J1642" s="60">
        <v>0</v>
      </c>
      <c r="O1642" s="60" t="s">
        <v>2958</v>
      </c>
      <c r="P1642" s="60" t="s">
        <v>3496</v>
      </c>
      <c r="Q1642" s="60" t="s">
        <v>5004</v>
      </c>
      <c r="R1642" s="60">
        <v>119.5</v>
      </c>
      <c r="S1642" s="60">
        <v>0</v>
      </c>
      <c r="T1642" s="60">
        <v>18</v>
      </c>
      <c r="U1642" s="60">
        <v>73.06</v>
      </c>
    </row>
    <row r="1643" spans="1:21">
      <c r="A1643" s="60" t="s">
        <v>2959</v>
      </c>
      <c r="B1643" s="60" t="s">
        <v>3497</v>
      </c>
      <c r="C1643" s="60" t="s">
        <v>5152</v>
      </c>
      <c r="D1643" s="60">
        <v>10.050000000000001</v>
      </c>
      <c r="E1643" s="60">
        <v>0.5</v>
      </c>
      <c r="F1643" s="60">
        <v>84</v>
      </c>
      <c r="G1643" s="60">
        <v>0</v>
      </c>
      <c r="H1643" s="60">
        <v>0.01</v>
      </c>
      <c r="I1643" s="60">
        <v>0</v>
      </c>
      <c r="J1643" s="60">
        <v>0</v>
      </c>
      <c r="O1643" s="60" t="s">
        <v>2959</v>
      </c>
      <c r="P1643" s="60" t="s">
        <v>3028</v>
      </c>
      <c r="Q1643" s="60" t="s">
        <v>5150</v>
      </c>
      <c r="R1643" s="60">
        <v>10.6</v>
      </c>
      <c r="S1643" s="60">
        <v>0.47</v>
      </c>
      <c r="T1643" s="60">
        <v>3</v>
      </c>
      <c r="U1643" s="60">
        <v>87.59</v>
      </c>
    </row>
    <row r="1644" spans="1:21">
      <c r="A1644" s="60" t="s">
        <v>2961</v>
      </c>
      <c r="B1644" s="60" t="s">
        <v>3030</v>
      </c>
      <c r="C1644" s="60" t="s">
        <v>4464</v>
      </c>
      <c r="D1644" s="60">
        <v>241.5</v>
      </c>
      <c r="E1644" s="60">
        <v>2.5499999999999998</v>
      </c>
      <c r="F1644" s="60">
        <v>1491</v>
      </c>
      <c r="G1644" s="60">
        <v>0.15</v>
      </c>
      <c r="H1644" s="60">
        <v>27.61</v>
      </c>
      <c r="I1644" s="60">
        <v>18.91</v>
      </c>
      <c r="J1644" s="60">
        <v>0.99</v>
      </c>
      <c r="O1644" s="60" t="s">
        <v>2961</v>
      </c>
      <c r="P1644" s="60" t="s">
        <v>3029</v>
      </c>
      <c r="Q1644" s="60" t="s">
        <v>5151</v>
      </c>
      <c r="R1644" s="60">
        <v>38.700000000000003</v>
      </c>
      <c r="S1644" s="60">
        <v>-2.27</v>
      </c>
      <c r="T1644" s="60">
        <v>97</v>
      </c>
      <c r="U1644" s="60">
        <v>72.739999999999995</v>
      </c>
    </row>
    <row r="1645" spans="1:21">
      <c r="A1645" s="60" t="s">
        <v>2963</v>
      </c>
      <c r="B1645" s="60" t="s">
        <v>3498</v>
      </c>
      <c r="C1645" s="60" t="s">
        <v>5153</v>
      </c>
      <c r="D1645" s="60">
        <v>17.600000000000001</v>
      </c>
      <c r="E1645" s="60">
        <v>0.28000000000000003</v>
      </c>
      <c r="F1645" s="60">
        <v>0</v>
      </c>
      <c r="G1645" s="60">
        <v>0</v>
      </c>
      <c r="H1645" s="60">
        <v>2.42</v>
      </c>
      <c r="I1645" s="60">
        <v>0</v>
      </c>
      <c r="J1645" s="60">
        <v>0</v>
      </c>
      <c r="O1645" s="60" t="s">
        <v>2963</v>
      </c>
      <c r="P1645" s="60" t="s">
        <v>3497</v>
      </c>
      <c r="Q1645" s="60" t="s">
        <v>5152</v>
      </c>
      <c r="R1645" s="60">
        <v>10.050000000000001</v>
      </c>
      <c r="S1645" s="60">
        <v>0.5</v>
      </c>
      <c r="T1645" s="60">
        <v>84</v>
      </c>
      <c r="U1645" s="60">
        <v>41.32</v>
      </c>
    </row>
    <row r="1646" spans="1:21">
      <c r="A1646" s="60" t="s">
        <v>2965</v>
      </c>
      <c r="B1646" s="60" t="s">
        <v>3031</v>
      </c>
      <c r="C1646" s="60" t="s">
        <v>5069</v>
      </c>
      <c r="D1646" s="60">
        <v>61.1</v>
      </c>
      <c r="E1646" s="60">
        <v>0</v>
      </c>
      <c r="F1646" s="60">
        <v>12</v>
      </c>
      <c r="G1646" s="60">
        <v>0</v>
      </c>
      <c r="H1646" s="60">
        <v>0.93</v>
      </c>
      <c r="I1646" s="60">
        <v>0.13</v>
      </c>
      <c r="J1646" s="60">
        <v>0.1</v>
      </c>
      <c r="O1646" s="60" t="s">
        <v>2965</v>
      </c>
      <c r="P1646" s="60" t="s">
        <v>3030</v>
      </c>
      <c r="Q1646" s="60" t="s">
        <v>4464</v>
      </c>
      <c r="R1646" s="60">
        <v>241.5</v>
      </c>
      <c r="S1646" s="60">
        <v>2.5499999999999998</v>
      </c>
      <c r="T1646" s="60">
        <v>1491</v>
      </c>
      <c r="U1646" s="60">
        <v>44.55</v>
      </c>
    </row>
    <row r="1647" spans="1:21">
      <c r="A1647" s="60" t="s">
        <v>2967</v>
      </c>
      <c r="B1647" s="60" t="s">
        <v>3032</v>
      </c>
      <c r="C1647" s="60" t="s">
        <v>5154</v>
      </c>
      <c r="D1647" s="60">
        <v>17</v>
      </c>
      <c r="E1647" s="60">
        <v>0</v>
      </c>
      <c r="F1647" s="60">
        <v>22</v>
      </c>
      <c r="G1647" s="60">
        <v>0.02</v>
      </c>
      <c r="H1647" s="60">
        <v>68.61</v>
      </c>
      <c r="I1647" s="60">
        <v>3.05</v>
      </c>
      <c r="J1647" s="60">
        <v>0</v>
      </c>
      <c r="O1647" s="60" t="s">
        <v>2967</v>
      </c>
      <c r="P1647" s="60" t="s">
        <v>3498</v>
      </c>
      <c r="Q1647" s="60" t="s">
        <v>5153</v>
      </c>
      <c r="R1647" s="60">
        <v>17.600000000000001</v>
      </c>
      <c r="S1647" s="60">
        <v>0.28000000000000003</v>
      </c>
      <c r="T1647" s="60">
        <v>0</v>
      </c>
      <c r="U1647" s="60">
        <v>59.67</v>
      </c>
    </row>
    <row r="1648" spans="1:21">
      <c r="A1648" s="60" t="s">
        <v>2969</v>
      </c>
      <c r="B1648" s="60" t="s">
        <v>3033</v>
      </c>
      <c r="C1648" s="60" t="s">
        <v>4465</v>
      </c>
      <c r="D1648" s="60">
        <v>74.7</v>
      </c>
      <c r="E1648" s="60">
        <v>0.13</v>
      </c>
      <c r="F1648" s="60">
        <v>11</v>
      </c>
      <c r="G1648" s="60">
        <v>0</v>
      </c>
      <c r="H1648" s="60">
        <v>35.51</v>
      </c>
      <c r="I1648" s="60">
        <v>0.28000000000000003</v>
      </c>
      <c r="J1648" s="60">
        <v>0</v>
      </c>
      <c r="O1648" s="60" t="s">
        <v>2969</v>
      </c>
      <c r="P1648" s="60" t="s">
        <v>3031</v>
      </c>
      <c r="Q1648" s="60" t="s">
        <v>5069</v>
      </c>
      <c r="R1648" s="60">
        <v>61.1</v>
      </c>
      <c r="S1648" s="60">
        <v>0</v>
      </c>
      <c r="T1648" s="60">
        <v>12</v>
      </c>
      <c r="U1648" s="60">
        <v>50.7</v>
      </c>
    </row>
    <row r="1649" spans="1:21">
      <c r="A1649" s="60" t="s">
        <v>2971</v>
      </c>
      <c r="B1649" s="60" t="s">
        <v>3034</v>
      </c>
      <c r="C1649" s="60" t="s">
        <v>4425</v>
      </c>
      <c r="D1649" s="60">
        <v>13.2</v>
      </c>
      <c r="E1649" s="60">
        <v>0.76</v>
      </c>
      <c r="F1649" s="60">
        <v>975</v>
      </c>
      <c r="G1649" s="60">
        <v>0.09</v>
      </c>
      <c r="H1649" s="60">
        <v>33.92</v>
      </c>
      <c r="I1649" s="60">
        <v>20.350000000000001</v>
      </c>
      <c r="J1649" s="60">
        <v>0.08</v>
      </c>
      <c r="O1649" s="60" t="s">
        <v>2971</v>
      </c>
      <c r="P1649" s="60" t="s">
        <v>3032</v>
      </c>
      <c r="Q1649" s="60" t="s">
        <v>5154</v>
      </c>
      <c r="R1649" s="60">
        <v>17</v>
      </c>
      <c r="S1649" s="60">
        <v>0</v>
      </c>
      <c r="T1649" s="60">
        <v>22</v>
      </c>
      <c r="U1649" s="60">
        <v>73.650000000000006</v>
      </c>
    </row>
    <row r="1650" spans="1:21">
      <c r="A1650" s="60" t="s">
        <v>2973</v>
      </c>
      <c r="B1650" s="60" t="s">
        <v>3035</v>
      </c>
      <c r="C1650" s="60" t="s">
        <v>5044</v>
      </c>
      <c r="D1650" s="60">
        <v>61.5</v>
      </c>
      <c r="E1650" s="60">
        <v>1.65</v>
      </c>
      <c r="F1650" s="60">
        <v>146</v>
      </c>
      <c r="G1650" s="60">
        <v>0.06</v>
      </c>
      <c r="H1650" s="60">
        <v>1.03</v>
      </c>
      <c r="I1650" s="60">
        <v>40.770000000000003</v>
      </c>
      <c r="J1650" s="60">
        <v>0</v>
      </c>
      <c r="O1650" s="60" t="s">
        <v>2973</v>
      </c>
      <c r="P1650" s="60" t="s">
        <v>3033</v>
      </c>
      <c r="Q1650" s="60" t="s">
        <v>4465</v>
      </c>
      <c r="R1650" s="60">
        <v>74.7</v>
      </c>
      <c r="S1650" s="60">
        <v>0.13</v>
      </c>
      <c r="T1650" s="60">
        <v>11</v>
      </c>
      <c r="U1650" s="60">
        <v>90.75</v>
      </c>
    </row>
    <row r="1651" spans="1:21">
      <c r="A1651" s="60" t="s">
        <v>3335</v>
      </c>
      <c r="B1651" s="60" t="s">
        <v>3036</v>
      </c>
      <c r="C1651" s="60" t="s">
        <v>4647</v>
      </c>
      <c r="D1651" s="60">
        <v>44.4</v>
      </c>
      <c r="E1651" s="60">
        <v>0.68</v>
      </c>
      <c r="F1651" s="60">
        <v>22</v>
      </c>
      <c r="G1651" s="60">
        <v>0.01</v>
      </c>
      <c r="H1651" s="60">
        <v>0.59</v>
      </c>
      <c r="I1651" s="60">
        <v>3.78</v>
      </c>
      <c r="J1651" s="60">
        <v>0</v>
      </c>
      <c r="O1651" s="60" t="s">
        <v>3335</v>
      </c>
      <c r="P1651" s="60" t="s">
        <v>3034</v>
      </c>
      <c r="Q1651" s="60" t="s">
        <v>4425</v>
      </c>
      <c r="R1651" s="60">
        <v>13.2</v>
      </c>
      <c r="S1651" s="60">
        <v>0.76</v>
      </c>
      <c r="T1651" s="60">
        <v>975</v>
      </c>
      <c r="U1651" s="60">
        <v>36.590000000000003</v>
      </c>
    </row>
    <row r="1652" spans="1:21">
      <c r="A1652" s="60" t="s">
        <v>3336</v>
      </c>
      <c r="B1652" s="60" t="s">
        <v>3037</v>
      </c>
      <c r="C1652" s="60" t="s">
        <v>5120</v>
      </c>
      <c r="D1652" s="60">
        <v>42.6</v>
      </c>
      <c r="E1652" s="60">
        <v>-1.1599999999999999</v>
      </c>
      <c r="F1652" s="60">
        <v>2</v>
      </c>
      <c r="G1652" s="60">
        <v>0</v>
      </c>
      <c r="H1652" s="60">
        <v>0.77</v>
      </c>
      <c r="I1652" s="60">
        <v>0.99</v>
      </c>
      <c r="J1652" s="60">
        <v>0.26</v>
      </c>
      <c r="O1652" s="60" t="s">
        <v>3336</v>
      </c>
      <c r="P1652" s="60" t="s">
        <v>3035</v>
      </c>
      <c r="Q1652" s="60" t="s">
        <v>5044</v>
      </c>
      <c r="R1652" s="60">
        <v>61.5</v>
      </c>
      <c r="S1652" s="60">
        <v>1.65</v>
      </c>
      <c r="T1652" s="60">
        <v>146</v>
      </c>
      <c r="U1652" s="60">
        <v>22.39</v>
      </c>
    </row>
    <row r="1653" spans="1:21">
      <c r="A1653" s="60" t="s">
        <v>3337</v>
      </c>
      <c r="B1653" s="60" t="s">
        <v>3038</v>
      </c>
      <c r="C1653" s="60" t="s">
        <v>5155</v>
      </c>
      <c r="D1653" s="60">
        <v>58</v>
      </c>
      <c r="E1653" s="60">
        <v>0</v>
      </c>
      <c r="F1653" s="60">
        <v>30</v>
      </c>
      <c r="G1653" s="60">
        <v>0</v>
      </c>
      <c r="H1653" s="60">
        <v>0.55000000000000004</v>
      </c>
      <c r="I1653" s="60">
        <v>0.52</v>
      </c>
      <c r="J1653" s="60">
        <v>0</v>
      </c>
      <c r="O1653" s="60" t="s">
        <v>3337</v>
      </c>
      <c r="P1653" s="60" t="s">
        <v>3036</v>
      </c>
      <c r="Q1653" s="60" t="s">
        <v>4647</v>
      </c>
      <c r="R1653" s="60">
        <v>44.4</v>
      </c>
      <c r="S1653" s="60">
        <v>0.68</v>
      </c>
      <c r="T1653" s="60">
        <v>22</v>
      </c>
      <c r="U1653" s="60">
        <v>56.48</v>
      </c>
    </row>
    <row r="1654" spans="1:21">
      <c r="A1654" s="60" t="s">
        <v>3338</v>
      </c>
      <c r="B1654" s="60" t="s">
        <v>3039</v>
      </c>
      <c r="C1654" s="60" t="s">
        <v>3677</v>
      </c>
      <c r="D1654" s="60">
        <v>209.5</v>
      </c>
      <c r="E1654" s="60">
        <v>0.96</v>
      </c>
      <c r="F1654" s="60">
        <v>774</v>
      </c>
      <c r="G1654" s="60">
        <v>0.06</v>
      </c>
      <c r="H1654" s="60">
        <v>37.89</v>
      </c>
      <c r="I1654" s="60">
        <v>13.16</v>
      </c>
      <c r="J1654" s="60">
        <v>0.36</v>
      </c>
      <c r="O1654" s="60" t="s">
        <v>3338</v>
      </c>
      <c r="P1654" s="60" t="s">
        <v>3037</v>
      </c>
      <c r="Q1654" s="60" t="s">
        <v>5120</v>
      </c>
      <c r="R1654" s="60">
        <v>42.6</v>
      </c>
      <c r="S1654" s="60">
        <v>-1.1599999999999999</v>
      </c>
      <c r="T1654" s="60">
        <v>2</v>
      </c>
      <c r="U1654" s="60">
        <v>68.38</v>
      </c>
    </row>
    <row r="1655" spans="1:21">
      <c r="A1655" s="60" t="s">
        <v>3340</v>
      </c>
      <c r="B1655" s="60" t="s">
        <v>3040</v>
      </c>
      <c r="C1655" s="60" t="s">
        <v>5156</v>
      </c>
      <c r="D1655" s="60">
        <v>149.5</v>
      </c>
      <c r="E1655" s="60">
        <v>-0.66</v>
      </c>
      <c r="F1655" s="60">
        <v>20</v>
      </c>
      <c r="G1655" s="60">
        <v>0</v>
      </c>
      <c r="H1655" s="60">
        <v>40.950000000000003</v>
      </c>
      <c r="I1655" s="60">
        <v>0.34</v>
      </c>
      <c r="J1655" s="60">
        <v>0</v>
      </c>
      <c r="O1655" s="60" t="s">
        <v>3340</v>
      </c>
      <c r="P1655" s="60" t="s">
        <v>3038</v>
      </c>
      <c r="Q1655" s="60" t="s">
        <v>5155</v>
      </c>
      <c r="R1655" s="60">
        <v>58</v>
      </c>
      <c r="S1655" s="60">
        <v>0</v>
      </c>
      <c r="T1655" s="60">
        <v>30</v>
      </c>
      <c r="U1655" s="60">
        <v>17.829999999999998</v>
      </c>
    </row>
    <row r="1656" spans="1:21">
      <c r="A1656" s="60" t="s">
        <v>3341</v>
      </c>
      <c r="B1656" s="60" t="s">
        <v>3041</v>
      </c>
      <c r="C1656" s="60" t="s">
        <v>5157</v>
      </c>
      <c r="D1656" s="60">
        <v>19.2</v>
      </c>
      <c r="E1656" s="60">
        <v>0.52</v>
      </c>
      <c r="F1656" s="60">
        <v>71</v>
      </c>
      <c r="G1656" s="60">
        <v>0</v>
      </c>
      <c r="H1656" s="60">
        <v>0.61</v>
      </c>
      <c r="I1656" s="60">
        <v>10.07</v>
      </c>
      <c r="J1656" s="60">
        <v>0</v>
      </c>
      <c r="O1656" s="60" t="s">
        <v>3341</v>
      </c>
      <c r="P1656" s="60" t="s">
        <v>3039</v>
      </c>
      <c r="Q1656" s="60" t="s">
        <v>3677</v>
      </c>
      <c r="R1656" s="60">
        <v>209.5</v>
      </c>
      <c r="S1656" s="60">
        <v>0.96</v>
      </c>
      <c r="T1656" s="60">
        <v>774</v>
      </c>
      <c r="U1656" s="60">
        <v>36.9</v>
      </c>
    </row>
    <row r="1657" spans="1:21">
      <c r="A1657" s="60" t="s">
        <v>3342</v>
      </c>
      <c r="B1657" s="60" t="s">
        <v>3042</v>
      </c>
      <c r="C1657" s="60" t="s">
        <v>4466</v>
      </c>
      <c r="D1657" s="60">
        <v>42</v>
      </c>
      <c r="E1657" s="60">
        <v>-0.24</v>
      </c>
      <c r="F1657" s="60">
        <v>25</v>
      </c>
      <c r="G1657" s="60">
        <v>0</v>
      </c>
      <c r="H1657" s="60">
        <v>63.78</v>
      </c>
      <c r="I1657" s="60">
        <v>1.0900000000000001</v>
      </c>
      <c r="J1657" s="60">
        <v>0</v>
      </c>
      <c r="O1657" s="60" t="s">
        <v>3342</v>
      </c>
      <c r="P1657" s="60" t="s">
        <v>3040</v>
      </c>
      <c r="Q1657" s="60" t="s">
        <v>5156</v>
      </c>
      <c r="R1657" s="60">
        <v>149.5</v>
      </c>
      <c r="S1657" s="60">
        <v>-0.66</v>
      </c>
      <c r="T1657" s="60">
        <v>20</v>
      </c>
      <c r="U1657" s="60">
        <v>44.24</v>
      </c>
    </row>
    <row r="1658" spans="1:21">
      <c r="A1658" s="60" t="s">
        <v>3343</v>
      </c>
      <c r="B1658" s="60" t="s">
        <v>3043</v>
      </c>
      <c r="C1658" s="60" t="s">
        <v>4426</v>
      </c>
      <c r="D1658" s="60">
        <v>11.85</v>
      </c>
      <c r="E1658" s="60">
        <v>1.28</v>
      </c>
      <c r="F1658" s="60">
        <v>132</v>
      </c>
      <c r="G1658" s="60">
        <v>0</v>
      </c>
      <c r="H1658" s="60">
        <v>6.62</v>
      </c>
      <c r="I1658" s="60">
        <v>1.95</v>
      </c>
      <c r="J1658" s="60">
        <v>0</v>
      </c>
      <c r="O1658" s="60" t="s">
        <v>3343</v>
      </c>
      <c r="P1658" s="60" t="s">
        <v>3041</v>
      </c>
      <c r="Q1658" s="60" t="s">
        <v>5157</v>
      </c>
      <c r="R1658" s="60">
        <v>19.2</v>
      </c>
      <c r="S1658" s="60">
        <v>0.52</v>
      </c>
      <c r="T1658" s="60">
        <v>71</v>
      </c>
      <c r="U1658" s="60">
        <v>63.97</v>
      </c>
    </row>
    <row r="1659" spans="1:21">
      <c r="A1659" s="60" t="s">
        <v>3344</v>
      </c>
      <c r="B1659" s="60" t="s">
        <v>3044</v>
      </c>
      <c r="C1659" s="60" t="s">
        <v>5158</v>
      </c>
      <c r="D1659" s="60">
        <v>126</v>
      </c>
      <c r="E1659" s="60">
        <v>0</v>
      </c>
      <c r="F1659" s="60">
        <v>34</v>
      </c>
      <c r="G1659" s="60">
        <v>0</v>
      </c>
      <c r="H1659" s="60">
        <v>65.75</v>
      </c>
      <c r="I1659" s="60">
        <v>10.14</v>
      </c>
      <c r="J1659" s="60">
        <v>0</v>
      </c>
      <c r="O1659" s="60" t="s">
        <v>3344</v>
      </c>
      <c r="P1659" s="60" t="s">
        <v>3042</v>
      </c>
      <c r="Q1659" s="60" t="s">
        <v>4466</v>
      </c>
      <c r="R1659" s="60">
        <v>42</v>
      </c>
      <c r="S1659" s="60">
        <v>-0.24</v>
      </c>
      <c r="T1659" s="60">
        <v>25</v>
      </c>
      <c r="U1659" s="60">
        <v>72.28</v>
      </c>
    </row>
    <row r="1660" spans="1:21">
      <c r="A1660" s="60" t="s">
        <v>3346</v>
      </c>
      <c r="B1660" s="60" t="s">
        <v>3045</v>
      </c>
      <c r="C1660" s="60" t="s">
        <v>5193</v>
      </c>
      <c r="D1660" s="60">
        <v>93.6</v>
      </c>
      <c r="E1660" s="60">
        <v>1.41</v>
      </c>
      <c r="F1660" s="60">
        <v>588</v>
      </c>
      <c r="G1660" s="60">
        <v>0</v>
      </c>
      <c r="H1660" s="60">
        <v>3.52</v>
      </c>
      <c r="I1660" s="60">
        <v>2.56</v>
      </c>
      <c r="J1660" s="60">
        <v>0.45</v>
      </c>
      <c r="O1660" s="60" t="s">
        <v>3346</v>
      </c>
      <c r="P1660" s="60" t="s">
        <v>3043</v>
      </c>
      <c r="Q1660" s="60" t="s">
        <v>4426</v>
      </c>
      <c r="R1660" s="60">
        <v>11.85</v>
      </c>
      <c r="S1660" s="60">
        <v>1.28</v>
      </c>
      <c r="T1660" s="60">
        <v>132</v>
      </c>
      <c r="U1660" s="60">
        <v>62.6</v>
      </c>
    </row>
    <row r="1661" spans="1:21">
      <c r="A1661" s="60" t="s">
        <v>3347</v>
      </c>
      <c r="B1661" s="60" t="s">
        <v>3046</v>
      </c>
      <c r="C1661" s="60" t="s">
        <v>5194</v>
      </c>
      <c r="D1661" s="60">
        <v>35.5</v>
      </c>
      <c r="E1661" s="60">
        <v>9.91</v>
      </c>
      <c r="F1661" s="60">
        <v>2054</v>
      </c>
      <c r="G1661" s="60">
        <v>0.48</v>
      </c>
      <c r="H1661" s="60">
        <v>1.01</v>
      </c>
      <c r="I1661" s="60">
        <v>16.96</v>
      </c>
      <c r="J1661" s="60">
        <v>0</v>
      </c>
      <c r="O1661" s="60" t="s">
        <v>3347</v>
      </c>
      <c r="P1661" s="60" t="s">
        <v>3044</v>
      </c>
      <c r="Q1661" s="60" t="s">
        <v>5158</v>
      </c>
      <c r="R1661" s="60">
        <v>126</v>
      </c>
      <c r="S1661" s="60">
        <v>0</v>
      </c>
      <c r="T1661" s="60">
        <v>34</v>
      </c>
      <c r="U1661" s="60">
        <v>76.11</v>
      </c>
    </row>
    <row r="1662" spans="1:21">
      <c r="A1662" s="60" t="s">
        <v>3348</v>
      </c>
      <c r="B1662" s="60" t="s">
        <v>3047</v>
      </c>
      <c r="C1662" s="60" t="s">
        <v>4427</v>
      </c>
      <c r="D1662" s="60">
        <v>1640</v>
      </c>
      <c r="E1662" s="60">
        <v>-3.53</v>
      </c>
      <c r="F1662" s="60">
        <v>379</v>
      </c>
      <c r="G1662" s="60">
        <v>0.09</v>
      </c>
      <c r="H1662" s="60">
        <v>32.25</v>
      </c>
      <c r="I1662" s="60">
        <v>0.83</v>
      </c>
      <c r="J1662" s="60">
        <v>0.47</v>
      </c>
      <c r="O1662" s="60" t="s">
        <v>3348</v>
      </c>
      <c r="P1662" s="60" t="s">
        <v>3045</v>
      </c>
      <c r="Q1662" s="60" t="s">
        <v>5193</v>
      </c>
      <c r="R1662" s="60">
        <v>93.6</v>
      </c>
      <c r="S1662" s="60">
        <v>1.41</v>
      </c>
      <c r="T1662" s="60">
        <v>588</v>
      </c>
      <c r="U1662" s="60">
        <v>49.25</v>
      </c>
    </row>
    <row r="1663" spans="1:21">
      <c r="A1663" s="60" t="s">
        <v>3349</v>
      </c>
      <c r="B1663" s="60" t="s">
        <v>3499</v>
      </c>
      <c r="C1663" s="60" t="s">
        <v>5045</v>
      </c>
      <c r="D1663" s="60">
        <v>18.7</v>
      </c>
      <c r="E1663" s="60">
        <v>1.08</v>
      </c>
      <c r="F1663" s="60">
        <v>4</v>
      </c>
      <c r="G1663" s="60">
        <v>0</v>
      </c>
      <c r="H1663" s="60">
        <v>87.78</v>
      </c>
      <c r="I1663" s="60">
        <v>0</v>
      </c>
      <c r="J1663" s="60">
        <v>0</v>
      </c>
      <c r="O1663" s="60" t="s">
        <v>3349</v>
      </c>
      <c r="P1663" s="60" t="s">
        <v>3046</v>
      </c>
      <c r="Q1663" s="60" t="s">
        <v>5194</v>
      </c>
      <c r="R1663" s="60">
        <v>35.5</v>
      </c>
      <c r="S1663" s="60">
        <v>9.91</v>
      </c>
      <c r="T1663" s="60">
        <v>2054</v>
      </c>
      <c r="U1663" s="60">
        <v>64.650000000000006</v>
      </c>
    </row>
    <row r="1664" spans="1:21">
      <c r="A1664" s="60" t="s">
        <v>3350</v>
      </c>
      <c r="B1664" s="60" t="s">
        <v>3048</v>
      </c>
      <c r="C1664" s="60" t="s">
        <v>4371</v>
      </c>
      <c r="D1664" s="60">
        <v>140.5</v>
      </c>
      <c r="E1664" s="60">
        <v>0</v>
      </c>
      <c r="F1664" s="60">
        <v>51</v>
      </c>
      <c r="G1664" s="60">
        <v>0.01</v>
      </c>
      <c r="H1664" s="60">
        <v>2.41</v>
      </c>
      <c r="I1664" s="60">
        <v>2.39</v>
      </c>
      <c r="J1664" s="60">
        <v>0</v>
      </c>
      <c r="O1664" s="60" t="s">
        <v>3350</v>
      </c>
      <c r="P1664" s="60" t="s">
        <v>3047</v>
      </c>
      <c r="Q1664" s="60" t="s">
        <v>4427</v>
      </c>
      <c r="R1664" s="60">
        <v>1640</v>
      </c>
      <c r="S1664" s="60">
        <v>-3.53</v>
      </c>
      <c r="T1664" s="60">
        <v>379</v>
      </c>
      <c r="U1664" s="60">
        <v>76.27</v>
      </c>
    </row>
    <row r="1665" spans="1:21">
      <c r="A1665" s="60" t="s">
        <v>3352</v>
      </c>
      <c r="B1665" s="60" t="s">
        <v>3049</v>
      </c>
      <c r="C1665" s="60" t="s">
        <v>4467</v>
      </c>
      <c r="D1665" s="60">
        <v>31.2</v>
      </c>
      <c r="E1665" s="60">
        <v>0.48</v>
      </c>
      <c r="F1665" s="60">
        <v>43</v>
      </c>
      <c r="G1665" s="60">
        <v>0</v>
      </c>
      <c r="H1665" s="60">
        <v>0.26</v>
      </c>
      <c r="I1665" s="60">
        <v>3.14</v>
      </c>
      <c r="J1665" s="60">
        <v>0</v>
      </c>
      <c r="O1665" s="60" t="s">
        <v>3352</v>
      </c>
      <c r="P1665" s="60" t="s">
        <v>3499</v>
      </c>
      <c r="Q1665" s="60" t="s">
        <v>5045</v>
      </c>
      <c r="R1665" s="60">
        <v>18.7</v>
      </c>
      <c r="S1665" s="60">
        <v>1.08</v>
      </c>
      <c r="T1665" s="60">
        <v>4</v>
      </c>
      <c r="U1665" s="60">
        <v>87.78</v>
      </c>
    </row>
    <row r="1666" spans="1:21">
      <c r="A1666" s="60" t="s">
        <v>3353</v>
      </c>
      <c r="B1666" s="60" t="s">
        <v>3050</v>
      </c>
      <c r="C1666" s="60" t="s">
        <v>3692</v>
      </c>
      <c r="D1666" s="60">
        <v>391.5</v>
      </c>
      <c r="E1666" s="60">
        <v>3.03</v>
      </c>
      <c r="F1666" s="60">
        <v>762</v>
      </c>
      <c r="G1666" s="60">
        <v>0.02</v>
      </c>
      <c r="H1666" s="60">
        <v>47.13</v>
      </c>
      <c r="I1666" s="60">
        <v>5.32</v>
      </c>
      <c r="J1666" s="60">
        <v>0.54</v>
      </c>
      <c r="O1666" s="60" t="s">
        <v>3353</v>
      </c>
      <c r="P1666" s="60" t="s">
        <v>3048</v>
      </c>
      <c r="Q1666" s="60" t="s">
        <v>4371</v>
      </c>
      <c r="R1666" s="60">
        <v>140.5</v>
      </c>
      <c r="S1666" s="60">
        <v>0</v>
      </c>
      <c r="T1666" s="60">
        <v>51</v>
      </c>
      <c r="U1666" s="60">
        <v>60.06</v>
      </c>
    </row>
    <row r="1667" spans="1:21">
      <c r="A1667" s="60" t="s">
        <v>3354</v>
      </c>
      <c r="B1667" s="60" t="s">
        <v>3051</v>
      </c>
      <c r="C1667" s="60" t="s">
        <v>4468</v>
      </c>
      <c r="D1667" s="60">
        <v>53.2</v>
      </c>
      <c r="E1667" s="60">
        <v>-0.93</v>
      </c>
      <c r="F1667" s="60">
        <v>11</v>
      </c>
      <c r="G1667" s="60">
        <v>0.01</v>
      </c>
      <c r="H1667" s="60">
        <v>61.27</v>
      </c>
      <c r="I1667" s="60">
        <v>1.32</v>
      </c>
      <c r="J1667" s="60">
        <v>0</v>
      </c>
      <c r="O1667" s="60" t="s">
        <v>3354</v>
      </c>
      <c r="P1667" s="60" t="s">
        <v>3049</v>
      </c>
      <c r="Q1667" s="60" t="s">
        <v>4467</v>
      </c>
      <c r="R1667" s="60">
        <v>31.2</v>
      </c>
      <c r="S1667" s="60">
        <v>0.48</v>
      </c>
      <c r="T1667" s="60">
        <v>43</v>
      </c>
      <c r="U1667" s="60">
        <v>80.77</v>
      </c>
    </row>
    <row r="1668" spans="1:21">
      <c r="A1668" s="60" t="s">
        <v>3356</v>
      </c>
      <c r="B1668" s="60" t="s">
        <v>3052</v>
      </c>
      <c r="C1668" s="60" t="s">
        <v>4469</v>
      </c>
      <c r="D1668" s="60">
        <v>40.65</v>
      </c>
      <c r="E1668" s="60">
        <v>-0.61</v>
      </c>
      <c r="F1668" s="60">
        <v>10</v>
      </c>
      <c r="G1668" s="60">
        <v>0</v>
      </c>
      <c r="H1668" s="60">
        <v>44.4</v>
      </c>
      <c r="I1668" s="60">
        <v>0.68</v>
      </c>
      <c r="J1668" s="60">
        <v>0.01</v>
      </c>
      <c r="O1668" s="60" t="s">
        <v>3356</v>
      </c>
      <c r="P1668" s="60" t="s">
        <v>3050</v>
      </c>
      <c r="Q1668" s="60" t="s">
        <v>3692</v>
      </c>
      <c r="R1668" s="60">
        <v>391.5</v>
      </c>
      <c r="S1668" s="60">
        <v>3.03</v>
      </c>
      <c r="T1668" s="60">
        <v>762</v>
      </c>
      <c r="U1668" s="60">
        <v>73.989999999999995</v>
      </c>
    </row>
    <row r="1669" spans="1:21">
      <c r="A1669" s="60" t="s">
        <v>3357</v>
      </c>
      <c r="B1669" s="60" t="s">
        <v>3500</v>
      </c>
      <c r="C1669" s="60" t="s">
        <v>5204</v>
      </c>
      <c r="D1669" s="60">
        <v>51.6</v>
      </c>
      <c r="E1669" s="60">
        <v>0.19</v>
      </c>
      <c r="F1669" s="60">
        <v>16</v>
      </c>
      <c r="G1669" s="60">
        <v>0</v>
      </c>
      <c r="H1669" s="60">
        <v>6.78</v>
      </c>
      <c r="I1669" s="60">
        <v>0</v>
      </c>
      <c r="J1669" s="60">
        <v>0</v>
      </c>
      <c r="O1669" s="60" t="s">
        <v>3357</v>
      </c>
      <c r="P1669" s="60" t="s">
        <v>3051</v>
      </c>
      <c r="Q1669" s="60" t="s">
        <v>4468</v>
      </c>
      <c r="R1669" s="60">
        <v>53.2</v>
      </c>
      <c r="S1669" s="60">
        <v>-0.93</v>
      </c>
      <c r="T1669" s="60">
        <v>11</v>
      </c>
      <c r="U1669" s="60">
        <v>65.27</v>
      </c>
    </row>
    <row r="1670" spans="1:21">
      <c r="A1670" s="60" t="s">
        <v>3358</v>
      </c>
      <c r="B1670" s="60" t="s">
        <v>3053</v>
      </c>
      <c r="C1670" s="60" t="s">
        <v>4470</v>
      </c>
      <c r="D1670" s="60">
        <v>33.85</v>
      </c>
      <c r="E1670" s="60">
        <v>-0.28999999999999998</v>
      </c>
      <c r="F1670" s="60">
        <v>34</v>
      </c>
      <c r="G1670" s="60">
        <v>0</v>
      </c>
      <c r="H1670" s="60">
        <v>0.72</v>
      </c>
      <c r="I1670" s="60">
        <v>1.05</v>
      </c>
      <c r="J1670" s="60">
        <v>0</v>
      </c>
      <c r="O1670" s="60" t="s">
        <v>3358</v>
      </c>
      <c r="P1670" s="60" t="s">
        <v>3052</v>
      </c>
      <c r="Q1670" s="60" t="s">
        <v>4469</v>
      </c>
      <c r="R1670" s="60">
        <v>40.65</v>
      </c>
      <c r="S1670" s="60">
        <v>-0.61</v>
      </c>
      <c r="T1670" s="60">
        <v>10</v>
      </c>
      <c r="U1670" s="60">
        <v>66.5</v>
      </c>
    </row>
    <row r="1671" spans="1:21">
      <c r="A1671" s="60" t="s">
        <v>3359</v>
      </c>
      <c r="B1671" s="60" t="s">
        <v>3501</v>
      </c>
      <c r="C1671" s="60" t="s">
        <v>5159</v>
      </c>
      <c r="D1671" s="60">
        <v>57.5</v>
      </c>
      <c r="E1671" s="60">
        <v>0</v>
      </c>
      <c r="F1671" s="60">
        <v>218</v>
      </c>
      <c r="G1671" s="60">
        <v>0</v>
      </c>
      <c r="H1671" s="60">
        <v>0.88</v>
      </c>
      <c r="I1671" s="60">
        <v>0</v>
      </c>
      <c r="J1671" s="60">
        <v>0</v>
      </c>
      <c r="O1671" s="60" t="s">
        <v>3359</v>
      </c>
      <c r="P1671" s="60" t="s">
        <v>3500</v>
      </c>
      <c r="Q1671" s="60" t="s">
        <v>5204</v>
      </c>
      <c r="R1671" s="60">
        <v>51.6</v>
      </c>
      <c r="S1671" s="60">
        <v>0.19</v>
      </c>
      <c r="T1671" s="60">
        <v>16</v>
      </c>
      <c r="U1671" s="60">
        <v>61.62</v>
      </c>
    </row>
    <row r="1672" spans="1:21">
      <c r="A1672" s="60" t="s">
        <v>3360</v>
      </c>
      <c r="B1672" s="60" t="s">
        <v>3502</v>
      </c>
      <c r="C1672" s="60" t="s">
        <v>5205</v>
      </c>
      <c r="D1672" s="60">
        <v>34.9</v>
      </c>
      <c r="E1672" s="60">
        <v>0.28999999999999998</v>
      </c>
      <c r="F1672" s="60">
        <v>30</v>
      </c>
      <c r="G1672" s="60">
        <v>0</v>
      </c>
      <c r="H1672" s="60">
        <v>21.07</v>
      </c>
      <c r="I1672" s="60">
        <v>0.39</v>
      </c>
      <c r="J1672" s="60">
        <v>0</v>
      </c>
      <c r="O1672" s="60" t="s">
        <v>3360</v>
      </c>
      <c r="P1672" s="60" t="s">
        <v>3053</v>
      </c>
      <c r="Q1672" s="60" t="s">
        <v>4470</v>
      </c>
      <c r="R1672" s="60">
        <v>33.85</v>
      </c>
      <c r="S1672" s="60">
        <v>-0.28999999999999998</v>
      </c>
      <c r="T1672" s="60">
        <v>34</v>
      </c>
      <c r="U1672" s="60">
        <v>73.819999999999993</v>
      </c>
    </row>
    <row r="1673" spans="1:21">
      <c r="A1673" s="60" t="s">
        <v>3361</v>
      </c>
      <c r="B1673" s="60" t="s">
        <v>3054</v>
      </c>
      <c r="C1673" s="60" t="s">
        <v>4471</v>
      </c>
      <c r="D1673" s="60">
        <v>110</v>
      </c>
      <c r="E1673" s="60">
        <v>4.2699999999999996</v>
      </c>
      <c r="F1673" s="60">
        <v>1687</v>
      </c>
      <c r="G1673" s="60">
        <v>0.16</v>
      </c>
      <c r="H1673" s="60">
        <v>42.67</v>
      </c>
      <c r="I1673" s="60">
        <v>5.09</v>
      </c>
      <c r="J1673" s="60">
        <v>0</v>
      </c>
      <c r="O1673" s="60" t="s">
        <v>3361</v>
      </c>
      <c r="P1673" s="60" t="s">
        <v>3501</v>
      </c>
      <c r="Q1673" s="60" t="s">
        <v>5159</v>
      </c>
      <c r="R1673" s="60">
        <v>57.5</v>
      </c>
      <c r="S1673" s="60">
        <v>0</v>
      </c>
      <c r="T1673" s="60">
        <v>218</v>
      </c>
      <c r="U1673" s="60">
        <v>65.16</v>
      </c>
    </row>
    <row r="1674" spans="1:21">
      <c r="A1674" s="60" t="s">
        <v>3362</v>
      </c>
      <c r="B1674" s="60" t="s">
        <v>3055</v>
      </c>
      <c r="C1674" s="60" t="s">
        <v>4472</v>
      </c>
      <c r="D1674" s="60">
        <v>105.5</v>
      </c>
      <c r="E1674" s="60">
        <v>0.48</v>
      </c>
      <c r="F1674" s="60">
        <v>15</v>
      </c>
      <c r="G1674" s="60">
        <v>0</v>
      </c>
      <c r="H1674" s="60">
        <v>86.03</v>
      </c>
      <c r="I1674" s="60">
        <v>0.18</v>
      </c>
      <c r="J1674" s="60">
        <v>0</v>
      </c>
      <c r="O1674" s="60" t="s">
        <v>3362</v>
      </c>
      <c r="P1674" s="60" t="s">
        <v>3502</v>
      </c>
      <c r="Q1674" s="60" t="s">
        <v>5205</v>
      </c>
      <c r="R1674" s="60">
        <v>34.9</v>
      </c>
      <c r="S1674" s="60">
        <v>0.28999999999999998</v>
      </c>
      <c r="T1674" s="60">
        <v>30</v>
      </c>
      <c r="U1674" s="60">
        <v>38.31</v>
      </c>
    </row>
    <row r="1675" spans="1:21">
      <c r="A1675" s="60" t="s">
        <v>3364</v>
      </c>
      <c r="B1675" s="60" t="s">
        <v>3056</v>
      </c>
      <c r="C1675" s="60" t="s">
        <v>4473</v>
      </c>
      <c r="D1675" s="60">
        <v>71.2</v>
      </c>
      <c r="E1675" s="60">
        <v>-0.14000000000000001</v>
      </c>
      <c r="F1675" s="60">
        <v>7</v>
      </c>
      <c r="G1675" s="60">
        <v>0</v>
      </c>
      <c r="H1675" s="60">
        <v>3.93</v>
      </c>
      <c r="I1675" s="60">
        <v>0.86</v>
      </c>
      <c r="J1675" s="60">
        <v>0</v>
      </c>
      <c r="O1675" s="60" t="s">
        <v>3364</v>
      </c>
      <c r="P1675" s="60" t="s">
        <v>3054</v>
      </c>
      <c r="Q1675" s="60" t="s">
        <v>4471</v>
      </c>
      <c r="R1675" s="60">
        <v>110</v>
      </c>
      <c r="S1675" s="60">
        <v>4.2699999999999996</v>
      </c>
      <c r="T1675" s="60">
        <v>1687</v>
      </c>
      <c r="U1675" s="60">
        <v>82.85</v>
      </c>
    </row>
    <row r="1676" spans="1:21">
      <c r="A1676" s="60" t="s">
        <v>3365</v>
      </c>
      <c r="B1676" s="60" t="s">
        <v>3057</v>
      </c>
      <c r="C1676" s="60" t="s">
        <v>4474</v>
      </c>
      <c r="D1676" s="60">
        <v>72.3</v>
      </c>
      <c r="E1676" s="60">
        <v>-0.69</v>
      </c>
      <c r="F1676" s="60">
        <v>22</v>
      </c>
      <c r="G1676" s="60">
        <v>0</v>
      </c>
      <c r="H1676" s="60">
        <v>90.57</v>
      </c>
      <c r="I1676" s="60">
        <v>0.88</v>
      </c>
      <c r="J1676" s="60">
        <v>0</v>
      </c>
      <c r="O1676" s="60" t="s">
        <v>3365</v>
      </c>
      <c r="P1676" s="60" t="s">
        <v>3055</v>
      </c>
      <c r="Q1676" s="60" t="s">
        <v>4472</v>
      </c>
      <c r="R1676" s="60">
        <v>105.5</v>
      </c>
      <c r="S1676" s="60">
        <v>0.48</v>
      </c>
      <c r="T1676" s="60">
        <v>15</v>
      </c>
      <c r="U1676" s="60">
        <v>79.92</v>
      </c>
    </row>
    <row r="1677" spans="1:21">
      <c r="A1677" s="60" t="s">
        <v>3367</v>
      </c>
      <c r="B1677" s="60" t="s">
        <v>3058</v>
      </c>
      <c r="C1677" s="60" t="s">
        <v>4475</v>
      </c>
      <c r="D1677" s="60">
        <v>15.8</v>
      </c>
      <c r="E1677" s="60">
        <v>0</v>
      </c>
      <c r="F1677" s="60">
        <v>8</v>
      </c>
      <c r="G1677" s="60">
        <v>0</v>
      </c>
      <c r="H1677" s="60">
        <v>76.569999999999993</v>
      </c>
      <c r="I1677" s="60">
        <v>0.91</v>
      </c>
      <c r="J1677" s="60">
        <v>0</v>
      </c>
      <c r="O1677" s="60" t="s">
        <v>3367</v>
      </c>
      <c r="P1677" s="60" t="s">
        <v>3056</v>
      </c>
      <c r="Q1677" s="60" t="s">
        <v>4473</v>
      </c>
      <c r="R1677" s="60">
        <v>71.2</v>
      </c>
      <c r="S1677" s="60">
        <v>-0.14000000000000001</v>
      </c>
      <c r="T1677" s="60">
        <v>7</v>
      </c>
      <c r="U1677" s="60">
        <v>56.79</v>
      </c>
    </row>
    <row r="1678" spans="1:21">
      <c r="A1678" s="60" t="s">
        <v>3368</v>
      </c>
      <c r="B1678" s="60" t="s">
        <v>3059</v>
      </c>
      <c r="C1678" s="60" t="s">
        <v>5195</v>
      </c>
      <c r="D1678" s="60">
        <v>32.15</v>
      </c>
      <c r="E1678" s="60">
        <v>-1.08</v>
      </c>
      <c r="F1678" s="60">
        <v>77</v>
      </c>
      <c r="G1678" s="60">
        <v>0</v>
      </c>
      <c r="H1678" s="60">
        <v>1.54</v>
      </c>
      <c r="I1678" s="60">
        <v>10.96</v>
      </c>
      <c r="J1678" s="60">
        <v>0</v>
      </c>
      <c r="O1678" s="60" t="s">
        <v>3368</v>
      </c>
      <c r="P1678" s="60" t="s">
        <v>3057</v>
      </c>
      <c r="Q1678" s="60" t="s">
        <v>4474</v>
      </c>
      <c r="R1678" s="60">
        <v>72.3</v>
      </c>
      <c r="S1678" s="60">
        <v>-0.69</v>
      </c>
      <c r="T1678" s="60">
        <v>22</v>
      </c>
      <c r="U1678" s="60">
        <v>93.22</v>
      </c>
    </row>
    <row r="1679" spans="1:21">
      <c r="A1679" s="60" t="s">
        <v>3369</v>
      </c>
      <c r="B1679" s="60" t="s">
        <v>3060</v>
      </c>
      <c r="C1679" s="60" t="s">
        <v>4476</v>
      </c>
      <c r="D1679" s="60">
        <v>128</v>
      </c>
      <c r="E1679" s="60">
        <v>0</v>
      </c>
      <c r="F1679" s="60">
        <v>33</v>
      </c>
      <c r="G1679" s="60">
        <v>0.04</v>
      </c>
      <c r="H1679" s="60">
        <v>69.81</v>
      </c>
      <c r="I1679" s="60">
        <v>6.53</v>
      </c>
      <c r="J1679" s="60">
        <v>0</v>
      </c>
      <c r="O1679" s="60" t="s">
        <v>3369</v>
      </c>
      <c r="P1679" s="60" t="s">
        <v>3058</v>
      </c>
      <c r="Q1679" s="60" t="s">
        <v>4475</v>
      </c>
      <c r="R1679" s="60">
        <v>15.8</v>
      </c>
      <c r="S1679" s="60">
        <v>0</v>
      </c>
      <c r="T1679" s="60">
        <v>8</v>
      </c>
      <c r="U1679" s="60">
        <v>79.77</v>
      </c>
    </row>
    <row r="1680" spans="1:21">
      <c r="A1680" s="60" t="s">
        <v>3370</v>
      </c>
      <c r="B1680" s="60" t="s">
        <v>3061</v>
      </c>
      <c r="C1680" s="60" t="s">
        <v>5160</v>
      </c>
      <c r="D1680" s="60">
        <v>21.6</v>
      </c>
      <c r="E1680" s="60">
        <v>-1.37</v>
      </c>
      <c r="F1680" s="60">
        <v>195</v>
      </c>
      <c r="G1680" s="60">
        <v>0</v>
      </c>
      <c r="H1680" s="60">
        <v>0.92</v>
      </c>
      <c r="I1680" s="60">
        <v>4.4400000000000004</v>
      </c>
      <c r="J1680" s="60">
        <v>0</v>
      </c>
      <c r="O1680" s="60" t="s">
        <v>3370</v>
      </c>
      <c r="P1680" s="60" t="s">
        <v>3059</v>
      </c>
      <c r="Q1680" s="60" t="s">
        <v>5195</v>
      </c>
      <c r="R1680" s="60">
        <v>32.15</v>
      </c>
      <c r="S1680" s="60">
        <v>-1.08</v>
      </c>
      <c r="T1680" s="60">
        <v>77</v>
      </c>
      <c r="U1680" s="60">
        <v>23.75</v>
      </c>
    </row>
    <row r="1681" spans="1:21">
      <c r="A1681" s="60" t="s">
        <v>3372</v>
      </c>
      <c r="B1681" s="60" t="s">
        <v>3062</v>
      </c>
      <c r="C1681" s="60" t="s">
        <v>5161</v>
      </c>
      <c r="D1681" s="60">
        <v>14.75</v>
      </c>
      <c r="E1681" s="60">
        <v>0.68</v>
      </c>
      <c r="F1681" s="60">
        <v>2</v>
      </c>
      <c r="G1681" s="60">
        <v>0</v>
      </c>
      <c r="H1681" s="60">
        <v>0.5</v>
      </c>
      <c r="I1681" s="60">
        <v>1.66</v>
      </c>
      <c r="J1681" s="60">
        <v>0.5</v>
      </c>
      <c r="O1681" s="60" t="s">
        <v>3372</v>
      </c>
      <c r="P1681" s="60" t="s">
        <v>3060</v>
      </c>
      <c r="Q1681" s="60" t="s">
        <v>4476</v>
      </c>
      <c r="R1681" s="60">
        <v>128</v>
      </c>
      <c r="S1681" s="60">
        <v>0</v>
      </c>
      <c r="T1681" s="60">
        <v>33</v>
      </c>
      <c r="U1681" s="60">
        <v>72.11</v>
      </c>
    </row>
    <row r="1682" spans="1:21">
      <c r="A1682" s="60" t="s">
        <v>3373</v>
      </c>
      <c r="B1682" s="60" t="s">
        <v>3063</v>
      </c>
      <c r="C1682" s="60" t="s">
        <v>5123</v>
      </c>
      <c r="D1682" s="60">
        <v>56.9</v>
      </c>
      <c r="E1682" s="60">
        <v>0.18</v>
      </c>
      <c r="F1682" s="60">
        <v>26</v>
      </c>
      <c r="G1682" s="60">
        <v>0</v>
      </c>
      <c r="H1682" s="60">
        <v>0.04</v>
      </c>
      <c r="I1682" s="60">
        <v>0.01</v>
      </c>
      <c r="J1682" s="60">
        <v>0</v>
      </c>
      <c r="O1682" s="60" t="s">
        <v>3373</v>
      </c>
      <c r="P1682" s="60" t="s">
        <v>3061</v>
      </c>
      <c r="Q1682" s="60" t="s">
        <v>5160</v>
      </c>
      <c r="R1682" s="60">
        <v>21.6</v>
      </c>
      <c r="S1682" s="60">
        <v>-1.37</v>
      </c>
      <c r="T1682" s="60">
        <v>195</v>
      </c>
      <c r="U1682" s="60">
        <v>69.34</v>
      </c>
    </row>
    <row r="1683" spans="1:21">
      <c r="A1683" s="60" t="s">
        <v>3374</v>
      </c>
      <c r="B1683" s="60" t="s">
        <v>3064</v>
      </c>
      <c r="C1683" s="60" t="s">
        <v>5162</v>
      </c>
      <c r="D1683" s="60">
        <v>41.05</v>
      </c>
      <c r="E1683" s="60">
        <v>-0.12</v>
      </c>
      <c r="F1683" s="60">
        <v>189</v>
      </c>
      <c r="G1683" s="60">
        <v>0</v>
      </c>
      <c r="H1683" s="60">
        <v>3.9</v>
      </c>
      <c r="I1683" s="60">
        <v>1.05</v>
      </c>
      <c r="J1683" s="60">
        <v>0</v>
      </c>
      <c r="O1683" s="60" t="s">
        <v>3374</v>
      </c>
      <c r="P1683" s="60" t="s">
        <v>3062</v>
      </c>
      <c r="Q1683" s="60" t="s">
        <v>5161</v>
      </c>
      <c r="R1683" s="60">
        <v>14.75</v>
      </c>
      <c r="S1683" s="60">
        <v>0.68</v>
      </c>
      <c r="T1683" s="60">
        <v>2</v>
      </c>
      <c r="U1683" s="60">
        <v>70.739999999999995</v>
      </c>
    </row>
    <row r="1684" spans="1:21">
      <c r="A1684" s="60" t="s">
        <v>3375</v>
      </c>
      <c r="B1684" s="60" t="s">
        <v>3065</v>
      </c>
      <c r="C1684" s="60" t="s">
        <v>5124</v>
      </c>
      <c r="D1684" s="60">
        <v>87.2</v>
      </c>
      <c r="E1684" s="60">
        <v>-1.47</v>
      </c>
      <c r="F1684" s="60">
        <v>10</v>
      </c>
      <c r="G1684" s="60">
        <v>0</v>
      </c>
      <c r="H1684" s="60">
        <v>1.3</v>
      </c>
      <c r="I1684" s="60">
        <v>0</v>
      </c>
      <c r="J1684" s="60">
        <v>0</v>
      </c>
      <c r="O1684" s="60" t="s">
        <v>3375</v>
      </c>
      <c r="P1684" s="60" t="s">
        <v>3063</v>
      </c>
      <c r="Q1684" s="60" t="s">
        <v>5123</v>
      </c>
      <c r="R1684" s="60">
        <v>56.9</v>
      </c>
      <c r="S1684" s="60">
        <v>0.18</v>
      </c>
      <c r="T1684" s="60">
        <v>26</v>
      </c>
      <c r="U1684" s="60">
        <v>86.08</v>
      </c>
    </row>
    <row r="1685" spans="1:21">
      <c r="A1685" s="60" t="s">
        <v>3376</v>
      </c>
      <c r="B1685" s="60" t="s">
        <v>3503</v>
      </c>
      <c r="C1685" s="60" t="s">
        <v>5163</v>
      </c>
      <c r="D1685" s="60">
        <v>14.8</v>
      </c>
      <c r="E1685" s="60">
        <v>-1.33</v>
      </c>
      <c r="F1685" s="60">
        <v>48</v>
      </c>
      <c r="G1685" s="60">
        <v>0</v>
      </c>
      <c r="H1685" s="60">
        <v>0.19</v>
      </c>
      <c r="I1685" s="60">
        <v>0</v>
      </c>
      <c r="J1685" s="60">
        <v>0</v>
      </c>
      <c r="O1685" s="60" t="s">
        <v>3376</v>
      </c>
      <c r="P1685" s="60" t="s">
        <v>3064</v>
      </c>
      <c r="Q1685" s="60" t="s">
        <v>5162</v>
      </c>
      <c r="R1685" s="60">
        <v>41.05</v>
      </c>
      <c r="S1685" s="60">
        <v>-0.12</v>
      </c>
      <c r="T1685" s="60">
        <v>189</v>
      </c>
      <c r="U1685" s="60">
        <v>54.72</v>
      </c>
    </row>
    <row r="1686" spans="1:21">
      <c r="A1686" s="60" t="s">
        <v>3378</v>
      </c>
      <c r="B1686" s="60" t="s">
        <v>3066</v>
      </c>
      <c r="C1686" s="60" t="s">
        <v>5196</v>
      </c>
      <c r="D1686" s="60">
        <v>16.399999999999999</v>
      </c>
      <c r="E1686" s="60">
        <v>0</v>
      </c>
      <c r="F1686" s="60">
        <v>0</v>
      </c>
      <c r="G1686" s="60">
        <v>0</v>
      </c>
      <c r="H1686" s="60">
        <v>4.0999999999999996</v>
      </c>
      <c r="I1686" s="60">
        <v>0.37</v>
      </c>
      <c r="J1686" s="60">
        <v>0</v>
      </c>
      <c r="O1686" s="60" t="s">
        <v>3378</v>
      </c>
      <c r="P1686" s="60" t="s">
        <v>3065</v>
      </c>
      <c r="Q1686" s="60" t="s">
        <v>5124</v>
      </c>
      <c r="R1686" s="60">
        <v>87.2</v>
      </c>
      <c r="S1686" s="60">
        <v>-1.47</v>
      </c>
      <c r="T1686" s="60">
        <v>10</v>
      </c>
      <c r="U1686" s="60">
        <v>65.14</v>
      </c>
    </row>
    <row r="1687" spans="1:21">
      <c r="A1687" s="60" t="s">
        <v>3379</v>
      </c>
      <c r="B1687" s="60" t="s">
        <v>3067</v>
      </c>
      <c r="C1687" s="60" t="s">
        <v>5164</v>
      </c>
      <c r="D1687" s="60">
        <v>159.5</v>
      </c>
      <c r="E1687" s="60">
        <v>-1.24</v>
      </c>
      <c r="F1687" s="60">
        <v>662</v>
      </c>
      <c r="G1687" s="60">
        <v>1.1200000000000001</v>
      </c>
      <c r="H1687" s="60">
        <v>14.73</v>
      </c>
      <c r="I1687" s="60">
        <v>21.22</v>
      </c>
      <c r="J1687" s="60">
        <v>4.84</v>
      </c>
      <c r="O1687" s="60" t="s">
        <v>3379</v>
      </c>
      <c r="P1687" s="60" t="s">
        <v>3503</v>
      </c>
      <c r="Q1687" s="60" t="s">
        <v>5163</v>
      </c>
      <c r="R1687" s="60">
        <v>14.8</v>
      </c>
      <c r="S1687" s="60">
        <v>-1.33</v>
      </c>
      <c r="T1687" s="60">
        <v>48</v>
      </c>
      <c r="U1687" s="60">
        <v>58.17</v>
      </c>
    </row>
    <row r="1688" spans="1:21">
      <c r="A1688" s="60" t="s">
        <v>3381</v>
      </c>
      <c r="B1688" s="60" t="s">
        <v>3068</v>
      </c>
      <c r="C1688" s="60" t="s">
        <v>4430</v>
      </c>
      <c r="D1688" s="60">
        <v>38</v>
      </c>
      <c r="E1688" s="60">
        <v>0.93</v>
      </c>
      <c r="F1688" s="60">
        <v>539</v>
      </c>
      <c r="G1688" s="60">
        <v>0</v>
      </c>
      <c r="H1688" s="60">
        <v>7.69</v>
      </c>
      <c r="I1688" s="60">
        <v>0.48</v>
      </c>
      <c r="J1688" s="60">
        <v>0.1</v>
      </c>
      <c r="O1688" s="60" t="s">
        <v>3381</v>
      </c>
      <c r="P1688" s="60" t="s">
        <v>3066</v>
      </c>
      <c r="Q1688" s="60" t="s">
        <v>5196</v>
      </c>
      <c r="R1688" s="60">
        <v>16.399999999999999</v>
      </c>
      <c r="S1688" s="60">
        <v>0</v>
      </c>
      <c r="T1688" s="60">
        <v>0</v>
      </c>
      <c r="U1688" s="60">
        <v>74.55</v>
      </c>
    </row>
    <row r="1689" spans="1:21">
      <c r="A1689" s="60" t="s">
        <v>3382</v>
      </c>
      <c r="B1689" s="60" t="s">
        <v>3069</v>
      </c>
      <c r="C1689" s="60" t="s">
        <v>5125</v>
      </c>
      <c r="D1689" s="60">
        <v>36.4</v>
      </c>
      <c r="E1689" s="60">
        <v>7.06</v>
      </c>
      <c r="F1689" s="60">
        <v>1184</v>
      </c>
      <c r="G1689" s="60">
        <v>0</v>
      </c>
      <c r="H1689" s="60">
        <v>0.46</v>
      </c>
      <c r="I1689" s="60">
        <v>5.4</v>
      </c>
      <c r="J1689" s="60">
        <v>0</v>
      </c>
      <c r="O1689" s="60" t="s">
        <v>3382</v>
      </c>
      <c r="P1689" s="60" t="s">
        <v>3067</v>
      </c>
      <c r="Q1689" s="60" t="s">
        <v>5164</v>
      </c>
      <c r="R1689" s="60">
        <v>159.5</v>
      </c>
      <c r="S1689" s="60">
        <v>-1.24</v>
      </c>
      <c r="T1689" s="60">
        <v>662</v>
      </c>
      <c r="U1689" s="60">
        <v>34.89</v>
      </c>
    </row>
    <row r="1690" spans="1:21">
      <c r="A1690" s="60" t="s">
        <v>3384</v>
      </c>
      <c r="B1690" s="60" t="s">
        <v>3070</v>
      </c>
      <c r="C1690" s="60" t="s">
        <v>5165</v>
      </c>
      <c r="D1690" s="60">
        <v>34.700000000000003</v>
      </c>
      <c r="E1690" s="60">
        <v>-0.28999999999999998</v>
      </c>
      <c r="F1690" s="60">
        <v>34</v>
      </c>
      <c r="G1690" s="60">
        <v>0</v>
      </c>
      <c r="H1690" s="60">
        <v>1.31</v>
      </c>
      <c r="I1690" s="60">
        <v>4.16</v>
      </c>
      <c r="J1690" s="60">
        <v>0.61</v>
      </c>
      <c r="O1690" s="60" t="s">
        <v>3384</v>
      </c>
      <c r="P1690" s="60" t="s">
        <v>3068</v>
      </c>
      <c r="Q1690" s="60" t="s">
        <v>4430</v>
      </c>
      <c r="R1690" s="60">
        <v>38</v>
      </c>
      <c r="S1690" s="60">
        <v>0.93</v>
      </c>
      <c r="T1690" s="60">
        <v>539</v>
      </c>
      <c r="U1690" s="60">
        <v>53.69</v>
      </c>
    </row>
    <row r="1691" spans="1:21">
      <c r="A1691" s="60" t="s">
        <v>3385</v>
      </c>
      <c r="B1691" s="60" t="s">
        <v>3071</v>
      </c>
      <c r="C1691" s="60" t="s">
        <v>5166</v>
      </c>
      <c r="D1691" s="60">
        <v>21.05</v>
      </c>
      <c r="E1691" s="60">
        <v>0.24</v>
      </c>
      <c r="F1691" s="60">
        <v>35</v>
      </c>
      <c r="G1691" s="60">
        <v>0</v>
      </c>
      <c r="H1691" s="60">
        <v>0.23</v>
      </c>
      <c r="I1691" s="60">
        <v>2.67</v>
      </c>
      <c r="J1691" s="60">
        <v>0</v>
      </c>
      <c r="O1691" s="60" t="s">
        <v>3385</v>
      </c>
      <c r="P1691" s="60" t="s">
        <v>3069</v>
      </c>
      <c r="Q1691" s="60" t="s">
        <v>5125</v>
      </c>
      <c r="R1691" s="60">
        <v>36.4</v>
      </c>
      <c r="S1691" s="60">
        <v>7.06</v>
      </c>
      <c r="T1691" s="60">
        <v>1184</v>
      </c>
      <c r="U1691" s="60">
        <v>70.69</v>
      </c>
    </row>
    <row r="1692" spans="1:21">
      <c r="A1692" s="60" t="s">
        <v>3386</v>
      </c>
      <c r="B1692" s="60" t="s">
        <v>3072</v>
      </c>
      <c r="C1692" s="60" t="s">
        <v>4658</v>
      </c>
      <c r="D1692" s="60">
        <v>14.8</v>
      </c>
      <c r="E1692" s="60">
        <v>0</v>
      </c>
      <c r="F1692" s="60">
        <v>62</v>
      </c>
      <c r="G1692" s="60">
        <v>0</v>
      </c>
      <c r="H1692" s="60">
        <v>2.57</v>
      </c>
      <c r="I1692" s="60">
        <v>8.9499999999999993</v>
      </c>
      <c r="J1692" s="60">
        <v>0</v>
      </c>
      <c r="O1692" s="60" t="s">
        <v>3386</v>
      </c>
      <c r="P1692" s="60" t="s">
        <v>3070</v>
      </c>
      <c r="Q1692" s="60" t="s">
        <v>5165</v>
      </c>
      <c r="R1692" s="60">
        <v>34.700000000000003</v>
      </c>
      <c r="S1692" s="60">
        <v>-0.28999999999999998</v>
      </c>
      <c r="T1692" s="60">
        <v>34</v>
      </c>
      <c r="U1692" s="60">
        <v>37.950000000000003</v>
      </c>
    </row>
    <row r="1693" spans="1:21">
      <c r="A1693" s="60" t="s">
        <v>3388</v>
      </c>
      <c r="B1693" s="60" t="s">
        <v>3073</v>
      </c>
      <c r="C1693" s="60" t="s">
        <v>5126</v>
      </c>
      <c r="D1693" s="60">
        <v>31.55</v>
      </c>
      <c r="E1693" s="60">
        <v>-0.16</v>
      </c>
      <c r="F1693" s="60">
        <v>16</v>
      </c>
      <c r="G1693" s="60">
        <v>0</v>
      </c>
      <c r="H1693" s="60">
        <v>0.13</v>
      </c>
      <c r="I1693" s="60">
        <v>5.79</v>
      </c>
      <c r="J1693" s="60">
        <v>0</v>
      </c>
      <c r="O1693" s="60" t="s">
        <v>3388</v>
      </c>
      <c r="P1693" s="60" t="s">
        <v>3071</v>
      </c>
      <c r="Q1693" s="60" t="s">
        <v>5166</v>
      </c>
      <c r="R1693" s="60">
        <v>21.05</v>
      </c>
      <c r="S1693" s="60">
        <v>0.24</v>
      </c>
      <c r="T1693" s="60">
        <v>35</v>
      </c>
      <c r="U1693" s="60">
        <v>41.82</v>
      </c>
    </row>
    <row r="1694" spans="1:21">
      <c r="A1694" s="60" t="s">
        <v>3389</v>
      </c>
      <c r="B1694" s="60" t="s">
        <v>3504</v>
      </c>
      <c r="C1694" s="60" t="s">
        <v>5167</v>
      </c>
      <c r="D1694" s="60">
        <v>25.6</v>
      </c>
      <c r="E1694" s="60">
        <v>-0.57999999999999996</v>
      </c>
      <c r="F1694" s="60">
        <v>382</v>
      </c>
      <c r="G1694" s="60">
        <v>0.27</v>
      </c>
      <c r="H1694" s="60">
        <v>13.57</v>
      </c>
      <c r="I1694" s="60">
        <v>2.5</v>
      </c>
      <c r="J1694" s="60">
        <v>0</v>
      </c>
      <c r="O1694" s="60" t="s">
        <v>3389</v>
      </c>
      <c r="P1694" s="60" t="s">
        <v>3072</v>
      </c>
      <c r="Q1694" s="60" t="s">
        <v>4658</v>
      </c>
      <c r="R1694" s="60">
        <v>14.8</v>
      </c>
      <c r="S1694" s="60">
        <v>0</v>
      </c>
      <c r="T1694" s="60">
        <v>62</v>
      </c>
      <c r="U1694" s="60">
        <v>53.6</v>
      </c>
    </row>
    <row r="1695" spans="1:21">
      <c r="A1695" s="60" t="s">
        <v>3391</v>
      </c>
      <c r="B1695" s="60" t="s">
        <v>3505</v>
      </c>
      <c r="C1695" s="60" t="s">
        <v>34</v>
      </c>
      <c r="D1695" s="60">
        <v>11.75</v>
      </c>
      <c r="E1695" s="60">
        <v>0</v>
      </c>
      <c r="F1695" s="60">
        <v>529</v>
      </c>
      <c r="G1695" s="60">
        <v>0</v>
      </c>
      <c r="H1695" s="60">
        <v>0.38</v>
      </c>
      <c r="I1695" s="60">
        <v>0</v>
      </c>
      <c r="J1695" s="60">
        <v>0</v>
      </c>
      <c r="O1695" s="60" t="s">
        <v>3391</v>
      </c>
      <c r="P1695" s="60" t="s">
        <v>3073</v>
      </c>
      <c r="Q1695" s="60" t="s">
        <v>5126</v>
      </c>
      <c r="R1695" s="60">
        <v>31.55</v>
      </c>
      <c r="S1695" s="60">
        <v>-0.16</v>
      </c>
      <c r="T1695" s="60">
        <v>16</v>
      </c>
      <c r="U1695" s="60">
        <v>73.87</v>
      </c>
    </row>
    <row r="1696" spans="1:21">
      <c r="A1696" s="60" t="s">
        <v>3392</v>
      </c>
      <c r="B1696" s="60" t="s">
        <v>3506</v>
      </c>
      <c r="C1696" s="60" t="s">
        <v>5168</v>
      </c>
      <c r="D1696" s="60">
        <v>12.75</v>
      </c>
      <c r="E1696" s="60">
        <v>-1.92</v>
      </c>
      <c r="F1696" s="60">
        <v>264</v>
      </c>
      <c r="G1696" s="60">
        <v>0</v>
      </c>
      <c r="H1696" s="60">
        <v>1.08</v>
      </c>
      <c r="I1696" s="60">
        <v>0</v>
      </c>
      <c r="J1696" s="60">
        <v>0</v>
      </c>
      <c r="O1696" s="60" t="s">
        <v>3392</v>
      </c>
      <c r="P1696" s="60" t="s">
        <v>3504</v>
      </c>
      <c r="Q1696" s="60" t="s">
        <v>5167</v>
      </c>
      <c r="R1696" s="60">
        <v>25.6</v>
      </c>
      <c r="S1696" s="60">
        <v>-0.57999999999999996</v>
      </c>
      <c r="T1696" s="60">
        <v>382</v>
      </c>
      <c r="U1696" s="60">
        <v>55.99</v>
      </c>
    </row>
    <row r="1697" spans="1:21">
      <c r="A1697" s="60" t="s">
        <v>3394</v>
      </c>
      <c r="B1697" s="60" t="s">
        <v>3074</v>
      </c>
      <c r="C1697" s="60" t="s">
        <v>5169</v>
      </c>
      <c r="D1697" s="60">
        <v>20.6</v>
      </c>
      <c r="E1697" s="60">
        <v>1.23</v>
      </c>
      <c r="F1697" s="60">
        <v>434</v>
      </c>
      <c r="G1697" s="60">
        <v>0.01</v>
      </c>
      <c r="H1697" s="60">
        <v>5.38</v>
      </c>
      <c r="I1697" s="60">
        <v>27.23</v>
      </c>
      <c r="J1697" s="60">
        <v>0</v>
      </c>
      <c r="O1697" s="60" t="s">
        <v>3394</v>
      </c>
      <c r="P1697" s="60" t="s">
        <v>3505</v>
      </c>
      <c r="Q1697" s="60" t="s">
        <v>34</v>
      </c>
      <c r="R1697" s="60">
        <v>11.75</v>
      </c>
      <c r="S1697" s="60">
        <v>0</v>
      </c>
      <c r="T1697" s="60">
        <v>529</v>
      </c>
      <c r="U1697" s="60">
        <v>46.1</v>
      </c>
    </row>
    <row r="1698" spans="1:21">
      <c r="A1698" s="60" t="s">
        <v>3396</v>
      </c>
      <c r="B1698" s="60" t="s">
        <v>3075</v>
      </c>
      <c r="C1698" s="60" t="s">
        <v>5170</v>
      </c>
      <c r="D1698" s="60">
        <v>12.7</v>
      </c>
      <c r="E1698" s="60">
        <v>2.0099999999999998</v>
      </c>
      <c r="F1698" s="60">
        <v>25</v>
      </c>
      <c r="G1698" s="60">
        <v>0</v>
      </c>
      <c r="H1698" s="60">
        <v>0.03</v>
      </c>
      <c r="I1698" s="60">
        <v>0</v>
      </c>
      <c r="J1698" s="60">
        <v>0</v>
      </c>
      <c r="O1698" s="60" t="s">
        <v>3396</v>
      </c>
      <c r="P1698" s="60" t="s">
        <v>3506</v>
      </c>
      <c r="Q1698" s="60" t="s">
        <v>5168</v>
      </c>
      <c r="R1698" s="60">
        <v>12.75</v>
      </c>
      <c r="S1698" s="60">
        <v>-1.92</v>
      </c>
      <c r="T1698" s="60">
        <v>264</v>
      </c>
      <c r="U1698" s="60">
        <v>21.66</v>
      </c>
    </row>
    <row r="1699" spans="1:21">
      <c r="A1699" s="60" t="s">
        <v>3398</v>
      </c>
      <c r="B1699" s="60" t="s">
        <v>3076</v>
      </c>
      <c r="C1699" s="60" t="s">
        <v>5171</v>
      </c>
      <c r="D1699" s="60">
        <v>76.8</v>
      </c>
      <c r="E1699" s="60">
        <v>0.13</v>
      </c>
      <c r="F1699" s="60">
        <v>412</v>
      </c>
      <c r="G1699" s="60">
        <v>0.04</v>
      </c>
      <c r="H1699" s="60">
        <v>10.199999999999999</v>
      </c>
      <c r="I1699" s="60">
        <v>7.73</v>
      </c>
      <c r="J1699" s="60">
        <v>0.1</v>
      </c>
      <c r="O1699" s="60" t="s">
        <v>3398</v>
      </c>
      <c r="P1699" s="60" t="s">
        <v>3074</v>
      </c>
      <c r="Q1699" s="60" t="s">
        <v>5169</v>
      </c>
      <c r="R1699" s="60">
        <v>20.6</v>
      </c>
      <c r="S1699" s="60">
        <v>1.23</v>
      </c>
      <c r="T1699" s="60">
        <v>434</v>
      </c>
      <c r="U1699" s="60">
        <v>35.35</v>
      </c>
    </row>
    <row r="1700" spans="1:21">
      <c r="A1700" s="60" t="s">
        <v>3399</v>
      </c>
      <c r="B1700" s="60" t="s">
        <v>3077</v>
      </c>
      <c r="C1700" s="60" t="s">
        <v>4372</v>
      </c>
      <c r="D1700" s="60">
        <v>13.5</v>
      </c>
      <c r="E1700" s="60">
        <v>-0.74</v>
      </c>
      <c r="F1700" s="60">
        <v>160</v>
      </c>
      <c r="G1700" s="60">
        <v>0</v>
      </c>
      <c r="H1700" s="60">
        <v>8.31</v>
      </c>
      <c r="I1700" s="60">
        <v>0</v>
      </c>
      <c r="J1700" s="60">
        <v>0</v>
      </c>
      <c r="O1700" s="60" t="s">
        <v>3399</v>
      </c>
      <c r="P1700" s="60" t="s">
        <v>3075</v>
      </c>
      <c r="Q1700" s="60" t="s">
        <v>5170</v>
      </c>
      <c r="R1700" s="60">
        <v>12.7</v>
      </c>
      <c r="S1700" s="60">
        <v>2.0099999999999998</v>
      </c>
      <c r="T1700" s="60">
        <v>25</v>
      </c>
      <c r="U1700" s="60">
        <v>54.39</v>
      </c>
    </row>
    <row r="1701" spans="1:21">
      <c r="A1701" s="60" t="s">
        <v>3401</v>
      </c>
      <c r="B1701" s="60" t="s">
        <v>3078</v>
      </c>
      <c r="C1701" s="60" t="s">
        <v>5121</v>
      </c>
      <c r="D1701" s="60">
        <v>37.200000000000003</v>
      </c>
      <c r="E1701" s="60">
        <v>0.81</v>
      </c>
      <c r="F1701" s="60">
        <v>4</v>
      </c>
      <c r="G1701" s="60">
        <v>0</v>
      </c>
      <c r="H1701" s="60">
        <v>1.42</v>
      </c>
      <c r="I1701" s="60">
        <v>8.11</v>
      </c>
      <c r="J1701" s="60">
        <v>0</v>
      </c>
      <c r="O1701" s="60" t="s">
        <v>3401</v>
      </c>
      <c r="P1701" s="60" t="s">
        <v>3076</v>
      </c>
      <c r="Q1701" s="60" t="s">
        <v>5171</v>
      </c>
      <c r="R1701" s="60">
        <v>76.8</v>
      </c>
      <c r="S1701" s="60">
        <v>0.13</v>
      </c>
      <c r="T1701" s="60">
        <v>412</v>
      </c>
      <c r="U1701" s="60">
        <v>52.37</v>
      </c>
    </row>
    <row r="1702" spans="1:21">
      <c r="A1702" s="60" t="s">
        <v>3403</v>
      </c>
      <c r="B1702" s="60" t="s">
        <v>3079</v>
      </c>
      <c r="C1702" s="60" t="s">
        <v>5172</v>
      </c>
      <c r="D1702" s="60">
        <v>68.099999999999994</v>
      </c>
      <c r="E1702" s="60">
        <v>-0.57999999999999996</v>
      </c>
      <c r="F1702" s="60">
        <v>153</v>
      </c>
      <c r="G1702" s="60">
        <v>0</v>
      </c>
      <c r="H1702" s="60">
        <v>25.32</v>
      </c>
      <c r="I1702" s="60">
        <v>1.9</v>
      </c>
      <c r="J1702" s="60">
        <v>0.26</v>
      </c>
      <c r="O1702" s="60" t="s">
        <v>3403</v>
      </c>
      <c r="P1702" s="60" t="s">
        <v>3077</v>
      </c>
      <c r="Q1702" s="60" t="s">
        <v>4372</v>
      </c>
      <c r="R1702" s="60">
        <v>13.5</v>
      </c>
      <c r="S1702" s="60">
        <v>-0.74</v>
      </c>
      <c r="T1702" s="60">
        <v>160</v>
      </c>
      <c r="U1702" s="60">
        <v>65.34</v>
      </c>
    </row>
    <row r="1703" spans="1:21">
      <c r="A1703" s="60" t="s">
        <v>3404</v>
      </c>
      <c r="B1703" s="60" t="s">
        <v>3080</v>
      </c>
      <c r="C1703" s="60" t="s">
        <v>3816</v>
      </c>
      <c r="D1703" s="60">
        <v>58.5</v>
      </c>
      <c r="E1703" s="60">
        <v>0.86</v>
      </c>
      <c r="F1703" s="60">
        <v>1732</v>
      </c>
      <c r="G1703" s="60">
        <v>0.46</v>
      </c>
      <c r="H1703" s="60">
        <v>5.9</v>
      </c>
      <c r="I1703" s="60">
        <v>21.71</v>
      </c>
      <c r="J1703" s="60">
        <v>0</v>
      </c>
      <c r="O1703" s="60" t="s">
        <v>3404</v>
      </c>
      <c r="P1703" s="60" t="s">
        <v>3078</v>
      </c>
      <c r="Q1703" s="60" t="s">
        <v>5121</v>
      </c>
      <c r="R1703" s="60">
        <v>37.200000000000003</v>
      </c>
      <c r="S1703" s="60">
        <v>0.81</v>
      </c>
      <c r="T1703" s="60">
        <v>4</v>
      </c>
      <c r="U1703" s="60">
        <v>62.16</v>
      </c>
    </row>
    <row r="1704" spans="1:21">
      <c r="A1704" s="60" t="s">
        <v>3405</v>
      </c>
      <c r="B1704" s="60" t="s">
        <v>3081</v>
      </c>
      <c r="C1704" s="60" t="s">
        <v>4477</v>
      </c>
      <c r="D1704" s="60">
        <v>100</v>
      </c>
      <c r="E1704" s="60">
        <v>0.2</v>
      </c>
      <c r="F1704" s="60">
        <v>393</v>
      </c>
      <c r="G1704" s="60">
        <v>0.03</v>
      </c>
      <c r="H1704" s="60">
        <v>43.25</v>
      </c>
      <c r="I1704" s="60">
        <v>4.59</v>
      </c>
      <c r="J1704" s="60">
        <v>2.19</v>
      </c>
      <c r="O1704" s="60" t="s">
        <v>3405</v>
      </c>
      <c r="P1704" s="60" t="s">
        <v>3079</v>
      </c>
      <c r="Q1704" s="60" t="s">
        <v>5172</v>
      </c>
      <c r="R1704" s="60">
        <v>68.099999999999994</v>
      </c>
      <c r="S1704" s="60">
        <v>-0.57999999999999996</v>
      </c>
      <c r="T1704" s="60">
        <v>153</v>
      </c>
      <c r="U1704" s="60">
        <v>47.4</v>
      </c>
    </row>
    <row r="1705" spans="1:21">
      <c r="A1705" s="60" t="s">
        <v>3406</v>
      </c>
      <c r="B1705" s="60" t="s">
        <v>3082</v>
      </c>
      <c r="C1705" s="60" t="s">
        <v>4478</v>
      </c>
      <c r="D1705" s="60">
        <v>13.3</v>
      </c>
      <c r="E1705" s="60">
        <v>-0.75</v>
      </c>
      <c r="F1705" s="60">
        <v>179</v>
      </c>
      <c r="G1705" s="60">
        <v>0</v>
      </c>
      <c r="H1705" s="60">
        <v>2.02</v>
      </c>
      <c r="I1705" s="60">
        <v>21.95</v>
      </c>
      <c r="J1705" s="60">
        <v>0</v>
      </c>
      <c r="O1705" s="60" t="s">
        <v>3406</v>
      </c>
      <c r="P1705" s="60" t="s">
        <v>3080</v>
      </c>
      <c r="Q1705" s="60" t="s">
        <v>3816</v>
      </c>
      <c r="R1705" s="60">
        <v>58.5</v>
      </c>
      <c r="S1705" s="60">
        <v>0.86</v>
      </c>
      <c r="T1705" s="60">
        <v>1732</v>
      </c>
      <c r="U1705" s="60">
        <v>23.26</v>
      </c>
    </row>
    <row r="1706" spans="1:21">
      <c r="A1706" s="60" t="s">
        <v>3407</v>
      </c>
      <c r="B1706" s="60" t="s">
        <v>3083</v>
      </c>
      <c r="C1706" s="60" t="s">
        <v>4479</v>
      </c>
      <c r="D1706" s="60">
        <v>34.35</v>
      </c>
      <c r="E1706" s="60">
        <v>-1.01</v>
      </c>
      <c r="F1706" s="60">
        <v>4494</v>
      </c>
      <c r="G1706" s="60">
        <v>0.03</v>
      </c>
      <c r="H1706" s="60">
        <v>55.33</v>
      </c>
      <c r="I1706" s="60">
        <v>1.1299999999999999</v>
      </c>
      <c r="J1706" s="60">
        <v>0.05</v>
      </c>
      <c r="O1706" s="60" t="s">
        <v>3407</v>
      </c>
      <c r="P1706" s="60" t="s">
        <v>3081</v>
      </c>
      <c r="Q1706" s="60" t="s">
        <v>4477</v>
      </c>
      <c r="R1706" s="60">
        <v>100</v>
      </c>
      <c r="S1706" s="60">
        <v>0.2</v>
      </c>
      <c r="T1706" s="60">
        <v>393</v>
      </c>
      <c r="U1706" s="60">
        <v>67.430000000000007</v>
      </c>
    </row>
    <row r="1707" spans="1:21">
      <c r="A1707" s="60" t="s">
        <v>3408</v>
      </c>
      <c r="B1707" s="60" t="s">
        <v>3084</v>
      </c>
      <c r="C1707" s="60" t="s">
        <v>4480</v>
      </c>
      <c r="D1707" s="60">
        <v>26.2</v>
      </c>
      <c r="E1707" s="60">
        <v>-0.38</v>
      </c>
      <c r="F1707" s="60">
        <v>90</v>
      </c>
      <c r="G1707" s="60">
        <v>0</v>
      </c>
      <c r="H1707" s="60">
        <v>3.14</v>
      </c>
      <c r="I1707" s="60">
        <v>0.22</v>
      </c>
      <c r="J1707" s="60">
        <v>0.12</v>
      </c>
      <c r="O1707" s="60" t="s">
        <v>3408</v>
      </c>
      <c r="P1707" s="60" t="s">
        <v>3082</v>
      </c>
      <c r="Q1707" s="60" t="s">
        <v>4478</v>
      </c>
      <c r="R1707" s="60">
        <v>13.3</v>
      </c>
      <c r="S1707" s="60">
        <v>-0.75</v>
      </c>
      <c r="T1707" s="60">
        <v>179</v>
      </c>
      <c r="U1707" s="60">
        <v>34.99</v>
      </c>
    </row>
    <row r="1708" spans="1:21">
      <c r="A1708" s="60" t="s">
        <v>3410</v>
      </c>
      <c r="B1708" s="60" t="s">
        <v>3507</v>
      </c>
      <c r="C1708" s="60" t="s">
        <v>4344</v>
      </c>
      <c r="D1708" s="60">
        <v>57.7</v>
      </c>
      <c r="E1708" s="60">
        <v>1.23</v>
      </c>
      <c r="F1708" s="60">
        <v>122</v>
      </c>
      <c r="G1708" s="60">
        <v>0</v>
      </c>
      <c r="H1708" s="60">
        <v>0.93</v>
      </c>
      <c r="I1708" s="60">
        <v>0</v>
      </c>
      <c r="J1708" s="60">
        <v>0</v>
      </c>
      <c r="O1708" s="60" t="s">
        <v>3410</v>
      </c>
      <c r="P1708" s="60" t="s">
        <v>3083</v>
      </c>
      <c r="Q1708" s="60" t="s">
        <v>4479</v>
      </c>
      <c r="R1708" s="60">
        <v>34.35</v>
      </c>
      <c r="S1708" s="60">
        <v>-1.01</v>
      </c>
      <c r="T1708" s="60">
        <v>4494</v>
      </c>
      <c r="U1708" s="60">
        <v>78.760000000000005</v>
      </c>
    </row>
    <row r="1709" spans="1:21">
      <c r="A1709" s="60" t="s">
        <v>3412</v>
      </c>
      <c r="B1709" s="60" t="s">
        <v>3085</v>
      </c>
      <c r="C1709" s="60" t="s">
        <v>4481</v>
      </c>
      <c r="D1709" s="60">
        <v>13.25</v>
      </c>
      <c r="E1709" s="60">
        <v>0.38</v>
      </c>
      <c r="F1709" s="60">
        <v>830</v>
      </c>
      <c r="G1709" s="60">
        <v>0</v>
      </c>
      <c r="H1709" s="60">
        <v>14.09</v>
      </c>
      <c r="I1709" s="60">
        <v>2.15</v>
      </c>
      <c r="J1709" s="60">
        <v>0.01</v>
      </c>
      <c r="O1709" s="60" t="s">
        <v>3412</v>
      </c>
      <c r="P1709" s="60" t="s">
        <v>3084</v>
      </c>
      <c r="Q1709" s="60" t="s">
        <v>4480</v>
      </c>
      <c r="R1709" s="60">
        <v>26.2</v>
      </c>
      <c r="S1709" s="60">
        <v>-0.38</v>
      </c>
      <c r="T1709" s="60">
        <v>90</v>
      </c>
      <c r="U1709" s="60">
        <v>77.33</v>
      </c>
    </row>
    <row r="1710" spans="1:21">
      <c r="A1710" s="60" t="s">
        <v>3414</v>
      </c>
      <c r="B1710" s="60" t="s">
        <v>3086</v>
      </c>
      <c r="C1710" s="60" t="s">
        <v>4431</v>
      </c>
      <c r="D1710" s="60">
        <v>33.35</v>
      </c>
      <c r="E1710" s="60">
        <v>0.15</v>
      </c>
      <c r="F1710" s="60">
        <v>214</v>
      </c>
      <c r="G1710" s="60">
        <v>0</v>
      </c>
      <c r="H1710" s="60">
        <v>2.06</v>
      </c>
      <c r="I1710" s="60">
        <v>0.03</v>
      </c>
      <c r="J1710" s="60">
        <v>0</v>
      </c>
      <c r="O1710" s="60" t="s">
        <v>3414</v>
      </c>
      <c r="P1710" s="60" t="s">
        <v>3507</v>
      </c>
      <c r="Q1710" s="60" t="s">
        <v>4344</v>
      </c>
      <c r="R1710" s="60">
        <v>57.7</v>
      </c>
      <c r="S1710" s="60">
        <v>1.23</v>
      </c>
      <c r="T1710" s="60">
        <v>122</v>
      </c>
      <c r="U1710" s="60">
        <v>69.92</v>
      </c>
    </row>
    <row r="1711" spans="1:21">
      <c r="A1711" s="60" t="s">
        <v>3415</v>
      </c>
      <c r="B1711" s="60" t="s">
        <v>3087</v>
      </c>
      <c r="C1711" s="60" t="s">
        <v>3671</v>
      </c>
      <c r="D1711" s="60">
        <v>213.5</v>
      </c>
      <c r="E1711" s="60">
        <v>-0.93</v>
      </c>
      <c r="F1711" s="60">
        <v>523</v>
      </c>
      <c r="G1711" s="60">
        <v>0.01</v>
      </c>
      <c r="H1711" s="60">
        <v>19.559999999999999</v>
      </c>
      <c r="I1711" s="60">
        <v>0.05</v>
      </c>
      <c r="J1711" s="60">
        <v>0.56999999999999995</v>
      </c>
      <c r="O1711" s="60" t="s">
        <v>3415</v>
      </c>
      <c r="P1711" s="60" t="s">
        <v>3085</v>
      </c>
      <c r="Q1711" s="60" t="s">
        <v>4481</v>
      </c>
      <c r="R1711" s="60">
        <v>13.25</v>
      </c>
      <c r="S1711" s="60">
        <v>0.38</v>
      </c>
      <c r="T1711" s="60">
        <v>830</v>
      </c>
      <c r="U1711" s="60">
        <v>71.400000000000006</v>
      </c>
    </row>
    <row r="1712" spans="1:21">
      <c r="A1712" s="60" t="s">
        <v>3416</v>
      </c>
      <c r="B1712" s="60" t="s">
        <v>3088</v>
      </c>
      <c r="C1712" s="60" t="s">
        <v>4482</v>
      </c>
      <c r="D1712" s="60">
        <v>68.5</v>
      </c>
      <c r="E1712" s="60">
        <v>-0.72</v>
      </c>
      <c r="F1712" s="60">
        <v>510</v>
      </c>
      <c r="G1712" s="60">
        <v>0.01</v>
      </c>
      <c r="H1712" s="60">
        <v>23.23</v>
      </c>
      <c r="I1712" s="60">
        <v>1.35</v>
      </c>
      <c r="J1712" s="60">
        <v>0.01</v>
      </c>
      <c r="O1712" s="60" t="s">
        <v>3416</v>
      </c>
      <c r="P1712" s="60" t="s">
        <v>3086</v>
      </c>
      <c r="Q1712" s="60" t="s">
        <v>4431</v>
      </c>
      <c r="R1712" s="60">
        <v>33.35</v>
      </c>
      <c r="S1712" s="60">
        <v>0.15</v>
      </c>
      <c r="T1712" s="60">
        <v>214</v>
      </c>
      <c r="U1712" s="60">
        <v>76.72</v>
      </c>
    </row>
    <row r="1713" spans="1:21">
      <c r="A1713" s="60" t="s">
        <v>3418</v>
      </c>
      <c r="B1713" s="60" t="s">
        <v>3508</v>
      </c>
      <c r="C1713" s="60" t="s">
        <v>4050</v>
      </c>
      <c r="D1713" s="60">
        <v>8.9</v>
      </c>
      <c r="E1713" s="60">
        <v>0.56000000000000005</v>
      </c>
      <c r="F1713" s="60">
        <v>35</v>
      </c>
      <c r="G1713" s="60">
        <v>0</v>
      </c>
      <c r="H1713" s="60">
        <v>15.8</v>
      </c>
      <c r="I1713" s="60">
        <v>0</v>
      </c>
      <c r="J1713" s="60">
        <v>0</v>
      </c>
      <c r="O1713" s="60" t="s">
        <v>3418</v>
      </c>
      <c r="P1713" s="60" t="s">
        <v>3087</v>
      </c>
      <c r="Q1713" s="60" t="s">
        <v>3671</v>
      </c>
      <c r="R1713" s="60">
        <v>213.5</v>
      </c>
      <c r="S1713" s="60">
        <v>-0.93</v>
      </c>
      <c r="T1713" s="60">
        <v>523</v>
      </c>
      <c r="U1713" s="60">
        <v>88.68</v>
      </c>
    </row>
    <row r="1714" spans="1:21">
      <c r="A1714" s="60" t="s">
        <v>3420</v>
      </c>
      <c r="B1714" s="60" t="s">
        <v>3089</v>
      </c>
      <c r="C1714" s="60" t="s">
        <v>4483</v>
      </c>
      <c r="D1714" s="60">
        <v>314.5</v>
      </c>
      <c r="E1714" s="60">
        <v>2.2799999999999998</v>
      </c>
      <c r="F1714" s="60">
        <v>526</v>
      </c>
      <c r="G1714" s="60">
        <v>0.04</v>
      </c>
      <c r="H1714" s="60">
        <v>47.95</v>
      </c>
      <c r="I1714" s="60">
        <v>0.38</v>
      </c>
      <c r="J1714" s="60">
        <v>2.14</v>
      </c>
      <c r="O1714" s="60" t="s">
        <v>3420</v>
      </c>
      <c r="P1714" s="60" t="s">
        <v>3088</v>
      </c>
      <c r="Q1714" s="60" t="s">
        <v>4482</v>
      </c>
      <c r="R1714" s="60">
        <v>68.5</v>
      </c>
      <c r="S1714" s="60">
        <v>-0.72</v>
      </c>
      <c r="T1714" s="60">
        <v>510</v>
      </c>
      <c r="U1714" s="60">
        <v>71.180000000000007</v>
      </c>
    </row>
    <row r="1715" spans="1:21">
      <c r="A1715" s="60" t="s">
        <v>3421</v>
      </c>
      <c r="B1715" s="60" t="s">
        <v>3090</v>
      </c>
      <c r="C1715" s="60" t="s">
        <v>4484</v>
      </c>
      <c r="D1715" s="60">
        <v>104.5</v>
      </c>
      <c r="E1715" s="60">
        <v>-0.95</v>
      </c>
      <c r="F1715" s="60">
        <v>139</v>
      </c>
      <c r="G1715" s="60">
        <v>0</v>
      </c>
      <c r="H1715" s="60">
        <v>41.25</v>
      </c>
      <c r="I1715" s="60">
        <v>0.03</v>
      </c>
      <c r="J1715" s="60">
        <v>0.56999999999999995</v>
      </c>
      <c r="O1715" s="60" t="s">
        <v>3421</v>
      </c>
      <c r="P1715" s="60" t="s">
        <v>3508</v>
      </c>
      <c r="Q1715" s="60" t="s">
        <v>4050</v>
      </c>
      <c r="R1715" s="60">
        <v>8.9</v>
      </c>
      <c r="S1715" s="60">
        <v>0.56000000000000005</v>
      </c>
      <c r="T1715" s="60">
        <v>35</v>
      </c>
      <c r="U1715" s="60">
        <v>41.06</v>
      </c>
    </row>
    <row r="1716" spans="1:21">
      <c r="A1716" s="60" t="s">
        <v>3422</v>
      </c>
      <c r="B1716" s="60" t="s">
        <v>3091</v>
      </c>
      <c r="C1716" s="60" t="s">
        <v>4432</v>
      </c>
      <c r="D1716" s="60">
        <v>42.7</v>
      </c>
      <c r="E1716" s="60">
        <v>-1.04</v>
      </c>
      <c r="F1716" s="60">
        <v>28</v>
      </c>
      <c r="G1716" s="60">
        <v>0</v>
      </c>
      <c r="H1716" s="60">
        <v>2.25</v>
      </c>
      <c r="I1716" s="60">
        <v>0.13</v>
      </c>
      <c r="J1716" s="60">
        <v>0</v>
      </c>
      <c r="O1716" s="60" t="s">
        <v>3422</v>
      </c>
      <c r="P1716" s="60" t="s">
        <v>3089</v>
      </c>
      <c r="Q1716" s="60" t="s">
        <v>4483</v>
      </c>
      <c r="R1716" s="60">
        <v>314.5</v>
      </c>
      <c r="S1716" s="60">
        <v>2.2799999999999998</v>
      </c>
      <c r="T1716" s="60">
        <v>526</v>
      </c>
      <c r="U1716" s="60">
        <v>72.69</v>
      </c>
    </row>
    <row r="1717" spans="1:21">
      <c r="A1717" s="60" t="s">
        <v>3423</v>
      </c>
      <c r="B1717" s="60" t="s">
        <v>3092</v>
      </c>
      <c r="C1717" s="60" t="s">
        <v>3543</v>
      </c>
      <c r="D1717" s="60">
        <v>22.75</v>
      </c>
      <c r="E1717" s="60">
        <v>2.02</v>
      </c>
      <c r="F1717" s="60">
        <v>715</v>
      </c>
      <c r="G1717" s="60">
        <v>2.73</v>
      </c>
      <c r="H1717" s="60">
        <v>3.92</v>
      </c>
      <c r="I1717" s="60">
        <v>10.130000000000001</v>
      </c>
      <c r="J1717" s="60">
        <v>0.03</v>
      </c>
      <c r="O1717" s="60" t="s">
        <v>3423</v>
      </c>
      <c r="P1717" s="60" t="s">
        <v>3090</v>
      </c>
      <c r="Q1717" s="60" t="s">
        <v>4484</v>
      </c>
      <c r="R1717" s="60">
        <v>104.5</v>
      </c>
      <c r="S1717" s="60">
        <v>-0.95</v>
      </c>
      <c r="T1717" s="60">
        <v>139</v>
      </c>
      <c r="U1717" s="60">
        <v>78.239999999999995</v>
      </c>
    </row>
    <row r="1718" spans="1:21">
      <c r="A1718" s="60" t="s">
        <v>3424</v>
      </c>
      <c r="B1718" s="60" t="s">
        <v>3093</v>
      </c>
      <c r="C1718" s="60" t="s">
        <v>4485</v>
      </c>
      <c r="D1718" s="60">
        <v>322</v>
      </c>
      <c r="E1718" s="60">
        <v>3.04</v>
      </c>
      <c r="F1718" s="60">
        <v>1263</v>
      </c>
      <c r="G1718" s="60">
        <v>0.01</v>
      </c>
      <c r="H1718" s="60">
        <v>54.2</v>
      </c>
      <c r="I1718" s="60">
        <v>0.44</v>
      </c>
      <c r="J1718" s="60">
        <v>0.23</v>
      </c>
      <c r="O1718" s="60" t="s">
        <v>3424</v>
      </c>
      <c r="P1718" s="60" t="s">
        <v>3091</v>
      </c>
      <c r="Q1718" s="60" t="s">
        <v>4432</v>
      </c>
      <c r="R1718" s="60">
        <v>42.7</v>
      </c>
      <c r="S1718" s="60">
        <v>-1.04</v>
      </c>
      <c r="T1718" s="60">
        <v>28</v>
      </c>
      <c r="U1718" s="60">
        <v>75.38</v>
      </c>
    </row>
    <row r="1719" spans="1:21">
      <c r="A1719" s="60" t="s">
        <v>3425</v>
      </c>
      <c r="B1719" s="60" t="s">
        <v>3094</v>
      </c>
      <c r="C1719" s="60" t="s">
        <v>4486</v>
      </c>
      <c r="D1719" s="60">
        <v>41.3</v>
      </c>
      <c r="E1719" s="60">
        <v>0.24</v>
      </c>
      <c r="F1719" s="60">
        <v>177</v>
      </c>
      <c r="G1719" s="60">
        <v>0</v>
      </c>
      <c r="H1719" s="60">
        <v>12.99</v>
      </c>
      <c r="I1719" s="60">
        <v>1.91</v>
      </c>
      <c r="J1719" s="60">
        <v>0.09</v>
      </c>
      <c r="O1719" s="60" t="s">
        <v>3425</v>
      </c>
      <c r="P1719" s="60" t="s">
        <v>3092</v>
      </c>
      <c r="Q1719" s="60" t="s">
        <v>3543</v>
      </c>
      <c r="R1719" s="60">
        <v>22.75</v>
      </c>
      <c r="S1719" s="60">
        <v>2.02</v>
      </c>
      <c r="T1719" s="60">
        <v>715</v>
      </c>
      <c r="U1719" s="60">
        <v>42.24</v>
      </c>
    </row>
    <row r="1720" spans="1:21">
      <c r="A1720" s="60" t="s">
        <v>3426</v>
      </c>
      <c r="B1720" s="60" t="s">
        <v>3095</v>
      </c>
      <c r="C1720" s="60" t="s">
        <v>4487</v>
      </c>
      <c r="D1720" s="60">
        <v>39.200000000000003</v>
      </c>
      <c r="E1720" s="60">
        <v>0</v>
      </c>
      <c r="F1720" s="60">
        <v>250</v>
      </c>
      <c r="G1720" s="60">
        <v>0</v>
      </c>
      <c r="H1720" s="60">
        <v>17.46</v>
      </c>
      <c r="I1720" s="60">
        <v>0.03</v>
      </c>
      <c r="J1720" s="60">
        <v>0</v>
      </c>
      <c r="O1720" s="60" t="s">
        <v>3426</v>
      </c>
      <c r="P1720" s="60" t="s">
        <v>3093</v>
      </c>
      <c r="Q1720" s="60" t="s">
        <v>4485</v>
      </c>
      <c r="R1720" s="60">
        <v>322</v>
      </c>
      <c r="S1720" s="60">
        <v>3.04</v>
      </c>
      <c r="T1720" s="60">
        <v>1263</v>
      </c>
      <c r="U1720" s="60">
        <v>68.12</v>
      </c>
    </row>
    <row r="1721" spans="1:21">
      <c r="A1721" s="60" t="s">
        <v>3427</v>
      </c>
      <c r="B1721" s="60" t="s">
        <v>3096</v>
      </c>
      <c r="C1721" s="60" t="s">
        <v>4433</v>
      </c>
      <c r="D1721" s="60">
        <v>49.5</v>
      </c>
      <c r="E1721" s="60">
        <v>-0.3</v>
      </c>
      <c r="F1721" s="60">
        <v>1</v>
      </c>
      <c r="G1721" s="60">
        <v>0</v>
      </c>
      <c r="H1721" s="60">
        <v>0.34</v>
      </c>
      <c r="I1721" s="60">
        <v>0.02</v>
      </c>
      <c r="J1721" s="60">
        <v>0</v>
      </c>
      <c r="O1721" s="60" t="s">
        <v>3427</v>
      </c>
      <c r="P1721" s="60" t="s">
        <v>3094</v>
      </c>
      <c r="Q1721" s="60" t="s">
        <v>4486</v>
      </c>
      <c r="R1721" s="60">
        <v>41.3</v>
      </c>
      <c r="S1721" s="60">
        <v>0.24</v>
      </c>
      <c r="T1721" s="60">
        <v>177</v>
      </c>
      <c r="U1721" s="60">
        <v>57.09</v>
      </c>
    </row>
    <row r="1722" spans="1:21">
      <c r="A1722" s="60" t="s">
        <v>3429</v>
      </c>
      <c r="B1722" s="60" t="s">
        <v>3097</v>
      </c>
      <c r="C1722" s="60" t="s">
        <v>4488</v>
      </c>
      <c r="D1722" s="60">
        <v>33.6</v>
      </c>
      <c r="E1722" s="60">
        <v>0.6</v>
      </c>
      <c r="F1722" s="60">
        <v>955</v>
      </c>
      <c r="G1722" s="60">
        <v>0</v>
      </c>
      <c r="H1722" s="60">
        <v>14.21</v>
      </c>
      <c r="I1722" s="60">
        <v>2.79</v>
      </c>
      <c r="J1722" s="60">
        <v>0.04</v>
      </c>
      <c r="O1722" s="60" t="s">
        <v>3429</v>
      </c>
      <c r="P1722" s="60" t="s">
        <v>3095</v>
      </c>
      <c r="Q1722" s="60" t="s">
        <v>4487</v>
      </c>
      <c r="R1722" s="60">
        <v>39.200000000000003</v>
      </c>
      <c r="S1722" s="60">
        <v>0</v>
      </c>
      <c r="T1722" s="60">
        <v>250</v>
      </c>
      <c r="U1722" s="60">
        <v>67.09</v>
      </c>
    </row>
    <row r="1723" spans="1:21">
      <c r="A1723" s="60" t="s">
        <v>3431</v>
      </c>
      <c r="B1723" s="60" t="s">
        <v>3509</v>
      </c>
      <c r="C1723" s="60" t="s">
        <v>4489</v>
      </c>
      <c r="D1723" s="60">
        <v>6.12</v>
      </c>
      <c r="E1723" s="60">
        <v>0</v>
      </c>
      <c r="F1723" s="60">
        <v>1</v>
      </c>
      <c r="G1723" s="60">
        <v>0</v>
      </c>
      <c r="H1723" s="60">
        <v>0</v>
      </c>
      <c r="I1723" s="60">
        <v>0</v>
      </c>
      <c r="J1723" s="60">
        <v>0</v>
      </c>
      <c r="O1723" s="60" t="s">
        <v>3431</v>
      </c>
      <c r="P1723" s="60" t="s">
        <v>3096</v>
      </c>
      <c r="Q1723" s="60" t="s">
        <v>4433</v>
      </c>
      <c r="R1723" s="60">
        <v>49.5</v>
      </c>
      <c r="S1723" s="60">
        <v>-0.3</v>
      </c>
      <c r="T1723" s="60">
        <v>1</v>
      </c>
      <c r="U1723" s="60">
        <v>76.739999999999995</v>
      </c>
    </row>
    <row r="1724" spans="1:21">
      <c r="A1724" s="60" t="s">
        <v>3433</v>
      </c>
      <c r="B1724" s="60" t="s">
        <v>3098</v>
      </c>
      <c r="C1724" s="60" t="s">
        <v>4490</v>
      </c>
      <c r="D1724" s="60">
        <v>9.51</v>
      </c>
      <c r="E1724" s="60">
        <v>-0.94</v>
      </c>
      <c r="F1724" s="60">
        <v>46</v>
      </c>
      <c r="G1724" s="60">
        <v>0</v>
      </c>
      <c r="H1724" s="60">
        <v>7.6</v>
      </c>
      <c r="I1724" s="60">
        <v>6.7</v>
      </c>
      <c r="J1724" s="60">
        <v>0</v>
      </c>
      <c r="O1724" s="60" t="s">
        <v>3433</v>
      </c>
      <c r="P1724" s="60" t="s">
        <v>3097</v>
      </c>
      <c r="Q1724" s="60" t="s">
        <v>4488</v>
      </c>
      <c r="R1724" s="60">
        <v>33.6</v>
      </c>
      <c r="S1724" s="60">
        <v>0.6</v>
      </c>
      <c r="T1724" s="60">
        <v>955</v>
      </c>
      <c r="U1724" s="60">
        <v>50.81</v>
      </c>
    </row>
    <row r="1725" spans="1:21">
      <c r="A1725" s="60" t="s">
        <v>3434</v>
      </c>
      <c r="B1725" s="60" t="s">
        <v>3099</v>
      </c>
      <c r="C1725" s="60" t="s">
        <v>4491</v>
      </c>
      <c r="D1725" s="60">
        <v>44.85</v>
      </c>
      <c r="E1725" s="60">
        <v>0</v>
      </c>
      <c r="F1725" s="60">
        <v>106</v>
      </c>
      <c r="G1725" s="60">
        <v>0</v>
      </c>
      <c r="H1725" s="60">
        <v>2.2599999999999998</v>
      </c>
      <c r="I1725" s="60">
        <v>0.06</v>
      </c>
      <c r="J1725" s="60">
        <v>0</v>
      </c>
      <c r="O1725" s="60" t="s">
        <v>3434</v>
      </c>
      <c r="P1725" s="60" t="s">
        <v>3509</v>
      </c>
      <c r="Q1725" s="60" t="s">
        <v>4489</v>
      </c>
      <c r="R1725" s="60">
        <v>6.12</v>
      </c>
      <c r="S1725" s="60">
        <v>0</v>
      </c>
      <c r="T1725" s="60">
        <v>1</v>
      </c>
      <c r="U1725" s="60">
        <v>82.79</v>
      </c>
    </row>
    <row r="1726" spans="1:21">
      <c r="A1726" s="60" t="s">
        <v>3436</v>
      </c>
      <c r="B1726" s="60" t="s">
        <v>3100</v>
      </c>
      <c r="C1726" s="60" t="s">
        <v>4434</v>
      </c>
      <c r="D1726" s="60">
        <v>39.799999999999997</v>
      </c>
      <c r="E1726" s="60">
        <v>-0.13</v>
      </c>
      <c r="F1726" s="60">
        <v>4</v>
      </c>
      <c r="G1726" s="60">
        <v>0</v>
      </c>
      <c r="H1726" s="60">
        <v>0.62</v>
      </c>
      <c r="I1726" s="60">
        <v>0.04</v>
      </c>
      <c r="J1726" s="60">
        <v>0</v>
      </c>
      <c r="O1726" s="60" t="s">
        <v>3436</v>
      </c>
      <c r="P1726" s="60" t="s">
        <v>3098</v>
      </c>
      <c r="Q1726" s="60" t="s">
        <v>4490</v>
      </c>
      <c r="R1726" s="60">
        <v>9.51</v>
      </c>
      <c r="S1726" s="60">
        <v>-0.94</v>
      </c>
      <c r="T1726" s="60">
        <v>46</v>
      </c>
      <c r="U1726" s="60">
        <v>72.150000000000006</v>
      </c>
    </row>
    <row r="1727" spans="1:21">
      <c r="A1727" s="60" t="s">
        <v>3438</v>
      </c>
      <c r="B1727" s="60" t="s">
        <v>3101</v>
      </c>
      <c r="C1727" s="60" t="s">
        <v>4492</v>
      </c>
      <c r="D1727" s="60">
        <v>36.65</v>
      </c>
      <c r="E1727" s="60">
        <v>-0.68</v>
      </c>
      <c r="F1727" s="60">
        <v>872</v>
      </c>
      <c r="G1727" s="60">
        <v>0</v>
      </c>
      <c r="H1727" s="60">
        <v>16.03</v>
      </c>
      <c r="I1727" s="60">
        <v>1.01</v>
      </c>
      <c r="J1727" s="60">
        <v>0.25</v>
      </c>
      <c r="O1727" s="60" t="s">
        <v>3438</v>
      </c>
      <c r="P1727" s="60" t="s">
        <v>3099</v>
      </c>
      <c r="Q1727" s="60" t="s">
        <v>4491</v>
      </c>
      <c r="R1727" s="60">
        <v>44.85</v>
      </c>
      <c r="S1727" s="60">
        <v>0</v>
      </c>
      <c r="T1727" s="60">
        <v>106</v>
      </c>
      <c r="U1727" s="60">
        <v>75.38</v>
      </c>
    </row>
    <row r="1728" spans="1:21">
      <c r="A1728" s="60" t="s">
        <v>3439</v>
      </c>
      <c r="B1728" s="60" t="s">
        <v>3102</v>
      </c>
      <c r="C1728" s="60" t="s">
        <v>4493</v>
      </c>
      <c r="D1728" s="60">
        <v>14.9</v>
      </c>
      <c r="E1728" s="60">
        <v>-0.33</v>
      </c>
      <c r="F1728" s="60">
        <v>335</v>
      </c>
      <c r="G1728" s="60">
        <v>0</v>
      </c>
      <c r="H1728" s="60">
        <v>17.920000000000002</v>
      </c>
      <c r="I1728" s="60">
        <v>4.6900000000000004</v>
      </c>
      <c r="J1728" s="60">
        <v>0</v>
      </c>
      <c r="O1728" s="60" t="s">
        <v>3439</v>
      </c>
      <c r="P1728" s="60" t="s">
        <v>3100</v>
      </c>
      <c r="Q1728" s="60" t="s">
        <v>4434</v>
      </c>
      <c r="R1728" s="60">
        <v>39.799999999999997</v>
      </c>
      <c r="S1728" s="60">
        <v>-0.13</v>
      </c>
      <c r="T1728" s="60">
        <v>4</v>
      </c>
      <c r="U1728" s="60">
        <v>72.849999999999994</v>
      </c>
    </row>
    <row r="1729" spans="1:21">
      <c r="A1729" s="60" t="s">
        <v>3441</v>
      </c>
      <c r="B1729" s="60" t="s">
        <v>3103</v>
      </c>
      <c r="C1729" s="60" t="s">
        <v>3682</v>
      </c>
      <c r="D1729" s="60">
        <v>20.399999999999999</v>
      </c>
      <c r="E1729" s="60">
        <v>2.2599999999999998</v>
      </c>
      <c r="F1729" s="60">
        <v>369</v>
      </c>
      <c r="G1729" s="60">
        <v>0.01</v>
      </c>
      <c r="H1729" s="60">
        <v>4.79</v>
      </c>
      <c r="I1729" s="60">
        <v>5.39</v>
      </c>
      <c r="J1729" s="60">
        <v>0</v>
      </c>
      <c r="O1729" s="60" t="s">
        <v>3441</v>
      </c>
      <c r="P1729" s="60" t="s">
        <v>3101</v>
      </c>
      <c r="Q1729" s="60" t="s">
        <v>4492</v>
      </c>
      <c r="R1729" s="60">
        <v>36.65</v>
      </c>
      <c r="S1729" s="60">
        <v>-0.68</v>
      </c>
      <c r="T1729" s="60">
        <v>872</v>
      </c>
      <c r="U1729" s="60">
        <v>62.41</v>
      </c>
    </row>
    <row r="1730" spans="1:21">
      <c r="A1730" s="60" t="s">
        <v>3442</v>
      </c>
      <c r="B1730" s="60" t="s">
        <v>3104</v>
      </c>
      <c r="C1730" s="60" t="s">
        <v>4435</v>
      </c>
      <c r="D1730" s="60">
        <v>48.75</v>
      </c>
      <c r="E1730" s="60">
        <v>0</v>
      </c>
      <c r="F1730" s="60">
        <v>2</v>
      </c>
      <c r="G1730" s="60">
        <v>0</v>
      </c>
      <c r="H1730" s="60">
        <v>2.92</v>
      </c>
      <c r="I1730" s="60">
        <v>0.23</v>
      </c>
      <c r="J1730" s="60">
        <v>0</v>
      </c>
      <c r="O1730" s="60" t="s">
        <v>3442</v>
      </c>
      <c r="P1730" s="60" t="s">
        <v>3102</v>
      </c>
      <c r="Q1730" s="60" t="s">
        <v>4493</v>
      </c>
      <c r="R1730" s="60">
        <v>14.9</v>
      </c>
      <c r="S1730" s="60">
        <v>-0.33</v>
      </c>
      <c r="T1730" s="60">
        <v>335</v>
      </c>
      <c r="U1730" s="60">
        <v>65.7</v>
      </c>
    </row>
    <row r="1731" spans="1:21">
      <c r="A1731" s="60" t="s">
        <v>3444</v>
      </c>
      <c r="B1731" s="60" t="s">
        <v>3105</v>
      </c>
      <c r="C1731" s="60" t="s">
        <v>4494</v>
      </c>
      <c r="D1731" s="60">
        <v>82.3</v>
      </c>
      <c r="E1731" s="60">
        <v>0.73</v>
      </c>
      <c r="F1731" s="60">
        <v>670</v>
      </c>
      <c r="G1731" s="60">
        <v>0</v>
      </c>
      <c r="H1731" s="60">
        <v>34.25</v>
      </c>
      <c r="I1731" s="60">
        <v>3.29</v>
      </c>
      <c r="J1731" s="60">
        <v>0.86</v>
      </c>
      <c r="O1731" s="60" t="s">
        <v>3444</v>
      </c>
      <c r="P1731" s="60" t="s">
        <v>3103</v>
      </c>
      <c r="Q1731" s="60" t="s">
        <v>3682</v>
      </c>
      <c r="R1731" s="60">
        <v>20.399999999999999</v>
      </c>
      <c r="S1731" s="60">
        <v>2.2599999999999998</v>
      </c>
      <c r="T1731" s="60">
        <v>369</v>
      </c>
      <c r="U1731" s="60">
        <v>45.45</v>
      </c>
    </row>
    <row r="1732" spans="1:21">
      <c r="A1732" s="60" t="s">
        <v>3446</v>
      </c>
      <c r="B1732" s="60" t="s">
        <v>3106</v>
      </c>
      <c r="C1732" s="60" t="s">
        <v>4495</v>
      </c>
      <c r="D1732" s="60">
        <v>68.099999999999994</v>
      </c>
      <c r="E1732" s="60">
        <v>0.74</v>
      </c>
      <c r="F1732" s="60">
        <v>264</v>
      </c>
      <c r="G1732" s="60">
        <v>0</v>
      </c>
      <c r="H1732" s="60">
        <v>30.54</v>
      </c>
      <c r="I1732" s="60">
        <v>2.8</v>
      </c>
      <c r="J1732" s="60">
        <v>0.18</v>
      </c>
      <c r="O1732" s="60" t="s">
        <v>3446</v>
      </c>
      <c r="P1732" s="60" t="s">
        <v>3104</v>
      </c>
      <c r="Q1732" s="60" t="s">
        <v>4435</v>
      </c>
      <c r="R1732" s="60">
        <v>48.75</v>
      </c>
      <c r="S1732" s="60">
        <v>0</v>
      </c>
      <c r="T1732" s="60">
        <v>2</v>
      </c>
      <c r="U1732" s="60">
        <v>81.599999999999994</v>
      </c>
    </row>
    <row r="1733" spans="1:21">
      <c r="A1733" s="60" t="s">
        <v>3447</v>
      </c>
      <c r="B1733" s="60" t="s">
        <v>3107</v>
      </c>
      <c r="C1733" s="60" t="s">
        <v>3674</v>
      </c>
      <c r="D1733" s="60">
        <v>33.85</v>
      </c>
      <c r="E1733" s="60">
        <v>0.89</v>
      </c>
      <c r="F1733" s="60">
        <v>429</v>
      </c>
      <c r="G1733" s="60">
        <v>0.01</v>
      </c>
      <c r="H1733" s="60">
        <v>5.89</v>
      </c>
      <c r="I1733" s="60">
        <v>0.35</v>
      </c>
      <c r="J1733" s="60">
        <v>0</v>
      </c>
      <c r="O1733" s="60" t="s">
        <v>3447</v>
      </c>
      <c r="P1733" s="60" t="s">
        <v>3105</v>
      </c>
      <c r="Q1733" s="60" t="s">
        <v>4494</v>
      </c>
      <c r="R1733" s="60">
        <v>82.3</v>
      </c>
      <c r="S1733" s="60">
        <v>0.73</v>
      </c>
      <c r="T1733" s="60">
        <v>670</v>
      </c>
      <c r="U1733" s="60">
        <v>72.44</v>
      </c>
    </row>
    <row r="1734" spans="1:21">
      <c r="A1734" s="60" t="s">
        <v>3448</v>
      </c>
      <c r="B1734" s="60" t="s">
        <v>3108</v>
      </c>
      <c r="C1734" s="60" t="s">
        <v>4496</v>
      </c>
      <c r="D1734" s="60">
        <v>171.5</v>
      </c>
      <c r="E1734" s="60">
        <v>-1.44</v>
      </c>
      <c r="F1734" s="60">
        <v>407</v>
      </c>
      <c r="G1734" s="60">
        <v>0.01</v>
      </c>
      <c r="H1734" s="60">
        <v>6.61</v>
      </c>
      <c r="I1734" s="60">
        <v>0.41</v>
      </c>
      <c r="J1734" s="60">
        <v>0.16</v>
      </c>
      <c r="O1734" s="60" t="s">
        <v>3448</v>
      </c>
      <c r="P1734" s="60" t="s">
        <v>3106</v>
      </c>
      <c r="Q1734" s="60" t="s">
        <v>4495</v>
      </c>
      <c r="R1734" s="60">
        <v>68.099999999999994</v>
      </c>
      <c r="S1734" s="60">
        <v>0.74</v>
      </c>
      <c r="T1734" s="60">
        <v>264</v>
      </c>
      <c r="U1734" s="60">
        <v>50.15</v>
      </c>
    </row>
    <row r="1735" spans="1:21">
      <c r="A1735" s="60" t="s">
        <v>3450</v>
      </c>
      <c r="B1735" s="60" t="s">
        <v>3109</v>
      </c>
      <c r="C1735" s="60" t="s">
        <v>4497</v>
      </c>
      <c r="D1735" s="60">
        <v>87.9</v>
      </c>
      <c r="E1735" s="60">
        <v>-0.11</v>
      </c>
      <c r="F1735" s="60">
        <v>87</v>
      </c>
      <c r="G1735" s="60">
        <v>0</v>
      </c>
      <c r="H1735" s="60">
        <v>3.79</v>
      </c>
      <c r="I1735" s="60">
        <v>3.89</v>
      </c>
      <c r="J1735" s="60">
        <v>0.03</v>
      </c>
      <c r="O1735" s="60" t="s">
        <v>3450</v>
      </c>
      <c r="P1735" s="60" t="s">
        <v>3107</v>
      </c>
      <c r="Q1735" s="60" t="s">
        <v>3674</v>
      </c>
      <c r="R1735" s="60">
        <v>33.85</v>
      </c>
      <c r="S1735" s="60">
        <v>0.89</v>
      </c>
      <c r="T1735" s="60">
        <v>429</v>
      </c>
      <c r="U1735" s="60">
        <v>79.16</v>
      </c>
    </row>
    <row r="1736" spans="1:21">
      <c r="A1736" s="60" t="s">
        <v>3452</v>
      </c>
      <c r="B1736" s="60" t="s">
        <v>3110</v>
      </c>
      <c r="C1736" s="60" t="s">
        <v>4373</v>
      </c>
      <c r="D1736" s="60">
        <v>61.8</v>
      </c>
      <c r="E1736" s="60">
        <v>-0.16</v>
      </c>
      <c r="F1736" s="60">
        <v>86</v>
      </c>
      <c r="G1736" s="60">
        <v>0.01</v>
      </c>
      <c r="H1736" s="60">
        <v>1.41</v>
      </c>
      <c r="I1736" s="60">
        <v>0.5</v>
      </c>
      <c r="J1736" s="60">
        <v>0</v>
      </c>
      <c r="O1736" s="60" t="s">
        <v>3452</v>
      </c>
      <c r="P1736" s="60" t="s">
        <v>3108</v>
      </c>
      <c r="Q1736" s="60" t="s">
        <v>4496</v>
      </c>
      <c r="R1736" s="60">
        <v>171.5</v>
      </c>
      <c r="S1736" s="60">
        <v>-1.44</v>
      </c>
      <c r="T1736" s="60">
        <v>407</v>
      </c>
      <c r="U1736" s="60">
        <v>68.599999999999994</v>
      </c>
    </row>
    <row r="1737" spans="1:21">
      <c r="A1737" s="60" t="s">
        <v>3453</v>
      </c>
      <c r="B1737" s="60" t="s">
        <v>3111</v>
      </c>
      <c r="C1737" s="60" t="s">
        <v>3549</v>
      </c>
      <c r="D1737" s="60">
        <v>22.55</v>
      </c>
      <c r="E1737" s="60">
        <v>0.45</v>
      </c>
      <c r="F1737" s="60">
        <v>301</v>
      </c>
      <c r="G1737" s="60">
        <v>0</v>
      </c>
      <c r="H1737" s="60">
        <v>2.1</v>
      </c>
      <c r="I1737" s="60">
        <v>22.45</v>
      </c>
      <c r="J1737" s="60">
        <v>0</v>
      </c>
      <c r="O1737" s="60" t="s">
        <v>3453</v>
      </c>
      <c r="P1737" s="60" t="s">
        <v>3109</v>
      </c>
      <c r="Q1737" s="60" t="s">
        <v>4497</v>
      </c>
      <c r="R1737" s="60">
        <v>87.9</v>
      </c>
      <c r="S1737" s="60">
        <v>-0.11</v>
      </c>
      <c r="T1737" s="60">
        <v>87</v>
      </c>
      <c r="U1737" s="60">
        <v>41.81</v>
      </c>
    </row>
    <row r="1738" spans="1:21">
      <c r="A1738" s="60" t="s">
        <v>3454</v>
      </c>
      <c r="B1738" s="60" t="s">
        <v>3112</v>
      </c>
      <c r="C1738" s="60" t="s">
        <v>4498</v>
      </c>
      <c r="D1738" s="60">
        <v>66.7</v>
      </c>
      <c r="E1738" s="60">
        <v>-0.6</v>
      </c>
      <c r="F1738" s="60">
        <v>6326</v>
      </c>
      <c r="G1738" s="60">
        <v>0.09</v>
      </c>
      <c r="H1738" s="60">
        <v>14.96</v>
      </c>
      <c r="I1738" s="60">
        <v>2.0299999999999998</v>
      </c>
      <c r="J1738" s="60">
        <v>0.13</v>
      </c>
      <c r="O1738" s="60" t="s">
        <v>3454</v>
      </c>
      <c r="P1738" s="60" t="s">
        <v>3110</v>
      </c>
      <c r="Q1738" s="60" t="s">
        <v>4373</v>
      </c>
      <c r="R1738" s="60">
        <v>61.8</v>
      </c>
      <c r="S1738" s="60">
        <v>-0.16</v>
      </c>
      <c r="T1738" s="60">
        <v>86</v>
      </c>
      <c r="U1738" s="60">
        <v>69.39</v>
      </c>
    </row>
    <row r="1739" spans="1:21">
      <c r="A1739" s="60" t="s">
        <v>3455</v>
      </c>
      <c r="B1739" s="60" t="s">
        <v>3113</v>
      </c>
      <c r="C1739" s="60" t="s">
        <v>4345</v>
      </c>
      <c r="D1739" s="60">
        <v>15.5</v>
      </c>
      <c r="E1739" s="60">
        <v>0.32</v>
      </c>
      <c r="F1739" s="60">
        <v>60</v>
      </c>
      <c r="G1739" s="60">
        <v>0</v>
      </c>
      <c r="H1739" s="60">
        <v>2.72</v>
      </c>
      <c r="I1739" s="60">
        <v>0.54</v>
      </c>
      <c r="J1739" s="60">
        <v>0</v>
      </c>
      <c r="O1739" s="60" t="s">
        <v>3455</v>
      </c>
      <c r="P1739" s="60" t="s">
        <v>3111</v>
      </c>
      <c r="Q1739" s="60" t="s">
        <v>3549</v>
      </c>
      <c r="R1739" s="60">
        <v>22.55</v>
      </c>
      <c r="S1739" s="60">
        <v>0.45</v>
      </c>
      <c r="T1739" s="60">
        <v>301</v>
      </c>
      <c r="U1739" s="60">
        <v>67.27</v>
      </c>
    </row>
    <row r="1740" spans="1:21">
      <c r="A1740" s="60" t="s">
        <v>3694</v>
      </c>
      <c r="B1740" s="60" t="s">
        <v>3114</v>
      </c>
      <c r="C1740" s="60" t="s">
        <v>5197</v>
      </c>
      <c r="D1740" s="60">
        <v>11.55</v>
      </c>
      <c r="E1740" s="60">
        <v>0</v>
      </c>
      <c r="F1740" s="60">
        <v>18</v>
      </c>
      <c r="G1740" s="60">
        <v>0</v>
      </c>
      <c r="H1740" s="60">
        <v>0.16</v>
      </c>
      <c r="I1740" s="60">
        <v>0</v>
      </c>
      <c r="J1740" s="60">
        <v>0</v>
      </c>
      <c r="O1740" s="60" t="s">
        <v>3694</v>
      </c>
      <c r="P1740" s="60" t="s">
        <v>3112</v>
      </c>
      <c r="Q1740" s="60" t="s">
        <v>4498</v>
      </c>
      <c r="R1740" s="60">
        <v>66.7</v>
      </c>
      <c r="S1740" s="60">
        <v>-0.6</v>
      </c>
      <c r="T1740" s="60">
        <v>6326</v>
      </c>
      <c r="U1740" s="60">
        <v>62.93</v>
      </c>
    </row>
    <row r="1741" spans="1:21">
      <c r="A1741" s="60" t="s">
        <v>5539</v>
      </c>
      <c r="B1741" s="60" t="s">
        <v>3510</v>
      </c>
      <c r="C1741" s="60" t="s">
        <v>4509</v>
      </c>
      <c r="D1741" s="60">
        <v>9.91</v>
      </c>
      <c r="E1741" s="60">
        <v>-0.9</v>
      </c>
      <c r="F1741" s="60">
        <v>3</v>
      </c>
      <c r="G1741" s="60">
        <v>0</v>
      </c>
      <c r="H1741" s="60">
        <v>0</v>
      </c>
      <c r="I1741" s="60">
        <v>0</v>
      </c>
      <c r="J1741" s="60">
        <v>0</v>
      </c>
      <c r="O1741" s="60" t="s">
        <v>5539</v>
      </c>
      <c r="P1741" s="60" t="s">
        <v>3113</v>
      </c>
      <c r="Q1741" s="60" t="s">
        <v>4345</v>
      </c>
      <c r="R1741" s="60">
        <v>15.5</v>
      </c>
      <c r="S1741" s="60">
        <v>0.32</v>
      </c>
      <c r="T1741" s="60">
        <v>60</v>
      </c>
      <c r="U1741" s="60">
        <v>76.52</v>
      </c>
    </row>
    <row r="1742" spans="1:21">
      <c r="A1742" s="60" t="s">
        <v>5540</v>
      </c>
      <c r="B1742" s="60" t="s">
        <v>3115</v>
      </c>
      <c r="C1742" s="60" t="s">
        <v>4558</v>
      </c>
      <c r="D1742" s="60">
        <v>81</v>
      </c>
      <c r="E1742" s="60">
        <v>-0.74</v>
      </c>
      <c r="F1742" s="60">
        <v>64</v>
      </c>
      <c r="G1742" s="60">
        <v>0.47</v>
      </c>
      <c r="H1742" s="60">
        <v>12.4</v>
      </c>
      <c r="I1742" s="60">
        <v>5.66</v>
      </c>
      <c r="J1742" s="60">
        <v>0</v>
      </c>
      <c r="O1742" s="60" t="s">
        <v>5540</v>
      </c>
      <c r="P1742" s="60" t="s">
        <v>3114</v>
      </c>
      <c r="Q1742" s="60" t="s">
        <v>5197</v>
      </c>
      <c r="R1742" s="60">
        <v>11.55</v>
      </c>
      <c r="S1742" s="60">
        <v>0</v>
      </c>
      <c r="T1742" s="60">
        <v>18</v>
      </c>
      <c r="U1742" s="60">
        <v>53.56</v>
      </c>
    </row>
    <row r="1743" spans="1:21">
      <c r="A1743" s="60" t="s">
        <v>5541</v>
      </c>
      <c r="B1743" s="60" t="s">
        <v>3116</v>
      </c>
      <c r="C1743" s="60" t="s">
        <v>4499</v>
      </c>
      <c r="D1743" s="60">
        <v>17.350000000000001</v>
      </c>
      <c r="E1743" s="60">
        <v>0.28999999999999998</v>
      </c>
      <c r="F1743" s="60">
        <v>36</v>
      </c>
      <c r="G1743" s="60">
        <v>0</v>
      </c>
      <c r="H1743" s="60">
        <v>0.75</v>
      </c>
      <c r="I1743" s="60">
        <v>2.76</v>
      </c>
      <c r="J1743" s="60">
        <v>0</v>
      </c>
      <c r="O1743" s="60" t="s">
        <v>5541</v>
      </c>
      <c r="P1743" s="60" t="s">
        <v>3510</v>
      </c>
      <c r="Q1743" s="60" t="s">
        <v>4509</v>
      </c>
      <c r="R1743" s="60">
        <v>9.91</v>
      </c>
      <c r="S1743" s="60">
        <v>-0.9</v>
      </c>
      <c r="T1743" s="60">
        <v>3</v>
      </c>
      <c r="U1743" s="60">
        <v>84.18</v>
      </c>
    </row>
    <row r="1744" spans="1:21">
      <c r="A1744" s="60" t="s">
        <v>5542</v>
      </c>
      <c r="B1744" s="60" t="s">
        <v>3117</v>
      </c>
      <c r="C1744" s="60" t="s">
        <v>3900</v>
      </c>
      <c r="D1744" s="60">
        <v>109.5</v>
      </c>
      <c r="E1744" s="60">
        <v>-1.79</v>
      </c>
      <c r="F1744" s="60">
        <v>1408</v>
      </c>
      <c r="G1744" s="60">
        <v>0.16</v>
      </c>
      <c r="H1744" s="60">
        <v>9.6300000000000008</v>
      </c>
      <c r="I1744" s="60">
        <v>28.26</v>
      </c>
      <c r="J1744" s="60">
        <v>1.85</v>
      </c>
      <c r="O1744" s="60" t="s">
        <v>5542</v>
      </c>
      <c r="P1744" s="60" t="s">
        <v>3115</v>
      </c>
      <c r="Q1744" s="60" t="s">
        <v>4558</v>
      </c>
      <c r="R1744" s="60">
        <v>81</v>
      </c>
      <c r="S1744" s="60">
        <v>-0.74</v>
      </c>
      <c r="T1744" s="60">
        <v>64</v>
      </c>
      <c r="U1744" s="60">
        <v>40.64</v>
      </c>
    </row>
    <row r="1745" spans="1:21">
      <c r="A1745" s="60" t="s">
        <v>5543</v>
      </c>
      <c r="B1745" s="60" t="s">
        <v>3118</v>
      </c>
      <c r="C1745" s="60" t="s">
        <v>5122</v>
      </c>
      <c r="D1745" s="60">
        <v>27.65</v>
      </c>
      <c r="E1745" s="60">
        <v>-0.36</v>
      </c>
      <c r="F1745" s="60">
        <v>29</v>
      </c>
      <c r="G1745" s="60">
        <v>0</v>
      </c>
      <c r="H1745" s="60">
        <v>7.3</v>
      </c>
      <c r="I1745" s="60">
        <v>23.91</v>
      </c>
      <c r="J1745" s="60">
        <v>0</v>
      </c>
      <c r="O1745" s="60" t="s">
        <v>5543</v>
      </c>
      <c r="P1745" s="60" t="s">
        <v>3116</v>
      </c>
      <c r="Q1745" s="60" t="s">
        <v>4499</v>
      </c>
      <c r="R1745" s="60">
        <v>17.350000000000001</v>
      </c>
      <c r="S1745" s="60">
        <v>0.28999999999999998</v>
      </c>
      <c r="T1745" s="60">
        <v>36</v>
      </c>
      <c r="U1745" s="60">
        <v>60.39</v>
      </c>
    </row>
    <row r="1746" spans="1:21">
      <c r="A1746" s="60" t="s">
        <v>5761</v>
      </c>
      <c r="B1746" s="60" t="s">
        <v>3119</v>
      </c>
      <c r="C1746" s="60" t="s">
        <v>4659</v>
      </c>
      <c r="D1746" s="60">
        <v>16.45</v>
      </c>
      <c r="E1746" s="60">
        <v>0.3</v>
      </c>
      <c r="F1746" s="60">
        <v>571</v>
      </c>
      <c r="G1746" s="60">
        <v>0.2</v>
      </c>
      <c r="H1746" s="60">
        <v>2.9</v>
      </c>
      <c r="I1746" s="60">
        <v>17.68</v>
      </c>
      <c r="J1746" s="60">
        <v>0</v>
      </c>
      <c r="O1746" s="60" t="s">
        <v>5761</v>
      </c>
      <c r="P1746" s="60" t="s">
        <v>3117</v>
      </c>
      <c r="Q1746" s="60" t="s">
        <v>3900</v>
      </c>
      <c r="R1746" s="60">
        <v>109.5</v>
      </c>
      <c r="S1746" s="60">
        <v>-1.79</v>
      </c>
      <c r="T1746" s="60">
        <v>1408</v>
      </c>
      <c r="U1746" s="60">
        <v>50.65</v>
      </c>
    </row>
    <row r="1747" spans="1:21">
      <c r="O1747" s="60" t="s">
        <v>5764</v>
      </c>
      <c r="P1747" s="60" t="s">
        <v>3118</v>
      </c>
      <c r="Q1747" s="60" t="s">
        <v>5122</v>
      </c>
      <c r="R1747" s="60">
        <v>27.65</v>
      </c>
      <c r="S1747" s="60">
        <v>-0.36</v>
      </c>
      <c r="T1747" s="60">
        <v>29</v>
      </c>
      <c r="U1747" s="60">
        <v>56.13</v>
      </c>
    </row>
    <row r="1748" spans="1:21">
      <c r="O1748" s="60" t="s">
        <v>5765</v>
      </c>
      <c r="P1748" s="60" t="s">
        <v>3119</v>
      </c>
      <c r="Q1748" s="60" t="s">
        <v>4659</v>
      </c>
      <c r="R1748" s="60">
        <v>16.45</v>
      </c>
      <c r="S1748" s="60">
        <v>0.3</v>
      </c>
      <c r="T1748" s="60">
        <v>571</v>
      </c>
      <c r="U1748" s="60">
        <v>30.55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63D84-BB9C-4710-9479-5F83AB441335}">
  <sheetPr codeName="工作表1"/>
  <dimension ref="A1:F2035"/>
  <sheetViews>
    <sheetView topLeftCell="A1727" workbookViewId="0">
      <selection activeCell="G1743" sqref="G1743"/>
    </sheetView>
  </sheetViews>
  <sheetFormatPr defaultRowHeight="16.2"/>
  <cols>
    <col min="3" max="3" width="30.77734375" style="60" customWidth="1"/>
    <col min="4" max="4" width="8.88671875" style="60"/>
  </cols>
  <sheetData>
    <row r="1" spans="1:6" s="94" customFormat="1">
      <c r="A1" s="64" t="s">
        <v>0</v>
      </c>
      <c r="B1" s="64" t="s">
        <v>1</v>
      </c>
      <c r="C1" s="136" t="s">
        <v>7</v>
      </c>
      <c r="D1" s="64" t="s">
        <v>0</v>
      </c>
      <c r="E1" s="64" t="s">
        <v>2</v>
      </c>
      <c r="F1" s="64"/>
    </row>
    <row r="2" spans="1:6">
      <c r="A2" s="118">
        <v>1101</v>
      </c>
      <c r="B2" s="60" t="s">
        <v>3695</v>
      </c>
      <c r="C2" s="121" t="s">
        <v>5546</v>
      </c>
      <c r="D2" s="118">
        <v>1101</v>
      </c>
      <c r="E2" s="60">
        <f>[1]!'1101.TW-Price'</f>
        <v>47.7</v>
      </c>
    </row>
    <row r="3" spans="1:6">
      <c r="A3" s="118">
        <v>1102</v>
      </c>
      <c r="B3" s="60" t="s">
        <v>3696</v>
      </c>
      <c r="C3" s="121" t="s">
        <v>5546</v>
      </c>
      <c r="D3" s="118">
        <v>1102</v>
      </c>
      <c r="E3" s="60">
        <f>[1]!'1102.TW-Price'</f>
        <v>43.65</v>
      </c>
    </row>
    <row r="4" spans="1:6">
      <c r="A4" s="118">
        <v>1103</v>
      </c>
      <c r="B4" s="60" t="s">
        <v>3697</v>
      </c>
      <c r="C4" s="121" t="s">
        <v>5546</v>
      </c>
      <c r="D4" s="118">
        <v>1103</v>
      </c>
      <c r="E4" s="60">
        <f>[1]!'1103.TW-Price'</f>
        <v>20.7</v>
      </c>
    </row>
    <row r="5" spans="1:6">
      <c r="A5" s="118">
        <v>1104</v>
      </c>
      <c r="B5" s="60" t="s">
        <v>3698</v>
      </c>
      <c r="C5" s="121" t="s">
        <v>5546</v>
      </c>
      <c r="D5" s="118">
        <v>1104</v>
      </c>
      <c r="E5" s="60">
        <f>[1]!'1104.TW-Price'</f>
        <v>21.05</v>
      </c>
    </row>
    <row r="6" spans="1:6">
      <c r="A6" s="118">
        <v>1108</v>
      </c>
      <c r="B6" s="60" t="s">
        <v>3699</v>
      </c>
      <c r="C6" s="121" t="s">
        <v>5546</v>
      </c>
      <c r="D6" s="118">
        <v>1108</v>
      </c>
      <c r="E6" s="60" t="str">
        <f>[1]!'1108.TW-Price'</f>
        <v>--</v>
      </c>
    </row>
    <row r="7" spans="1:6">
      <c r="A7" s="118">
        <v>1109</v>
      </c>
      <c r="B7" s="60" t="s">
        <v>3700</v>
      </c>
      <c r="C7" s="121" t="s">
        <v>5546</v>
      </c>
      <c r="D7" s="118">
        <v>1109</v>
      </c>
      <c r="E7" s="60" t="str">
        <f>[1]!'1109.TW-Price'</f>
        <v>--</v>
      </c>
    </row>
    <row r="8" spans="1:6">
      <c r="A8" s="118">
        <v>1110</v>
      </c>
      <c r="B8" s="60" t="s">
        <v>3701</v>
      </c>
      <c r="C8" s="121" t="s">
        <v>5546</v>
      </c>
      <c r="D8" s="118">
        <v>1110</v>
      </c>
      <c r="E8" s="60">
        <f>[1]!'1110.TW-Price'</f>
        <v>21.2</v>
      </c>
    </row>
    <row r="9" spans="1:6">
      <c r="A9" s="118">
        <v>1201</v>
      </c>
      <c r="B9" s="60" t="s">
        <v>3702</v>
      </c>
      <c r="C9" s="121" t="s">
        <v>5547</v>
      </c>
      <c r="D9" s="118">
        <v>1201</v>
      </c>
      <c r="E9" s="60">
        <f>[1]!'1201.TW-Price'</f>
        <v>22.3</v>
      </c>
    </row>
    <row r="10" spans="1:6">
      <c r="A10" s="118">
        <v>1203</v>
      </c>
      <c r="B10" s="60" t="s">
        <v>3621</v>
      </c>
      <c r="C10" s="121" t="s">
        <v>5547</v>
      </c>
      <c r="D10" s="118">
        <v>1203</v>
      </c>
      <c r="E10" s="60" t="str">
        <f>[1]!'1203.TW-Price'</f>
        <v>--</v>
      </c>
    </row>
    <row r="11" spans="1:6">
      <c r="A11" s="118">
        <v>1210</v>
      </c>
      <c r="B11" s="60" t="s">
        <v>3703</v>
      </c>
      <c r="C11" s="121" t="s">
        <v>5547</v>
      </c>
      <c r="D11" s="118">
        <v>1210</v>
      </c>
      <c r="E11" s="60">
        <f>[1]!'1210.TW-Price'</f>
        <v>52.6</v>
      </c>
    </row>
    <row r="12" spans="1:6">
      <c r="A12" s="118">
        <v>1213</v>
      </c>
      <c r="B12" s="60" t="s">
        <v>3704</v>
      </c>
      <c r="C12" s="121" t="s">
        <v>5547</v>
      </c>
      <c r="D12" s="118">
        <v>1213</v>
      </c>
      <c r="E12" s="60" t="str">
        <f>[1]!'1213.TW-Price'</f>
        <v>--</v>
      </c>
    </row>
    <row r="13" spans="1:6">
      <c r="A13" s="118">
        <v>1215</v>
      </c>
      <c r="B13" s="60" t="s">
        <v>3705</v>
      </c>
      <c r="C13" s="121" t="s">
        <v>5547</v>
      </c>
      <c r="D13" s="118">
        <v>1215</v>
      </c>
      <c r="E13" s="60" t="str">
        <f>[1]!'1215.TW-Price'</f>
        <v>--</v>
      </c>
    </row>
    <row r="14" spans="1:6">
      <c r="A14" s="118">
        <v>1216</v>
      </c>
      <c r="B14" s="60" t="s">
        <v>3706</v>
      </c>
      <c r="C14" s="121" t="s">
        <v>5547</v>
      </c>
      <c r="D14" s="118">
        <v>1216</v>
      </c>
      <c r="E14" s="60">
        <f>[1]!'1216.TW-Price'</f>
        <v>67.400000000000006</v>
      </c>
    </row>
    <row r="15" spans="1:6">
      <c r="A15" s="118">
        <v>1217</v>
      </c>
      <c r="B15" s="60" t="s">
        <v>3707</v>
      </c>
      <c r="C15" s="121" t="s">
        <v>5547</v>
      </c>
      <c r="D15" s="118">
        <v>1217</v>
      </c>
      <c r="E15" s="60">
        <f>[1]!'1217.TW-Price'</f>
        <v>10.55</v>
      </c>
    </row>
    <row r="16" spans="1:6">
      <c r="A16" s="118">
        <v>1218</v>
      </c>
      <c r="B16" s="60" t="s">
        <v>3708</v>
      </c>
      <c r="C16" s="121" t="s">
        <v>5547</v>
      </c>
      <c r="D16" s="118">
        <v>1218</v>
      </c>
      <c r="E16" s="60">
        <f>[1]!'1218.TW-Price'</f>
        <v>27.4</v>
      </c>
    </row>
    <row r="17" spans="1:5">
      <c r="A17" s="118">
        <v>1219</v>
      </c>
      <c r="B17" s="60" t="s">
        <v>3631</v>
      </c>
      <c r="C17" s="121" t="s">
        <v>5547</v>
      </c>
      <c r="D17" s="118">
        <v>1219</v>
      </c>
      <c r="E17" s="60" t="str">
        <f>[1]!'1219.TW-Price'</f>
        <v>--</v>
      </c>
    </row>
    <row r="18" spans="1:5">
      <c r="A18" s="118">
        <v>1220</v>
      </c>
      <c r="B18" s="60" t="s">
        <v>3709</v>
      </c>
      <c r="C18" s="121" t="s">
        <v>5547</v>
      </c>
      <c r="D18" s="118">
        <v>1220</v>
      </c>
      <c r="E18" s="60">
        <f>[1]!'1220.TW-Price'</f>
        <v>15.45</v>
      </c>
    </row>
    <row r="19" spans="1:5">
      <c r="A19" s="118">
        <v>1225</v>
      </c>
      <c r="B19" s="60" t="s">
        <v>3710</v>
      </c>
      <c r="C19" s="121" t="s">
        <v>5547</v>
      </c>
      <c r="D19" s="118">
        <v>1225</v>
      </c>
      <c r="E19" s="60" t="str">
        <f>[1]!'1225.TW-Price'</f>
        <v>--</v>
      </c>
    </row>
    <row r="20" spans="1:5">
      <c r="A20" s="118">
        <v>1227</v>
      </c>
      <c r="B20" s="60" t="s">
        <v>3711</v>
      </c>
      <c r="C20" s="121" t="s">
        <v>5547</v>
      </c>
      <c r="D20" s="118">
        <v>1227</v>
      </c>
      <c r="E20" s="60">
        <f>[1]!'1227.TW-Price'</f>
        <v>51.5</v>
      </c>
    </row>
    <row r="21" spans="1:5">
      <c r="A21" s="118">
        <v>1229</v>
      </c>
      <c r="B21" s="60" t="s">
        <v>3712</v>
      </c>
      <c r="C21" s="121" t="s">
        <v>5547</v>
      </c>
      <c r="D21" s="118">
        <v>1229</v>
      </c>
      <c r="E21" s="60">
        <f>[1]!'1229.TW-Price'</f>
        <v>56.8</v>
      </c>
    </row>
    <row r="22" spans="1:5">
      <c r="A22" s="118">
        <v>1231</v>
      </c>
      <c r="B22" s="60" t="s">
        <v>3667</v>
      </c>
      <c r="C22" s="121" t="s">
        <v>5547</v>
      </c>
      <c r="D22" s="118">
        <v>1231</v>
      </c>
      <c r="E22" s="60">
        <f>[1]!'1231.TW-Price'</f>
        <v>67.5</v>
      </c>
    </row>
    <row r="23" spans="1:5">
      <c r="A23" s="118">
        <v>1232</v>
      </c>
      <c r="B23" s="60" t="s">
        <v>3713</v>
      </c>
      <c r="C23" s="121" t="s">
        <v>5547</v>
      </c>
      <c r="D23" s="118">
        <v>1232</v>
      </c>
      <c r="E23" s="60">
        <f>[1]!'1232.TW-Price'</f>
        <v>164</v>
      </c>
    </row>
    <row r="24" spans="1:5">
      <c r="A24" s="118">
        <v>1233</v>
      </c>
      <c r="B24" s="60" t="s">
        <v>3714</v>
      </c>
      <c r="C24" s="121" t="s">
        <v>5547</v>
      </c>
      <c r="D24" s="118">
        <v>1233</v>
      </c>
      <c r="E24" s="60" t="str">
        <f>[1]!'1233.TW-Price'</f>
        <v>--</v>
      </c>
    </row>
    <row r="25" spans="1:5">
      <c r="A25" s="118">
        <v>1234</v>
      </c>
      <c r="B25" s="60" t="s">
        <v>3715</v>
      </c>
      <c r="C25" s="121" t="s">
        <v>5547</v>
      </c>
      <c r="D25" s="118">
        <v>1234</v>
      </c>
      <c r="E25" s="60" t="str">
        <f>[1]!'1234.TW-Price'</f>
        <v>--</v>
      </c>
    </row>
    <row r="26" spans="1:5">
      <c r="A26" s="118">
        <v>1235</v>
      </c>
      <c r="B26" s="60" t="s">
        <v>3716</v>
      </c>
      <c r="C26" s="121" t="s">
        <v>5547</v>
      </c>
      <c r="D26" s="118">
        <v>1235</v>
      </c>
      <c r="E26" s="60" t="str">
        <f>[1]!'1235.TW-Price'</f>
        <v>--</v>
      </c>
    </row>
    <row r="27" spans="1:5">
      <c r="A27" s="118">
        <v>1236</v>
      </c>
      <c r="B27" s="60" t="s">
        <v>3717</v>
      </c>
      <c r="C27" s="121" t="s">
        <v>5547</v>
      </c>
      <c r="D27" s="118">
        <v>1236</v>
      </c>
      <c r="E27" s="60">
        <f>[1]!'1236.TW-Price'</f>
        <v>20.399999999999999</v>
      </c>
    </row>
    <row r="28" spans="1:5">
      <c r="A28" s="118">
        <v>1256</v>
      </c>
      <c r="B28" s="60" t="s">
        <v>3718</v>
      </c>
      <c r="C28" s="121" t="s">
        <v>5548</v>
      </c>
      <c r="D28" s="118">
        <v>1256</v>
      </c>
      <c r="E28" s="60">
        <f>[1]!'1256.TW-Price'</f>
        <v>360.5</v>
      </c>
    </row>
    <row r="29" spans="1:5">
      <c r="A29" s="118">
        <v>1702</v>
      </c>
      <c r="B29" s="60" t="s">
        <v>3719</v>
      </c>
      <c r="C29" s="121" t="s">
        <v>5547</v>
      </c>
      <c r="D29" s="118">
        <v>1702</v>
      </c>
      <c r="E29" s="60" t="str">
        <f>[1]!'1702.TW-Price'</f>
        <v>--</v>
      </c>
    </row>
    <row r="30" spans="1:5">
      <c r="A30" s="118">
        <v>1737</v>
      </c>
      <c r="B30" s="60" t="s">
        <v>3720</v>
      </c>
      <c r="C30" s="121" t="s">
        <v>5547</v>
      </c>
      <c r="D30" s="118">
        <v>1737</v>
      </c>
      <c r="E30" s="60" t="str">
        <f>[1]!'1737.TW-Price'</f>
        <v>--</v>
      </c>
    </row>
    <row r="31" spans="1:5">
      <c r="A31" s="118">
        <v>1301</v>
      </c>
      <c r="B31" s="60" t="s">
        <v>3721</v>
      </c>
      <c r="C31" s="121" t="s">
        <v>5549</v>
      </c>
      <c r="D31" s="118">
        <v>1301</v>
      </c>
      <c r="E31" s="60">
        <f>[1]!'1301.TW-Price'</f>
        <v>105.5</v>
      </c>
    </row>
    <row r="32" spans="1:5">
      <c r="A32" s="118">
        <v>1303</v>
      </c>
      <c r="B32" s="60" t="s">
        <v>3722</v>
      </c>
      <c r="C32" s="121" t="s">
        <v>5549</v>
      </c>
      <c r="D32" s="118">
        <v>1303</v>
      </c>
      <c r="E32" s="60">
        <f>[1]!'1303.TW-Price'</f>
        <v>85.8</v>
      </c>
    </row>
    <row r="33" spans="1:5">
      <c r="A33" s="118">
        <v>1304</v>
      </c>
      <c r="B33" s="60" t="s">
        <v>3658</v>
      </c>
      <c r="C33" s="121" t="s">
        <v>5549</v>
      </c>
      <c r="D33" s="118">
        <v>1304</v>
      </c>
      <c r="E33" s="60">
        <f>[1]!'1304.TW-Price'</f>
        <v>32.85</v>
      </c>
    </row>
    <row r="34" spans="1:5">
      <c r="A34" s="118">
        <v>1305</v>
      </c>
      <c r="B34" s="60" t="s">
        <v>3723</v>
      </c>
      <c r="C34" s="121" t="s">
        <v>5549</v>
      </c>
      <c r="D34" s="118">
        <v>1305</v>
      </c>
      <c r="E34" s="60">
        <f>[1]!'1305.TW-Price'</f>
        <v>35.25</v>
      </c>
    </row>
    <row r="35" spans="1:5">
      <c r="A35" s="118">
        <v>1307</v>
      </c>
      <c r="B35" s="60" t="s">
        <v>3724</v>
      </c>
      <c r="C35" s="121" t="s">
        <v>5549</v>
      </c>
      <c r="D35" s="118">
        <v>1307</v>
      </c>
      <c r="E35" s="60" t="str">
        <f>[1]!'1307.TW-Price'</f>
        <v>--</v>
      </c>
    </row>
    <row r="36" spans="1:5">
      <c r="A36" s="118">
        <v>1308</v>
      </c>
      <c r="B36" s="60" t="s">
        <v>3725</v>
      </c>
      <c r="C36" s="121" t="s">
        <v>5549</v>
      </c>
      <c r="D36" s="118">
        <v>1308</v>
      </c>
      <c r="E36" s="60">
        <f>[1]!'1308.TW-Price'</f>
        <v>37.549999999999997</v>
      </c>
    </row>
    <row r="37" spans="1:5">
      <c r="A37" s="118">
        <v>1309</v>
      </c>
      <c r="B37" s="60" t="s">
        <v>3726</v>
      </c>
      <c r="C37" s="121" t="s">
        <v>5549</v>
      </c>
      <c r="D37" s="118">
        <v>1309</v>
      </c>
      <c r="E37" s="60">
        <f>[1]!'1309.TW-Price'</f>
        <v>35.35</v>
      </c>
    </row>
    <row r="38" spans="1:5">
      <c r="A38" s="118">
        <v>1310</v>
      </c>
      <c r="B38" s="60" t="s">
        <v>3727</v>
      </c>
      <c r="C38" s="121" t="s">
        <v>5549</v>
      </c>
      <c r="D38" s="118">
        <v>1310</v>
      </c>
      <c r="E38" s="60">
        <f>[1]!'1310.TW-Price'</f>
        <v>17.7</v>
      </c>
    </row>
    <row r="39" spans="1:5">
      <c r="A39" s="118">
        <v>1312</v>
      </c>
      <c r="B39" s="60" t="s">
        <v>3650</v>
      </c>
      <c r="C39" s="121" t="s">
        <v>5549</v>
      </c>
      <c r="D39" s="118">
        <v>1312</v>
      </c>
      <c r="E39" s="60">
        <f>[1]!'1312.TW-Price'</f>
        <v>28.45</v>
      </c>
    </row>
    <row r="40" spans="1:5">
      <c r="A40" s="118">
        <v>1313</v>
      </c>
      <c r="B40" s="60" t="s">
        <v>3728</v>
      </c>
      <c r="C40" s="121" t="s">
        <v>5549</v>
      </c>
      <c r="D40" s="118">
        <v>1313</v>
      </c>
      <c r="E40" s="60">
        <f>[1]!'1313.TW-Price'</f>
        <v>22.1</v>
      </c>
    </row>
    <row r="41" spans="1:5">
      <c r="A41" s="118">
        <v>1314</v>
      </c>
      <c r="B41" s="60" t="s">
        <v>3729</v>
      </c>
      <c r="C41" s="121" t="s">
        <v>5549</v>
      </c>
      <c r="D41" s="118">
        <v>1314</v>
      </c>
      <c r="E41" s="60">
        <f>[1]!'1314.TW-Price'</f>
        <v>13.45</v>
      </c>
    </row>
    <row r="42" spans="1:5">
      <c r="A42" s="118">
        <v>1315</v>
      </c>
      <c r="B42" s="60" t="s">
        <v>3730</v>
      </c>
      <c r="C42" s="121" t="s">
        <v>5549</v>
      </c>
      <c r="D42" s="118">
        <v>1315</v>
      </c>
      <c r="E42" s="60">
        <f>[1]!'1315.TW-Price'</f>
        <v>66</v>
      </c>
    </row>
    <row r="43" spans="1:5">
      <c r="A43" s="118">
        <v>1321</v>
      </c>
      <c r="B43" s="60" t="s">
        <v>3731</v>
      </c>
      <c r="C43" s="121" t="s">
        <v>5549</v>
      </c>
      <c r="D43" s="118">
        <v>1321</v>
      </c>
      <c r="E43" s="60">
        <f>[1]!'1321.TW-Price'</f>
        <v>35.65</v>
      </c>
    </row>
    <row r="44" spans="1:5">
      <c r="A44" s="118">
        <v>1323</v>
      </c>
      <c r="B44" s="60" t="s">
        <v>3732</v>
      </c>
      <c r="C44" s="121" t="s">
        <v>5549</v>
      </c>
      <c r="D44" s="118">
        <v>1323</v>
      </c>
      <c r="E44" s="60" t="str">
        <f>[1]!'1323.TW-Price'</f>
        <v>--</v>
      </c>
    </row>
    <row r="45" spans="1:5">
      <c r="A45" s="118">
        <v>1324</v>
      </c>
      <c r="B45" s="60" t="s">
        <v>3733</v>
      </c>
      <c r="C45" s="121" t="s">
        <v>5549</v>
      </c>
      <c r="D45" s="118">
        <v>1324</v>
      </c>
      <c r="E45" s="60" t="str">
        <f>[1]!'1324.TW-Price'</f>
        <v>--</v>
      </c>
    </row>
    <row r="46" spans="1:5">
      <c r="A46" s="118">
        <v>1325</v>
      </c>
      <c r="B46" s="60" t="s">
        <v>3554</v>
      </c>
      <c r="C46" s="121" t="s">
        <v>5549</v>
      </c>
      <c r="D46" s="118">
        <v>1325</v>
      </c>
      <c r="E46" s="60">
        <f>[1]!'1325.TW-Price'</f>
        <v>40</v>
      </c>
    </row>
    <row r="47" spans="1:5">
      <c r="A47" s="118">
        <v>1326</v>
      </c>
      <c r="B47" s="60" t="s">
        <v>3734</v>
      </c>
      <c r="C47" s="121" t="s">
        <v>5549</v>
      </c>
      <c r="D47" s="118">
        <v>1326</v>
      </c>
      <c r="E47" s="60" t="str">
        <f>[1]!'1326.TW-Price'</f>
        <v>--</v>
      </c>
    </row>
    <row r="48" spans="1:5">
      <c r="A48" s="118">
        <v>1337</v>
      </c>
      <c r="B48" s="60" t="s">
        <v>3735</v>
      </c>
      <c r="C48" s="121" t="s">
        <v>5550</v>
      </c>
      <c r="D48" s="118">
        <v>1337</v>
      </c>
      <c r="E48" s="60" t="str">
        <f>[1]!'1337.TW-Price'</f>
        <v>--</v>
      </c>
    </row>
    <row r="49" spans="1:5">
      <c r="A49" s="118">
        <v>1340</v>
      </c>
      <c r="B49" s="60" t="s">
        <v>3736</v>
      </c>
      <c r="C49" s="121" t="s">
        <v>5550</v>
      </c>
      <c r="D49" s="118">
        <v>1340</v>
      </c>
      <c r="E49" s="60">
        <f>[1]!'1340.TW-Price'</f>
        <v>11.5</v>
      </c>
    </row>
    <row r="50" spans="1:5">
      <c r="A50" s="118">
        <v>1341</v>
      </c>
      <c r="B50" s="60" t="s">
        <v>3737</v>
      </c>
      <c r="C50" s="121" t="s">
        <v>5550</v>
      </c>
      <c r="D50" s="118">
        <v>1341</v>
      </c>
      <c r="E50" s="60">
        <f>[1]!'1341.TW-Price'</f>
        <v>68.8</v>
      </c>
    </row>
    <row r="51" spans="1:5">
      <c r="A51" s="118">
        <v>4306</v>
      </c>
      <c r="B51" s="60" t="s">
        <v>3665</v>
      </c>
      <c r="C51" s="121" t="s">
        <v>5549</v>
      </c>
      <c r="D51" s="118">
        <v>4306</v>
      </c>
      <c r="E51" s="60" t="str">
        <f>[1]!'4306.TW-Price'</f>
        <v>--</v>
      </c>
    </row>
    <row r="52" spans="1:5">
      <c r="A52" s="118">
        <v>1402</v>
      </c>
      <c r="B52" s="60" t="s">
        <v>3738</v>
      </c>
      <c r="C52" s="121" t="s">
        <v>5551</v>
      </c>
      <c r="D52" s="118">
        <v>1402</v>
      </c>
      <c r="E52" s="60">
        <f>[1]!'1402.TW-Price'</f>
        <v>28.8</v>
      </c>
    </row>
    <row r="53" spans="1:5">
      <c r="A53" s="118">
        <v>1409</v>
      </c>
      <c r="B53" s="60" t="s">
        <v>3739</v>
      </c>
      <c r="C53" s="121" t="s">
        <v>5551</v>
      </c>
      <c r="D53" s="118">
        <v>1409</v>
      </c>
      <c r="E53" s="60">
        <f>[1]!'1409.TW-Price'</f>
        <v>19.95</v>
      </c>
    </row>
    <row r="54" spans="1:5">
      <c r="A54" s="118">
        <v>1410</v>
      </c>
      <c r="B54" s="60" t="s">
        <v>3740</v>
      </c>
      <c r="C54" s="121" t="s">
        <v>5551</v>
      </c>
      <c r="D54" s="118">
        <v>1410</v>
      </c>
      <c r="E54" s="60" t="str">
        <f>[1]!'1410.TW-Price'</f>
        <v>--</v>
      </c>
    </row>
    <row r="55" spans="1:5">
      <c r="A55" s="118">
        <v>1413</v>
      </c>
      <c r="B55" s="60" t="s">
        <v>3586</v>
      </c>
      <c r="C55" s="121" t="s">
        <v>5551</v>
      </c>
      <c r="D55" s="118">
        <v>1413</v>
      </c>
      <c r="E55" s="60" t="str">
        <f>[1]!'1413.TW-Price'</f>
        <v>--</v>
      </c>
    </row>
    <row r="56" spans="1:5">
      <c r="A56" s="118">
        <v>1414</v>
      </c>
      <c r="B56" s="60" t="s">
        <v>3574</v>
      </c>
      <c r="C56" s="121" t="s">
        <v>5551</v>
      </c>
      <c r="D56" s="118">
        <v>1414</v>
      </c>
      <c r="E56" s="60" t="str">
        <f>[1]!'1414.TW-Price'</f>
        <v>--</v>
      </c>
    </row>
    <row r="57" spans="1:5">
      <c r="A57" s="118">
        <v>1417</v>
      </c>
      <c r="B57" s="60" t="s">
        <v>3741</v>
      </c>
      <c r="C57" s="121" t="s">
        <v>5551</v>
      </c>
      <c r="D57" s="118">
        <v>1417</v>
      </c>
      <c r="E57" s="60" t="str">
        <f>[1]!'1417.TW-Price'</f>
        <v>--</v>
      </c>
    </row>
    <row r="58" spans="1:5">
      <c r="A58" s="118">
        <v>1418</v>
      </c>
      <c r="B58" s="60" t="s">
        <v>3742</v>
      </c>
      <c r="C58" s="121" t="s">
        <v>5551</v>
      </c>
      <c r="D58" s="118">
        <v>1418</v>
      </c>
      <c r="E58" s="60" t="str">
        <f>[1]!'1418.TW-Price'</f>
        <v>--</v>
      </c>
    </row>
    <row r="59" spans="1:5">
      <c r="A59" s="118">
        <v>1419</v>
      </c>
      <c r="B59" s="60" t="s">
        <v>3743</v>
      </c>
      <c r="C59" s="121" t="s">
        <v>5551</v>
      </c>
      <c r="D59" s="118">
        <v>1419</v>
      </c>
      <c r="E59" s="60" t="str">
        <f>[1]!'1419.TW-Price'</f>
        <v>--</v>
      </c>
    </row>
    <row r="60" spans="1:5">
      <c r="A60" s="118">
        <v>1423</v>
      </c>
      <c r="B60" s="60" t="s">
        <v>3744</v>
      </c>
      <c r="C60" s="121" t="s">
        <v>5551</v>
      </c>
      <c r="D60" s="118">
        <v>1423</v>
      </c>
      <c r="E60" s="60" t="str">
        <f>[1]!'1423.TW-Price'</f>
        <v>--</v>
      </c>
    </row>
    <row r="61" spans="1:5">
      <c r="A61" s="118">
        <v>1434</v>
      </c>
      <c r="B61" s="60" t="s">
        <v>3745</v>
      </c>
      <c r="C61" s="121" t="s">
        <v>5551</v>
      </c>
      <c r="D61" s="118">
        <v>1434</v>
      </c>
      <c r="E61" s="60" t="str">
        <f>[1]!'1434.TW-Price'</f>
        <v>--</v>
      </c>
    </row>
    <row r="62" spans="1:5">
      <c r="A62" s="118">
        <v>1439</v>
      </c>
      <c r="B62" s="60" t="s">
        <v>3746</v>
      </c>
      <c r="C62" s="121" t="s">
        <v>5551</v>
      </c>
      <c r="D62" s="118">
        <v>1439</v>
      </c>
      <c r="E62" s="60" t="str">
        <f>[1]!'1439.TW-Price'</f>
        <v>--</v>
      </c>
    </row>
    <row r="63" spans="1:5">
      <c r="A63" s="118">
        <v>1440</v>
      </c>
      <c r="B63" s="60" t="s">
        <v>3533</v>
      </c>
      <c r="C63" s="121" t="s">
        <v>5551</v>
      </c>
      <c r="D63" s="118">
        <v>1440</v>
      </c>
      <c r="E63" s="60" t="str">
        <f>[1]!'1440.TW-Price'</f>
        <v>--</v>
      </c>
    </row>
    <row r="64" spans="1:5">
      <c r="A64" s="118">
        <v>1441</v>
      </c>
      <c r="B64" s="60" t="s">
        <v>3583</v>
      </c>
      <c r="C64" s="121" t="s">
        <v>5551</v>
      </c>
      <c r="D64" s="118">
        <v>1441</v>
      </c>
      <c r="E64" s="60" t="str">
        <f>[1]!'1441.TW-Price'</f>
        <v>--</v>
      </c>
    </row>
    <row r="65" spans="1:5">
      <c r="A65" s="118">
        <v>1444</v>
      </c>
      <c r="B65" s="60" t="s">
        <v>3748</v>
      </c>
      <c r="C65" s="121" t="s">
        <v>5551</v>
      </c>
      <c r="D65" s="118">
        <v>1444</v>
      </c>
      <c r="E65" s="60" t="str">
        <f>[1]!'1444.TW-Price'</f>
        <v>--</v>
      </c>
    </row>
    <row r="66" spans="1:5">
      <c r="A66" s="118">
        <v>1445</v>
      </c>
      <c r="B66" s="60" t="s">
        <v>3619</v>
      </c>
      <c r="C66" s="121" t="s">
        <v>5551</v>
      </c>
      <c r="D66" s="118">
        <v>1445</v>
      </c>
      <c r="E66" s="60" t="str">
        <f>[1]!'1445.TW-Price'</f>
        <v>--</v>
      </c>
    </row>
    <row r="67" spans="1:5">
      <c r="A67" s="118">
        <v>1446</v>
      </c>
      <c r="B67" s="60" t="s">
        <v>3749</v>
      </c>
      <c r="C67" s="121" t="s">
        <v>5551</v>
      </c>
      <c r="D67" s="118">
        <v>1446</v>
      </c>
      <c r="E67" s="60" t="str">
        <f>[1]!'1446.TW-Price'</f>
        <v>--</v>
      </c>
    </row>
    <row r="68" spans="1:5">
      <c r="A68" s="118">
        <v>1447</v>
      </c>
      <c r="B68" s="60" t="s">
        <v>3750</v>
      </c>
      <c r="C68" s="121" t="s">
        <v>5551</v>
      </c>
      <c r="D68" s="118">
        <v>1447</v>
      </c>
      <c r="E68" s="60" t="str">
        <f>[1]!'1447.TW-Price'</f>
        <v>--</v>
      </c>
    </row>
    <row r="69" spans="1:5">
      <c r="A69" s="118">
        <v>1449</v>
      </c>
      <c r="B69" s="60" t="s">
        <v>3751</v>
      </c>
      <c r="C69" s="121" t="s">
        <v>5551</v>
      </c>
      <c r="D69" s="118">
        <v>1449</v>
      </c>
      <c r="E69" s="60" t="str">
        <f>[1]!'1449.TW-Price'</f>
        <v>--</v>
      </c>
    </row>
    <row r="70" spans="1:5">
      <c r="A70" s="118">
        <v>1451</v>
      </c>
      <c r="B70" s="60" t="s">
        <v>3752</v>
      </c>
      <c r="C70" s="121" t="s">
        <v>5551</v>
      </c>
      <c r="D70" s="118">
        <v>1451</v>
      </c>
      <c r="E70" s="60" t="str">
        <f>[1]!'1451.TW-Price'</f>
        <v>--</v>
      </c>
    </row>
    <row r="71" spans="1:5">
      <c r="A71" s="118">
        <v>1452</v>
      </c>
      <c r="B71" s="60" t="s">
        <v>3753</v>
      </c>
      <c r="C71" s="121" t="s">
        <v>5551</v>
      </c>
      <c r="D71" s="118">
        <v>1452</v>
      </c>
      <c r="E71" s="60" t="str">
        <f>[1]!'1452.TW-Price'</f>
        <v>--</v>
      </c>
    </row>
    <row r="72" spans="1:5">
      <c r="A72" s="118">
        <v>1454</v>
      </c>
      <c r="B72" s="60" t="s">
        <v>3628</v>
      </c>
      <c r="C72" s="121" t="s">
        <v>5551</v>
      </c>
      <c r="D72" s="118">
        <v>1454</v>
      </c>
      <c r="E72" s="60" t="str">
        <f>[1]!'1454.TW-Price'</f>
        <v>--</v>
      </c>
    </row>
    <row r="73" spans="1:5">
      <c r="A73" s="118">
        <v>1455</v>
      </c>
      <c r="B73" s="60" t="s">
        <v>3590</v>
      </c>
      <c r="C73" s="121" t="s">
        <v>5551</v>
      </c>
      <c r="D73" s="118">
        <v>1455</v>
      </c>
      <c r="E73" s="60" t="str">
        <f>[1]!'1455.TW-Price'</f>
        <v>--</v>
      </c>
    </row>
    <row r="74" spans="1:5">
      <c r="A74" s="118">
        <v>1457</v>
      </c>
      <c r="B74" s="60" t="s">
        <v>3756</v>
      </c>
      <c r="C74" s="121" t="s">
        <v>5551</v>
      </c>
      <c r="D74" s="118">
        <v>1457</v>
      </c>
      <c r="E74" s="60" t="str">
        <f>[1]!'1457.TW-Price'</f>
        <v>--</v>
      </c>
    </row>
    <row r="75" spans="1:5">
      <c r="A75" s="118">
        <v>1459</v>
      </c>
      <c r="B75" s="60" t="s">
        <v>3573</v>
      </c>
      <c r="C75" s="121" t="s">
        <v>5551</v>
      </c>
      <c r="D75" s="118">
        <v>1459</v>
      </c>
      <c r="E75" s="60">
        <f>[1]!'1459.TW-Price'</f>
        <v>13.65</v>
      </c>
    </row>
    <row r="76" spans="1:5">
      <c r="A76" s="118">
        <v>1460</v>
      </c>
      <c r="B76" s="60" t="s">
        <v>3757</v>
      </c>
      <c r="C76" s="121" t="s">
        <v>5551</v>
      </c>
      <c r="D76" s="118">
        <v>1460</v>
      </c>
      <c r="E76" s="60">
        <f>[1]!'1460.TW-Price'</f>
        <v>9.44</v>
      </c>
    </row>
    <row r="77" spans="1:5">
      <c r="A77" s="118">
        <v>1463</v>
      </c>
      <c r="B77" s="60" t="s">
        <v>3758</v>
      </c>
      <c r="C77" s="121" t="s">
        <v>5551</v>
      </c>
      <c r="D77" s="118">
        <v>1463</v>
      </c>
      <c r="E77" s="60" t="str">
        <f>[1]!'1463.TW-Price'</f>
        <v>--</v>
      </c>
    </row>
    <row r="78" spans="1:5">
      <c r="A78" s="118">
        <v>1464</v>
      </c>
      <c r="B78" s="60" t="s">
        <v>3759</v>
      </c>
      <c r="C78" s="121" t="s">
        <v>5551</v>
      </c>
      <c r="D78" s="118">
        <v>1464</v>
      </c>
      <c r="E78" s="60" t="str">
        <f>[1]!'1464.TW-Price'</f>
        <v>--</v>
      </c>
    </row>
    <row r="79" spans="1:5">
      <c r="A79" s="118">
        <v>1465</v>
      </c>
      <c r="B79" s="60" t="s">
        <v>3760</v>
      </c>
      <c r="C79" s="121" t="s">
        <v>5551</v>
      </c>
      <c r="D79" s="118">
        <v>1465</v>
      </c>
      <c r="E79" s="60" t="str">
        <f>[1]!'1465.TW-Price'</f>
        <v>--</v>
      </c>
    </row>
    <row r="80" spans="1:5">
      <c r="A80" s="118">
        <v>1466</v>
      </c>
      <c r="B80" s="60" t="s">
        <v>3588</v>
      </c>
      <c r="C80" s="121" t="s">
        <v>5551</v>
      </c>
      <c r="D80" s="118">
        <v>1466</v>
      </c>
      <c r="E80" s="60" t="str">
        <f>[1]!'1466.TW-Price'</f>
        <v>--</v>
      </c>
    </row>
    <row r="81" spans="1:5">
      <c r="A81" s="118">
        <v>1467</v>
      </c>
      <c r="B81" s="60" t="s">
        <v>3761</v>
      </c>
      <c r="C81" s="121" t="s">
        <v>5551</v>
      </c>
      <c r="D81" s="118">
        <v>1467</v>
      </c>
      <c r="E81" s="60">
        <f>[1]!'1467.TW-Price'</f>
        <v>14.4</v>
      </c>
    </row>
    <row r="82" spans="1:5">
      <c r="A82" s="118">
        <v>1468</v>
      </c>
      <c r="B82" s="60" t="s">
        <v>3762</v>
      </c>
      <c r="C82" s="121" t="s">
        <v>5551</v>
      </c>
      <c r="D82" s="118">
        <v>1468</v>
      </c>
      <c r="E82" s="60" t="str">
        <f>[1]!'1468.TW-Price'</f>
        <v>--</v>
      </c>
    </row>
    <row r="83" spans="1:5">
      <c r="A83" s="118">
        <v>1470</v>
      </c>
      <c r="B83" s="60" t="s">
        <v>3763</v>
      </c>
      <c r="C83" s="121" t="s">
        <v>5551</v>
      </c>
      <c r="D83" s="118">
        <v>1470</v>
      </c>
      <c r="E83" s="60" t="str">
        <f>[1]!'1470.TW-Price'</f>
        <v>--</v>
      </c>
    </row>
    <row r="84" spans="1:5">
      <c r="A84" s="118">
        <v>1472</v>
      </c>
      <c r="B84" s="60" t="s">
        <v>5515</v>
      </c>
      <c r="C84" s="121" t="s">
        <v>5551</v>
      </c>
      <c r="D84" s="118">
        <v>1472</v>
      </c>
      <c r="E84" s="60" t="str">
        <f>[1]!'1472.TW-Price'</f>
        <v>--</v>
      </c>
    </row>
    <row r="85" spans="1:5">
      <c r="A85" s="118">
        <v>1473</v>
      </c>
      <c r="B85" s="60" t="s">
        <v>3764</v>
      </c>
      <c r="C85" s="121" t="s">
        <v>5551</v>
      </c>
      <c r="D85" s="118">
        <v>1473</v>
      </c>
      <c r="E85" s="60" t="str">
        <f>[1]!'1473.TW-Price'</f>
        <v>--</v>
      </c>
    </row>
    <row r="86" spans="1:5">
      <c r="A86" s="118">
        <v>1474</v>
      </c>
      <c r="B86" s="60" t="s">
        <v>3765</v>
      </c>
      <c r="C86" s="121" t="s">
        <v>5551</v>
      </c>
      <c r="D86" s="118">
        <v>1474</v>
      </c>
      <c r="E86" s="60" t="str">
        <f>[1]!'1474.TW-Price'</f>
        <v>--</v>
      </c>
    </row>
    <row r="87" spans="1:5">
      <c r="A87" s="118">
        <v>1475</v>
      </c>
      <c r="B87" s="60" t="s">
        <v>3766</v>
      </c>
      <c r="C87" s="121" t="s">
        <v>5551</v>
      </c>
      <c r="D87" s="118">
        <v>1475</v>
      </c>
      <c r="E87" s="60" t="str">
        <f>[1]!'1475.TW-Price'</f>
        <v>--</v>
      </c>
    </row>
    <row r="88" spans="1:5">
      <c r="A88" s="118">
        <v>1476</v>
      </c>
      <c r="B88" s="60" t="s">
        <v>3767</v>
      </c>
      <c r="C88" s="121" t="s">
        <v>5551</v>
      </c>
      <c r="D88" s="118">
        <v>1476</v>
      </c>
      <c r="E88" s="60" t="str">
        <f>[1]!'1476.TW-Price'</f>
        <v>--</v>
      </c>
    </row>
    <row r="89" spans="1:5">
      <c r="A89" s="118">
        <v>1477</v>
      </c>
      <c r="B89" s="60" t="s">
        <v>3768</v>
      </c>
      <c r="C89" s="121" t="s">
        <v>5551</v>
      </c>
      <c r="D89" s="118">
        <v>1477</v>
      </c>
      <c r="E89" s="60" t="str">
        <f>[1]!'1477.TW-Price'</f>
        <v>--</v>
      </c>
    </row>
    <row r="90" spans="1:5">
      <c r="A90" s="118">
        <v>4414</v>
      </c>
      <c r="B90" s="60" t="s">
        <v>3769</v>
      </c>
      <c r="C90" s="121" t="s">
        <v>5551</v>
      </c>
      <c r="D90" s="118">
        <v>4414</v>
      </c>
      <c r="E90" s="60" t="str">
        <f>[1]!'4414.TW-Price'</f>
        <v>--</v>
      </c>
    </row>
    <row r="91" spans="1:5">
      <c r="A91" s="118">
        <v>4426</v>
      </c>
      <c r="B91" s="60" t="s">
        <v>3770</v>
      </c>
      <c r="C91" s="121" t="s">
        <v>5551</v>
      </c>
      <c r="D91" s="118">
        <v>4426</v>
      </c>
      <c r="E91" s="60" t="str">
        <f>[1]!'4426.TW-Price'</f>
        <v>--</v>
      </c>
    </row>
    <row r="92" spans="1:5">
      <c r="A92" s="118">
        <v>4438</v>
      </c>
      <c r="B92" s="60" t="s">
        <v>3771</v>
      </c>
      <c r="C92" s="121" t="s">
        <v>5551</v>
      </c>
      <c r="D92" s="118">
        <v>4438</v>
      </c>
      <c r="E92" s="60" t="str">
        <f>[1]!'4438.TW-Price'</f>
        <v>--</v>
      </c>
    </row>
    <row r="93" spans="1:5">
      <c r="A93" s="118">
        <v>4439</v>
      </c>
      <c r="B93" s="60" t="s">
        <v>3772</v>
      </c>
      <c r="C93" s="121" t="s">
        <v>5552</v>
      </c>
      <c r="D93" s="118">
        <v>4439</v>
      </c>
      <c r="E93" s="60" t="str">
        <f>[1]!'4439.TW-Price'</f>
        <v>--</v>
      </c>
    </row>
    <row r="94" spans="1:5">
      <c r="A94" s="118">
        <v>4440</v>
      </c>
      <c r="B94" s="60" t="s">
        <v>5211</v>
      </c>
      <c r="C94" s="121" t="s">
        <v>5551</v>
      </c>
      <c r="D94" s="118">
        <v>4440</v>
      </c>
      <c r="E94" s="60" t="str">
        <f>[1]!'4440.TW-Price'</f>
        <v>--</v>
      </c>
    </row>
    <row r="95" spans="1:5">
      <c r="A95" s="118">
        <v>1503</v>
      </c>
      <c r="B95" s="60" t="s">
        <v>3773</v>
      </c>
      <c r="C95" s="121" t="s">
        <v>5553</v>
      </c>
      <c r="D95" s="118">
        <v>1503</v>
      </c>
      <c r="E95" s="60" t="str">
        <f>[1]!'1503.TW-Price'</f>
        <v>--</v>
      </c>
    </row>
    <row r="96" spans="1:5">
      <c r="A96" s="118">
        <v>1504</v>
      </c>
      <c r="B96" s="60" t="s">
        <v>3685</v>
      </c>
      <c r="C96" s="121" t="s">
        <v>5553</v>
      </c>
      <c r="D96" s="118">
        <v>1504</v>
      </c>
      <c r="E96" s="60" t="str">
        <f>[1]!'1504.TW-Price'</f>
        <v>--</v>
      </c>
    </row>
    <row r="97" spans="1:5">
      <c r="A97" s="118">
        <v>1506</v>
      </c>
      <c r="B97" s="60" t="s">
        <v>3774</v>
      </c>
      <c r="C97" s="121" t="s">
        <v>5553</v>
      </c>
      <c r="D97" s="118">
        <v>1506</v>
      </c>
      <c r="E97" s="60" t="str">
        <f>[1]!'1506.TW-Price'</f>
        <v>--</v>
      </c>
    </row>
    <row r="98" spans="1:5">
      <c r="A98" s="118">
        <v>1507</v>
      </c>
      <c r="B98" s="60" t="s">
        <v>3775</v>
      </c>
      <c r="C98" s="121" t="s">
        <v>5553</v>
      </c>
      <c r="D98" s="118">
        <v>1507</v>
      </c>
      <c r="E98" s="60" t="str">
        <f>[1]!'1507.TW-Price'</f>
        <v>--</v>
      </c>
    </row>
    <row r="99" spans="1:5">
      <c r="A99" s="118">
        <v>1513</v>
      </c>
      <c r="B99" s="60" t="s">
        <v>3776</v>
      </c>
      <c r="C99" s="121" t="s">
        <v>5553</v>
      </c>
      <c r="D99" s="118">
        <v>1513</v>
      </c>
      <c r="E99" s="60" t="str">
        <f>[1]!'1513.TW-Price'</f>
        <v>--</v>
      </c>
    </row>
    <row r="100" spans="1:5">
      <c r="A100" s="118">
        <v>1514</v>
      </c>
      <c r="B100" s="60" t="s">
        <v>3777</v>
      </c>
      <c r="C100" s="121" t="s">
        <v>5553</v>
      </c>
      <c r="D100" s="118">
        <v>1514</v>
      </c>
      <c r="E100" s="60" t="str">
        <f>[1]!'1514.TW-Price'</f>
        <v>--</v>
      </c>
    </row>
    <row r="101" spans="1:5">
      <c r="A101" s="118">
        <v>1515</v>
      </c>
      <c r="B101" s="60" t="s">
        <v>3778</v>
      </c>
      <c r="C101" s="121" t="s">
        <v>5553</v>
      </c>
      <c r="D101" s="118">
        <v>1515</v>
      </c>
      <c r="E101" s="60" t="str">
        <f>[1]!'1515.TW-Price'</f>
        <v>--</v>
      </c>
    </row>
    <row r="102" spans="1:5">
      <c r="A102" s="118">
        <v>1517</v>
      </c>
      <c r="B102" s="60" t="s">
        <v>3779</v>
      </c>
      <c r="C102" s="121" t="s">
        <v>5553</v>
      </c>
      <c r="D102" s="118">
        <v>1517</v>
      </c>
      <c r="E102" s="60" t="str">
        <f>[1]!'1517.TW-Price'</f>
        <v>--</v>
      </c>
    </row>
    <row r="103" spans="1:5">
      <c r="A103" s="118">
        <v>1519</v>
      </c>
      <c r="B103" s="60" t="s">
        <v>3661</v>
      </c>
      <c r="C103" s="121" t="s">
        <v>5553</v>
      </c>
      <c r="D103" s="118">
        <v>1519</v>
      </c>
      <c r="E103" s="60" t="str">
        <f>[1]!'1519.TW-Price'</f>
        <v>--</v>
      </c>
    </row>
    <row r="104" spans="1:5">
      <c r="A104" s="118">
        <v>1526</v>
      </c>
      <c r="B104" s="60" t="s">
        <v>3780</v>
      </c>
      <c r="C104" s="121" t="s">
        <v>5553</v>
      </c>
      <c r="D104" s="118">
        <v>1526</v>
      </c>
      <c r="E104" s="60" t="str">
        <f>[1]!'1526.TW-Price'</f>
        <v>--</v>
      </c>
    </row>
    <row r="105" spans="1:5">
      <c r="A105" s="118">
        <v>1527</v>
      </c>
      <c r="B105" s="60" t="s">
        <v>3781</v>
      </c>
      <c r="C105" s="121" t="s">
        <v>5553</v>
      </c>
      <c r="D105" s="118">
        <v>1527</v>
      </c>
      <c r="E105" s="60" t="str">
        <f>[1]!'1527.TW-Price'</f>
        <v>--</v>
      </c>
    </row>
    <row r="106" spans="1:5">
      <c r="A106" s="118">
        <v>1528</v>
      </c>
      <c r="B106" s="60" t="s">
        <v>3782</v>
      </c>
      <c r="C106" s="121" t="s">
        <v>5553</v>
      </c>
      <c r="D106" s="118">
        <v>1528</v>
      </c>
      <c r="E106" s="60" t="str">
        <f>[1]!'1528.TW-Price'</f>
        <v>--</v>
      </c>
    </row>
    <row r="107" spans="1:5">
      <c r="A107" s="118">
        <v>1529</v>
      </c>
      <c r="B107" s="60" t="s">
        <v>3783</v>
      </c>
      <c r="C107" s="121" t="s">
        <v>5553</v>
      </c>
      <c r="D107" s="118">
        <v>1529</v>
      </c>
      <c r="E107" s="60" t="str">
        <f>[1]!'1529.TW-Price'</f>
        <v>--</v>
      </c>
    </row>
    <row r="108" spans="1:5">
      <c r="A108" s="118">
        <v>1530</v>
      </c>
      <c r="B108" s="60" t="s">
        <v>3784</v>
      </c>
      <c r="C108" s="121" t="s">
        <v>5553</v>
      </c>
      <c r="D108" s="118">
        <v>1530</v>
      </c>
      <c r="E108" s="60" t="str">
        <f>[1]!'1530.TW-Price'</f>
        <v>--</v>
      </c>
    </row>
    <row r="109" spans="1:5">
      <c r="A109" s="118">
        <v>1531</v>
      </c>
      <c r="B109" s="60" t="s">
        <v>3785</v>
      </c>
      <c r="C109" s="121" t="s">
        <v>5553</v>
      </c>
      <c r="D109" s="118">
        <v>1531</v>
      </c>
      <c r="E109" s="60" t="str">
        <f>[1]!'1531.TW-Price'</f>
        <v>--</v>
      </c>
    </row>
    <row r="110" spans="1:5">
      <c r="A110" s="118">
        <v>1532</v>
      </c>
      <c r="B110" s="60" t="s">
        <v>3786</v>
      </c>
      <c r="C110" s="121" t="s">
        <v>5553</v>
      </c>
      <c r="D110" s="118">
        <v>1532</v>
      </c>
      <c r="E110" s="60" t="str">
        <f>[1]!'1532.TW-Price'</f>
        <v>--</v>
      </c>
    </row>
    <row r="111" spans="1:5">
      <c r="A111" s="118">
        <v>1535</v>
      </c>
      <c r="B111" s="60" t="s">
        <v>3787</v>
      </c>
      <c r="C111" s="121" t="s">
        <v>5553</v>
      </c>
      <c r="D111" s="118">
        <v>1535</v>
      </c>
      <c r="E111" s="60">
        <f>[1]!'1535.TW-Price'</f>
        <v>39.549999999999997</v>
      </c>
    </row>
    <row r="112" spans="1:5">
      <c r="A112" s="118">
        <v>1537</v>
      </c>
      <c r="B112" s="60" t="s">
        <v>3788</v>
      </c>
      <c r="C112" s="121" t="s">
        <v>5553</v>
      </c>
      <c r="D112" s="118">
        <v>1537</v>
      </c>
      <c r="E112" s="60" t="str">
        <f>[1]!'1537.TW-Price'</f>
        <v>--</v>
      </c>
    </row>
    <row r="113" spans="1:5">
      <c r="A113" s="118">
        <v>1538</v>
      </c>
      <c r="B113" s="60" t="s">
        <v>3789</v>
      </c>
      <c r="C113" s="121" t="s">
        <v>5553</v>
      </c>
      <c r="D113" s="118">
        <v>1538</v>
      </c>
      <c r="E113" s="60" t="str">
        <f>[1]!'1538.TW-Price'</f>
        <v>--</v>
      </c>
    </row>
    <row r="114" spans="1:5">
      <c r="A114" s="118">
        <v>1539</v>
      </c>
      <c r="B114" s="60" t="s">
        <v>3790</v>
      </c>
      <c r="C114" s="121" t="s">
        <v>5553</v>
      </c>
      <c r="D114" s="118">
        <v>1539</v>
      </c>
      <c r="E114" s="60" t="str">
        <f>[1]!'1539.TW-Price'</f>
        <v>--</v>
      </c>
    </row>
    <row r="115" spans="1:5">
      <c r="A115" s="118">
        <v>1540</v>
      </c>
      <c r="B115" s="60" t="s">
        <v>3791</v>
      </c>
      <c r="C115" s="121" t="s">
        <v>5553</v>
      </c>
      <c r="D115" s="118">
        <v>1540</v>
      </c>
      <c r="E115" s="60" t="str">
        <f>[1]!'1540.TW-Price'</f>
        <v>--</v>
      </c>
    </row>
    <row r="116" spans="1:5">
      <c r="A116" s="118">
        <v>1541</v>
      </c>
      <c r="B116" s="60" t="s">
        <v>3792</v>
      </c>
      <c r="C116" s="121" t="s">
        <v>5553</v>
      </c>
      <c r="D116" s="118">
        <v>1541</v>
      </c>
      <c r="E116" s="60" t="str">
        <f>[1]!'1541.TW-Price'</f>
        <v>--</v>
      </c>
    </row>
    <row r="117" spans="1:5">
      <c r="A117" s="118">
        <v>1558</v>
      </c>
      <c r="B117" s="60" t="s">
        <v>3793</v>
      </c>
      <c r="C117" s="121" t="s">
        <v>5553</v>
      </c>
      <c r="D117" s="118">
        <v>1558</v>
      </c>
      <c r="E117" s="60" t="str">
        <f>[1]!'1558.TW-Price'</f>
        <v>--</v>
      </c>
    </row>
    <row r="118" spans="1:5">
      <c r="A118" s="118">
        <v>1560</v>
      </c>
      <c r="B118" s="60" t="s">
        <v>3794</v>
      </c>
      <c r="C118" s="121" t="s">
        <v>5553</v>
      </c>
      <c r="D118" s="118">
        <v>1560</v>
      </c>
      <c r="E118" s="60">
        <f>[1]!'1560.TW-Price'</f>
        <v>87.9</v>
      </c>
    </row>
    <row r="119" spans="1:5">
      <c r="A119" s="118">
        <v>1583</v>
      </c>
      <c r="B119" s="60" t="s">
        <v>3795</v>
      </c>
      <c r="C119" s="121" t="s">
        <v>5553</v>
      </c>
      <c r="D119" s="118">
        <v>1583</v>
      </c>
      <c r="E119" s="60" t="str">
        <f>[1]!'1583.TW-Price'</f>
        <v>--</v>
      </c>
    </row>
    <row r="120" spans="1:5">
      <c r="A120" s="118">
        <v>1589</v>
      </c>
      <c r="B120" s="60" t="s">
        <v>3796</v>
      </c>
      <c r="C120" s="121" t="s">
        <v>5554</v>
      </c>
      <c r="D120" s="118">
        <v>1589</v>
      </c>
      <c r="E120" s="60" t="str">
        <f>[1]!'1589.TW-Price'</f>
        <v>--</v>
      </c>
    </row>
    <row r="121" spans="1:5">
      <c r="A121" s="118">
        <v>1590</v>
      </c>
      <c r="B121" s="60" t="s">
        <v>3662</v>
      </c>
      <c r="C121" s="121" t="s">
        <v>5554</v>
      </c>
      <c r="D121" s="118">
        <v>1590</v>
      </c>
      <c r="E121" s="60" t="str">
        <f>[1]!'1590.TW-Price'</f>
        <v>--</v>
      </c>
    </row>
    <row r="122" spans="1:5">
      <c r="A122" s="118">
        <v>1597</v>
      </c>
      <c r="B122" s="60" t="s">
        <v>3797</v>
      </c>
      <c r="C122" s="121" t="s">
        <v>5553</v>
      </c>
      <c r="D122" s="118">
        <v>1597</v>
      </c>
      <c r="E122" s="60" t="str">
        <f>[1]!'1597.TW-Price'</f>
        <v>--</v>
      </c>
    </row>
    <row r="123" spans="1:5">
      <c r="A123" s="118">
        <v>2049</v>
      </c>
      <c r="B123" s="60" t="s">
        <v>40</v>
      </c>
      <c r="C123" s="121" t="s">
        <v>5553</v>
      </c>
      <c r="D123" s="118">
        <v>2049</v>
      </c>
      <c r="E123" s="60" t="str">
        <f>[1]!'2049.TW-Price'</f>
        <v>--</v>
      </c>
    </row>
    <row r="124" spans="1:5">
      <c r="A124" s="118">
        <v>2371</v>
      </c>
      <c r="B124" s="60" t="s">
        <v>3799</v>
      </c>
      <c r="C124" s="121" t="s">
        <v>5553</v>
      </c>
      <c r="D124" s="118">
        <v>2371</v>
      </c>
      <c r="E124" s="60" t="str">
        <f>[1]!'2371.TW-Price'</f>
        <v>--</v>
      </c>
    </row>
    <row r="125" spans="1:5">
      <c r="A125" s="118">
        <v>3167</v>
      </c>
      <c r="B125" s="60" t="s">
        <v>3800</v>
      </c>
      <c r="C125" s="121" t="s">
        <v>5553</v>
      </c>
      <c r="D125" s="118">
        <v>3167</v>
      </c>
      <c r="E125" s="60" t="str">
        <f>[1]!'3167.TW-Price'</f>
        <v>--</v>
      </c>
    </row>
    <row r="126" spans="1:5">
      <c r="A126" s="118">
        <v>4526</v>
      </c>
      <c r="B126" s="60" t="s">
        <v>3801</v>
      </c>
      <c r="C126" s="121" t="s">
        <v>5553</v>
      </c>
      <c r="D126" s="118">
        <v>4526</v>
      </c>
      <c r="E126" s="60" t="str">
        <f>[1]!'4526.TW-Price'</f>
        <v>--</v>
      </c>
    </row>
    <row r="127" spans="1:5">
      <c r="A127" s="118">
        <v>4532</v>
      </c>
      <c r="B127" s="60" t="s">
        <v>3802</v>
      </c>
      <c r="C127" s="121" t="s">
        <v>5553</v>
      </c>
      <c r="D127" s="118">
        <v>4532</v>
      </c>
      <c r="E127" s="60" t="str">
        <f>[1]!'4532.TW-Price'</f>
        <v>--</v>
      </c>
    </row>
    <row r="128" spans="1:5">
      <c r="A128" s="118">
        <v>4540</v>
      </c>
      <c r="B128" s="60" t="s">
        <v>3803</v>
      </c>
      <c r="C128" s="121" t="s">
        <v>5553</v>
      </c>
      <c r="D128" s="118">
        <v>4540</v>
      </c>
      <c r="E128" s="60" t="str">
        <f>[1]!'4540.TW-Price'</f>
        <v>--</v>
      </c>
    </row>
    <row r="129" spans="1:5">
      <c r="A129" s="118">
        <v>4552</v>
      </c>
      <c r="B129" s="60" t="s">
        <v>3804</v>
      </c>
      <c r="C129" s="121" t="s">
        <v>5554</v>
      </c>
      <c r="D129" s="118">
        <v>4552</v>
      </c>
      <c r="E129" s="60" t="str">
        <f>[1]!'4552.TW-Price'</f>
        <v>--</v>
      </c>
    </row>
    <row r="130" spans="1:5">
      <c r="A130" s="118">
        <v>4555</v>
      </c>
      <c r="B130" s="60" t="s">
        <v>3805</v>
      </c>
      <c r="C130" s="121" t="s">
        <v>5553</v>
      </c>
      <c r="D130" s="118">
        <v>4555</v>
      </c>
      <c r="E130" s="60" t="str">
        <f>[1]!'4555.TW-Price'</f>
        <v>--</v>
      </c>
    </row>
    <row r="131" spans="1:5">
      <c r="A131" s="118">
        <v>4560</v>
      </c>
      <c r="B131" s="60" t="s">
        <v>3806</v>
      </c>
      <c r="C131" s="121" t="s">
        <v>5554</v>
      </c>
      <c r="D131" s="118">
        <v>4560</v>
      </c>
      <c r="E131" s="60" t="str">
        <f>[1]!'4560.TW-Price'</f>
        <v>--</v>
      </c>
    </row>
    <row r="132" spans="1:5">
      <c r="A132" s="118">
        <v>4562</v>
      </c>
      <c r="B132" s="60" t="s">
        <v>3807</v>
      </c>
      <c r="C132" s="121" t="s">
        <v>5553</v>
      </c>
      <c r="D132" s="118">
        <v>4562</v>
      </c>
      <c r="E132" s="60" t="str">
        <f>[1]!'4562.TW-Price'</f>
        <v>--</v>
      </c>
    </row>
    <row r="133" spans="1:5">
      <c r="A133" s="118">
        <v>4564</v>
      </c>
      <c r="B133" s="60" t="s">
        <v>3808</v>
      </c>
      <c r="C133" s="121" t="s">
        <v>5553</v>
      </c>
      <c r="D133" s="118">
        <v>4564</v>
      </c>
      <c r="E133" s="60">
        <f>[1]!'4564.TW-Price'</f>
        <v>42.8</v>
      </c>
    </row>
    <row r="134" spans="1:5">
      <c r="A134" s="118">
        <v>4566</v>
      </c>
      <c r="B134" s="60" t="s">
        <v>3809</v>
      </c>
      <c r="C134" s="121" t="s">
        <v>5553</v>
      </c>
      <c r="D134" s="118">
        <v>4566</v>
      </c>
      <c r="E134" s="60" t="str">
        <f>[1]!'4566.TW-Price'</f>
        <v>--</v>
      </c>
    </row>
    <row r="135" spans="1:5">
      <c r="A135" s="118">
        <v>4571</v>
      </c>
      <c r="B135" s="60" t="s">
        <v>3810</v>
      </c>
      <c r="C135" s="121" t="s">
        <v>5554</v>
      </c>
      <c r="D135" s="118">
        <v>4571</v>
      </c>
      <c r="E135" s="60" t="str">
        <f>[1]!'4571.TW-Price'</f>
        <v>--</v>
      </c>
    </row>
    <row r="136" spans="1:5">
      <c r="A136" s="118">
        <v>4572</v>
      </c>
      <c r="B136" s="60" t="s">
        <v>3811</v>
      </c>
      <c r="C136" s="121" t="s">
        <v>5553</v>
      </c>
      <c r="D136" s="118">
        <v>4572</v>
      </c>
      <c r="E136" s="60" t="str">
        <f>[1]!'4572.TW-Price'</f>
        <v>--</v>
      </c>
    </row>
    <row r="137" spans="1:5">
      <c r="A137" s="118">
        <v>4576</v>
      </c>
      <c r="B137" s="60" t="s">
        <v>3812</v>
      </c>
      <c r="C137" s="121" t="s">
        <v>5553</v>
      </c>
      <c r="D137" s="118">
        <v>4576</v>
      </c>
      <c r="E137" s="60" t="str">
        <f>[1]!'4576.TW-Price'</f>
        <v>--</v>
      </c>
    </row>
    <row r="138" spans="1:5">
      <c r="A138" s="118">
        <v>5288</v>
      </c>
      <c r="B138" s="60" t="s">
        <v>3813</v>
      </c>
      <c r="C138" s="121" t="s">
        <v>5554</v>
      </c>
      <c r="D138" s="118">
        <v>5288</v>
      </c>
      <c r="E138" s="60" t="str">
        <f>[1]!'5288.TW-Price'</f>
        <v>--</v>
      </c>
    </row>
    <row r="139" spans="1:5">
      <c r="A139" s="118">
        <v>8222</v>
      </c>
      <c r="B139" s="60" t="s">
        <v>3814</v>
      </c>
      <c r="C139" s="121" t="s">
        <v>5553</v>
      </c>
      <c r="D139" s="118">
        <v>8222</v>
      </c>
      <c r="E139" s="60" t="str">
        <f>[1]!'8222.TW-Price'</f>
        <v>--</v>
      </c>
    </row>
    <row r="140" spans="1:5">
      <c r="A140" s="118">
        <v>8374</v>
      </c>
      <c r="B140" s="60" t="s">
        <v>3815</v>
      </c>
      <c r="C140" s="121" t="s">
        <v>5553</v>
      </c>
      <c r="D140" s="118">
        <v>8374</v>
      </c>
      <c r="E140" s="60" t="str">
        <f>[1]!'8374.TW-Price'</f>
        <v>--</v>
      </c>
    </row>
    <row r="141" spans="1:5">
      <c r="A141" s="118">
        <v>8996</v>
      </c>
      <c r="B141" s="60" t="s">
        <v>3816</v>
      </c>
      <c r="C141" s="121" t="s">
        <v>5553</v>
      </c>
      <c r="D141" s="118">
        <v>8996</v>
      </c>
      <c r="E141" s="60" t="str">
        <f>[1]!'8996.TW-Price'</f>
        <v>--</v>
      </c>
    </row>
    <row r="142" spans="1:5">
      <c r="A142" s="118">
        <v>1603</v>
      </c>
      <c r="B142" s="60" t="s">
        <v>3817</v>
      </c>
      <c r="C142" s="121" t="s">
        <v>5555</v>
      </c>
      <c r="D142" s="118">
        <v>1603</v>
      </c>
      <c r="E142" s="60" t="str">
        <f>[1]!'1603.TW-Price'</f>
        <v>--</v>
      </c>
    </row>
    <row r="143" spans="1:5">
      <c r="A143" s="118">
        <v>1604</v>
      </c>
      <c r="B143" s="60" t="s">
        <v>3818</v>
      </c>
      <c r="C143" s="121" t="s">
        <v>5555</v>
      </c>
      <c r="D143" s="118">
        <v>1604</v>
      </c>
      <c r="E143" s="60" t="str">
        <f>[1]!'1604.TW-Price'</f>
        <v>--</v>
      </c>
    </row>
    <row r="144" spans="1:5">
      <c r="A144" s="118">
        <v>1605</v>
      </c>
      <c r="B144" s="60" t="s">
        <v>3819</v>
      </c>
      <c r="C144" s="121" t="s">
        <v>5555</v>
      </c>
      <c r="D144" s="118">
        <v>1605</v>
      </c>
      <c r="E144" s="60">
        <f>[1]!'1605.TW-Price'</f>
        <v>27.95</v>
      </c>
    </row>
    <row r="145" spans="1:5">
      <c r="A145" s="118">
        <v>1608</v>
      </c>
      <c r="B145" s="60" t="s">
        <v>3537</v>
      </c>
      <c r="C145" s="121" t="s">
        <v>5555</v>
      </c>
      <c r="D145" s="118">
        <v>1608</v>
      </c>
      <c r="E145" s="60" t="str">
        <f>[1]!'1608.TW-Price'</f>
        <v>--</v>
      </c>
    </row>
    <row r="146" spans="1:5">
      <c r="A146" s="118">
        <v>1609</v>
      </c>
      <c r="B146" s="60" t="s">
        <v>3820</v>
      </c>
      <c r="C146" s="121" t="s">
        <v>5555</v>
      </c>
      <c r="D146" s="118">
        <v>1609</v>
      </c>
      <c r="E146" s="60" t="str">
        <f>[1]!'1609.TW-Price'</f>
        <v>--</v>
      </c>
    </row>
    <row r="147" spans="1:5">
      <c r="A147" s="118">
        <v>1611</v>
      </c>
      <c r="B147" s="60" t="s">
        <v>3821</v>
      </c>
      <c r="C147" s="121" t="s">
        <v>5555</v>
      </c>
      <c r="D147" s="118">
        <v>1611</v>
      </c>
      <c r="E147" s="60" t="str">
        <f>[1]!'1611.TW-Price'</f>
        <v>--</v>
      </c>
    </row>
    <row r="148" spans="1:5">
      <c r="A148" s="118">
        <v>1612</v>
      </c>
      <c r="B148" s="60" t="s">
        <v>3822</v>
      </c>
      <c r="C148" s="121" t="s">
        <v>5555</v>
      </c>
      <c r="D148" s="118">
        <v>1612</v>
      </c>
      <c r="E148" s="60" t="str">
        <f>[1]!'1612.TW-Price'</f>
        <v>--</v>
      </c>
    </row>
    <row r="149" spans="1:5">
      <c r="A149" s="118">
        <v>1614</v>
      </c>
      <c r="B149" s="60" t="s">
        <v>3823</v>
      </c>
      <c r="C149" s="121" t="s">
        <v>5555</v>
      </c>
      <c r="D149" s="118">
        <v>1614</v>
      </c>
      <c r="E149" s="60" t="str">
        <f>[1]!'1614.TW-Price'</f>
        <v>--</v>
      </c>
    </row>
    <row r="150" spans="1:5">
      <c r="A150" s="118">
        <v>1615</v>
      </c>
      <c r="B150" s="60" t="s">
        <v>3824</v>
      </c>
      <c r="C150" s="121" t="s">
        <v>5555</v>
      </c>
      <c r="D150" s="118">
        <v>1615</v>
      </c>
      <c r="E150" s="60" t="str">
        <f>[1]!'1615.TW-Price'</f>
        <v>--</v>
      </c>
    </row>
    <row r="151" spans="1:5">
      <c r="A151" s="118">
        <v>1616</v>
      </c>
      <c r="B151" s="60" t="s">
        <v>3558</v>
      </c>
      <c r="C151" s="121" t="s">
        <v>5555</v>
      </c>
      <c r="D151" s="118">
        <v>1616</v>
      </c>
      <c r="E151" s="60" t="str">
        <f>[1]!'1616.TW-Price'</f>
        <v>--</v>
      </c>
    </row>
    <row r="152" spans="1:5">
      <c r="A152" s="118">
        <v>1617</v>
      </c>
      <c r="B152" s="60" t="s">
        <v>3825</v>
      </c>
      <c r="C152" s="121" t="s">
        <v>5555</v>
      </c>
      <c r="D152" s="118">
        <v>1617</v>
      </c>
      <c r="E152" s="60" t="str">
        <f>[1]!'1617.TW-Price'</f>
        <v>--</v>
      </c>
    </row>
    <row r="153" spans="1:5">
      <c r="A153" s="118">
        <v>1618</v>
      </c>
      <c r="B153" s="60" t="s">
        <v>3826</v>
      </c>
      <c r="C153" s="121" t="s">
        <v>5555</v>
      </c>
      <c r="D153" s="118">
        <v>1618</v>
      </c>
      <c r="E153" s="60" t="str">
        <f>[1]!'1618.TW-Price'</f>
        <v>--</v>
      </c>
    </row>
    <row r="154" spans="1:5">
      <c r="A154" s="118">
        <v>1626</v>
      </c>
      <c r="B154" s="60" t="s">
        <v>3827</v>
      </c>
      <c r="C154" s="121" t="s">
        <v>5556</v>
      </c>
      <c r="D154" s="118">
        <v>1626</v>
      </c>
      <c r="E154" s="60" t="str">
        <f>[1]!'1626.TW-Price'</f>
        <v>--</v>
      </c>
    </row>
    <row r="155" spans="1:5">
      <c r="A155" s="118">
        <v>4930</v>
      </c>
      <c r="B155" s="60" t="s">
        <v>3828</v>
      </c>
      <c r="C155" s="121" t="s">
        <v>5555</v>
      </c>
      <c r="D155" s="118">
        <v>4930</v>
      </c>
      <c r="E155" s="60" t="str">
        <f>[1]!'4930.TW-Price'</f>
        <v>--</v>
      </c>
    </row>
    <row r="156" spans="1:5">
      <c r="A156" s="118">
        <v>5283</v>
      </c>
      <c r="B156" s="60" t="s">
        <v>3829</v>
      </c>
      <c r="C156" s="121" t="s">
        <v>5555</v>
      </c>
      <c r="D156" s="118">
        <v>5283</v>
      </c>
      <c r="E156" s="60" t="str">
        <f>[1]!'5283.TW-Price'</f>
        <v>--</v>
      </c>
    </row>
    <row r="157" spans="1:5">
      <c r="A157" s="118">
        <v>1708</v>
      </c>
      <c r="B157" s="60" t="s">
        <v>3830</v>
      </c>
      <c r="C157" s="121" t="s">
        <v>5557</v>
      </c>
      <c r="D157" s="118">
        <v>1708</v>
      </c>
      <c r="E157" s="60" t="str">
        <f>[1]!'1708.TW-Price'</f>
        <v>--</v>
      </c>
    </row>
    <row r="158" spans="1:5">
      <c r="A158" s="118">
        <v>1709</v>
      </c>
      <c r="B158" s="60" t="s">
        <v>3831</v>
      </c>
      <c r="C158" s="121" t="s">
        <v>5557</v>
      </c>
      <c r="D158" s="118">
        <v>1709</v>
      </c>
      <c r="E158" s="60" t="str">
        <f>[1]!'1709.TW-Price'</f>
        <v>--</v>
      </c>
    </row>
    <row r="159" spans="1:5">
      <c r="A159" s="118">
        <v>1710</v>
      </c>
      <c r="B159" s="60" t="s">
        <v>3832</v>
      </c>
      <c r="C159" s="121" t="s">
        <v>5557</v>
      </c>
      <c r="D159" s="118">
        <v>1710</v>
      </c>
      <c r="E159" s="60" t="str">
        <f>[1]!'1710.TW-Price'</f>
        <v>--</v>
      </c>
    </row>
    <row r="160" spans="1:5">
      <c r="A160" s="118">
        <v>1711</v>
      </c>
      <c r="B160" s="60" t="s">
        <v>3833</v>
      </c>
      <c r="C160" s="121" t="s">
        <v>5557</v>
      </c>
      <c r="D160" s="118">
        <v>1711</v>
      </c>
      <c r="E160" s="60">
        <f>[1]!'1711.TW-Price'</f>
        <v>28.35</v>
      </c>
    </row>
    <row r="161" spans="1:5">
      <c r="A161" s="118">
        <v>1712</v>
      </c>
      <c r="B161" s="60" t="s">
        <v>3834</v>
      </c>
      <c r="C161" s="121" t="s">
        <v>5557</v>
      </c>
      <c r="D161" s="118">
        <v>1712</v>
      </c>
      <c r="E161" s="60" t="str">
        <f>[1]!'1712.TW-Price'</f>
        <v>--</v>
      </c>
    </row>
    <row r="162" spans="1:5">
      <c r="A162" s="118">
        <v>1713</v>
      </c>
      <c r="B162" s="60" t="s">
        <v>3835</v>
      </c>
      <c r="C162" s="121" t="s">
        <v>5557</v>
      </c>
      <c r="D162" s="118">
        <v>1713</v>
      </c>
      <c r="E162" s="60" t="str">
        <f>[1]!'1713.TW-Price'</f>
        <v>--</v>
      </c>
    </row>
    <row r="163" spans="1:5">
      <c r="A163" s="118">
        <v>1714</v>
      </c>
      <c r="B163" s="60" t="s">
        <v>3836</v>
      </c>
      <c r="C163" s="121" t="s">
        <v>5557</v>
      </c>
      <c r="D163" s="118">
        <v>1714</v>
      </c>
      <c r="E163" s="60">
        <f>[1]!'1714.TW-Price'</f>
        <v>11.7</v>
      </c>
    </row>
    <row r="164" spans="1:5">
      <c r="A164" s="118">
        <v>1717</v>
      </c>
      <c r="B164" s="60" t="s">
        <v>3837</v>
      </c>
      <c r="C164" s="121" t="s">
        <v>5557</v>
      </c>
      <c r="D164" s="118">
        <v>1717</v>
      </c>
      <c r="E164" s="60" t="str">
        <f>[1]!'1717.TW-Price'</f>
        <v>--</v>
      </c>
    </row>
    <row r="165" spans="1:5">
      <c r="A165" s="118">
        <v>1718</v>
      </c>
      <c r="B165" s="60" t="s">
        <v>3838</v>
      </c>
      <c r="C165" s="121" t="s">
        <v>5557</v>
      </c>
      <c r="D165" s="118">
        <v>1718</v>
      </c>
      <c r="E165" s="60" t="str">
        <f>[1]!'1718.TW-Price'</f>
        <v>--</v>
      </c>
    </row>
    <row r="166" spans="1:5">
      <c r="A166" s="118">
        <v>1721</v>
      </c>
      <c r="B166" s="60" t="s">
        <v>3839</v>
      </c>
      <c r="C166" s="121" t="s">
        <v>5557</v>
      </c>
      <c r="D166" s="118">
        <v>1721</v>
      </c>
      <c r="E166" s="60" t="str">
        <f>[1]!'1721.TW-Price'</f>
        <v>--</v>
      </c>
    </row>
    <row r="167" spans="1:5">
      <c r="A167" s="118">
        <v>1722</v>
      </c>
      <c r="B167" s="60" t="s">
        <v>3840</v>
      </c>
      <c r="C167" s="121" t="s">
        <v>5557</v>
      </c>
      <c r="D167" s="118">
        <v>1722</v>
      </c>
      <c r="E167" s="60" t="str">
        <f>[1]!'1722.TW-Price'</f>
        <v>--</v>
      </c>
    </row>
    <row r="168" spans="1:5">
      <c r="A168" s="118">
        <v>1723</v>
      </c>
      <c r="B168" s="60" t="s">
        <v>3841</v>
      </c>
      <c r="C168" s="121" t="s">
        <v>5557</v>
      </c>
      <c r="D168" s="118">
        <v>1723</v>
      </c>
      <c r="E168" s="60" t="str">
        <f>[1]!'1723.TW-Price'</f>
        <v>--</v>
      </c>
    </row>
    <row r="169" spans="1:5">
      <c r="A169" s="118">
        <v>1725</v>
      </c>
      <c r="B169" s="60" t="s">
        <v>3516</v>
      </c>
      <c r="C169" s="121" t="s">
        <v>5557</v>
      </c>
      <c r="D169" s="118">
        <v>1725</v>
      </c>
      <c r="E169" s="60">
        <f>[1]!'1725.TW-Price'</f>
        <v>42.6</v>
      </c>
    </row>
    <row r="170" spans="1:5">
      <c r="A170" s="118">
        <v>1726</v>
      </c>
      <c r="B170" s="60" t="s">
        <v>3842</v>
      </c>
      <c r="C170" s="121" t="s">
        <v>5557</v>
      </c>
      <c r="D170" s="118">
        <v>1726</v>
      </c>
      <c r="E170" s="60" t="str">
        <f>[1]!'1726.TW-Price'</f>
        <v>--</v>
      </c>
    </row>
    <row r="171" spans="1:5">
      <c r="A171" s="118">
        <v>1727</v>
      </c>
      <c r="B171" s="60" t="s">
        <v>3843</v>
      </c>
      <c r="C171" s="121" t="s">
        <v>5557</v>
      </c>
      <c r="D171" s="118">
        <v>1727</v>
      </c>
      <c r="E171" s="60">
        <f>[1]!'1727.TW-Price'</f>
        <v>59.1</v>
      </c>
    </row>
    <row r="172" spans="1:5">
      <c r="A172" s="118">
        <v>1730</v>
      </c>
      <c r="B172" s="60" t="s">
        <v>3844</v>
      </c>
      <c r="C172" s="121" t="s">
        <v>5557</v>
      </c>
      <c r="D172" s="118">
        <v>1730</v>
      </c>
      <c r="E172" s="60" t="str">
        <f>[1]!'1730.TW-Price'</f>
        <v>--</v>
      </c>
    </row>
    <row r="173" spans="1:5">
      <c r="A173" s="118">
        <v>1732</v>
      </c>
      <c r="B173" s="60" t="s">
        <v>3542</v>
      </c>
      <c r="C173" s="121" t="s">
        <v>5557</v>
      </c>
      <c r="D173" s="118">
        <v>1732</v>
      </c>
      <c r="E173" s="60" t="str">
        <f>[1]!'1732.TW-Price'</f>
        <v>--</v>
      </c>
    </row>
    <row r="174" spans="1:5">
      <c r="A174" s="118">
        <v>1735</v>
      </c>
      <c r="B174" s="60" t="s">
        <v>3845</v>
      </c>
      <c r="C174" s="121" t="s">
        <v>5557</v>
      </c>
      <c r="D174" s="118">
        <v>1735</v>
      </c>
      <c r="E174" s="60" t="str">
        <f>[1]!'1735.TW-Price'</f>
        <v>--</v>
      </c>
    </row>
    <row r="175" spans="1:5">
      <c r="A175" s="118">
        <v>1773</v>
      </c>
      <c r="B175" s="60" t="s">
        <v>3846</v>
      </c>
      <c r="C175" s="121" t="s">
        <v>5557</v>
      </c>
      <c r="D175" s="118">
        <v>1773</v>
      </c>
      <c r="E175" s="60" t="str">
        <f>[1]!'1773.TW-Price'</f>
        <v>--</v>
      </c>
    </row>
    <row r="176" spans="1:5">
      <c r="A176" s="118">
        <v>1776</v>
      </c>
      <c r="B176" s="60" t="s">
        <v>3847</v>
      </c>
      <c r="C176" s="121" t="s">
        <v>5557</v>
      </c>
      <c r="D176" s="118">
        <v>1776</v>
      </c>
      <c r="E176" s="60" t="str">
        <f>[1]!'1776.TW-Price'</f>
        <v>--</v>
      </c>
    </row>
    <row r="177" spans="1:5">
      <c r="A177" s="118">
        <v>3708</v>
      </c>
      <c r="B177" s="60" t="s">
        <v>3848</v>
      </c>
      <c r="C177" s="121" t="s">
        <v>5557</v>
      </c>
      <c r="D177" s="118">
        <v>3708</v>
      </c>
      <c r="E177" s="60" t="str">
        <f>[1]!'3708.TW-Price'</f>
        <v>--</v>
      </c>
    </row>
    <row r="178" spans="1:5">
      <c r="A178" s="118">
        <v>4720</v>
      </c>
      <c r="B178" s="60" t="s">
        <v>3849</v>
      </c>
      <c r="C178" s="121" t="s">
        <v>5557</v>
      </c>
      <c r="D178" s="118">
        <v>4720</v>
      </c>
      <c r="E178" s="60" t="str">
        <f>[1]!'4720.TW-Price'</f>
        <v>--</v>
      </c>
    </row>
    <row r="179" spans="1:5">
      <c r="A179" s="118">
        <v>4722</v>
      </c>
      <c r="B179" s="60" t="s">
        <v>3850</v>
      </c>
      <c r="C179" s="121" t="s">
        <v>5557</v>
      </c>
      <c r="D179" s="118">
        <v>4722</v>
      </c>
      <c r="E179" s="60" t="str">
        <f>[1]!'4722.TW-Price'</f>
        <v>--</v>
      </c>
    </row>
    <row r="180" spans="1:5">
      <c r="A180" s="118">
        <v>4739</v>
      </c>
      <c r="B180" s="60" t="s">
        <v>3851</v>
      </c>
      <c r="C180" s="121" t="s">
        <v>5557</v>
      </c>
      <c r="D180" s="118">
        <v>4739</v>
      </c>
      <c r="E180" s="60">
        <f>[1]!'4739.TW-Price'</f>
        <v>149</v>
      </c>
    </row>
    <row r="181" spans="1:5">
      <c r="A181" s="118">
        <v>4755</v>
      </c>
      <c r="B181" s="60" t="s">
        <v>3852</v>
      </c>
      <c r="C181" s="121" t="s">
        <v>5557</v>
      </c>
      <c r="D181" s="118">
        <v>4755</v>
      </c>
      <c r="E181" s="60" t="str">
        <f>[1]!'4755.TW-Price'</f>
        <v>--</v>
      </c>
    </row>
    <row r="182" spans="1:5">
      <c r="A182" s="118">
        <v>4763</v>
      </c>
      <c r="B182" s="60" t="s">
        <v>3853</v>
      </c>
      <c r="C182" s="121" t="s">
        <v>5558</v>
      </c>
      <c r="D182" s="118">
        <v>4763</v>
      </c>
      <c r="E182" s="60" t="str">
        <f>[1]!'4763.TW-Price'</f>
        <v>--</v>
      </c>
    </row>
    <row r="183" spans="1:5">
      <c r="A183" s="118">
        <v>4764</v>
      </c>
      <c r="B183" s="60" t="s">
        <v>3854</v>
      </c>
      <c r="C183" s="121" t="s">
        <v>5557</v>
      </c>
      <c r="D183" s="118">
        <v>4764</v>
      </c>
      <c r="E183" s="60" t="str">
        <f>[1]!'4764.TW-Price'</f>
        <v>--</v>
      </c>
    </row>
    <row r="184" spans="1:5">
      <c r="A184" s="118">
        <v>4766</v>
      </c>
      <c r="B184" s="60" t="s">
        <v>3855</v>
      </c>
      <c r="C184" s="121" t="s">
        <v>5557</v>
      </c>
      <c r="D184" s="118">
        <v>4766</v>
      </c>
      <c r="E184" s="60" t="str">
        <f>[1]!'4766.TW-Price'</f>
        <v>--</v>
      </c>
    </row>
    <row r="185" spans="1:5">
      <c r="A185" s="118">
        <v>1598</v>
      </c>
      <c r="B185" s="60" t="s">
        <v>33</v>
      </c>
      <c r="C185" s="121" t="s">
        <v>5559</v>
      </c>
      <c r="D185" s="118">
        <v>1598</v>
      </c>
      <c r="E185" s="60" t="str">
        <f>[1]!'1598.TW-Price'</f>
        <v>--</v>
      </c>
    </row>
    <row r="186" spans="1:5">
      <c r="A186" s="118">
        <v>1701</v>
      </c>
      <c r="B186" s="60" t="s">
        <v>3856</v>
      </c>
      <c r="C186" s="121" t="s">
        <v>5559</v>
      </c>
      <c r="D186" s="118">
        <v>1701</v>
      </c>
      <c r="E186" s="60" t="str">
        <f>[1]!'1701.TW-Price'</f>
        <v>--</v>
      </c>
    </row>
    <row r="187" spans="1:5">
      <c r="A187" s="118">
        <v>1707</v>
      </c>
      <c r="B187" s="60" t="s">
        <v>3857</v>
      </c>
      <c r="C187" s="121" t="s">
        <v>5559</v>
      </c>
      <c r="D187" s="118">
        <v>1707</v>
      </c>
      <c r="E187" s="60" t="str">
        <f>[1]!'1707.TW-Price'</f>
        <v>--</v>
      </c>
    </row>
    <row r="188" spans="1:5">
      <c r="A188" s="118">
        <v>1720</v>
      </c>
      <c r="B188" s="60" t="s">
        <v>3858</v>
      </c>
      <c r="C188" s="121" t="s">
        <v>5559</v>
      </c>
      <c r="D188" s="118">
        <v>1720</v>
      </c>
      <c r="E188" s="60" t="str">
        <f>[1]!'1720.TW-Price'</f>
        <v>--</v>
      </c>
    </row>
    <row r="189" spans="1:5">
      <c r="A189" s="118">
        <v>1731</v>
      </c>
      <c r="B189" s="60" t="s">
        <v>3553</v>
      </c>
      <c r="C189" s="121" t="s">
        <v>5559</v>
      </c>
      <c r="D189" s="118">
        <v>1731</v>
      </c>
      <c r="E189" s="60" t="str">
        <f>[1]!'1731.TW-Price'</f>
        <v>--</v>
      </c>
    </row>
    <row r="190" spans="1:5">
      <c r="A190" s="118">
        <v>1733</v>
      </c>
      <c r="B190" s="60" t="s">
        <v>3859</v>
      </c>
      <c r="C190" s="121" t="s">
        <v>5559</v>
      </c>
      <c r="D190" s="118">
        <v>1733</v>
      </c>
      <c r="E190" s="60" t="str">
        <f>[1]!'1733.TW-Price'</f>
        <v>--</v>
      </c>
    </row>
    <row r="191" spans="1:5">
      <c r="A191" s="118">
        <v>1734</v>
      </c>
      <c r="B191" s="60" t="s">
        <v>3552</v>
      </c>
      <c r="C191" s="121" t="s">
        <v>5559</v>
      </c>
      <c r="D191" s="118">
        <v>1734</v>
      </c>
      <c r="E191" s="60">
        <f>[1]!'1734.TW-Price'</f>
        <v>28.75</v>
      </c>
    </row>
    <row r="192" spans="1:5">
      <c r="A192" s="118">
        <v>1736</v>
      </c>
      <c r="B192" s="60" t="s">
        <v>3860</v>
      </c>
      <c r="C192" s="121" t="s">
        <v>5559</v>
      </c>
      <c r="D192" s="118">
        <v>1736</v>
      </c>
      <c r="E192" s="60" t="str">
        <f>[1]!'1736.TW-Price'</f>
        <v>--</v>
      </c>
    </row>
    <row r="193" spans="1:5">
      <c r="A193" s="118">
        <v>1760</v>
      </c>
      <c r="B193" s="60" t="s">
        <v>3551</v>
      </c>
      <c r="C193" s="121" t="s">
        <v>5559</v>
      </c>
      <c r="D193" s="118">
        <v>1760</v>
      </c>
      <c r="E193" s="60" t="str">
        <f>[1]!'1760.TW-Price'</f>
        <v>--</v>
      </c>
    </row>
    <row r="194" spans="1:5">
      <c r="A194" s="118">
        <v>1762</v>
      </c>
      <c r="B194" s="60" t="s">
        <v>3861</v>
      </c>
      <c r="C194" s="121" t="s">
        <v>5559</v>
      </c>
      <c r="D194" s="118">
        <v>1762</v>
      </c>
      <c r="E194" s="60" t="str">
        <f>[1]!'1762.TW-Price'</f>
        <v>--</v>
      </c>
    </row>
    <row r="195" spans="1:5">
      <c r="A195" s="118">
        <v>1783</v>
      </c>
      <c r="B195" s="60" t="s">
        <v>3623</v>
      </c>
      <c r="C195" s="121" t="s">
        <v>5559</v>
      </c>
      <c r="D195" s="118">
        <v>1783</v>
      </c>
      <c r="E195" s="60" t="str">
        <f>[1]!'1783.TW-Price'</f>
        <v>--</v>
      </c>
    </row>
    <row r="196" spans="1:5">
      <c r="A196" s="118">
        <v>1786</v>
      </c>
      <c r="B196" s="60" t="s">
        <v>3862</v>
      </c>
      <c r="C196" s="121" t="s">
        <v>5559</v>
      </c>
      <c r="D196" s="118">
        <v>1786</v>
      </c>
      <c r="E196" s="60" t="str">
        <f>[1]!'1786.TW-Price'</f>
        <v>--</v>
      </c>
    </row>
    <row r="197" spans="1:5">
      <c r="A197" s="118">
        <v>1789</v>
      </c>
      <c r="B197" s="60" t="s">
        <v>3863</v>
      </c>
      <c r="C197" s="121" t="s">
        <v>5559</v>
      </c>
      <c r="D197" s="118">
        <v>1789</v>
      </c>
      <c r="E197" s="60" t="str">
        <f>[1]!'1789.TW-Price'</f>
        <v>--</v>
      </c>
    </row>
    <row r="198" spans="1:5">
      <c r="A198" s="118">
        <v>1795</v>
      </c>
      <c r="B198" s="60" t="s">
        <v>3637</v>
      </c>
      <c r="C198" s="121" t="s">
        <v>5559</v>
      </c>
      <c r="D198" s="118">
        <v>1795</v>
      </c>
      <c r="E198" s="60">
        <f>[1]!'1795.TW-Price'</f>
        <v>108.5</v>
      </c>
    </row>
    <row r="199" spans="1:5">
      <c r="A199" s="118">
        <v>3164</v>
      </c>
      <c r="B199" s="60" t="s">
        <v>3593</v>
      </c>
      <c r="C199" s="121" t="s">
        <v>5559</v>
      </c>
      <c r="D199" s="118">
        <v>3164</v>
      </c>
      <c r="E199" s="60" t="str">
        <f>[1]!'3164.TW-Price'</f>
        <v>--</v>
      </c>
    </row>
    <row r="200" spans="1:5">
      <c r="A200" s="118">
        <v>3705</v>
      </c>
      <c r="B200" s="60" t="s">
        <v>3864</v>
      </c>
      <c r="C200" s="121" t="s">
        <v>5559</v>
      </c>
      <c r="D200" s="118">
        <v>3705</v>
      </c>
      <c r="E200" s="60" t="str">
        <f>[1]!'3705.TW-Price'</f>
        <v>--</v>
      </c>
    </row>
    <row r="201" spans="1:5">
      <c r="A201" s="118">
        <v>4104</v>
      </c>
      <c r="B201" s="60" t="s">
        <v>3865</v>
      </c>
      <c r="C201" s="121" t="s">
        <v>5559</v>
      </c>
      <c r="D201" s="118">
        <v>4104</v>
      </c>
      <c r="E201" s="60" t="str">
        <f>[1]!'4104.TW-Price'</f>
        <v>--</v>
      </c>
    </row>
    <row r="202" spans="1:5">
      <c r="A202" s="118">
        <v>4106</v>
      </c>
      <c r="B202" s="60" t="s">
        <v>3514</v>
      </c>
      <c r="C202" s="121" t="s">
        <v>5559</v>
      </c>
      <c r="D202" s="118">
        <v>4106</v>
      </c>
      <c r="E202" s="60" t="str">
        <f>[1]!'4106.TW-Price'</f>
        <v>--</v>
      </c>
    </row>
    <row r="203" spans="1:5">
      <c r="A203" s="118">
        <v>4108</v>
      </c>
      <c r="B203" s="60" t="s">
        <v>38</v>
      </c>
      <c r="C203" s="121" t="s">
        <v>5559</v>
      </c>
      <c r="D203" s="118">
        <v>4108</v>
      </c>
      <c r="E203" s="60" t="str">
        <f>[1]!'4108.TW-Price'</f>
        <v>--</v>
      </c>
    </row>
    <row r="204" spans="1:5">
      <c r="A204" s="118">
        <v>4119</v>
      </c>
      <c r="B204" s="60" t="s">
        <v>3866</v>
      </c>
      <c r="C204" s="121" t="s">
        <v>5559</v>
      </c>
      <c r="D204" s="118">
        <v>4119</v>
      </c>
      <c r="E204" s="60" t="str">
        <f>[1]!'4119.TW-Price'</f>
        <v>--</v>
      </c>
    </row>
    <row r="205" spans="1:5">
      <c r="A205" s="118">
        <v>4133</v>
      </c>
      <c r="B205" s="60" t="s">
        <v>3867</v>
      </c>
      <c r="C205" s="121" t="s">
        <v>5559</v>
      </c>
      <c r="D205" s="118">
        <v>4133</v>
      </c>
      <c r="E205" s="60" t="str">
        <f>[1]!'4133.TW-Price'</f>
        <v>--</v>
      </c>
    </row>
    <row r="206" spans="1:5">
      <c r="A206" s="118">
        <v>4137</v>
      </c>
      <c r="B206" s="60" t="s">
        <v>3868</v>
      </c>
      <c r="C206" s="121" t="s">
        <v>5560</v>
      </c>
      <c r="D206" s="118">
        <v>4137</v>
      </c>
      <c r="E206" s="60" t="str">
        <f>[1]!'4137.TW-Price'</f>
        <v>--</v>
      </c>
    </row>
    <row r="207" spans="1:5">
      <c r="A207" s="118">
        <v>4141</v>
      </c>
      <c r="B207" s="60" t="s">
        <v>3869</v>
      </c>
      <c r="C207" s="121" t="s">
        <v>5560</v>
      </c>
      <c r="D207" s="118">
        <v>4141</v>
      </c>
      <c r="E207" s="60" t="str">
        <f>[1]!'4141.TW-Price'</f>
        <v>--</v>
      </c>
    </row>
    <row r="208" spans="1:5">
      <c r="A208" s="118">
        <v>4142</v>
      </c>
      <c r="B208" s="60" t="s">
        <v>3546</v>
      </c>
      <c r="C208" s="121" t="s">
        <v>5559</v>
      </c>
      <c r="D208" s="118">
        <v>4142</v>
      </c>
      <c r="E208" s="60" t="str">
        <f>[1]!'4142.TW-Price'</f>
        <v>--</v>
      </c>
    </row>
    <row r="209" spans="1:5">
      <c r="A209" s="118">
        <v>4148</v>
      </c>
      <c r="B209" s="60" t="s">
        <v>3870</v>
      </c>
      <c r="C209" s="121" t="s">
        <v>5560</v>
      </c>
      <c r="D209" s="118">
        <v>4148</v>
      </c>
      <c r="E209" s="60" t="str">
        <f>[1]!'4148.TW-Price'</f>
        <v>--</v>
      </c>
    </row>
    <row r="210" spans="1:5">
      <c r="A210" s="118">
        <v>4155</v>
      </c>
      <c r="B210" s="60" t="s">
        <v>3871</v>
      </c>
      <c r="C210" s="121" t="s">
        <v>5559</v>
      </c>
      <c r="D210" s="118">
        <v>4155</v>
      </c>
      <c r="E210" s="60" t="str">
        <f>[1]!'4155.TW-Price'</f>
        <v>--</v>
      </c>
    </row>
    <row r="211" spans="1:5">
      <c r="A211" s="118">
        <v>4164</v>
      </c>
      <c r="B211" s="60" t="s">
        <v>3872</v>
      </c>
      <c r="C211" s="121" t="s">
        <v>5559</v>
      </c>
      <c r="D211" s="118">
        <v>4164</v>
      </c>
      <c r="E211" s="60" t="str">
        <f>[1]!'4164.TW-Price'</f>
        <v>--</v>
      </c>
    </row>
    <row r="212" spans="1:5">
      <c r="A212" s="118">
        <v>4190</v>
      </c>
      <c r="B212" s="60" t="s">
        <v>3873</v>
      </c>
      <c r="C212" s="121" t="s">
        <v>5560</v>
      </c>
      <c r="D212" s="118">
        <v>4190</v>
      </c>
      <c r="E212" s="60" t="str">
        <f>[1]!'4190.TW-Price'</f>
        <v>--</v>
      </c>
    </row>
    <row r="213" spans="1:5">
      <c r="A213" s="118">
        <v>4737</v>
      </c>
      <c r="B213" s="60" t="s">
        <v>3874</v>
      </c>
      <c r="C213" s="121" t="s">
        <v>5559</v>
      </c>
      <c r="D213" s="118">
        <v>4737</v>
      </c>
      <c r="E213" s="60" t="str">
        <f>[1]!'4737.TW-Price'</f>
        <v>--</v>
      </c>
    </row>
    <row r="214" spans="1:5">
      <c r="A214" s="118">
        <v>4746</v>
      </c>
      <c r="B214" s="60" t="s">
        <v>52</v>
      </c>
      <c r="C214" s="121" t="s">
        <v>5559</v>
      </c>
      <c r="D214" s="118">
        <v>4746</v>
      </c>
      <c r="E214" s="60" t="str">
        <f>[1]!'4746.TW-Price'</f>
        <v>--</v>
      </c>
    </row>
    <row r="215" spans="1:5">
      <c r="A215" s="118">
        <v>6491</v>
      </c>
      <c r="B215" s="60" t="s">
        <v>3875</v>
      </c>
      <c r="C215" s="121" t="s">
        <v>5559</v>
      </c>
      <c r="D215" s="118">
        <v>6491</v>
      </c>
      <c r="E215" s="60" t="str">
        <f>[1]!'6491.TW-Price'</f>
        <v>--</v>
      </c>
    </row>
    <row r="216" spans="1:5">
      <c r="A216" s="118">
        <v>6541</v>
      </c>
      <c r="B216" s="60" t="s">
        <v>3640</v>
      </c>
      <c r="C216" s="121" t="s">
        <v>5560</v>
      </c>
      <c r="D216" s="118">
        <v>6541</v>
      </c>
      <c r="E216" s="60" t="str">
        <f>[1]!'6541.TW-Price'</f>
        <v>--</v>
      </c>
    </row>
    <row r="217" spans="1:5">
      <c r="A217" s="118">
        <v>6598</v>
      </c>
      <c r="B217" s="60" t="s">
        <v>51</v>
      </c>
      <c r="C217" s="121" t="s">
        <v>5560</v>
      </c>
      <c r="D217" s="118">
        <v>6598</v>
      </c>
      <c r="E217" s="60" t="str">
        <f>[1]!'6598.TW-Price'</f>
        <v>--</v>
      </c>
    </row>
    <row r="218" spans="1:5">
      <c r="A218" s="118">
        <v>6666</v>
      </c>
      <c r="B218" s="60" t="s">
        <v>3876</v>
      </c>
      <c r="C218" s="121" t="s">
        <v>5560</v>
      </c>
      <c r="D218" s="118">
        <v>6666</v>
      </c>
      <c r="E218" s="60" t="str">
        <f>[1]!'6666.TW-Price'</f>
        <v>--</v>
      </c>
    </row>
    <row r="219" spans="1:5">
      <c r="A219" s="118">
        <v>1802</v>
      </c>
      <c r="B219" s="60" t="s">
        <v>3532</v>
      </c>
      <c r="C219" s="121" t="s">
        <v>5561</v>
      </c>
      <c r="D219" s="118">
        <v>1802</v>
      </c>
      <c r="E219" s="60" t="str">
        <f>[1]!'1802.TW-Price'</f>
        <v>--</v>
      </c>
    </row>
    <row r="220" spans="1:5">
      <c r="A220" s="118">
        <v>1806</v>
      </c>
      <c r="B220" s="60" t="s">
        <v>3877</v>
      </c>
      <c r="C220" s="121" t="s">
        <v>5561</v>
      </c>
      <c r="D220" s="118">
        <v>1806</v>
      </c>
      <c r="E220" s="60" t="str">
        <f>[1]!'1806.TW-Price'</f>
        <v>--</v>
      </c>
    </row>
    <row r="221" spans="1:5">
      <c r="A221" s="118">
        <v>1809</v>
      </c>
      <c r="B221" s="60" t="s">
        <v>3878</v>
      </c>
      <c r="C221" s="121" t="s">
        <v>5561</v>
      </c>
      <c r="D221" s="118">
        <v>1809</v>
      </c>
      <c r="E221" s="60" t="str">
        <f>[1]!'1809.TW-Price'</f>
        <v>--</v>
      </c>
    </row>
    <row r="222" spans="1:5">
      <c r="A222" s="118">
        <v>1810</v>
      </c>
      <c r="B222" s="60" t="s">
        <v>3879</v>
      </c>
      <c r="C222" s="121" t="s">
        <v>5561</v>
      </c>
      <c r="D222" s="118">
        <v>1810</v>
      </c>
      <c r="E222" s="60" t="str">
        <f>[1]!'1810.TW-Price'</f>
        <v>--</v>
      </c>
    </row>
    <row r="223" spans="1:5">
      <c r="A223" s="118">
        <v>1817</v>
      </c>
      <c r="B223" s="60" t="s">
        <v>3880</v>
      </c>
      <c r="C223" s="121" t="s">
        <v>5561</v>
      </c>
      <c r="D223" s="118">
        <v>1817</v>
      </c>
      <c r="E223" s="60" t="str">
        <f>[1]!'1817.TW-Price'</f>
        <v>--</v>
      </c>
    </row>
    <row r="224" spans="1:5">
      <c r="A224" s="118">
        <v>1903</v>
      </c>
      <c r="B224" s="60" t="s">
        <v>3881</v>
      </c>
      <c r="C224" s="121" t="s">
        <v>5562</v>
      </c>
      <c r="D224" s="118">
        <v>1903</v>
      </c>
      <c r="E224" s="60" t="str">
        <f>[1]!'1903.TW-Price'</f>
        <v>--</v>
      </c>
    </row>
    <row r="225" spans="1:5">
      <c r="A225" s="118">
        <v>1904</v>
      </c>
      <c r="B225" s="60" t="s">
        <v>3882</v>
      </c>
      <c r="C225" s="121" t="s">
        <v>5562</v>
      </c>
      <c r="D225" s="118">
        <v>1904</v>
      </c>
      <c r="E225" s="60" t="str">
        <f>[1]!'1904.TW-Price'</f>
        <v>--</v>
      </c>
    </row>
    <row r="226" spans="1:5">
      <c r="A226" s="118">
        <v>1905</v>
      </c>
      <c r="B226" s="60" t="s">
        <v>3539</v>
      </c>
      <c r="C226" s="121" t="s">
        <v>5562</v>
      </c>
      <c r="D226" s="118">
        <v>1905</v>
      </c>
      <c r="E226" s="60" t="str">
        <f>[1]!'1905.TW-Price'</f>
        <v>--</v>
      </c>
    </row>
    <row r="227" spans="1:5">
      <c r="A227" s="118">
        <v>1906</v>
      </c>
      <c r="B227" s="60" t="s">
        <v>3883</v>
      </c>
      <c r="C227" s="121" t="s">
        <v>5562</v>
      </c>
      <c r="D227" s="118">
        <v>1906</v>
      </c>
      <c r="E227" s="60" t="str">
        <f>[1]!'1906.TW-Price'</f>
        <v>--</v>
      </c>
    </row>
    <row r="228" spans="1:5">
      <c r="A228" s="118">
        <v>1907</v>
      </c>
      <c r="B228" s="60" t="s">
        <v>3884</v>
      </c>
      <c r="C228" s="121" t="s">
        <v>5562</v>
      </c>
      <c r="D228" s="118">
        <v>1907</v>
      </c>
      <c r="E228" s="60" t="str">
        <f>[1]!'1907.TW-Price'</f>
        <v>--</v>
      </c>
    </row>
    <row r="229" spans="1:5">
      <c r="A229" s="118">
        <v>1909</v>
      </c>
      <c r="B229" s="60" t="s">
        <v>3885</v>
      </c>
      <c r="C229" s="121" t="s">
        <v>5562</v>
      </c>
      <c r="D229" s="118">
        <v>1909</v>
      </c>
      <c r="E229" s="60" t="str">
        <f>[1]!'1909.TW-Price'</f>
        <v>--</v>
      </c>
    </row>
    <row r="230" spans="1:5">
      <c r="A230" s="118">
        <v>6790</v>
      </c>
      <c r="B230" s="60" t="s">
        <v>5456</v>
      </c>
      <c r="C230" s="121" t="s">
        <v>5562</v>
      </c>
      <c r="D230" s="118">
        <v>6790</v>
      </c>
      <c r="E230" s="60" t="str">
        <f>[1]!'6790.TW-Price'</f>
        <v>--</v>
      </c>
    </row>
    <row r="231" spans="1:5">
      <c r="A231" s="118">
        <v>2002</v>
      </c>
      <c r="B231" s="60" t="s">
        <v>3633</v>
      </c>
      <c r="C231" s="121" t="s">
        <v>5563</v>
      </c>
      <c r="D231" s="118">
        <v>2002</v>
      </c>
      <c r="E231" s="60" t="str">
        <f>[1]!'2002.TW-Price'</f>
        <v>--</v>
      </c>
    </row>
    <row r="232" spans="1:5">
      <c r="A232" s="118">
        <v>2006</v>
      </c>
      <c r="B232" s="60" t="s">
        <v>3886</v>
      </c>
      <c r="C232" s="121" t="s">
        <v>5563</v>
      </c>
      <c r="D232" s="118">
        <v>2006</v>
      </c>
      <c r="E232" s="60" t="str">
        <f>[1]!'2006.TW-Price'</f>
        <v>--</v>
      </c>
    </row>
    <row r="233" spans="1:5">
      <c r="A233" s="118">
        <v>2007</v>
      </c>
      <c r="B233" s="60" t="s">
        <v>3572</v>
      </c>
      <c r="C233" s="121" t="s">
        <v>5563</v>
      </c>
      <c r="D233" s="118">
        <v>2007</v>
      </c>
      <c r="E233" s="60">
        <f>[1]!'2007.TW-Price'</f>
        <v>21.7</v>
      </c>
    </row>
    <row r="234" spans="1:5">
      <c r="A234" s="118">
        <v>2008</v>
      </c>
      <c r="B234" s="60" t="s">
        <v>3591</v>
      </c>
      <c r="C234" s="121" t="s">
        <v>5563</v>
      </c>
      <c r="D234" s="118">
        <v>2008</v>
      </c>
      <c r="E234" s="60" t="str">
        <f>[1]!'2008.TW-Price'</f>
        <v>--</v>
      </c>
    </row>
    <row r="235" spans="1:5">
      <c r="A235" s="118">
        <v>2009</v>
      </c>
      <c r="B235" s="60" t="s">
        <v>3615</v>
      </c>
      <c r="C235" s="121" t="s">
        <v>5563</v>
      </c>
      <c r="D235" s="118">
        <v>2009</v>
      </c>
      <c r="E235" s="60" t="str">
        <f>[1]!'2009.TW-Price'</f>
        <v>--</v>
      </c>
    </row>
    <row r="236" spans="1:5">
      <c r="A236" s="118">
        <v>2010</v>
      </c>
      <c r="B236" s="60" t="s">
        <v>3887</v>
      </c>
      <c r="C236" s="121" t="s">
        <v>5563</v>
      </c>
      <c r="D236" s="118">
        <v>2010</v>
      </c>
      <c r="E236" s="60" t="str">
        <f>[1]!'2010.TW-Price'</f>
        <v>--</v>
      </c>
    </row>
    <row r="237" spans="1:5">
      <c r="A237" s="118">
        <v>2012</v>
      </c>
      <c r="B237" s="60" t="s">
        <v>3888</v>
      </c>
      <c r="C237" s="121" t="s">
        <v>5563</v>
      </c>
      <c r="D237" s="118">
        <v>2012</v>
      </c>
      <c r="E237" s="60" t="str">
        <f>[1]!'2012.TW-Price'</f>
        <v>--</v>
      </c>
    </row>
    <row r="238" spans="1:5">
      <c r="A238" s="118">
        <v>2013</v>
      </c>
      <c r="B238" s="60" t="s">
        <v>3889</v>
      </c>
      <c r="C238" s="121" t="s">
        <v>5563</v>
      </c>
      <c r="D238" s="118">
        <v>2013</v>
      </c>
      <c r="E238" s="60">
        <f>[1]!'2013.TW-Price'</f>
        <v>53.2</v>
      </c>
    </row>
    <row r="239" spans="1:5">
      <c r="A239" s="118">
        <v>2014</v>
      </c>
      <c r="B239" s="60" t="s">
        <v>3569</v>
      </c>
      <c r="C239" s="121" t="s">
        <v>5563</v>
      </c>
      <c r="D239" s="118">
        <v>2014</v>
      </c>
      <c r="E239" s="60">
        <f>[1]!'2014.TW-Price'</f>
        <v>36.200000000000003</v>
      </c>
    </row>
    <row r="240" spans="1:5">
      <c r="A240" s="118">
        <v>2015</v>
      </c>
      <c r="B240" s="60" t="s">
        <v>3890</v>
      </c>
      <c r="C240" s="121" t="s">
        <v>5563</v>
      </c>
      <c r="D240" s="118">
        <v>2015</v>
      </c>
      <c r="E240" s="60" t="str">
        <f>[1]!'2015.TW-Price'</f>
        <v>--</v>
      </c>
    </row>
    <row r="241" spans="1:5">
      <c r="A241" s="118">
        <v>2017</v>
      </c>
      <c r="B241" s="60" t="s">
        <v>3578</v>
      </c>
      <c r="C241" s="121" t="s">
        <v>5563</v>
      </c>
      <c r="D241" s="118">
        <v>2017</v>
      </c>
      <c r="E241" s="60">
        <f>[1]!'2017.TW-Price'</f>
        <v>20.100000000000001</v>
      </c>
    </row>
    <row r="242" spans="1:5">
      <c r="A242" s="118">
        <v>2020</v>
      </c>
      <c r="B242" s="60" t="s">
        <v>3562</v>
      </c>
      <c r="C242" s="121" t="s">
        <v>5563</v>
      </c>
      <c r="D242" s="118">
        <v>2020</v>
      </c>
      <c r="E242" s="60" t="str">
        <f>[1]!'2020.TW-Price'</f>
        <v>--</v>
      </c>
    </row>
    <row r="243" spans="1:5">
      <c r="A243" s="118">
        <v>2022</v>
      </c>
      <c r="B243" s="60" t="s">
        <v>3560</v>
      </c>
      <c r="C243" s="121" t="s">
        <v>5563</v>
      </c>
      <c r="D243" s="118">
        <v>2022</v>
      </c>
      <c r="E243" s="60" t="str">
        <f>[1]!'2022.TW-Price'</f>
        <v>--</v>
      </c>
    </row>
    <row r="244" spans="1:5">
      <c r="A244" s="118">
        <v>2023</v>
      </c>
      <c r="B244" s="60" t="s">
        <v>3535</v>
      </c>
      <c r="C244" s="121" t="s">
        <v>5563</v>
      </c>
      <c r="D244" s="118">
        <v>2023</v>
      </c>
      <c r="E244" s="60">
        <f>[1]!'2023.TW-Price'</f>
        <v>24.3</v>
      </c>
    </row>
    <row r="245" spans="1:5">
      <c r="A245" s="118">
        <v>2024</v>
      </c>
      <c r="B245" s="60" t="s">
        <v>3891</v>
      </c>
      <c r="C245" s="121" t="s">
        <v>5563</v>
      </c>
      <c r="D245" s="118">
        <v>2024</v>
      </c>
      <c r="E245" s="60" t="str">
        <f>[1]!'2024.TW-Price'</f>
        <v>--</v>
      </c>
    </row>
    <row r="246" spans="1:5">
      <c r="A246" s="118">
        <v>2025</v>
      </c>
      <c r="B246" s="60" t="s">
        <v>3892</v>
      </c>
      <c r="C246" s="121" t="s">
        <v>5563</v>
      </c>
      <c r="D246" s="118">
        <v>2025</v>
      </c>
      <c r="E246" s="60" t="str">
        <f>[1]!'2025.TW-Price'</f>
        <v>--</v>
      </c>
    </row>
    <row r="247" spans="1:5">
      <c r="A247" s="118">
        <v>2027</v>
      </c>
      <c r="B247" s="60" t="s">
        <v>46</v>
      </c>
      <c r="C247" s="121" t="s">
        <v>5563</v>
      </c>
      <c r="D247" s="118">
        <v>2027</v>
      </c>
      <c r="E247" s="60">
        <f>[1]!'2027.TW-Price'</f>
        <v>45.95</v>
      </c>
    </row>
    <row r="248" spans="1:5">
      <c r="A248" s="118">
        <v>2028</v>
      </c>
      <c r="B248" s="60" t="s">
        <v>3555</v>
      </c>
      <c r="C248" s="121" t="s">
        <v>5563</v>
      </c>
      <c r="D248" s="118">
        <v>2028</v>
      </c>
      <c r="E248" s="60">
        <f>[1]!'2028.TW-Price'</f>
        <v>40.25</v>
      </c>
    </row>
    <row r="249" spans="1:5">
      <c r="A249" s="118">
        <v>2029</v>
      </c>
      <c r="B249" s="60" t="s">
        <v>3568</v>
      </c>
      <c r="C249" s="121" t="s">
        <v>5563</v>
      </c>
      <c r="D249" s="118">
        <v>2029</v>
      </c>
      <c r="E249" s="60" t="str">
        <f>[1]!'2029.TW-Price'</f>
        <v>--</v>
      </c>
    </row>
    <row r="250" spans="1:5">
      <c r="A250" s="118">
        <v>2030</v>
      </c>
      <c r="B250" s="60" t="s">
        <v>3893</v>
      </c>
      <c r="C250" s="121" t="s">
        <v>5563</v>
      </c>
      <c r="D250" s="118">
        <v>2030</v>
      </c>
      <c r="E250" s="60" t="str">
        <f>[1]!'2030.TW-Price'</f>
        <v>--</v>
      </c>
    </row>
    <row r="251" spans="1:5">
      <c r="A251" s="118">
        <v>2031</v>
      </c>
      <c r="B251" s="60" t="s">
        <v>3540</v>
      </c>
      <c r="C251" s="121" t="s">
        <v>5563</v>
      </c>
      <c r="D251" s="118">
        <v>2031</v>
      </c>
      <c r="E251" s="60" t="str">
        <f>[1]!'2031.TW-Price'</f>
        <v>--</v>
      </c>
    </row>
    <row r="252" spans="1:5">
      <c r="A252" s="118">
        <v>2032</v>
      </c>
      <c r="B252" s="60" t="s">
        <v>3566</v>
      </c>
      <c r="C252" s="121" t="s">
        <v>5563</v>
      </c>
      <c r="D252" s="118">
        <v>2032</v>
      </c>
      <c r="E252" s="60" t="str">
        <f>[1]!'2032.TW-Price'</f>
        <v>--</v>
      </c>
    </row>
    <row r="253" spans="1:5">
      <c r="A253" s="118">
        <v>2033</v>
      </c>
      <c r="B253" s="60" t="s">
        <v>3559</v>
      </c>
      <c r="C253" s="121" t="s">
        <v>5563</v>
      </c>
      <c r="D253" s="118">
        <v>2033</v>
      </c>
      <c r="E253" s="60" t="str">
        <f>[1]!'2033.TW-Price'</f>
        <v>--</v>
      </c>
    </row>
    <row r="254" spans="1:5">
      <c r="A254" s="118">
        <v>2034</v>
      </c>
      <c r="B254" s="60" t="s">
        <v>3894</v>
      </c>
      <c r="C254" s="121" t="s">
        <v>5563</v>
      </c>
      <c r="D254" s="118">
        <v>2034</v>
      </c>
      <c r="E254" s="60" t="str">
        <f>[1]!'2034.TW-Price'</f>
        <v>--</v>
      </c>
    </row>
    <row r="255" spans="1:5">
      <c r="A255" s="118">
        <v>2038</v>
      </c>
      <c r="B255" s="60" t="s">
        <v>3561</v>
      </c>
      <c r="C255" s="121" t="s">
        <v>5563</v>
      </c>
      <c r="D255" s="118">
        <v>2038</v>
      </c>
      <c r="E255" s="60">
        <f>[1]!'2038.TW-Price'</f>
        <v>34.25</v>
      </c>
    </row>
    <row r="256" spans="1:5">
      <c r="A256" s="118">
        <v>2069</v>
      </c>
      <c r="B256" s="60" t="s">
        <v>3895</v>
      </c>
      <c r="C256" s="121" t="s">
        <v>5563</v>
      </c>
      <c r="D256" s="118">
        <v>2069</v>
      </c>
      <c r="E256" s="60">
        <f>[1]!'2069.TW-Price'</f>
        <v>38.6</v>
      </c>
    </row>
    <row r="257" spans="1:5">
      <c r="A257" s="118">
        <v>2211</v>
      </c>
      <c r="B257" s="60" t="s">
        <v>3896</v>
      </c>
      <c r="C257" s="121" t="s">
        <v>5563</v>
      </c>
      <c r="D257" s="118">
        <v>2211</v>
      </c>
      <c r="E257" s="60" t="str">
        <f>[1]!'2211.TW-Price'</f>
        <v>--</v>
      </c>
    </row>
    <row r="258" spans="1:5">
      <c r="A258" s="118">
        <v>3004</v>
      </c>
      <c r="B258" s="60" t="s">
        <v>3897</v>
      </c>
      <c r="C258" s="121" t="s">
        <v>5563</v>
      </c>
      <c r="D258" s="118">
        <v>3004</v>
      </c>
      <c r="E258" s="60" t="str">
        <f>[1]!'3004.TW-Price'</f>
        <v>--</v>
      </c>
    </row>
    <row r="259" spans="1:5">
      <c r="A259" s="118">
        <v>5007</v>
      </c>
      <c r="B259" s="60" t="s">
        <v>3898</v>
      </c>
      <c r="C259" s="121" t="s">
        <v>5563</v>
      </c>
      <c r="D259" s="118">
        <v>5007</v>
      </c>
      <c r="E259" s="60" t="str">
        <f>[1]!'5007.TW-Price'</f>
        <v>--</v>
      </c>
    </row>
    <row r="260" spans="1:5">
      <c r="A260" s="118">
        <v>5538</v>
      </c>
      <c r="B260" s="60" t="s">
        <v>3899</v>
      </c>
      <c r="C260" s="121" t="s">
        <v>5564</v>
      </c>
      <c r="D260" s="118">
        <v>5538</v>
      </c>
      <c r="E260" s="60" t="str">
        <f>[1]!'5538.TW-Price'</f>
        <v>--</v>
      </c>
    </row>
    <row r="261" spans="1:5">
      <c r="A261" s="118">
        <v>9958</v>
      </c>
      <c r="B261" s="60" t="s">
        <v>3900</v>
      </c>
      <c r="C261" s="121" t="s">
        <v>5563</v>
      </c>
      <c r="D261" s="118">
        <v>9958</v>
      </c>
      <c r="E261" s="60" t="str">
        <f>[1]!'9958.TW-Price'</f>
        <v>--</v>
      </c>
    </row>
    <row r="262" spans="1:5">
      <c r="A262" s="118">
        <v>2101</v>
      </c>
      <c r="B262" s="60" t="s">
        <v>3901</v>
      </c>
      <c r="C262" s="121" t="s">
        <v>5565</v>
      </c>
      <c r="D262" s="118">
        <v>2101</v>
      </c>
      <c r="E262" s="60">
        <f>[1]!'2101.TW-Price'</f>
        <v>39.35</v>
      </c>
    </row>
    <row r="263" spans="1:5">
      <c r="A263" s="118">
        <v>2102</v>
      </c>
      <c r="B263" s="60" t="s">
        <v>3902</v>
      </c>
      <c r="C263" s="121" t="s">
        <v>5565</v>
      </c>
      <c r="D263" s="118">
        <v>2102</v>
      </c>
      <c r="E263" s="60" t="str">
        <f>[1]!'2102.TW-Price'</f>
        <v>--</v>
      </c>
    </row>
    <row r="264" spans="1:5">
      <c r="A264" s="118">
        <v>2103</v>
      </c>
      <c r="B264" s="60" t="s">
        <v>3903</v>
      </c>
      <c r="C264" s="121" t="s">
        <v>5565</v>
      </c>
      <c r="D264" s="118">
        <v>2103</v>
      </c>
      <c r="E264" s="60" t="str">
        <f>[1]!'2103.TW-Price'</f>
        <v>--</v>
      </c>
    </row>
    <row r="265" spans="1:5">
      <c r="A265" s="118">
        <v>2104</v>
      </c>
      <c r="B265" s="60" t="s">
        <v>3904</v>
      </c>
      <c r="C265" s="121" t="s">
        <v>5565</v>
      </c>
      <c r="D265" s="118">
        <v>2104</v>
      </c>
      <c r="E265" s="60" t="str">
        <f>[1]!'2104.TW-Price'</f>
        <v>--</v>
      </c>
    </row>
    <row r="266" spans="1:5">
      <c r="A266" s="118">
        <v>2105</v>
      </c>
      <c r="B266" s="60" t="s">
        <v>3905</v>
      </c>
      <c r="C266" s="121" t="s">
        <v>5565</v>
      </c>
      <c r="D266" s="118">
        <v>2105</v>
      </c>
      <c r="E266" s="60">
        <f>[1]!'2105.TW-Price'</f>
        <v>34.65</v>
      </c>
    </row>
    <row r="267" spans="1:5">
      <c r="A267" s="118">
        <v>2106</v>
      </c>
      <c r="B267" s="60" t="s">
        <v>3906</v>
      </c>
      <c r="C267" s="121" t="s">
        <v>5565</v>
      </c>
      <c r="D267" s="118">
        <v>2106</v>
      </c>
      <c r="E267" s="60" t="str">
        <f>[1]!'2106.TW-Price'</f>
        <v>--</v>
      </c>
    </row>
    <row r="268" spans="1:5">
      <c r="A268" s="118">
        <v>2107</v>
      </c>
      <c r="B268" s="60" t="s">
        <v>3907</v>
      </c>
      <c r="C268" s="121" t="s">
        <v>5565</v>
      </c>
      <c r="D268" s="118">
        <v>2107</v>
      </c>
      <c r="E268" s="60" t="str">
        <f>[1]!'2107.TW-Price'</f>
        <v>--</v>
      </c>
    </row>
    <row r="269" spans="1:5">
      <c r="A269" s="118">
        <v>2108</v>
      </c>
      <c r="B269" s="60" t="s">
        <v>3613</v>
      </c>
      <c r="C269" s="121" t="s">
        <v>5565</v>
      </c>
      <c r="D269" s="118">
        <v>2108</v>
      </c>
      <c r="E269" s="60">
        <f>[1]!'2108.TW-Price'</f>
        <v>85</v>
      </c>
    </row>
    <row r="270" spans="1:5">
      <c r="A270" s="118">
        <v>2109</v>
      </c>
      <c r="B270" s="60" t="s">
        <v>3908</v>
      </c>
      <c r="C270" s="121" t="s">
        <v>5565</v>
      </c>
      <c r="D270" s="118">
        <v>2109</v>
      </c>
      <c r="E270" s="60" t="str">
        <f>[1]!'2109.TW-Price'</f>
        <v>--</v>
      </c>
    </row>
    <row r="271" spans="1:5">
      <c r="A271" s="118">
        <v>2114</v>
      </c>
      <c r="B271" s="60" t="s">
        <v>3909</v>
      </c>
      <c r="C271" s="121" t="s">
        <v>5565</v>
      </c>
      <c r="D271" s="118">
        <v>2114</v>
      </c>
      <c r="E271" s="60" t="str">
        <f>[1]!'2114.TW-Price'</f>
        <v>--</v>
      </c>
    </row>
    <row r="272" spans="1:5">
      <c r="A272" s="118">
        <v>6582</v>
      </c>
      <c r="B272" s="60" t="s">
        <v>3614</v>
      </c>
      <c r="C272" s="121" t="s">
        <v>5565</v>
      </c>
      <c r="D272" s="118">
        <v>6582</v>
      </c>
      <c r="E272" s="60" t="str">
        <f>[1]!'6582.TW-Price'</f>
        <v>--</v>
      </c>
    </row>
    <row r="273" spans="1:5">
      <c r="A273" s="118">
        <v>1319</v>
      </c>
      <c r="B273" s="60" t="s">
        <v>3910</v>
      </c>
      <c r="C273" s="121" t="s">
        <v>5566</v>
      </c>
      <c r="D273" s="118">
        <v>1319</v>
      </c>
      <c r="E273" s="60">
        <f>[1]!'1319.TW-Price'</f>
        <v>33.15</v>
      </c>
    </row>
    <row r="274" spans="1:5">
      <c r="A274" s="118">
        <v>1338</v>
      </c>
      <c r="B274" s="60" t="s">
        <v>3911</v>
      </c>
      <c r="C274" s="121" t="s">
        <v>5567</v>
      </c>
      <c r="D274" s="118">
        <v>1338</v>
      </c>
      <c r="E274" s="60" t="str">
        <f>[1]!'1338.TW-Price'</f>
        <v>--</v>
      </c>
    </row>
    <row r="275" spans="1:5">
      <c r="A275" s="118">
        <v>1339</v>
      </c>
      <c r="B275" s="60" t="s">
        <v>3912</v>
      </c>
      <c r="C275" s="121" t="s">
        <v>5566</v>
      </c>
      <c r="D275" s="118">
        <v>1339</v>
      </c>
      <c r="E275" s="60" t="str">
        <f>[1]!'1339.TW-Price'</f>
        <v>--</v>
      </c>
    </row>
    <row r="276" spans="1:5">
      <c r="A276" s="118">
        <v>1512</v>
      </c>
      <c r="B276" s="60" t="s">
        <v>3913</v>
      </c>
      <c r="C276" s="121" t="s">
        <v>5566</v>
      </c>
      <c r="D276" s="118">
        <v>1512</v>
      </c>
      <c r="E276" s="60" t="str">
        <f>[1]!'1512.TW-Price'</f>
        <v>--</v>
      </c>
    </row>
    <row r="277" spans="1:5">
      <c r="A277" s="118">
        <v>1521</v>
      </c>
      <c r="B277" s="60" t="s">
        <v>3914</v>
      </c>
      <c r="C277" s="121" t="s">
        <v>5566</v>
      </c>
      <c r="D277" s="118">
        <v>1521</v>
      </c>
      <c r="E277" s="60" t="str">
        <f>[1]!'1521.TW-Price'</f>
        <v>--</v>
      </c>
    </row>
    <row r="278" spans="1:5">
      <c r="A278" s="118">
        <v>1522</v>
      </c>
      <c r="B278" s="60" t="s">
        <v>3915</v>
      </c>
      <c r="C278" s="121" t="s">
        <v>5566</v>
      </c>
      <c r="D278" s="118">
        <v>1522</v>
      </c>
      <c r="E278" s="60" t="str">
        <f>[1]!'1522.TW-Price'</f>
        <v>--</v>
      </c>
    </row>
    <row r="279" spans="1:5">
      <c r="A279" s="118">
        <v>1524</v>
      </c>
      <c r="B279" s="60" t="s">
        <v>3916</v>
      </c>
      <c r="C279" s="121" t="s">
        <v>5566</v>
      </c>
      <c r="D279" s="118">
        <v>1524</v>
      </c>
      <c r="E279" s="60" t="str">
        <f>[1]!'1524.TW-Price'</f>
        <v>--</v>
      </c>
    </row>
    <row r="280" spans="1:5">
      <c r="A280" s="118">
        <v>1525</v>
      </c>
      <c r="B280" s="60" t="s">
        <v>3917</v>
      </c>
      <c r="C280" s="121" t="s">
        <v>5566</v>
      </c>
      <c r="D280" s="118">
        <v>1525</v>
      </c>
      <c r="E280" s="60" t="str">
        <f>[1]!'1525.TW-Price'</f>
        <v>--</v>
      </c>
    </row>
    <row r="281" spans="1:5">
      <c r="A281" s="118">
        <v>1533</v>
      </c>
      <c r="B281" s="60" t="s">
        <v>3918</v>
      </c>
      <c r="C281" s="121" t="s">
        <v>5566</v>
      </c>
      <c r="D281" s="118">
        <v>1533</v>
      </c>
      <c r="E281" s="60" t="str">
        <f>[1]!'1533.TW-Price'</f>
        <v>--</v>
      </c>
    </row>
    <row r="282" spans="1:5">
      <c r="A282" s="118">
        <v>1536</v>
      </c>
      <c r="B282" s="60" t="s">
        <v>3919</v>
      </c>
      <c r="C282" s="121" t="s">
        <v>5566</v>
      </c>
      <c r="D282" s="118">
        <v>1536</v>
      </c>
      <c r="E282" s="60" t="str">
        <f>[1]!'1536.TW-Price'</f>
        <v>--</v>
      </c>
    </row>
    <row r="283" spans="1:5">
      <c r="A283" s="118">
        <v>1568</v>
      </c>
      <c r="B283" s="60" t="s">
        <v>3920</v>
      </c>
      <c r="C283" s="121" t="s">
        <v>5566</v>
      </c>
      <c r="D283" s="118">
        <v>1568</v>
      </c>
      <c r="E283" s="60" t="str">
        <f>[1]!'1568.TW-Price'</f>
        <v>--</v>
      </c>
    </row>
    <row r="284" spans="1:5">
      <c r="A284" s="118">
        <v>1587</v>
      </c>
      <c r="B284" s="60" t="s">
        <v>3921</v>
      </c>
      <c r="C284" s="121" t="s">
        <v>5566</v>
      </c>
      <c r="D284" s="118">
        <v>1587</v>
      </c>
      <c r="E284" s="60" t="str">
        <f>[1]!'1587.TW-Price'</f>
        <v>--</v>
      </c>
    </row>
    <row r="285" spans="1:5">
      <c r="A285" s="118">
        <v>2115</v>
      </c>
      <c r="B285" s="60" t="s">
        <v>3922</v>
      </c>
      <c r="C285" s="121" t="s">
        <v>5567</v>
      </c>
      <c r="D285" s="118">
        <v>2115</v>
      </c>
      <c r="E285" s="60" t="str">
        <f>[1]!'2115.TW-Price'</f>
        <v>--</v>
      </c>
    </row>
    <row r="286" spans="1:5">
      <c r="A286" s="118">
        <v>2201</v>
      </c>
      <c r="B286" s="60" t="s">
        <v>3923</v>
      </c>
      <c r="C286" s="121" t="s">
        <v>5566</v>
      </c>
      <c r="D286" s="118">
        <v>2201</v>
      </c>
      <c r="E286" s="60" t="str">
        <f>[1]!'2201.TW-Price'</f>
        <v>--</v>
      </c>
    </row>
    <row r="287" spans="1:5">
      <c r="A287" s="118">
        <v>2204</v>
      </c>
      <c r="B287" s="60" t="s">
        <v>3924</v>
      </c>
      <c r="C287" s="121" t="s">
        <v>5566</v>
      </c>
      <c r="D287" s="118">
        <v>2204</v>
      </c>
      <c r="E287" s="60" t="str">
        <f>[1]!'2204.TW-Price'</f>
        <v>--</v>
      </c>
    </row>
    <row r="288" spans="1:5">
      <c r="A288" s="118">
        <v>2206</v>
      </c>
      <c r="B288" s="60" t="s">
        <v>3651</v>
      </c>
      <c r="C288" s="121" t="s">
        <v>5566</v>
      </c>
      <c r="D288" s="118">
        <v>2206</v>
      </c>
      <c r="E288" s="60" t="str">
        <f>[1]!'2206.TW-Price'</f>
        <v>--</v>
      </c>
    </row>
    <row r="289" spans="1:5">
      <c r="A289" s="118">
        <v>2207</v>
      </c>
      <c r="B289" s="60" t="s">
        <v>3925</v>
      </c>
      <c r="C289" s="121" t="s">
        <v>5566</v>
      </c>
      <c r="D289" s="118">
        <v>2207</v>
      </c>
      <c r="E289" s="60" t="str">
        <f>[1]!'2207.TW-Price'</f>
        <v>--</v>
      </c>
    </row>
    <row r="290" spans="1:5">
      <c r="A290" s="118">
        <v>2227</v>
      </c>
      <c r="B290" s="60" t="s">
        <v>3926</v>
      </c>
      <c r="C290" s="121" t="s">
        <v>5566</v>
      </c>
      <c r="D290" s="118">
        <v>2227</v>
      </c>
      <c r="E290" s="60" t="str">
        <f>[1]!'2227.TW-Price'</f>
        <v>--</v>
      </c>
    </row>
    <row r="291" spans="1:5">
      <c r="A291" s="118">
        <v>2228</v>
      </c>
      <c r="B291" s="60" t="s">
        <v>3927</v>
      </c>
      <c r="C291" s="121" t="s">
        <v>5566</v>
      </c>
      <c r="D291" s="118">
        <v>2228</v>
      </c>
      <c r="E291" s="60" t="str">
        <f>[1]!'2228.TW-Price'</f>
        <v>--</v>
      </c>
    </row>
    <row r="292" spans="1:5">
      <c r="A292" s="118">
        <v>2231</v>
      </c>
      <c r="B292" s="60" t="s">
        <v>3928</v>
      </c>
      <c r="C292" s="121" t="s">
        <v>5566</v>
      </c>
      <c r="D292" s="118">
        <v>2231</v>
      </c>
      <c r="E292" s="60">
        <f>[1]!'2231.TW-Price'</f>
        <v>170</v>
      </c>
    </row>
    <row r="293" spans="1:5">
      <c r="A293" s="118">
        <v>2233</v>
      </c>
      <c r="B293" s="60" t="s">
        <v>3929</v>
      </c>
      <c r="C293" s="121" t="s">
        <v>5566</v>
      </c>
      <c r="D293" s="118">
        <v>2233</v>
      </c>
      <c r="E293" s="60" t="str">
        <f>[1]!'2233.TW-Price'</f>
        <v>--</v>
      </c>
    </row>
    <row r="294" spans="1:5">
      <c r="A294" s="118">
        <v>2236</v>
      </c>
      <c r="B294" s="60" t="s">
        <v>3930</v>
      </c>
      <c r="C294" s="121" t="s">
        <v>5567</v>
      </c>
      <c r="D294" s="118">
        <v>2236</v>
      </c>
      <c r="E294" s="60" t="str">
        <f>[1]!'2236.TW-Price'</f>
        <v>--</v>
      </c>
    </row>
    <row r="295" spans="1:5">
      <c r="A295" s="118">
        <v>2239</v>
      </c>
      <c r="B295" s="60" t="s">
        <v>3931</v>
      </c>
      <c r="C295" s="121" t="s">
        <v>5567</v>
      </c>
      <c r="D295" s="118">
        <v>2239</v>
      </c>
      <c r="E295" s="60" t="str">
        <f>[1]!'2239.TW-Price'</f>
        <v>--</v>
      </c>
    </row>
    <row r="296" spans="1:5">
      <c r="A296" s="118">
        <v>2241</v>
      </c>
      <c r="B296" s="60" t="s">
        <v>3798</v>
      </c>
      <c r="C296" s="121" t="s">
        <v>5566</v>
      </c>
      <c r="D296" s="118">
        <v>2241</v>
      </c>
      <c r="E296" s="60" t="str">
        <f>[1]!'2241.TW-Price'</f>
        <v>--</v>
      </c>
    </row>
    <row r="297" spans="1:5">
      <c r="A297" s="118">
        <v>2243</v>
      </c>
      <c r="B297" s="60" t="s">
        <v>3932</v>
      </c>
      <c r="C297" s="121" t="s">
        <v>5567</v>
      </c>
      <c r="D297" s="118">
        <v>2243</v>
      </c>
      <c r="E297" s="60" t="str">
        <f>[1]!'2243.TW-Price'</f>
        <v>--</v>
      </c>
    </row>
    <row r="298" spans="1:5">
      <c r="A298" s="118">
        <v>2247</v>
      </c>
      <c r="B298" s="60" t="s">
        <v>3933</v>
      </c>
      <c r="C298" s="121" t="s">
        <v>5566</v>
      </c>
      <c r="D298" s="118">
        <v>2247</v>
      </c>
      <c r="E298" s="60" t="str">
        <f>[1]!'2247.TW-Price'</f>
        <v>--</v>
      </c>
    </row>
    <row r="299" spans="1:5">
      <c r="A299" s="118">
        <v>2250</v>
      </c>
      <c r="B299" s="60" t="s">
        <v>5517</v>
      </c>
      <c r="C299" s="121" t="s">
        <v>5567</v>
      </c>
      <c r="D299" s="118">
        <v>2250</v>
      </c>
      <c r="E299" s="60" t="str">
        <f>[1]!'2250.TW-Price'</f>
        <v>--</v>
      </c>
    </row>
    <row r="300" spans="1:5">
      <c r="A300" s="118">
        <v>2497</v>
      </c>
      <c r="B300" s="60" t="s">
        <v>3934</v>
      </c>
      <c r="C300" s="121" t="s">
        <v>5566</v>
      </c>
      <c r="D300" s="118">
        <v>2497</v>
      </c>
      <c r="E300" s="60" t="str">
        <f>[1]!'2497.TW-Price'</f>
        <v>--</v>
      </c>
    </row>
    <row r="301" spans="1:5">
      <c r="A301" s="118">
        <v>3346</v>
      </c>
      <c r="B301" s="60" t="s">
        <v>3935</v>
      </c>
      <c r="C301" s="121" t="s">
        <v>5566</v>
      </c>
      <c r="D301" s="118">
        <v>3346</v>
      </c>
      <c r="E301" s="60" t="str">
        <f>[1]!'3346.TW-Price'</f>
        <v>--</v>
      </c>
    </row>
    <row r="302" spans="1:5">
      <c r="A302" s="118">
        <v>4551</v>
      </c>
      <c r="B302" s="60" t="s">
        <v>3936</v>
      </c>
      <c r="C302" s="121" t="s">
        <v>5566</v>
      </c>
      <c r="D302" s="118">
        <v>4551</v>
      </c>
      <c r="E302" s="60" t="str">
        <f>[1]!'4551.TW-Price'</f>
        <v>--</v>
      </c>
    </row>
    <row r="303" spans="1:5">
      <c r="A303" s="118">
        <v>4557</v>
      </c>
      <c r="B303" s="60" t="s">
        <v>3937</v>
      </c>
      <c r="C303" s="121" t="s">
        <v>5567</v>
      </c>
      <c r="D303" s="118">
        <v>4557</v>
      </c>
      <c r="E303" s="60" t="str">
        <f>[1]!'4557.TW-Price'</f>
        <v>--</v>
      </c>
    </row>
    <row r="304" spans="1:5">
      <c r="A304" s="118">
        <v>4581</v>
      </c>
      <c r="B304" s="60" t="s">
        <v>3938</v>
      </c>
      <c r="C304" s="121" t="s">
        <v>5567</v>
      </c>
      <c r="D304" s="118">
        <v>4581</v>
      </c>
      <c r="E304" s="60" t="str">
        <f>[1]!'4581.TW-Price'</f>
        <v>--</v>
      </c>
    </row>
    <row r="305" spans="1:5">
      <c r="A305" s="118">
        <v>6288</v>
      </c>
      <c r="B305" s="60" t="s">
        <v>3939</v>
      </c>
      <c r="C305" s="121" t="s">
        <v>5566</v>
      </c>
      <c r="D305" s="118">
        <v>6288</v>
      </c>
      <c r="E305" s="60" t="str">
        <f>[1]!'6288.TW-Price'</f>
        <v>--</v>
      </c>
    </row>
    <row r="306" spans="1:5">
      <c r="A306" s="118">
        <v>6605</v>
      </c>
      <c r="B306" s="60" t="s">
        <v>3940</v>
      </c>
      <c r="C306" s="121" t="s">
        <v>5566</v>
      </c>
      <c r="D306" s="118">
        <v>6605</v>
      </c>
      <c r="E306" s="60" t="str">
        <f>[1]!'6605.TW-Price'</f>
        <v>--</v>
      </c>
    </row>
    <row r="307" spans="1:5">
      <c r="A307" s="118">
        <v>2302</v>
      </c>
      <c r="B307" s="60" t="s">
        <v>3941</v>
      </c>
      <c r="C307" s="121" t="s">
        <v>5568</v>
      </c>
      <c r="D307" s="118">
        <v>2302</v>
      </c>
      <c r="E307" s="60" t="str">
        <f>[1]!'2302.TW-Price'</f>
        <v>--</v>
      </c>
    </row>
    <row r="308" spans="1:5">
      <c r="A308" s="118">
        <v>2303</v>
      </c>
      <c r="B308" s="60" t="s">
        <v>3942</v>
      </c>
      <c r="C308" s="121" t="s">
        <v>5568</v>
      </c>
      <c r="D308" s="118">
        <v>2303</v>
      </c>
      <c r="E308" s="60">
        <f>[1]!'2303.TW-Price'</f>
        <v>63.1</v>
      </c>
    </row>
    <row r="309" spans="1:5">
      <c r="A309" s="118">
        <v>2329</v>
      </c>
      <c r="B309" s="60" t="s">
        <v>3943</v>
      </c>
      <c r="C309" s="121" t="s">
        <v>5568</v>
      </c>
      <c r="D309" s="118">
        <v>2329</v>
      </c>
      <c r="E309" s="60">
        <f>[1]!'2329.TW-Price'</f>
        <v>24.8</v>
      </c>
    </row>
    <row r="310" spans="1:5">
      <c r="A310" s="118">
        <v>2330</v>
      </c>
      <c r="B310" s="60" t="s">
        <v>3944</v>
      </c>
      <c r="C310" s="121" t="s">
        <v>5568</v>
      </c>
      <c r="D310" s="118">
        <v>2330</v>
      </c>
      <c r="E310" s="60">
        <f>[1]!'2330.TW-Price'</f>
        <v>610</v>
      </c>
    </row>
    <row r="311" spans="1:5">
      <c r="A311" s="118">
        <v>2337</v>
      </c>
      <c r="B311" s="60" t="s">
        <v>3945</v>
      </c>
      <c r="C311" s="121" t="s">
        <v>5568</v>
      </c>
      <c r="D311" s="118">
        <v>2337</v>
      </c>
      <c r="E311" s="60">
        <f>[1]!'2337.TW-Price'</f>
        <v>44.1</v>
      </c>
    </row>
    <row r="312" spans="1:5">
      <c r="A312" s="118">
        <v>2338</v>
      </c>
      <c r="B312" s="60" t="s">
        <v>3946</v>
      </c>
      <c r="C312" s="121" t="s">
        <v>5568</v>
      </c>
      <c r="D312" s="118">
        <v>2338</v>
      </c>
      <c r="E312" s="60">
        <f>[1]!'2338.TW-Price'</f>
        <v>104.5</v>
      </c>
    </row>
    <row r="313" spans="1:5">
      <c r="A313" s="118">
        <v>2342</v>
      </c>
      <c r="B313" s="60" t="s">
        <v>3947</v>
      </c>
      <c r="C313" s="121" t="s">
        <v>5568</v>
      </c>
      <c r="D313" s="118">
        <v>2342</v>
      </c>
      <c r="E313" s="60">
        <f>[1]!'2342.TW-Price'</f>
        <v>48.1</v>
      </c>
    </row>
    <row r="314" spans="1:5">
      <c r="A314" s="118">
        <v>2344</v>
      </c>
      <c r="B314" s="60" t="s">
        <v>3948</v>
      </c>
      <c r="C314" s="121" t="s">
        <v>5568</v>
      </c>
      <c r="D314" s="118">
        <v>2344</v>
      </c>
      <c r="E314" s="60">
        <f>[1]!'2344.TW-Price'</f>
        <v>31.45</v>
      </c>
    </row>
    <row r="315" spans="1:5">
      <c r="A315" s="118">
        <v>2351</v>
      </c>
      <c r="B315" s="60" t="s">
        <v>3642</v>
      </c>
      <c r="C315" s="121" t="s">
        <v>5568</v>
      </c>
      <c r="D315" s="118">
        <v>2351</v>
      </c>
      <c r="E315" s="60" t="str">
        <f>[1]!'2351.TW-Price'</f>
        <v>--</v>
      </c>
    </row>
    <row r="316" spans="1:5">
      <c r="A316" s="118">
        <v>2363</v>
      </c>
      <c r="B316" s="60" t="s">
        <v>3949</v>
      </c>
      <c r="C316" s="121" t="s">
        <v>5568</v>
      </c>
      <c r="D316" s="118">
        <v>2363</v>
      </c>
      <c r="E316" s="60">
        <f>[1]!'2363.TW-Price'</f>
        <v>25.65</v>
      </c>
    </row>
    <row r="317" spans="1:5">
      <c r="A317" s="118">
        <v>2369</v>
      </c>
      <c r="B317" s="60" t="s">
        <v>3950</v>
      </c>
      <c r="C317" s="121" t="s">
        <v>5568</v>
      </c>
      <c r="D317" s="118">
        <v>2369</v>
      </c>
      <c r="E317" s="60" t="str">
        <f>[1]!'2369.TW-Price'</f>
        <v>--</v>
      </c>
    </row>
    <row r="318" spans="1:5">
      <c r="A318" s="118">
        <v>2379</v>
      </c>
      <c r="B318" s="60" t="s">
        <v>3951</v>
      </c>
      <c r="C318" s="121" t="s">
        <v>5568</v>
      </c>
      <c r="D318" s="118">
        <v>2379</v>
      </c>
      <c r="E318" s="60" t="str">
        <f>[1]!'2379.TW-Price'</f>
        <v>--</v>
      </c>
    </row>
    <row r="319" spans="1:5">
      <c r="A319" s="118">
        <v>2388</v>
      </c>
      <c r="B319" s="60" t="s">
        <v>3952</v>
      </c>
      <c r="C319" s="121" t="s">
        <v>5568</v>
      </c>
      <c r="D319" s="118">
        <v>2388</v>
      </c>
      <c r="E319" s="60">
        <f>[1]!'2388.TW-Price'</f>
        <v>86.9</v>
      </c>
    </row>
    <row r="320" spans="1:5">
      <c r="A320" s="118">
        <v>2401</v>
      </c>
      <c r="B320" s="60" t="s">
        <v>3953</v>
      </c>
      <c r="C320" s="121" t="s">
        <v>5568</v>
      </c>
      <c r="D320" s="118">
        <v>2401</v>
      </c>
      <c r="E320" s="60">
        <f>[1]!'2401.TW-Price'</f>
        <v>40.1</v>
      </c>
    </row>
    <row r="321" spans="1:5">
      <c r="A321" s="118">
        <v>2408</v>
      </c>
      <c r="B321" s="60" t="s">
        <v>3954</v>
      </c>
      <c r="C321" s="121" t="s">
        <v>5568</v>
      </c>
      <c r="D321" s="118">
        <v>2408</v>
      </c>
      <c r="E321" s="60" t="str">
        <f>[1]!'2408.TW-Price'</f>
        <v>--</v>
      </c>
    </row>
    <row r="322" spans="1:5">
      <c r="A322" s="118">
        <v>2434</v>
      </c>
      <c r="B322" s="60" t="s">
        <v>3955</v>
      </c>
      <c r="C322" s="121" t="s">
        <v>5568</v>
      </c>
      <c r="D322" s="118">
        <v>2434</v>
      </c>
      <c r="E322" s="60" t="str">
        <f>[1]!'2434.TW-Price'</f>
        <v>--</v>
      </c>
    </row>
    <row r="323" spans="1:5">
      <c r="A323" s="118">
        <v>2436</v>
      </c>
      <c r="B323" s="60" t="s">
        <v>3956</v>
      </c>
      <c r="C323" s="121" t="s">
        <v>5568</v>
      </c>
      <c r="D323" s="118">
        <v>2436</v>
      </c>
      <c r="E323" s="60">
        <f>[1]!'2436.TW-Price'</f>
        <v>100</v>
      </c>
    </row>
    <row r="324" spans="1:5">
      <c r="A324" s="118">
        <v>2441</v>
      </c>
      <c r="B324" s="60" t="s">
        <v>3957</v>
      </c>
      <c r="C324" s="121" t="s">
        <v>5568</v>
      </c>
      <c r="D324" s="118">
        <v>2441</v>
      </c>
      <c r="E324" s="60" t="str">
        <f>[1]!'2441.TW-Price'</f>
        <v>--</v>
      </c>
    </row>
    <row r="325" spans="1:5">
      <c r="A325" s="118">
        <v>2449</v>
      </c>
      <c r="B325" s="60" t="s">
        <v>3958</v>
      </c>
      <c r="C325" s="121" t="s">
        <v>5568</v>
      </c>
      <c r="D325" s="118">
        <v>2449</v>
      </c>
      <c r="E325" s="60" t="str">
        <f>[1]!'2449.TW-Price'</f>
        <v>--</v>
      </c>
    </row>
    <row r="326" spans="1:5">
      <c r="A326" s="118">
        <v>2451</v>
      </c>
      <c r="B326" s="60" t="s">
        <v>3959</v>
      </c>
      <c r="C326" s="121" t="s">
        <v>5568</v>
      </c>
      <c r="D326" s="118">
        <v>2451</v>
      </c>
      <c r="E326" s="60">
        <f>[1]!'2451.TW-Price'</f>
        <v>71.099999999999994</v>
      </c>
    </row>
    <row r="327" spans="1:5">
      <c r="A327" s="118">
        <v>2454</v>
      </c>
      <c r="B327" s="60" t="s">
        <v>3960</v>
      </c>
      <c r="C327" s="121" t="s">
        <v>5568</v>
      </c>
      <c r="D327" s="118">
        <v>2454</v>
      </c>
      <c r="E327" s="60" t="str">
        <f>[1]!'2454.TW-Price'</f>
        <v>--</v>
      </c>
    </row>
    <row r="328" spans="1:5">
      <c r="A328" s="118">
        <v>2458</v>
      </c>
      <c r="B328" s="60" t="s">
        <v>3961</v>
      </c>
      <c r="C328" s="121" t="s">
        <v>5568</v>
      </c>
      <c r="D328" s="118">
        <v>2458</v>
      </c>
      <c r="E328" s="60" t="str">
        <f>[1]!'2458.TW-Price'</f>
        <v>--</v>
      </c>
    </row>
    <row r="329" spans="1:5">
      <c r="A329" s="118">
        <v>2481</v>
      </c>
      <c r="B329" s="60" t="s">
        <v>3962</v>
      </c>
      <c r="C329" s="121" t="s">
        <v>5568</v>
      </c>
      <c r="D329" s="118">
        <v>2481</v>
      </c>
      <c r="E329" s="60">
        <f>[1]!'2481.TW-Price'</f>
        <v>110.5</v>
      </c>
    </row>
    <row r="330" spans="1:5">
      <c r="A330" s="118">
        <v>3006</v>
      </c>
      <c r="B330" s="60" t="s">
        <v>3625</v>
      </c>
      <c r="C330" s="121" t="s">
        <v>5568</v>
      </c>
      <c r="D330" s="118">
        <v>3006</v>
      </c>
      <c r="E330" s="60">
        <f>[1]!'3006.TW-Price'</f>
        <v>162</v>
      </c>
    </row>
    <row r="331" spans="1:5">
      <c r="A331" s="118">
        <v>3014</v>
      </c>
      <c r="B331" s="60" t="s">
        <v>3963</v>
      </c>
      <c r="C331" s="121" t="s">
        <v>5568</v>
      </c>
      <c r="D331" s="118">
        <v>3014</v>
      </c>
      <c r="E331" s="60" t="str">
        <f>[1]!'3014.TW-Price'</f>
        <v>--</v>
      </c>
    </row>
    <row r="332" spans="1:5">
      <c r="A332" s="118">
        <v>3016</v>
      </c>
      <c r="B332" s="60" t="s">
        <v>3964</v>
      </c>
      <c r="C332" s="121" t="s">
        <v>5568</v>
      </c>
      <c r="D332" s="118">
        <v>3016</v>
      </c>
      <c r="E332" s="60" t="str">
        <f>[1]!'3016.TW-Price'</f>
        <v>--</v>
      </c>
    </row>
    <row r="333" spans="1:5">
      <c r="A333" s="118">
        <v>3034</v>
      </c>
      <c r="B333" s="60" t="s">
        <v>3965</v>
      </c>
      <c r="C333" s="121" t="s">
        <v>5568</v>
      </c>
      <c r="D333" s="118">
        <v>3034</v>
      </c>
      <c r="E333" s="60">
        <f>[1]!'3034.TW-Price'</f>
        <v>487.5</v>
      </c>
    </row>
    <row r="334" spans="1:5">
      <c r="A334" s="118">
        <v>3035</v>
      </c>
      <c r="B334" s="60" t="s">
        <v>3966</v>
      </c>
      <c r="C334" s="121" t="s">
        <v>5568</v>
      </c>
      <c r="D334" s="118">
        <v>3035</v>
      </c>
      <c r="E334" s="60" t="str">
        <f>[1]!'3035.TW-Price'</f>
        <v>--</v>
      </c>
    </row>
    <row r="335" spans="1:5">
      <c r="A335" s="118">
        <v>3041</v>
      </c>
      <c r="B335" s="60" t="s">
        <v>3967</v>
      </c>
      <c r="C335" s="121" t="s">
        <v>5568</v>
      </c>
      <c r="D335" s="118">
        <v>3041</v>
      </c>
      <c r="E335" s="60" t="str">
        <f>[1]!'3041.TW-Price'</f>
        <v>--</v>
      </c>
    </row>
    <row r="336" spans="1:5">
      <c r="A336" s="118">
        <v>3054</v>
      </c>
      <c r="B336" s="60" t="s">
        <v>3968</v>
      </c>
      <c r="C336" s="121" t="s">
        <v>5568</v>
      </c>
      <c r="D336" s="118">
        <v>3054</v>
      </c>
      <c r="E336" s="60" t="str">
        <f>[1]!'3054.TW-Price'</f>
        <v>--</v>
      </c>
    </row>
    <row r="337" spans="1:5">
      <c r="A337" s="118">
        <v>3094</v>
      </c>
      <c r="B337" s="60" t="s">
        <v>3969</v>
      </c>
      <c r="C337" s="121" t="s">
        <v>5568</v>
      </c>
      <c r="D337" s="118">
        <v>3094</v>
      </c>
      <c r="E337" s="60" t="str">
        <f>[1]!'3094.TW-Price'</f>
        <v>--</v>
      </c>
    </row>
    <row r="338" spans="1:5">
      <c r="A338" s="118">
        <v>3189</v>
      </c>
      <c r="B338" s="60" t="s">
        <v>3675</v>
      </c>
      <c r="C338" s="121" t="s">
        <v>5568</v>
      </c>
      <c r="D338" s="118">
        <v>3189</v>
      </c>
      <c r="E338" s="60" t="str">
        <f>[1]!'3189.TW-Price'</f>
        <v>--</v>
      </c>
    </row>
    <row r="339" spans="1:5">
      <c r="A339" s="118">
        <v>3257</v>
      </c>
      <c r="B339" s="60" t="s">
        <v>3970</v>
      </c>
      <c r="C339" s="121" t="s">
        <v>5568</v>
      </c>
      <c r="D339" s="118">
        <v>3257</v>
      </c>
      <c r="E339" s="60" t="str">
        <f>[1]!'3257.TW-Price'</f>
        <v>--</v>
      </c>
    </row>
    <row r="340" spans="1:5">
      <c r="A340" s="118">
        <v>3413</v>
      </c>
      <c r="B340" s="60" t="s">
        <v>3971</v>
      </c>
      <c r="C340" s="121" t="s">
        <v>5568</v>
      </c>
      <c r="D340" s="118">
        <v>3413</v>
      </c>
      <c r="E340" s="60" t="str">
        <f>[1]!'3413.TW-Price'</f>
        <v>--</v>
      </c>
    </row>
    <row r="341" spans="1:5">
      <c r="A341" s="118">
        <v>3443</v>
      </c>
      <c r="B341" s="60" t="s">
        <v>3652</v>
      </c>
      <c r="C341" s="121" t="s">
        <v>5568</v>
      </c>
      <c r="D341" s="118">
        <v>3443</v>
      </c>
      <c r="E341" s="60" t="str">
        <f>[1]!'3443.TW-Price'</f>
        <v>--</v>
      </c>
    </row>
    <row r="342" spans="1:5">
      <c r="A342" s="118">
        <v>3450</v>
      </c>
      <c r="B342" s="60" t="s">
        <v>4281</v>
      </c>
      <c r="C342" s="121" t="s">
        <v>5568</v>
      </c>
      <c r="D342" s="118">
        <v>3450</v>
      </c>
      <c r="E342" s="60" t="str">
        <f>[1]!'3450.TW-Price'</f>
        <v>--</v>
      </c>
    </row>
    <row r="343" spans="1:5">
      <c r="A343" s="118">
        <v>3530</v>
      </c>
      <c r="B343" s="60" t="s">
        <v>3972</v>
      </c>
      <c r="C343" s="121" t="s">
        <v>5568</v>
      </c>
      <c r="D343" s="118">
        <v>3530</v>
      </c>
      <c r="E343" s="60" t="str">
        <f>[1]!'3530.TW-Price'</f>
        <v>--</v>
      </c>
    </row>
    <row r="344" spans="1:5">
      <c r="A344" s="118">
        <v>3532</v>
      </c>
      <c r="B344" s="60" t="s">
        <v>3681</v>
      </c>
      <c r="C344" s="121" t="s">
        <v>5568</v>
      </c>
      <c r="D344" s="118">
        <v>3532</v>
      </c>
      <c r="E344" s="60" t="str">
        <f>[1]!'3532.TW-Price'</f>
        <v>--</v>
      </c>
    </row>
    <row r="345" spans="1:5">
      <c r="A345" s="118">
        <v>3536</v>
      </c>
      <c r="B345" s="60" t="s">
        <v>3612</v>
      </c>
      <c r="C345" s="121" t="s">
        <v>5568</v>
      </c>
      <c r="D345" s="118">
        <v>3536</v>
      </c>
      <c r="E345" s="60" t="str">
        <f>[1]!'3536.TW-Price'</f>
        <v>--</v>
      </c>
    </row>
    <row r="346" spans="1:5">
      <c r="A346" s="118">
        <v>3545</v>
      </c>
      <c r="B346" s="60" t="s">
        <v>3973</v>
      </c>
      <c r="C346" s="121" t="s">
        <v>5568</v>
      </c>
      <c r="D346" s="118">
        <v>3545</v>
      </c>
      <c r="E346" s="60">
        <f>[1]!'3545.TW-Price'</f>
        <v>170.5</v>
      </c>
    </row>
    <row r="347" spans="1:5">
      <c r="A347" s="118">
        <v>3583</v>
      </c>
      <c r="B347" s="60" t="s">
        <v>3974</v>
      </c>
      <c r="C347" s="121" t="s">
        <v>5568</v>
      </c>
      <c r="D347" s="118">
        <v>3583</v>
      </c>
      <c r="E347" s="60">
        <f>[1]!'3583.TW-Price'</f>
        <v>80</v>
      </c>
    </row>
    <row r="348" spans="1:5">
      <c r="A348" s="118">
        <v>3588</v>
      </c>
      <c r="B348" s="60" t="s">
        <v>3975</v>
      </c>
      <c r="C348" s="121" t="s">
        <v>5568</v>
      </c>
      <c r="D348" s="118">
        <v>3588</v>
      </c>
      <c r="E348" s="60">
        <f>[1]!'3588.TW-Price'</f>
        <v>154</v>
      </c>
    </row>
    <row r="349" spans="1:5">
      <c r="A349" s="118">
        <v>3661</v>
      </c>
      <c r="B349" s="60" t="s">
        <v>3976</v>
      </c>
      <c r="C349" s="121" t="s">
        <v>5569</v>
      </c>
      <c r="D349" s="118">
        <v>3661</v>
      </c>
      <c r="E349" s="60" t="str">
        <f>[1]!'3661.TW-Price'</f>
        <v>--</v>
      </c>
    </row>
    <row r="350" spans="1:5">
      <c r="A350" s="118">
        <v>3686</v>
      </c>
      <c r="B350" s="60" t="s">
        <v>3639</v>
      </c>
      <c r="C350" s="121" t="s">
        <v>5568</v>
      </c>
      <c r="D350" s="118">
        <v>3686</v>
      </c>
      <c r="E350" s="60" t="str">
        <f>[1]!'3686.TW-Price'</f>
        <v>--</v>
      </c>
    </row>
    <row r="351" spans="1:5">
      <c r="A351" s="118">
        <v>3711</v>
      </c>
      <c r="B351" s="60" t="s">
        <v>3655</v>
      </c>
      <c r="C351" s="121" t="s">
        <v>5568</v>
      </c>
      <c r="D351" s="118">
        <v>3711</v>
      </c>
      <c r="E351" s="60" t="str">
        <f>[1]!'3711.TW-Price'</f>
        <v>--</v>
      </c>
    </row>
    <row r="352" spans="1:5">
      <c r="A352" s="118">
        <v>4919</v>
      </c>
      <c r="B352" s="60" t="s">
        <v>3977</v>
      </c>
      <c r="C352" s="121" t="s">
        <v>5568</v>
      </c>
      <c r="D352" s="118">
        <v>4919</v>
      </c>
      <c r="E352" s="60" t="str">
        <f>[1]!'4919.TW-Price'</f>
        <v>--</v>
      </c>
    </row>
    <row r="353" spans="1:5">
      <c r="A353" s="118">
        <v>4952</v>
      </c>
      <c r="B353" s="60" t="s">
        <v>3978</v>
      </c>
      <c r="C353" s="121" t="s">
        <v>5568</v>
      </c>
      <c r="D353" s="118">
        <v>4952</v>
      </c>
      <c r="E353" s="60" t="str">
        <f>[1]!'4952.TW-Price'</f>
        <v>--</v>
      </c>
    </row>
    <row r="354" spans="1:5">
      <c r="A354" s="118">
        <v>4961</v>
      </c>
      <c r="B354" s="60" t="s">
        <v>3979</v>
      </c>
      <c r="C354" s="121" t="s">
        <v>5568</v>
      </c>
      <c r="D354" s="118">
        <v>4961</v>
      </c>
      <c r="E354" s="60">
        <f>[1]!'4961.TW-Price'</f>
        <v>260</v>
      </c>
    </row>
    <row r="355" spans="1:5">
      <c r="A355" s="118">
        <v>4967</v>
      </c>
      <c r="B355" s="60" t="s">
        <v>3980</v>
      </c>
      <c r="C355" s="121" t="s">
        <v>5568</v>
      </c>
      <c r="D355" s="118">
        <v>4967</v>
      </c>
      <c r="E355" s="60" t="str">
        <f>[1]!'4967.TW-Price'</f>
        <v>--</v>
      </c>
    </row>
    <row r="356" spans="1:5">
      <c r="A356" s="118">
        <v>4968</v>
      </c>
      <c r="B356" s="60" t="s">
        <v>3981</v>
      </c>
      <c r="C356" s="121" t="s">
        <v>5568</v>
      </c>
      <c r="D356" s="118">
        <v>4968</v>
      </c>
      <c r="E356" s="60" t="str">
        <f>[1]!'4968.TW-Price'</f>
        <v>--</v>
      </c>
    </row>
    <row r="357" spans="1:5">
      <c r="A357" s="118">
        <v>5222</v>
      </c>
      <c r="B357" s="60" t="s">
        <v>5303</v>
      </c>
      <c r="C357" s="121" t="s">
        <v>5568</v>
      </c>
      <c r="D357" s="118">
        <v>5222</v>
      </c>
      <c r="E357" s="60" t="str">
        <f>[1]!'5222.TW-Price'</f>
        <v>--</v>
      </c>
    </row>
    <row r="358" spans="1:5">
      <c r="A358" s="118">
        <v>5269</v>
      </c>
      <c r="B358" s="60" t="s">
        <v>3519</v>
      </c>
      <c r="C358" s="121" t="s">
        <v>5568</v>
      </c>
      <c r="D358" s="118">
        <v>5269</v>
      </c>
      <c r="E358" s="60" t="str">
        <f>[1]!'5269.TW-Price'</f>
        <v>--</v>
      </c>
    </row>
    <row r="359" spans="1:5">
      <c r="A359" s="118">
        <v>5285</v>
      </c>
      <c r="B359" s="60" t="s">
        <v>3982</v>
      </c>
      <c r="C359" s="121" t="s">
        <v>5568</v>
      </c>
      <c r="D359" s="118">
        <v>5285</v>
      </c>
      <c r="E359" s="60" t="str">
        <f>[1]!'5285.TW-Price'</f>
        <v>--</v>
      </c>
    </row>
    <row r="360" spans="1:5">
      <c r="A360" s="118">
        <v>5471</v>
      </c>
      <c r="B360" s="60" t="s">
        <v>3983</v>
      </c>
      <c r="C360" s="121" t="s">
        <v>5568</v>
      </c>
      <c r="D360" s="118">
        <v>5471</v>
      </c>
      <c r="E360" s="60" t="str">
        <f>[1]!'5471.TW-Price'</f>
        <v>--</v>
      </c>
    </row>
    <row r="361" spans="1:5">
      <c r="A361" s="118">
        <v>6202</v>
      </c>
      <c r="B361" s="60" t="s">
        <v>3984</v>
      </c>
      <c r="C361" s="121" t="s">
        <v>5568</v>
      </c>
      <c r="D361" s="118">
        <v>6202</v>
      </c>
      <c r="E361" s="60" t="str">
        <f>[1]!'6202.TW-Price'</f>
        <v>--</v>
      </c>
    </row>
    <row r="362" spans="1:5">
      <c r="A362" s="118">
        <v>6239</v>
      </c>
      <c r="B362" s="60" t="s">
        <v>3687</v>
      </c>
      <c r="C362" s="121" t="s">
        <v>5568</v>
      </c>
      <c r="D362" s="118">
        <v>6239</v>
      </c>
      <c r="E362" s="60" t="str">
        <f>[1]!'6239.TW-Price'</f>
        <v>--</v>
      </c>
    </row>
    <row r="363" spans="1:5">
      <c r="A363" s="118">
        <v>6257</v>
      </c>
      <c r="B363" s="60" t="s">
        <v>3985</v>
      </c>
      <c r="C363" s="121" t="s">
        <v>5568</v>
      </c>
      <c r="D363" s="118">
        <v>6257</v>
      </c>
      <c r="E363" s="60" t="str">
        <f>[1]!'6257.TW-Price'</f>
        <v>--</v>
      </c>
    </row>
    <row r="364" spans="1:5">
      <c r="A364" s="118">
        <v>6271</v>
      </c>
      <c r="B364" s="60" t="s">
        <v>3986</v>
      </c>
      <c r="C364" s="121" t="s">
        <v>5568</v>
      </c>
      <c r="D364" s="118">
        <v>6271</v>
      </c>
      <c r="E364" s="60">
        <f>[1]!'6271.TW-Price'</f>
        <v>317</v>
      </c>
    </row>
    <row r="365" spans="1:5">
      <c r="A365" s="118">
        <v>6415</v>
      </c>
      <c r="B365" s="60" t="s">
        <v>3987</v>
      </c>
      <c r="C365" s="121" t="s">
        <v>5569</v>
      </c>
      <c r="D365" s="118">
        <v>6415</v>
      </c>
      <c r="E365" s="60" t="str">
        <f>[1]!'6415.TW-Price'</f>
        <v>--</v>
      </c>
    </row>
    <row r="366" spans="1:5">
      <c r="A366" s="118">
        <v>6451</v>
      </c>
      <c r="B366" s="60" t="s">
        <v>3636</v>
      </c>
      <c r="C366" s="121" t="s">
        <v>5569</v>
      </c>
      <c r="D366" s="118">
        <v>6451</v>
      </c>
      <c r="E366" s="60" t="str">
        <f>[1]!'6451.TW-Price'</f>
        <v>--</v>
      </c>
    </row>
    <row r="367" spans="1:5">
      <c r="A367" s="118">
        <v>6515</v>
      </c>
      <c r="B367" s="60" t="s">
        <v>3988</v>
      </c>
      <c r="C367" s="121" t="s">
        <v>5568</v>
      </c>
      <c r="D367" s="118">
        <v>6515</v>
      </c>
      <c r="E367" s="60" t="str">
        <f>[1]!'6515.TW-Price'</f>
        <v>--</v>
      </c>
    </row>
    <row r="368" spans="1:5">
      <c r="A368" s="118">
        <v>6525</v>
      </c>
      <c r="B368" s="60" t="s">
        <v>3669</v>
      </c>
      <c r="C368" s="121" t="s">
        <v>5569</v>
      </c>
      <c r="D368" s="118">
        <v>6525</v>
      </c>
      <c r="E368" s="60" t="str">
        <f>[1]!'6525.TW-Price'</f>
        <v>--</v>
      </c>
    </row>
    <row r="369" spans="1:5">
      <c r="A369" s="118">
        <v>6531</v>
      </c>
      <c r="B369" s="60" t="s">
        <v>5513</v>
      </c>
      <c r="C369" s="121" t="s">
        <v>5568</v>
      </c>
      <c r="D369" s="118">
        <v>6531</v>
      </c>
      <c r="E369" s="60" t="str">
        <f>[1]!'6531.TW-Price'</f>
        <v>--</v>
      </c>
    </row>
    <row r="370" spans="1:5">
      <c r="A370" s="118">
        <v>6533</v>
      </c>
      <c r="B370" s="60" t="s">
        <v>3989</v>
      </c>
      <c r="C370" s="121" t="s">
        <v>5568</v>
      </c>
      <c r="D370" s="118">
        <v>6533</v>
      </c>
      <c r="E370" s="60" t="str">
        <f>[1]!'6533.TW-Price'</f>
        <v>--</v>
      </c>
    </row>
    <row r="371" spans="1:5">
      <c r="A371" s="118">
        <v>6552</v>
      </c>
      <c r="B371" s="60" t="s">
        <v>3990</v>
      </c>
      <c r="C371" s="121" t="s">
        <v>5568</v>
      </c>
      <c r="D371" s="118">
        <v>6552</v>
      </c>
      <c r="E371" s="60" t="str">
        <f>[1]!'6552.TW-Price'</f>
        <v>--</v>
      </c>
    </row>
    <row r="372" spans="1:5">
      <c r="A372" s="118">
        <v>6573</v>
      </c>
      <c r="B372" s="60" t="s">
        <v>3991</v>
      </c>
      <c r="C372" s="121" t="s">
        <v>5569</v>
      </c>
      <c r="D372" s="118">
        <v>6573</v>
      </c>
      <c r="E372" s="60" t="str">
        <f>[1]!'6573.TW-Price'</f>
        <v>--</v>
      </c>
    </row>
    <row r="373" spans="1:5">
      <c r="A373" s="118">
        <v>6756</v>
      </c>
      <c r="B373" s="60" t="s">
        <v>3992</v>
      </c>
      <c r="C373" s="121" t="s">
        <v>5568</v>
      </c>
      <c r="D373" s="118">
        <v>6756</v>
      </c>
      <c r="E373" s="60">
        <f>[1]!'6756.TW-Price'</f>
        <v>570</v>
      </c>
    </row>
    <row r="374" spans="1:5">
      <c r="A374" s="118">
        <v>8016</v>
      </c>
      <c r="B374" s="60" t="s">
        <v>3993</v>
      </c>
      <c r="C374" s="121" t="s">
        <v>5568</v>
      </c>
      <c r="D374" s="118">
        <v>8016</v>
      </c>
      <c r="E374" s="60" t="str">
        <f>[1]!'8016.TW-Price'</f>
        <v>--</v>
      </c>
    </row>
    <row r="375" spans="1:5">
      <c r="A375" s="118">
        <v>8028</v>
      </c>
      <c r="B375" s="60" t="s">
        <v>3994</v>
      </c>
      <c r="C375" s="121" t="s">
        <v>5568</v>
      </c>
      <c r="D375" s="118">
        <v>8028</v>
      </c>
      <c r="E375" s="60" t="str">
        <f>[1]!'8028.TW-Price'</f>
        <v>--</v>
      </c>
    </row>
    <row r="376" spans="1:5">
      <c r="A376" s="118">
        <v>8081</v>
      </c>
      <c r="B376" s="60" t="s">
        <v>3594</v>
      </c>
      <c r="C376" s="121" t="s">
        <v>5568</v>
      </c>
      <c r="D376" s="118">
        <v>8081</v>
      </c>
      <c r="E376" s="60" t="str">
        <f>[1]!'8081.TW-Price'</f>
        <v>--</v>
      </c>
    </row>
    <row r="377" spans="1:5">
      <c r="A377" s="118">
        <v>8110</v>
      </c>
      <c r="B377" s="60" t="s">
        <v>3995</v>
      </c>
      <c r="C377" s="121" t="s">
        <v>5568</v>
      </c>
      <c r="D377" s="118">
        <v>8110</v>
      </c>
      <c r="E377" s="60" t="str">
        <f>[1]!'8110.TW-Price'</f>
        <v>--</v>
      </c>
    </row>
    <row r="378" spans="1:5">
      <c r="A378" s="118">
        <v>8131</v>
      </c>
      <c r="B378" s="60" t="s">
        <v>3996</v>
      </c>
      <c r="C378" s="121" t="s">
        <v>5568</v>
      </c>
      <c r="D378" s="118">
        <v>8131</v>
      </c>
      <c r="E378" s="60" t="str">
        <f>[1]!'8131.TW-Price'</f>
        <v>--</v>
      </c>
    </row>
    <row r="379" spans="1:5">
      <c r="A379" s="118">
        <v>8150</v>
      </c>
      <c r="B379" s="60" t="s">
        <v>3997</v>
      </c>
      <c r="C379" s="121" t="s">
        <v>5568</v>
      </c>
      <c r="D379" s="118">
        <v>8150</v>
      </c>
      <c r="E379" s="60" t="str">
        <f>[1]!'8150.TW-Price'</f>
        <v>--</v>
      </c>
    </row>
    <row r="380" spans="1:5">
      <c r="A380" s="118">
        <v>8261</v>
      </c>
      <c r="B380" s="60" t="s">
        <v>3998</v>
      </c>
      <c r="C380" s="121" t="s">
        <v>5568</v>
      </c>
      <c r="D380" s="118">
        <v>8261</v>
      </c>
      <c r="E380" s="60" t="str">
        <f>[1]!'8261.TW-Price'</f>
        <v>--</v>
      </c>
    </row>
    <row r="381" spans="1:5">
      <c r="A381" s="118">
        <v>8271</v>
      </c>
      <c r="B381" s="60" t="s">
        <v>3999</v>
      </c>
      <c r="C381" s="121" t="s">
        <v>5568</v>
      </c>
      <c r="D381" s="118">
        <v>8271</v>
      </c>
      <c r="E381" s="60" t="str">
        <f>[1]!'8271.TW-Price'</f>
        <v>--</v>
      </c>
    </row>
    <row r="382" spans="1:5">
      <c r="A382" s="118">
        <v>2301</v>
      </c>
      <c r="B382" s="60" t="s">
        <v>4000</v>
      </c>
      <c r="C382" s="121" t="s">
        <v>5570</v>
      </c>
      <c r="D382" s="118">
        <v>2301</v>
      </c>
      <c r="E382" s="60">
        <f>[1]!'2301.TW-Price'</f>
        <v>61</v>
      </c>
    </row>
    <row r="383" spans="1:5">
      <c r="A383" s="118">
        <v>2305</v>
      </c>
      <c r="B383" s="60" t="s">
        <v>4001</v>
      </c>
      <c r="C383" s="121" t="s">
        <v>5570</v>
      </c>
      <c r="D383" s="118">
        <v>2305</v>
      </c>
      <c r="E383" s="60" t="str">
        <f>[1]!'2305.TW-Price'</f>
        <v>--</v>
      </c>
    </row>
    <row r="384" spans="1:5">
      <c r="A384" s="118">
        <v>2324</v>
      </c>
      <c r="B384" s="60" t="s">
        <v>4002</v>
      </c>
      <c r="C384" s="121" t="s">
        <v>5570</v>
      </c>
      <c r="D384" s="118">
        <v>2324</v>
      </c>
      <c r="E384" s="60">
        <f>[1]!'2324.TW-Price'</f>
        <v>23.7</v>
      </c>
    </row>
    <row r="385" spans="1:5">
      <c r="A385" s="118">
        <v>2331</v>
      </c>
      <c r="B385" s="60" t="s">
        <v>4003</v>
      </c>
      <c r="C385" s="121" t="s">
        <v>5570</v>
      </c>
      <c r="D385" s="118">
        <v>2331</v>
      </c>
      <c r="E385" s="60" t="str">
        <f>[1]!'2331.TW-Price'</f>
        <v>--</v>
      </c>
    </row>
    <row r="386" spans="1:5">
      <c r="A386" s="118">
        <v>2352</v>
      </c>
      <c r="B386" s="60" t="s">
        <v>4004</v>
      </c>
      <c r="C386" s="121" t="s">
        <v>5570</v>
      </c>
      <c r="D386" s="118">
        <v>2352</v>
      </c>
      <c r="E386" s="60" t="str">
        <f>[1]!'2352.TW-Price'</f>
        <v>--</v>
      </c>
    </row>
    <row r="387" spans="1:5">
      <c r="A387" s="118">
        <v>2353</v>
      </c>
      <c r="B387" s="60" t="s">
        <v>4005</v>
      </c>
      <c r="C387" s="121" t="s">
        <v>5570</v>
      </c>
      <c r="D387" s="118">
        <v>2353</v>
      </c>
      <c r="E387" s="60" t="str">
        <f>[1]!'2353.TW-Price'</f>
        <v>--</v>
      </c>
    </row>
    <row r="388" spans="1:5">
      <c r="A388" s="118">
        <v>2356</v>
      </c>
      <c r="B388" s="60" t="s">
        <v>4006</v>
      </c>
      <c r="C388" s="121" t="s">
        <v>5570</v>
      </c>
      <c r="D388" s="118">
        <v>2356</v>
      </c>
      <c r="E388" s="60" t="str">
        <f>[1]!'2356.TW-Price'</f>
        <v>--</v>
      </c>
    </row>
    <row r="389" spans="1:5">
      <c r="A389" s="118">
        <v>2357</v>
      </c>
      <c r="B389" s="60" t="s">
        <v>4007</v>
      </c>
      <c r="C389" s="121" t="s">
        <v>5570</v>
      </c>
      <c r="D389" s="118">
        <v>2357</v>
      </c>
      <c r="E389" s="60" t="str">
        <f>[1]!'2357.TW-Price'</f>
        <v>--</v>
      </c>
    </row>
    <row r="390" spans="1:5">
      <c r="A390" s="118">
        <v>2362</v>
      </c>
      <c r="B390" s="60" t="s">
        <v>4008</v>
      </c>
      <c r="C390" s="121" t="s">
        <v>5570</v>
      </c>
      <c r="D390" s="118">
        <v>2362</v>
      </c>
      <c r="E390" s="60" t="str">
        <f>[1]!'2362.TW-Price'</f>
        <v>--</v>
      </c>
    </row>
    <row r="391" spans="1:5">
      <c r="A391" s="118">
        <v>2364</v>
      </c>
      <c r="B391" s="60" t="s">
        <v>4009</v>
      </c>
      <c r="C391" s="121" t="s">
        <v>5570</v>
      </c>
      <c r="D391" s="118">
        <v>2364</v>
      </c>
      <c r="E391" s="60" t="str">
        <f>[1]!'2364.TW-Price'</f>
        <v>--</v>
      </c>
    </row>
    <row r="392" spans="1:5">
      <c r="A392" s="118">
        <v>2365</v>
      </c>
      <c r="B392" s="60" t="s">
        <v>4010</v>
      </c>
      <c r="C392" s="121" t="s">
        <v>5570</v>
      </c>
      <c r="D392" s="118">
        <v>2365</v>
      </c>
      <c r="E392" s="60" t="str">
        <f>[1]!'2365.TW-Price'</f>
        <v>--</v>
      </c>
    </row>
    <row r="393" spans="1:5">
      <c r="A393" s="118">
        <v>2376</v>
      </c>
      <c r="B393" s="60" t="s">
        <v>3690</v>
      </c>
      <c r="C393" s="121" t="s">
        <v>5570</v>
      </c>
      <c r="D393" s="118">
        <v>2376</v>
      </c>
      <c r="E393" s="60">
        <f>[1]!'2376.TW-Price'</f>
        <v>135</v>
      </c>
    </row>
    <row r="394" spans="1:5">
      <c r="A394" s="118">
        <v>2377</v>
      </c>
      <c r="B394" s="60" t="s">
        <v>4011</v>
      </c>
      <c r="C394" s="121" t="s">
        <v>5570</v>
      </c>
      <c r="D394" s="118">
        <v>2377</v>
      </c>
      <c r="E394" s="60" t="str">
        <f>[1]!'2377.TW-Price'</f>
        <v>--</v>
      </c>
    </row>
    <row r="395" spans="1:5">
      <c r="A395" s="118">
        <v>2380</v>
      </c>
      <c r="B395" s="60" t="s">
        <v>3635</v>
      </c>
      <c r="C395" s="121" t="s">
        <v>5570</v>
      </c>
      <c r="D395" s="118">
        <v>2380</v>
      </c>
      <c r="E395" s="60" t="str">
        <f>[1]!'2380.TW-Price'</f>
        <v>--</v>
      </c>
    </row>
    <row r="396" spans="1:5">
      <c r="A396" s="118">
        <v>2382</v>
      </c>
      <c r="B396" s="60" t="s">
        <v>4012</v>
      </c>
      <c r="C396" s="121" t="s">
        <v>5570</v>
      </c>
      <c r="D396" s="118">
        <v>2382</v>
      </c>
      <c r="E396" s="60" t="str">
        <f>[1]!'2382.TW-Price'</f>
        <v>--</v>
      </c>
    </row>
    <row r="397" spans="1:5">
      <c r="A397" s="118">
        <v>2387</v>
      </c>
      <c r="B397" s="60" t="s">
        <v>4013</v>
      </c>
      <c r="C397" s="121" t="s">
        <v>5570</v>
      </c>
      <c r="D397" s="118">
        <v>2387</v>
      </c>
      <c r="E397" s="60" t="str">
        <f>[1]!'2387.TW-Price'</f>
        <v>--</v>
      </c>
    </row>
    <row r="398" spans="1:5">
      <c r="A398" s="118">
        <v>2395</v>
      </c>
      <c r="B398" s="60" t="s">
        <v>3664</v>
      </c>
      <c r="C398" s="121" t="s">
        <v>5570</v>
      </c>
      <c r="D398" s="118">
        <v>2395</v>
      </c>
      <c r="E398" s="60" t="str">
        <f>[1]!'2395.TW-Price'</f>
        <v>--</v>
      </c>
    </row>
    <row r="399" spans="1:5">
      <c r="A399" s="118">
        <v>2397</v>
      </c>
      <c r="B399" s="60" t="s">
        <v>4014</v>
      </c>
      <c r="C399" s="121" t="s">
        <v>5570</v>
      </c>
      <c r="D399" s="118">
        <v>2397</v>
      </c>
      <c r="E399" s="60" t="str">
        <f>[1]!'2397.TW-Price'</f>
        <v>--</v>
      </c>
    </row>
    <row r="400" spans="1:5">
      <c r="A400" s="118">
        <v>2399</v>
      </c>
      <c r="B400" s="60" t="s">
        <v>3570</v>
      </c>
      <c r="C400" s="121" t="s">
        <v>5570</v>
      </c>
      <c r="D400" s="118">
        <v>2399</v>
      </c>
      <c r="E400" s="60">
        <f>[1]!'2399.TW-Price'</f>
        <v>22.85</v>
      </c>
    </row>
    <row r="401" spans="1:5">
      <c r="A401" s="118">
        <v>2405</v>
      </c>
      <c r="B401" s="60" t="s">
        <v>4015</v>
      </c>
      <c r="C401" s="121" t="s">
        <v>5570</v>
      </c>
      <c r="D401" s="118">
        <v>2405</v>
      </c>
      <c r="E401" s="60" t="str">
        <f>[1]!'2405.TW-Price'</f>
        <v>--</v>
      </c>
    </row>
    <row r="402" spans="1:5">
      <c r="A402" s="118">
        <v>2417</v>
      </c>
      <c r="B402" s="60" t="s">
        <v>3595</v>
      </c>
      <c r="C402" s="121" t="s">
        <v>5570</v>
      </c>
      <c r="D402" s="118">
        <v>2417</v>
      </c>
      <c r="E402" s="60" t="str">
        <f>[1]!'2417.TW-Price'</f>
        <v>--</v>
      </c>
    </row>
    <row r="403" spans="1:5">
      <c r="A403" s="118">
        <v>2424</v>
      </c>
      <c r="B403" s="60" t="s">
        <v>4016</v>
      </c>
      <c r="C403" s="121" t="s">
        <v>5570</v>
      </c>
      <c r="D403" s="118">
        <v>2424</v>
      </c>
      <c r="E403" s="60" t="str">
        <f>[1]!'2424.TW-Price'</f>
        <v>--</v>
      </c>
    </row>
    <row r="404" spans="1:5">
      <c r="A404" s="118">
        <v>2425</v>
      </c>
      <c r="B404" s="60" t="s">
        <v>4017</v>
      </c>
      <c r="C404" s="121" t="s">
        <v>5570</v>
      </c>
      <c r="D404" s="118">
        <v>2425</v>
      </c>
      <c r="E404" s="60" t="str">
        <f>[1]!'2425.TW-Price'</f>
        <v>--</v>
      </c>
    </row>
    <row r="405" spans="1:5">
      <c r="A405" s="118">
        <v>2442</v>
      </c>
      <c r="B405" s="60" t="s">
        <v>4018</v>
      </c>
      <c r="C405" s="121" t="s">
        <v>5570</v>
      </c>
      <c r="D405" s="118">
        <v>2442</v>
      </c>
      <c r="E405" s="60" t="str">
        <f>[1]!'2442.TW-Price'</f>
        <v>--</v>
      </c>
    </row>
    <row r="406" spans="1:5">
      <c r="A406" s="118">
        <v>2465</v>
      </c>
      <c r="B406" s="60" t="s">
        <v>3538</v>
      </c>
      <c r="C406" s="121" t="s">
        <v>5570</v>
      </c>
      <c r="D406" s="118">
        <v>2465</v>
      </c>
      <c r="E406" s="60">
        <f>[1]!'2465.TW-Price'</f>
        <v>70.2</v>
      </c>
    </row>
    <row r="407" spans="1:5">
      <c r="A407" s="118">
        <v>3002</v>
      </c>
      <c r="B407" s="60" t="s">
        <v>4019</v>
      </c>
      <c r="C407" s="121" t="s">
        <v>5570</v>
      </c>
      <c r="D407" s="118">
        <v>3002</v>
      </c>
      <c r="E407" s="60" t="str">
        <f>[1]!'3002.TW-Price'</f>
        <v>--</v>
      </c>
    </row>
    <row r="408" spans="1:5">
      <c r="A408" s="118">
        <v>3005</v>
      </c>
      <c r="B408" s="60" t="s">
        <v>4020</v>
      </c>
      <c r="C408" s="121" t="s">
        <v>5570</v>
      </c>
      <c r="D408" s="118">
        <v>3005</v>
      </c>
      <c r="E408" s="60" t="str">
        <f>[1]!'3005.TW-Price'</f>
        <v>--</v>
      </c>
    </row>
    <row r="409" spans="1:5">
      <c r="A409" s="118">
        <v>3013</v>
      </c>
      <c r="B409" s="60" t="s">
        <v>4021</v>
      </c>
      <c r="C409" s="121" t="s">
        <v>5570</v>
      </c>
      <c r="D409" s="118">
        <v>3013</v>
      </c>
      <c r="E409" s="60" t="str">
        <f>[1]!'3013.TW-Price'</f>
        <v>--</v>
      </c>
    </row>
    <row r="410" spans="1:5">
      <c r="A410" s="118">
        <v>3017</v>
      </c>
      <c r="B410" s="60" t="s">
        <v>3517</v>
      </c>
      <c r="C410" s="121" t="s">
        <v>5570</v>
      </c>
      <c r="D410" s="118">
        <v>3017</v>
      </c>
      <c r="E410" s="60">
        <f>[1]!'3017.TW-Price'</f>
        <v>89.4</v>
      </c>
    </row>
    <row r="411" spans="1:5">
      <c r="A411" s="118">
        <v>3022</v>
      </c>
      <c r="B411" s="60" t="s">
        <v>4022</v>
      </c>
      <c r="C411" s="121" t="s">
        <v>5570</v>
      </c>
      <c r="D411" s="118">
        <v>3022</v>
      </c>
      <c r="E411" s="60" t="str">
        <f>[1]!'3022.TW-Price'</f>
        <v>--</v>
      </c>
    </row>
    <row r="412" spans="1:5">
      <c r="A412" s="118">
        <v>3046</v>
      </c>
      <c r="B412" s="60" t="s">
        <v>4023</v>
      </c>
      <c r="C412" s="121" t="s">
        <v>5570</v>
      </c>
      <c r="D412" s="118">
        <v>3046</v>
      </c>
      <c r="E412" s="60" t="str">
        <f>[1]!'3046.TW-Price'</f>
        <v>--</v>
      </c>
    </row>
    <row r="413" spans="1:5">
      <c r="A413" s="118">
        <v>3057</v>
      </c>
      <c r="B413" s="60" t="s">
        <v>3580</v>
      </c>
      <c r="C413" s="121" t="s">
        <v>5570</v>
      </c>
      <c r="D413" s="118">
        <v>3057</v>
      </c>
      <c r="E413" s="60" t="str">
        <f>[1]!'3057.TW-Price'</f>
        <v>--</v>
      </c>
    </row>
    <row r="414" spans="1:5">
      <c r="A414" s="118">
        <v>3060</v>
      </c>
      <c r="B414" s="60" t="s">
        <v>4024</v>
      </c>
      <c r="C414" s="121" t="s">
        <v>5570</v>
      </c>
      <c r="D414" s="118">
        <v>3060</v>
      </c>
      <c r="E414" s="60" t="str">
        <f>[1]!'3060.TW-Price'</f>
        <v>--</v>
      </c>
    </row>
    <row r="415" spans="1:5">
      <c r="A415" s="118">
        <v>3231</v>
      </c>
      <c r="B415" s="60" t="s">
        <v>4025</v>
      </c>
      <c r="C415" s="121" t="s">
        <v>5570</v>
      </c>
      <c r="D415" s="118">
        <v>3231</v>
      </c>
      <c r="E415" s="60">
        <f>[1]!'3231.TW-Price'</f>
        <v>29.2</v>
      </c>
    </row>
    <row r="416" spans="1:5">
      <c r="A416" s="118">
        <v>3416</v>
      </c>
      <c r="B416" s="60" t="s">
        <v>4026</v>
      </c>
      <c r="C416" s="121" t="s">
        <v>5570</v>
      </c>
      <c r="D416" s="118">
        <v>3416</v>
      </c>
      <c r="E416" s="60" t="str">
        <f>[1]!'3416.TW-Price'</f>
        <v>--</v>
      </c>
    </row>
    <row r="417" spans="1:5">
      <c r="A417" s="118">
        <v>3494</v>
      </c>
      <c r="B417" s="60" t="s">
        <v>4027</v>
      </c>
      <c r="C417" s="121" t="s">
        <v>5570</v>
      </c>
      <c r="D417" s="118">
        <v>3494</v>
      </c>
      <c r="E417" s="60" t="str">
        <f>[1]!'3494.TW-Price'</f>
        <v>--</v>
      </c>
    </row>
    <row r="418" spans="1:5">
      <c r="A418" s="118">
        <v>3515</v>
      </c>
      <c r="B418" s="60" t="s">
        <v>4028</v>
      </c>
      <c r="C418" s="121" t="s">
        <v>5570</v>
      </c>
      <c r="D418" s="118">
        <v>3515</v>
      </c>
      <c r="E418" s="60" t="str">
        <f>[1]!'3515.TW-Price'</f>
        <v>--</v>
      </c>
    </row>
    <row r="419" spans="1:5">
      <c r="A419" s="118">
        <v>3701</v>
      </c>
      <c r="B419" s="60" t="s">
        <v>4029</v>
      </c>
      <c r="C419" s="121" t="s">
        <v>5570</v>
      </c>
      <c r="D419" s="118">
        <v>3701</v>
      </c>
      <c r="E419" s="60">
        <f>[1]!'3701.TW-Price'</f>
        <v>65.3</v>
      </c>
    </row>
    <row r="420" spans="1:5">
      <c r="A420" s="118">
        <v>3706</v>
      </c>
      <c r="B420" s="60" t="s">
        <v>4030</v>
      </c>
      <c r="C420" s="121" t="s">
        <v>5570</v>
      </c>
      <c r="D420" s="118">
        <v>3706</v>
      </c>
      <c r="E420" s="60" t="str">
        <f>[1]!'3706.TW-Price'</f>
        <v>--</v>
      </c>
    </row>
    <row r="421" spans="1:5">
      <c r="A421" s="118">
        <v>3712</v>
      </c>
      <c r="B421" s="60" t="s">
        <v>4031</v>
      </c>
      <c r="C421" s="121" t="s">
        <v>5570</v>
      </c>
      <c r="D421" s="118">
        <v>3712</v>
      </c>
      <c r="E421" s="60" t="str">
        <f>[1]!'3712.TW-Price'</f>
        <v>--</v>
      </c>
    </row>
    <row r="422" spans="1:5">
      <c r="A422" s="118">
        <v>4916</v>
      </c>
      <c r="B422" s="60" t="s">
        <v>4032</v>
      </c>
      <c r="C422" s="121" t="s">
        <v>5570</v>
      </c>
      <c r="D422" s="118">
        <v>4916</v>
      </c>
      <c r="E422" s="60" t="str">
        <f>[1]!'4916.TW-Price'</f>
        <v>--</v>
      </c>
    </row>
    <row r="423" spans="1:5">
      <c r="A423" s="118">
        <v>4938</v>
      </c>
      <c r="B423" s="60" t="s">
        <v>4033</v>
      </c>
      <c r="C423" s="121" t="s">
        <v>5570</v>
      </c>
      <c r="D423" s="118">
        <v>4938</v>
      </c>
      <c r="E423" s="60" t="str">
        <f>[1]!'4938.TW-Price'</f>
        <v>--</v>
      </c>
    </row>
    <row r="424" spans="1:5">
      <c r="A424" s="118">
        <v>5215</v>
      </c>
      <c r="B424" s="60" t="s">
        <v>4034</v>
      </c>
      <c r="C424" s="121" t="s">
        <v>5571</v>
      </c>
      <c r="D424" s="118">
        <v>5215</v>
      </c>
      <c r="E424" s="60" t="str">
        <f>[1]!'5215.TW-Price'</f>
        <v>--</v>
      </c>
    </row>
    <row r="425" spans="1:5">
      <c r="A425" s="118">
        <v>5258</v>
      </c>
      <c r="B425" s="60" t="s">
        <v>4035</v>
      </c>
      <c r="C425" s="121" t="s">
        <v>5570</v>
      </c>
      <c r="D425" s="118">
        <v>5258</v>
      </c>
      <c r="E425" s="60" t="str">
        <f>[1]!'5258.TW-Price'</f>
        <v>--</v>
      </c>
    </row>
    <row r="426" spans="1:5">
      <c r="A426" s="118">
        <v>6117</v>
      </c>
      <c r="B426" s="60" t="s">
        <v>4036</v>
      </c>
      <c r="C426" s="121" t="s">
        <v>5570</v>
      </c>
      <c r="D426" s="118">
        <v>6117</v>
      </c>
      <c r="E426" s="60" t="str">
        <f>[1]!'6117.TW-Price'</f>
        <v>--</v>
      </c>
    </row>
    <row r="427" spans="1:5">
      <c r="A427" s="118">
        <v>6128</v>
      </c>
      <c r="B427" s="60" t="s">
        <v>4037</v>
      </c>
      <c r="C427" s="121" t="s">
        <v>5570</v>
      </c>
      <c r="D427" s="118">
        <v>6128</v>
      </c>
      <c r="E427" s="60" t="str">
        <f>[1]!'6128.TW-Price'</f>
        <v>--</v>
      </c>
    </row>
    <row r="428" spans="1:5">
      <c r="A428" s="118">
        <v>6166</v>
      </c>
      <c r="B428" s="60" t="s">
        <v>4038</v>
      </c>
      <c r="C428" s="121" t="s">
        <v>5570</v>
      </c>
      <c r="D428" s="118">
        <v>6166</v>
      </c>
      <c r="E428" s="60" t="str">
        <f>[1]!'6166.TW-Price'</f>
        <v>--</v>
      </c>
    </row>
    <row r="429" spans="1:5">
      <c r="A429" s="118">
        <v>6172</v>
      </c>
      <c r="B429" s="60" t="s">
        <v>4039</v>
      </c>
      <c r="C429" s="121" t="s">
        <v>5570</v>
      </c>
      <c r="D429" s="118">
        <v>6172</v>
      </c>
      <c r="E429" s="60" t="str">
        <f>[1]!'6172.TW-Price'</f>
        <v>--</v>
      </c>
    </row>
    <row r="430" spans="1:5">
      <c r="A430" s="118">
        <v>6206</v>
      </c>
      <c r="B430" s="60" t="s">
        <v>4040</v>
      </c>
      <c r="C430" s="121" t="s">
        <v>5570</v>
      </c>
      <c r="D430" s="118">
        <v>6206</v>
      </c>
      <c r="E430" s="60" t="str">
        <f>[1]!'6206.TW-Price'</f>
        <v>--</v>
      </c>
    </row>
    <row r="431" spans="1:5">
      <c r="A431" s="118">
        <v>6230</v>
      </c>
      <c r="B431" s="60" t="s">
        <v>4041</v>
      </c>
      <c r="C431" s="121" t="s">
        <v>5570</v>
      </c>
      <c r="D431" s="118">
        <v>6230</v>
      </c>
      <c r="E431" s="60" t="str">
        <f>[1]!'6230.TW-Price'</f>
        <v>--</v>
      </c>
    </row>
    <row r="432" spans="1:5">
      <c r="A432" s="118">
        <v>6235</v>
      </c>
      <c r="B432" s="60" t="s">
        <v>4042</v>
      </c>
      <c r="C432" s="121" t="s">
        <v>5570</v>
      </c>
      <c r="D432" s="118">
        <v>6235</v>
      </c>
      <c r="E432" s="60" t="str">
        <f>[1]!'6235.TW-Price'</f>
        <v>--</v>
      </c>
    </row>
    <row r="433" spans="1:5">
      <c r="A433" s="118">
        <v>6277</v>
      </c>
      <c r="B433" s="60" t="s">
        <v>4043</v>
      </c>
      <c r="C433" s="121" t="s">
        <v>5570</v>
      </c>
      <c r="D433" s="118">
        <v>6277</v>
      </c>
      <c r="E433" s="60" t="str">
        <f>[1]!'6277.TW-Price'</f>
        <v>--</v>
      </c>
    </row>
    <row r="434" spans="1:5">
      <c r="A434" s="118">
        <v>6414</v>
      </c>
      <c r="B434" s="60" t="s">
        <v>3524</v>
      </c>
      <c r="C434" s="121" t="s">
        <v>5570</v>
      </c>
      <c r="D434" s="118">
        <v>6414</v>
      </c>
      <c r="E434" s="60" t="str">
        <f>[1]!'6414.TW-Price'</f>
        <v>--</v>
      </c>
    </row>
    <row r="435" spans="1:5">
      <c r="A435" s="118">
        <v>6579</v>
      </c>
      <c r="B435" s="60" t="s">
        <v>4044</v>
      </c>
      <c r="C435" s="121" t="s">
        <v>5570</v>
      </c>
      <c r="D435" s="118">
        <v>6579</v>
      </c>
      <c r="E435" s="60" t="str">
        <f>[1]!'6579.TW-Price'</f>
        <v>--</v>
      </c>
    </row>
    <row r="436" spans="1:5">
      <c r="A436" s="118">
        <v>6591</v>
      </c>
      <c r="B436" s="60" t="s">
        <v>4045</v>
      </c>
      <c r="C436" s="121" t="s">
        <v>5571</v>
      </c>
      <c r="D436" s="118">
        <v>6591</v>
      </c>
      <c r="E436" s="60" t="str">
        <f>[1]!'6591.TW-Price'</f>
        <v>--</v>
      </c>
    </row>
    <row r="437" spans="1:5">
      <c r="A437" s="118">
        <v>6669</v>
      </c>
      <c r="B437" s="60" t="s">
        <v>4046</v>
      </c>
      <c r="C437" s="121" t="s">
        <v>5570</v>
      </c>
      <c r="D437" s="118">
        <v>6669</v>
      </c>
      <c r="E437" s="60" t="str">
        <f>[1]!'6669.TW-Price'</f>
        <v>--</v>
      </c>
    </row>
    <row r="438" spans="1:5">
      <c r="A438" s="118">
        <v>8114</v>
      </c>
      <c r="B438" s="60" t="s">
        <v>4047</v>
      </c>
      <c r="C438" s="121" t="s">
        <v>5570</v>
      </c>
      <c r="D438" s="118">
        <v>8114</v>
      </c>
      <c r="E438" s="60" t="str">
        <f>[1]!'8114.TW-Price'</f>
        <v>--</v>
      </c>
    </row>
    <row r="439" spans="1:5">
      <c r="A439" s="118">
        <v>8163</v>
      </c>
      <c r="B439" s="60" t="s">
        <v>4048</v>
      </c>
      <c r="C439" s="121" t="s">
        <v>5570</v>
      </c>
      <c r="D439" s="118">
        <v>8163</v>
      </c>
      <c r="E439" s="60" t="str">
        <f>[1]!'8163.TW-Price'</f>
        <v>--</v>
      </c>
    </row>
    <row r="440" spans="1:5">
      <c r="A440" s="118">
        <v>8210</v>
      </c>
      <c r="B440" s="60" t="s">
        <v>4049</v>
      </c>
      <c r="C440" s="121" t="s">
        <v>5570</v>
      </c>
      <c r="D440" s="118">
        <v>8210</v>
      </c>
      <c r="E440" s="60" t="str">
        <f>[1]!'8210.TW-Price'</f>
        <v>--</v>
      </c>
    </row>
    <row r="441" spans="1:5">
      <c r="A441" s="118">
        <v>9912</v>
      </c>
      <c r="B441" s="60" t="s">
        <v>4050</v>
      </c>
      <c r="C441" s="121" t="s">
        <v>5570</v>
      </c>
      <c r="D441" s="118">
        <v>9912</v>
      </c>
      <c r="E441" s="60" t="str">
        <f>[1]!'9912.TW-Price'</f>
        <v>--</v>
      </c>
    </row>
    <row r="442" spans="1:5">
      <c r="A442" s="118">
        <v>2323</v>
      </c>
      <c r="B442" s="60" t="s">
        <v>4051</v>
      </c>
      <c r="C442" s="121" t="s">
        <v>5572</v>
      </c>
      <c r="D442" s="118">
        <v>2323</v>
      </c>
      <c r="E442" s="60" t="str">
        <f>[1]!'2323.TW-Price'</f>
        <v>--</v>
      </c>
    </row>
    <row r="443" spans="1:5">
      <c r="A443" s="118">
        <v>2340</v>
      </c>
      <c r="B443" s="60" t="s">
        <v>4052</v>
      </c>
      <c r="C443" s="121" t="s">
        <v>5572</v>
      </c>
      <c r="D443" s="118">
        <v>2340</v>
      </c>
      <c r="E443" s="60">
        <f>[1]!'2340.TW-Price'</f>
        <v>60.4</v>
      </c>
    </row>
    <row r="444" spans="1:5">
      <c r="A444" s="118">
        <v>2349</v>
      </c>
      <c r="B444" s="60" t="s">
        <v>4053</v>
      </c>
      <c r="C444" s="121" t="s">
        <v>5572</v>
      </c>
      <c r="D444" s="118">
        <v>2349</v>
      </c>
      <c r="E444" s="60" t="str">
        <f>[1]!'2349.TW-Price'</f>
        <v>--</v>
      </c>
    </row>
    <row r="445" spans="1:5">
      <c r="A445" s="118">
        <v>2374</v>
      </c>
      <c r="B445" s="60" t="s">
        <v>4054</v>
      </c>
      <c r="C445" s="121" t="s">
        <v>5572</v>
      </c>
      <c r="D445" s="118">
        <v>2374</v>
      </c>
      <c r="E445" s="60">
        <f>[1]!'2374.TW-Price'</f>
        <v>21.5</v>
      </c>
    </row>
    <row r="446" spans="1:5">
      <c r="A446" s="118">
        <v>2393</v>
      </c>
      <c r="B446" s="60" t="s">
        <v>3660</v>
      </c>
      <c r="C446" s="121" t="s">
        <v>5572</v>
      </c>
      <c r="D446" s="118">
        <v>2393</v>
      </c>
      <c r="E446" s="60" t="str">
        <f>[1]!'2393.TW-Price'</f>
        <v>--</v>
      </c>
    </row>
    <row r="447" spans="1:5">
      <c r="A447" s="118">
        <v>2406</v>
      </c>
      <c r="B447" s="60" t="s">
        <v>49</v>
      </c>
      <c r="C447" s="121" t="s">
        <v>5572</v>
      </c>
      <c r="D447" s="118">
        <v>2406</v>
      </c>
      <c r="E447" s="60">
        <f>[1]!'2406.TW-Price'</f>
        <v>23.9</v>
      </c>
    </row>
    <row r="448" spans="1:5">
      <c r="A448" s="118">
        <v>2409</v>
      </c>
      <c r="B448" s="60" t="s">
        <v>4055</v>
      </c>
      <c r="C448" s="121" t="s">
        <v>5572</v>
      </c>
      <c r="D448" s="118">
        <v>2409</v>
      </c>
      <c r="E448" s="60">
        <f>[1]!'2409.TW-Price'</f>
        <v>21.2</v>
      </c>
    </row>
    <row r="449" spans="1:5">
      <c r="A449" s="118">
        <v>2426</v>
      </c>
      <c r="B449" s="60" t="s">
        <v>4056</v>
      </c>
      <c r="C449" s="121" t="s">
        <v>5572</v>
      </c>
      <c r="D449" s="118">
        <v>2426</v>
      </c>
      <c r="E449" s="60">
        <f>[1]!'2426.TW-Price'</f>
        <v>28.8</v>
      </c>
    </row>
    <row r="450" spans="1:5">
      <c r="A450" s="118">
        <v>2429</v>
      </c>
      <c r="B450" s="60" t="s">
        <v>4161</v>
      </c>
      <c r="C450" s="121" t="s">
        <v>5572</v>
      </c>
      <c r="D450" s="118">
        <v>2429</v>
      </c>
      <c r="E450" s="60" t="str">
        <f>[1]!'2429.TW-Price'</f>
        <v>--</v>
      </c>
    </row>
    <row r="451" spans="1:5">
      <c r="A451" s="118">
        <v>2438</v>
      </c>
      <c r="B451" s="60" t="s">
        <v>4057</v>
      </c>
      <c r="C451" s="121" t="s">
        <v>5572</v>
      </c>
      <c r="D451" s="118">
        <v>2438</v>
      </c>
      <c r="E451" s="60" t="str">
        <f>[1]!'2438.TW-Price'</f>
        <v>--</v>
      </c>
    </row>
    <row r="452" spans="1:5">
      <c r="A452" s="118">
        <v>2466</v>
      </c>
      <c r="B452" s="60" t="s">
        <v>4058</v>
      </c>
      <c r="C452" s="121" t="s">
        <v>5572</v>
      </c>
      <c r="D452" s="118">
        <v>2466</v>
      </c>
      <c r="E452" s="60" t="str">
        <f>[1]!'2466.TW-Price'</f>
        <v>--</v>
      </c>
    </row>
    <row r="453" spans="1:5">
      <c r="A453" s="118">
        <v>2486</v>
      </c>
      <c r="B453" s="60" t="s">
        <v>4059</v>
      </c>
      <c r="C453" s="121" t="s">
        <v>5572</v>
      </c>
      <c r="D453" s="118">
        <v>2486</v>
      </c>
      <c r="E453" s="60">
        <f>[1]!'2486.TW-Price'</f>
        <v>56.2</v>
      </c>
    </row>
    <row r="454" spans="1:5">
      <c r="A454" s="118">
        <v>2491</v>
      </c>
      <c r="B454" s="60" t="s">
        <v>3541</v>
      </c>
      <c r="C454" s="121" t="s">
        <v>5572</v>
      </c>
      <c r="D454" s="118">
        <v>2491</v>
      </c>
      <c r="E454" s="60" t="str">
        <f>[1]!'2491.TW-Price'</f>
        <v>--</v>
      </c>
    </row>
    <row r="455" spans="1:5">
      <c r="A455" s="118">
        <v>3008</v>
      </c>
      <c r="B455" s="60" t="s">
        <v>4060</v>
      </c>
      <c r="C455" s="121" t="s">
        <v>5572</v>
      </c>
      <c r="D455" s="118">
        <v>3008</v>
      </c>
      <c r="E455" s="60" t="str">
        <f>[1]!'3008.TW-Price'</f>
        <v>--</v>
      </c>
    </row>
    <row r="456" spans="1:5">
      <c r="A456" s="118">
        <v>3019</v>
      </c>
      <c r="B456" s="60" t="s">
        <v>4061</v>
      </c>
      <c r="C456" s="121" t="s">
        <v>5572</v>
      </c>
      <c r="D456" s="118">
        <v>3019</v>
      </c>
      <c r="E456" s="60" t="str">
        <f>[1]!'3019.TW-Price'</f>
        <v>--</v>
      </c>
    </row>
    <row r="457" spans="1:5">
      <c r="A457" s="118">
        <v>3024</v>
      </c>
      <c r="B457" s="60" t="s">
        <v>4062</v>
      </c>
      <c r="C457" s="121" t="s">
        <v>5572</v>
      </c>
      <c r="D457" s="118">
        <v>3024</v>
      </c>
      <c r="E457" s="60" t="str">
        <f>[1]!'3024.TW-Price'</f>
        <v>--</v>
      </c>
    </row>
    <row r="458" spans="1:5">
      <c r="A458" s="118">
        <v>3031</v>
      </c>
      <c r="B458" s="60" t="s">
        <v>4063</v>
      </c>
      <c r="C458" s="121" t="s">
        <v>5572</v>
      </c>
      <c r="D458" s="118">
        <v>3031</v>
      </c>
      <c r="E458" s="60">
        <f>[1]!'3031.TW-Price'</f>
        <v>25.55</v>
      </c>
    </row>
    <row r="459" spans="1:5">
      <c r="A459" s="118">
        <v>3038</v>
      </c>
      <c r="B459" s="60" t="s">
        <v>4064</v>
      </c>
      <c r="C459" s="121" t="s">
        <v>5572</v>
      </c>
      <c r="D459" s="118">
        <v>3038</v>
      </c>
      <c r="E459" s="60" t="str">
        <f>[1]!'3038.TW-Price'</f>
        <v>--</v>
      </c>
    </row>
    <row r="460" spans="1:5">
      <c r="A460" s="118">
        <v>3049</v>
      </c>
      <c r="B460" s="60" t="s">
        <v>4065</v>
      </c>
      <c r="C460" s="121" t="s">
        <v>5572</v>
      </c>
      <c r="D460" s="118">
        <v>3049</v>
      </c>
      <c r="E460" s="60">
        <f>[1]!'3049.TW-Price'</f>
        <v>14.8</v>
      </c>
    </row>
    <row r="461" spans="1:5">
      <c r="A461" s="118">
        <v>3050</v>
      </c>
      <c r="B461" s="60" t="s">
        <v>4066</v>
      </c>
      <c r="C461" s="121" t="s">
        <v>5572</v>
      </c>
      <c r="D461" s="118">
        <v>3050</v>
      </c>
      <c r="E461" s="60" t="str">
        <f>[1]!'3050.TW-Price'</f>
        <v>--</v>
      </c>
    </row>
    <row r="462" spans="1:5">
      <c r="A462" s="118">
        <v>3051</v>
      </c>
      <c r="B462" s="60" t="s">
        <v>4067</v>
      </c>
      <c r="C462" s="121" t="s">
        <v>5572</v>
      </c>
      <c r="D462" s="118">
        <v>3051</v>
      </c>
      <c r="E462" s="60" t="str">
        <f>[1]!'3051.TW-Price'</f>
        <v>--</v>
      </c>
    </row>
    <row r="463" spans="1:5">
      <c r="A463" s="118">
        <v>3059</v>
      </c>
      <c r="B463" s="60" t="s">
        <v>4068</v>
      </c>
      <c r="C463" s="121" t="s">
        <v>5572</v>
      </c>
      <c r="D463" s="118">
        <v>3059</v>
      </c>
      <c r="E463" s="60" t="str">
        <f>[1]!'3059.TW-Price'</f>
        <v>--</v>
      </c>
    </row>
    <row r="464" spans="1:5">
      <c r="A464" s="118">
        <v>3149</v>
      </c>
      <c r="B464" s="60" t="s">
        <v>4069</v>
      </c>
      <c r="C464" s="121" t="s">
        <v>5572</v>
      </c>
      <c r="D464" s="118">
        <v>3149</v>
      </c>
      <c r="E464" s="60" t="str">
        <f>[1]!'3149.TW-Price'</f>
        <v>--</v>
      </c>
    </row>
    <row r="465" spans="1:5">
      <c r="A465" s="118">
        <v>3356</v>
      </c>
      <c r="B465" s="60" t="s">
        <v>4070</v>
      </c>
      <c r="C465" s="121" t="s">
        <v>5572</v>
      </c>
      <c r="D465" s="118">
        <v>3356</v>
      </c>
      <c r="E465" s="60" t="str">
        <f>[1]!'3356.TW-Price'</f>
        <v>--</v>
      </c>
    </row>
    <row r="466" spans="1:5">
      <c r="A466" s="118">
        <v>3383</v>
      </c>
      <c r="B466" s="60" t="s">
        <v>4071</v>
      </c>
      <c r="C466" s="121" t="s">
        <v>5572</v>
      </c>
      <c r="D466" s="118">
        <v>3383</v>
      </c>
      <c r="E466" s="60" t="str">
        <f>[1]!'3383.TW-Price'</f>
        <v>--</v>
      </c>
    </row>
    <row r="467" spans="1:5">
      <c r="A467" s="118">
        <v>3406</v>
      </c>
      <c r="B467" s="60" t="s">
        <v>4072</v>
      </c>
      <c r="C467" s="121" t="s">
        <v>5572</v>
      </c>
      <c r="D467" s="118">
        <v>3406</v>
      </c>
      <c r="E467" s="60">
        <f>[1]!'3406.TW-Price'</f>
        <v>521</v>
      </c>
    </row>
    <row r="468" spans="1:5">
      <c r="A468" s="118">
        <v>3437</v>
      </c>
      <c r="B468" s="60" t="s">
        <v>4073</v>
      </c>
      <c r="C468" s="121" t="s">
        <v>5572</v>
      </c>
      <c r="D468" s="118">
        <v>3437</v>
      </c>
      <c r="E468" s="60">
        <f>[1]!'3437.TW-Price'</f>
        <v>25.9</v>
      </c>
    </row>
    <row r="469" spans="1:5">
      <c r="A469" s="118">
        <v>3454</v>
      </c>
      <c r="B469" s="60" t="s">
        <v>4074</v>
      </c>
      <c r="C469" s="121" t="s">
        <v>5572</v>
      </c>
      <c r="D469" s="118">
        <v>3454</v>
      </c>
      <c r="E469" s="60" t="str">
        <f>[1]!'3454.TW-Price'</f>
        <v>--</v>
      </c>
    </row>
    <row r="470" spans="1:5">
      <c r="A470" s="118">
        <v>3481</v>
      </c>
      <c r="B470" s="60" t="s">
        <v>4075</v>
      </c>
      <c r="C470" s="121" t="s">
        <v>5572</v>
      </c>
      <c r="D470" s="118">
        <v>3481</v>
      </c>
      <c r="E470" s="60">
        <f>[1]!'3481.TW-Price'</f>
        <v>18.75</v>
      </c>
    </row>
    <row r="471" spans="1:5">
      <c r="A471" s="118">
        <v>3504</v>
      </c>
      <c r="B471" s="60" t="s">
        <v>4076</v>
      </c>
      <c r="C471" s="121" t="s">
        <v>5572</v>
      </c>
      <c r="D471" s="118">
        <v>3504</v>
      </c>
      <c r="E471" s="60" t="str">
        <f>[1]!'3504.TW-Price'</f>
        <v>--</v>
      </c>
    </row>
    <row r="472" spans="1:5">
      <c r="A472" s="118">
        <v>3535</v>
      </c>
      <c r="B472" s="60" t="s">
        <v>4077</v>
      </c>
      <c r="C472" s="121" t="s">
        <v>5572</v>
      </c>
      <c r="D472" s="118">
        <v>3535</v>
      </c>
      <c r="E472" s="60" t="str">
        <f>[1]!'3535.TW-Price'</f>
        <v>--</v>
      </c>
    </row>
    <row r="473" spans="1:5">
      <c r="A473" s="118">
        <v>3543</v>
      </c>
      <c r="B473" s="60" t="s">
        <v>4078</v>
      </c>
      <c r="C473" s="121" t="s">
        <v>5572</v>
      </c>
      <c r="D473" s="118">
        <v>3543</v>
      </c>
      <c r="E473" s="60" t="str">
        <f>[1]!'3543.TW-Price'</f>
        <v>--</v>
      </c>
    </row>
    <row r="474" spans="1:5">
      <c r="A474" s="118">
        <v>3563</v>
      </c>
      <c r="B474" s="60" t="s">
        <v>4079</v>
      </c>
      <c r="C474" s="121" t="s">
        <v>5572</v>
      </c>
      <c r="D474" s="118">
        <v>3563</v>
      </c>
      <c r="E474" s="60" t="str">
        <f>[1]!'3563.TW-Price'</f>
        <v>--</v>
      </c>
    </row>
    <row r="475" spans="1:5">
      <c r="A475" s="118">
        <v>3576</v>
      </c>
      <c r="B475" s="60" t="s">
        <v>3646</v>
      </c>
      <c r="C475" s="121" t="s">
        <v>5572</v>
      </c>
      <c r="D475" s="118">
        <v>3576</v>
      </c>
      <c r="E475" s="60" t="str">
        <f>[1]!'3576.TW-Price'</f>
        <v>--</v>
      </c>
    </row>
    <row r="476" spans="1:5">
      <c r="A476" s="118">
        <v>3591</v>
      </c>
      <c r="B476" s="60" t="s">
        <v>3649</v>
      </c>
      <c r="C476" s="121" t="s">
        <v>5572</v>
      </c>
      <c r="D476" s="118">
        <v>3591</v>
      </c>
      <c r="E476" s="60" t="str">
        <f>[1]!'3591.TW-Price'</f>
        <v>--</v>
      </c>
    </row>
    <row r="477" spans="1:5">
      <c r="A477" s="118">
        <v>3622</v>
      </c>
      <c r="B477" s="60" t="s">
        <v>4080</v>
      </c>
      <c r="C477" s="121" t="s">
        <v>5572</v>
      </c>
      <c r="D477" s="118">
        <v>3622</v>
      </c>
      <c r="E477" s="60" t="str">
        <f>[1]!'3622.TW-Price'</f>
        <v>--</v>
      </c>
    </row>
    <row r="478" spans="1:5">
      <c r="A478" s="118">
        <v>3673</v>
      </c>
      <c r="B478" s="60" t="s">
        <v>1813</v>
      </c>
      <c r="C478" s="121" t="s">
        <v>5573</v>
      </c>
      <c r="D478" s="118">
        <v>3673</v>
      </c>
      <c r="E478" s="60" t="str">
        <f>[1]!'3673.TW-Price'</f>
        <v>--</v>
      </c>
    </row>
    <row r="479" spans="1:5">
      <c r="A479" s="118">
        <v>3714</v>
      </c>
      <c r="B479" s="60" t="s">
        <v>4082</v>
      </c>
      <c r="C479" s="121" t="s">
        <v>5572</v>
      </c>
      <c r="D479" s="118">
        <v>3714</v>
      </c>
      <c r="E479" s="60">
        <f>[1]!'3714.TW-Price'</f>
        <v>80.599999999999994</v>
      </c>
    </row>
    <row r="480" spans="1:5">
      <c r="A480" s="118">
        <v>4934</v>
      </c>
      <c r="B480" s="60" t="s">
        <v>4083</v>
      </c>
      <c r="C480" s="121" t="s">
        <v>5572</v>
      </c>
      <c r="D480" s="118">
        <v>4934</v>
      </c>
      <c r="E480" s="60" t="str">
        <f>[1]!'4934.TW-Price'</f>
        <v>--</v>
      </c>
    </row>
    <row r="481" spans="1:5">
      <c r="A481" s="118">
        <v>4935</v>
      </c>
      <c r="B481" s="60" t="s">
        <v>4084</v>
      </c>
      <c r="C481" s="121" t="s">
        <v>5573</v>
      </c>
      <c r="D481" s="118">
        <v>4935</v>
      </c>
      <c r="E481" s="60" t="str">
        <f>[1]!'4935.TW-Price'</f>
        <v>--</v>
      </c>
    </row>
    <row r="482" spans="1:5">
      <c r="A482" s="118">
        <v>4942</v>
      </c>
      <c r="B482" s="60" t="s">
        <v>4085</v>
      </c>
      <c r="C482" s="121" t="s">
        <v>5572</v>
      </c>
      <c r="D482" s="118">
        <v>4942</v>
      </c>
      <c r="E482" s="60" t="str">
        <f>[1]!'4942.TW-Price'</f>
        <v>--</v>
      </c>
    </row>
    <row r="483" spans="1:5">
      <c r="A483" s="118">
        <v>4956</v>
      </c>
      <c r="B483" s="60" t="s">
        <v>4086</v>
      </c>
      <c r="C483" s="121" t="s">
        <v>5572</v>
      </c>
      <c r="D483" s="118">
        <v>4956</v>
      </c>
      <c r="E483" s="60" t="str">
        <f>[1]!'4956.TW-Price'</f>
        <v>--</v>
      </c>
    </row>
    <row r="484" spans="1:5">
      <c r="A484" s="118">
        <v>4960</v>
      </c>
      <c r="B484" s="60" t="s">
        <v>4087</v>
      </c>
      <c r="C484" s="121" t="s">
        <v>5572</v>
      </c>
      <c r="D484" s="118">
        <v>4960</v>
      </c>
      <c r="E484" s="60">
        <f>[1]!'4960.TW-Price'</f>
        <v>13.1</v>
      </c>
    </row>
    <row r="485" spans="1:5">
      <c r="A485" s="118">
        <v>4976</v>
      </c>
      <c r="B485" s="60" t="s">
        <v>3596</v>
      </c>
      <c r="C485" s="121" t="s">
        <v>5572</v>
      </c>
      <c r="D485" s="118">
        <v>4976</v>
      </c>
      <c r="E485" s="60" t="str">
        <f>[1]!'4976.TW-Price'</f>
        <v>--</v>
      </c>
    </row>
    <row r="486" spans="1:5">
      <c r="A486" s="118">
        <v>5234</v>
      </c>
      <c r="B486" s="60" t="s">
        <v>4088</v>
      </c>
      <c r="C486" s="121" t="s">
        <v>5572</v>
      </c>
      <c r="D486" s="118">
        <v>5234</v>
      </c>
      <c r="E486" s="60" t="str">
        <f>[1]!'5234.TW-Price'</f>
        <v>--</v>
      </c>
    </row>
    <row r="487" spans="1:5">
      <c r="A487" s="118">
        <v>5243</v>
      </c>
      <c r="B487" s="60" t="s">
        <v>4089</v>
      </c>
      <c r="C487" s="121" t="s">
        <v>5573</v>
      </c>
      <c r="D487" s="118">
        <v>5243</v>
      </c>
      <c r="E487" s="60" t="str">
        <f>[1]!'5243.TW-Price'</f>
        <v>--</v>
      </c>
    </row>
    <row r="488" spans="1:5">
      <c r="A488" s="118">
        <v>6116</v>
      </c>
      <c r="B488" s="60" t="s">
        <v>4090</v>
      </c>
      <c r="C488" s="121" t="s">
        <v>5572</v>
      </c>
      <c r="D488" s="118">
        <v>6116</v>
      </c>
      <c r="E488" s="60" t="str">
        <f>[1]!'6116.TW-Price'</f>
        <v>--</v>
      </c>
    </row>
    <row r="489" spans="1:5">
      <c r="A489" s="118">
        <v>6120</v>
      </c>
      <c r="B489" s="60" t="s">
        <v>4091</v>
      </c>
      <c r="C489" s="121" t="s">
        <v>5572</v>
      </c>
      <c r="D489" s="118">
        <v>6120</v>
      </c>
      <c r="E489" s="60" t="str">
        <f>[1]!'6120.TW-Price'</f>
        <v>--</v>
      </c>
    </row>
    <row r="490" spans="1:5">
      <c r="A490" s="118">
        <v>6164</v>
      </c>
      <c r="B490" s="60" t="s">
        <v>4092</v>
      </c>
      <c r="C490" s="121" t="s">
        <v>5572</v>
      </c>
      <c r="D490" s="118">
        <v>6164</v>
      </c>
      <c r="E490" s="60" t="str">
        <f>[1]!'6164.TW-Price'</f>
        <v>--</v>
      </c>
    </row>
    <row r="491" spans="1:5">
      <c r="A491" s="118">
        <v>6168</v>
      </c>
      <c r="B491" s="60" t="s">
        <v>4093</v>
      </c>
      <c r="C491" s="121" t="s">
        <v>5572</v>
      </c>
      <c r="D491" s="118">
        <v>6168</v>
      </c>
      <c r="E491" s="60" t="str">
        <f>[1]!'6168.TW-Price'</f>
        <v>--</v>
      </c>
    </row>
    <row r="492" spans="1:5">
      <c r="A492" s="118">
        <v>6176</v>
      </c>
      <c r="B492" s="60" t="s">
        <v>4094</v>
      </c>
      <c r="C492" s="121" t="s">
        <v>5572</v>
      </c>
      <c r="D492" s="118">
        <v>6176</v>
      </c>
      <c r="E492" s="60" t="str">
        <f>[1]!'6176.TW-Price'</f>
        <v>--</v>
      </c>
    </row>
    <row r="493" spans="1:5">
      <c r="A493" s="118">
        <v>6209</v>
      </c>
      <c r="B493" s="60" t="s">
        <v>4095</v>
      </c>
      <c r="C493" s="121" t="s">
        <v>5572</v>
      </c>
      <c r="D493" s="118">
        <v>6209</v>
      </c>
      <c r="E493" s="60" t="str">
        <f>[1]!'6209.TW-Price'</f>
        <v>--</v>
      </c>
    </row>
    <row r="494" spans="1:5">
      <c r="A494" s="118">
        <v>6225</v>
      </c>
      <c r="B494" s="60" t="s">
        <v>4096</v>
      </c>
      <c r="C494" s="121" t="s">
        <v>5572</v>
      </c>
      <c r="D494" s="118">
        <v>6225</v>
      </c>
      <c r="E494" s="60" t="str">
        <f>[1]!'6225.TW-Price'</f>
        <v>--</v>
      </c>
    </row>
    <row r="495" spans="1:5">
      <c r="A495" s="118">
        <v>6226</v>
      </c>
      <c r="B495" s="60" t="s">
        <v>4097</v>
      </c>
      <c r="C495" s="121" t="s">
        <v>5572</v>
      </c>
      <c r="D495" s="118">
        <v>6226</v>
      </c>
      <c r="E495" s="60" t="str">
        <f>[1]!'6226.TW-Price'</f>
        <v>--</v>
      </c>
    </row>
    <row r="496" spans="1:5">
      <c r="A496" s="118">
        <v>6278</v>
      </c>
      <c r="B496" s="60" t="s">
        <v>4098</v>
      </c>
      <c r="C496" s="121" t="s">
        <v>5572</v>
      </c>
      <c r="D496" s="118">
        <v>6278</v>
      </c>
      <c r="E496" s="60">
        <f>[1]!'6278.TW-Price'</f>
        <v>119</v>
      </c>
    </row>
    <row r="497" spans="1:5">
      <c r="A497" s="118">
        <v>6289</v>
      </c>
      <c r="B497" s="60" t="s">
        <v>4099</v>
      </c>
      <c r="C497" s="121" t="s">
        <v>5572</v>
      </c>
      <c r="D497" s="118">
        <v>6289</v>
      </c>
      <c r="E497" s="60" t="str">
        <f>[1]!'6289.TW-Price'</f>
        <v>--</v>
      </c>
    </row>
    <row r="498" spans="1:5">
      <c r="A498" s="118">
        <v>6405</v>
      </c>
      <c r="B498" s="60" t="s">
        <v>4100</v>
      </c>
      <c r="C498" s="121" t="s">
        <v>5572</v>
      </c>
      <c r="D498" s="118">
        <v>6405</v>
      </c>
      <c r="E498" s="60" t="str">
        <f>[1]!'6405.TW-Price'</f>
        <v>--</v>
      </c>
    </row>
    <row r="499" spans="1:5">
      <c r="A499" s="118">
        <v>6431</v>
      </c>
      <c r="B499" s="60" t="s">
        <v>4101</v>
      </c>
      <c r="C499" s="121" t="s">
        <v>5573</v>
      </c>
      <c r="D499" s="118">
        <v>6431</v>
      </c>
      <c r="E499" s="60" t="str">
        <f>[1]!'6431.TW-Price'</f>
        <v>--</v>
      </c>
    </row>
    <row r="500" spans="1:5">
      <c r="A500" s="118">
        <v>6443</v>
      </c>
      <c r="B500" s="60" t="s">
        <v>44</v>
      </c>
      <c r="C500" s="121" t="s">
        <v>5572</v>
      </c>
      <c r="D500" s="118">
        <v>6443</v>
      </c>
      <c r="E500" s="60">
        <f>[1]!'6443.TW-Price'</f>
        <v>37.85</v>
      </c>
    </row>
    <row r="501" spans="1:5">
      <c r="A501" s="118">
        <v>6456</v>
      </c>
      <c r="B501" s="60" t="s">
        <v>2772</v>
      </c>
      <c r="C501" s="121" t="s">
        <v>5573</v>
      </c>
      <c r="D501" s="118">
        <v>6456</v>
      </c>
      <c r="E501" s="60" t="str">
        <f>[1]!'6456.TW-Price'</f>
        <v>--</v>
      </c>
    </row>
    <row r="502" spans="1:5">
      <c r="A502" s="118">
        <v>6477</v>
      </c>
      <c r="B502" s="60" t="s">
        <v>4102</v>
      </c>
      <c r="C502" s="121" t="s">
        <v>5572</v>
      </c>
      <c r="D502" s="118">
        <v>6477</v>
      </c>
      <c r="E502" s="60" t="str">
        <f>[1]!'6477.TW-Price'</f>
        <v>--</v>
      </c>
    </row>
    <row r="503" spans="1:5">
      <c r="A503" s="118">
        <v>6668</v>
      </c>
      <c r="B503" s="60" t="s">
        <v>4103</v>
      </c>
      <c r="C503" s="121" t="s">
        <v>5572</v>
      </c>
      <c r="D503" s="118">
        <v>6668</v>
      </c>
      <c r="E503" s="60" t="str">
        <f>[1]!'6668.TW-Price'</f>
        <v>--</v>
      </c>
    </row>
    <row r="504" spans="1:5">
      <c r="A504" s="118">
        <v>6706</v>
      </c>
      <c r="B504" s="60" t="s">
        <v>4104</v>
      </c>
      <c r="C504" s="121" t="s">
        <v>5572</v>
      </c>
      <c r="D504" s="118">
        <v>6706</v>
      </c>
      <c r="E504" s="60" t="str">
        <f>[1]!'6706.TW-Price'</f>
        <v>--</v>
      </c>
    </row>
    <row r="505" spans="1:5">
      <c r="A505" s="118">
        <v>8104</v>
      </c>
      <c r="B505" s="60" t="s">
        <v>4105</v>
      </c>
      <c r="C505" s="121" t="s">
        <v>5572</v>
      </c>
      <c r="D505" s="118">
        <v>8104</v>
      </c>
      <c r="E505" s="60" t="str">
        <f>[1]!'8104.TW-Price'</f>
        <v>--</v>
      </c>
    </row>
    <row r="506" spans="1:5">
      <c r="A506" s="118">
        <v>8105</v>
      </c>
      <c r="B506" s="60" t="s">
        <v>4106</v>
      </c>
      <c r="C506" s="121" t="s">
        <v>5572</v>
      </c>
      <c r="D506" s="118">
        <v>8105</v>
      </c>
      <c r="E506" s="60" t="str">
        <f>[1]!'8105.TW-Price'</f>
        <v>--</v>
      </c>
    </row>
    <row r="507" spans="1:5">
      <c r="A507" s="118">
        <v>8215</v>
      </c>
      <c r="B507" s="60" t="s">
        <v>4107</v>
      </c>
      <c r="C507" s="121" t="s">
        <v>5572</v>
      </c>
      <c r="D507" s="118">
        <v>8215</v>
      </c>
      <c r="E507" s="60" t="str">
        <f>[1]!'8215.TW-Price'</f>
        <v>--</v>
      </c>
    </row>
    <row r="508" spans="1:5">
      <c r="A508" s="118">
        <v>2314</v>
      </c>
      <c r="B508" s="60" t="s">
        <v>4108</v>
      </c>
      <c r="C508" s="121" t="s">
        <v>5574</v>
      </c>
      <c r="D508" s="118">
        <v>2314</v>
      </c>
      <c r="E508" s="60">
        <f>[1]!'2314.TW-Price'</f>
        <v>83.9</v>
      </c>
    </row>
    <row r="509" spans="1:5">
      <c r="A509" s="118">
        <v>2321</v>
      </c>
      <c r="B509" s="60" t="s">
        <v>4109</v>
      </c>
      <c r="C509" s="121" t="s">
        <v>5574</v>
      </c>
      <c r="D509" s="118">
        <v>2321</v>
      </c>
      <c r="E509" s="60" t="str">
        <f>[1]!'2321.TW-Price'</f>
        <v>--</v>
      </c>
    </row>
    <row r="510" spans="1:5">
      <c r="A510" s="118">
        <v>2332</v>
      </c>
      <c r="B510" s="60" t="s">
        <v>4110</v>
      </c>
      <c r="C510" s="121" t="s">
        <v>5574</v>
      </c>
      <c r="D510" s="118">
        <v>2332</v>
      </c>
      <c r="E510" s="60">
        <f>[1]!'2332.TW-Price'</f>
        <v>20.25</v>
      </c>
    </row>
    <row r="511" spans="1:5">
      <c r="A511" s="118">
        <v>2345</v>
      </c>
      <c r="B511" s="60" t="s">
        <v>4111</v>
      </c>
      <c r="C511" s="121" t="s">
        <v>5574</v>
      </c>
      <c r="D511" s="118">
        <v>2345</v>
      </c>
      <c r="E511" s="60" t="str">
        <f>[1]!'2345.TW-Price'</f>
        <v>--</v>
      </c>
    </row>
    <row r="512" spans="1:5">
      <c r="A512" s="118">
        <v>2412</v>
      </c>
      <c r="B512" s="60" t="s">
        <v>4112</v>
      </c>
      <c r="C512" s="121" t="s">
        <v>5574</v>
      </c>
      <c r="D512" s="118">
        <v>2412</v>
      </c>
      <c r="E512" s="60" t="str">
        <f>[1]!'2412.TW-Price'</f>
        <v>--</v>
      </c>
    </row>
    <row r="513" spans="1:5">
      <c r="A513" s="118">
        <v>2419</v>
      </c>
      <c r="B513" s="60" t="s">
        <v>4113</v>
      </c>
      <c r="C513" s="121" t="s">
        <v>5574</v>
      </c>
      <c r="D513" s="118">
        <v>2419</v>
      </c>
      <c r="E513" s="60">
        <f>[1]!'2419.TW-Price'</f>
        <v>23.6</v>
      </c>
    </row>
    <row r="514" spans="1:5">
      <c r="A514" s="118">
        <v>2439</v>
      </c>
      <c r="B514" s="60" t="s">
        <v>4114</v>
      </c>
      <c r="C514" s="121" t="s">
        <v>5574</v>
      </c>
      <c r="D514" s="118">
        <v>2439</v>
      </c>
      <c r="E514" s="60" t="str">
        <f>[1]!'2439.TW-Price'</f>
        <v>--</v>
      </c>
    </row>
    <row r="515" spans="1:5">
      <c r="A515" s="118">
        <v>2444</v>
      </c>
      <c r="B515" s="60" t="s">
        <v>4115</v>
      </c>
      <c r="C515" s="121" t="s">
        <v>5574</v>
      </c>
      <c r="D515" s="118">
        <v>2444</v>
      </c>
      <c r="E515" s="60" t="str">
        <f>[1]!'2444.TW-Price'</f>
        <v>--</v>
      </c>
    </row>
    <row r="516" spans="1:5">
      <c r="A516" s="118">
        <v>2450</v>
      </c>
      <c r="B516" s="60" t="s">
        <v>4116</v>
      </c>
      <c r="C516" s="121" t="s">
        <v>5574</v>
      </c>
      <c r="D516" s="118">
        <v>2450</v>
      </c>
      <c r="E516" s="60" t="str">
        <f>[1]!'2450.TW-Price'</f>
        <v>--</v>
      </c>
    </row>
    <row r="517" spans="1:5">
      <c r="A517" s="118">
        <v>2455</v>
      </c>
      <c r="B517" s="60" t="s">
        <v>4117</v>
      </c>
      <c r="C517" s="121" t="s">
        <v>5574</v>
      </c>
      <c r="D517" s="118">
        <v>2455</v>
      </c>
      <c r="E517" s="60">
        <f>[1]!'2455.TW-Price'</f>
        <v>146</v>
      </c>
    </row>
    <row r="518" spans="1:5">
      <c r="A518" s="118">
        <v>2485</v>
      </c>
      <c r="B518" s="60" t="s">
        <v>3624</v>
      </c>
      <c r="C518" s="121" t="s">
        <v>5574</v>
      </c>
      <c r="D518" s="118">
        <v>2485</v>
      </c>
      <c r="E518" s="60">
        <f>[1]!'2485.TW-Price'</f>
        <v>21.7</v>
      </c>
    </row>
    <row r="519" spans="1:5">
      <c r="A519" s="118">
        <v>2498</v>
      </c>
      <c r="B519" s="60" t="s">
        <v>4118</v>
      </c>
      <c r="C519" s="121" t="s">
        <v>5574</v>
      </c>
      <c r="D519" s="118">
        <v>2498</v>
      </c>
      <c r="E519" s="60">
        <f>[1]!'2498.TW-Price'</f>
        <v>79.7</v>
      </c>
    </row>
    <row r="520" spans="1:5">
      <c r="A520" s="118">
        <v>3025</v>
      </c>
      <c r="B520" s="60" t="s">
        <v>4119</v>
      </c>
      <c r="C520" s="121" t="s">
        <v>5574</v>
      </c>
      <c r="D520" s="118">
        <v>3025</v>
      </c>
      <c r="E520" s="60" t="str">
        <f>[1]!'3025.TW-Price'</f>
        <v>--</v>
      </c>
    </row>
    <row r="521" spans="1:5">
      <c r="A521" s="118">
        <v>3027</v>
      </c>
      <c r="B521" s="60" t="s">
        <v>4120</v>
      </c>
      <c r="C521" s="121" t="s">
        <v>5574</v>
      </c>
      <c r="D521" s="118">
        <v>3027</v>
      </c>
      <c r="E521" s="60" t="str">
        <f>[1]!'3027.TW-Price'</f>
        <v>--</v>
      </c>
    </row>
    <row r="522" spans="1:5">
      <c r="A522" s="118">
        <v>3045</v>
      </c>
      <c r="B522" s="60" t="s">
        <v>4121</v>
      </c>
      <c r="C522" s="121" t="s">
        <v>5574</v>
      </c>
      <c r="D522" s="118">
        <v>3045</v>
      </c>
      <c r="E522" s="60" t="str">
        <f>[1]!'3045.TW-Price'</f>
        <v>--</v>
      </c>
    </row>
    <row r="523" spans="1:5">
      <c r="A523" s="118">
        <v>3047</v>
      </c>
      <c r="B523" s="60" t="s">
        <v>4122</v>
      </c>
      <c r="C523" s="121" t="s">
        <v>5574</v>
      </c>
      <c r="D523" s="118">
        <v>3047</v>
      </c>
      <c r="E523" s="60" t="str">
        <f>[1]!'3047.TW-Price'</f>
        <v>--</v>
      </c>
    </row>
    <row r="524" spans="1:5">
      <c r="A524" s="118">
        <v>3062</v>
      </c>
      <c r="B524" s="60" t="s">
        <v>4123</v>
      </c>
      <c r="C524" s="121" t="s">
        <v>5574</v>
      </c>
      <c r="D524" s="118">
        <v>3062</v>
      </c>
      <c r="E524" s="60" t="str">
        <f>[1]!'3062.TW-Price'</f>
        <v>--</v>
      </c>
    </row>
    <row r="525" spans="1:5">
      <c r="A525" s="118">
        <v>3138</v>
      </c>
      <c r="B525" s="60" t="s">
        <v>43</v>
      </c>
      <c r="C525" s="121" t="s">
        <v>5574</v>
      </c>
      <c r="D525" s="118">
        <v>3138</v>
      </c>
      <c r="E525" s="60" t="str">
        <f>[1]!'3138.TW-Price'</f>
        <v>--</v>
      </c>
    </row>
    <row r="526" spans="1:5">
      <c r="A526" s="118">
        <v>3311</v>
      </c>
      <c r="B526" s="60" t="s">
        <v>4124</v>
      </c>
      <c r="C526" s="121" t="s">
        <v>5574</v>
      </c>
      <c r="D526" s="118">
        <v>3311</v>
      </c>
      <c r="E526" s="60" t="str">
        <f>[1]!'3311.TW-Price'</f>
        <v>--</v>
      </c>
    </row>
    <row r="527" spans="1:5">
      <c r="A527" s="118">
        <v>3380</v>
      </c>
      <c r="B527" s="60" t="s">
        <v>4125</v>
      </c>
      <c r="C527" s="121" t="s">
        <v>5574</v>
      </c>
      <c r="D527" s="118">
        <v>3380</v>
      </c>
      <c r="E527" s="60" t="str">
        <f>[1]!'3380.TW-Price'</f>
        <v>--</v>
      </c>
    </row>
    <row r="528" spans="1:5">
      <c r="A528" s="118">
        <v>3419</v>
      </c>
      <c r="B528" s="60" t="s">
        <v>4126</v>
      </c>
      <c r="C528" s="121" t="s">
        <v>5574</v>
      </c>
      <c r="D528" s="118">
        <v>3419</v>
      </c>
      <c r="E528" s="60" t="str">
        <f>[1]!'3419.TW-Price'</f>
        <v>--</v>
      </c>
    </row>
    <row r="529" spans="1:5">
      <c r="A529" s="118">
        <v>3596</v>
      </c>
      <c r="B529" s="60" t="s">
        <v>4127</v>
      </c>
      <c r="C529" s="121" t="s">
        <v>5574</v>
      </c>
      <c r="D529" s="118">
        <v>3596</v>
      </c>
      <c r="E529" s="60" t="str">
        <f>[1]!'3596.TW-Price'</f>
        <v>--</v>
      </c>
    </row>
    <row r="530" spans="1:5">
      <c r="A530" s="118">
        <v>3669</v>
      </c>
      <c r="B530" s="60" t="s">
        <v>4081</v>
      </c>
      <c r="C530" s="121" t="s">
        <v>5574</v>
      </c>
      <c r="D530" s="118">
        <v>3669</v>
      </c>
      <c r="E530" s="60" t="str">
        <f>[1]!'3669.TW-Price'</f>
        <v>--</v>
      </c>
    </row>
    <row r="531" spans="1:5">
      <c r="A531" s="118">
        <v>3682</v>
      </c>
      <c r="B531" s="60" t="s">
        <v>4128</v>
      </c>
      <c r="C531" s="121" t="s">
        <v>5574</v>
      </c>
      <c r="D531" s="118">
        <v>3682</v>
      </c>
      <c r="E531" s="60" t="str">
        <f>[1]!'3682.TW-Price'</f>
        <v>--</v>
      </c>
    </row>
    <row r="532" spans="1:5">
      <c r="A532" s="118">
        <v>3694</v>
      </c>
      <c r="B532" s="60" t="s">
        <v>4129</v>
      </c>
      <c r="C532" s="121" t="s">
        <v>5574</v>
      </c>
      <c r="D532" s="118">
        <v>3694</v>
      </c>
      <c r="E532" s="60" t="str">
        <f>[1]!'3694.TW-Price'</f>
        <v>--</v>
      </c>
    </row>
    <row r="533" spans="1:5">
      <c r="A533" s="118">
        <v>3704</v>
      </c>
      <c r="B533" s="60" t="s">
        <v>4130</v>
      </c>
      <c r="C533" s="121" t="s">
        <v>5574</v>
      </c>
      <c r="D533" s="118">
        <v>3704</v>
      </c>
      <c r="E533" s="60" t="str">
        <f>[1]!'3704.TW-Price'</f>
        <v>--</v>
      </c>
    </row>
    <row r="534" spans="1:5">
      <c r="A534" s="118">
        <v>4904</v>
      </c>
      <c r="B534" s="60" t="s">
        <v>4131</v>
      </c>
      <c r="C534" s="121" t="s">
        <v>5574</v>
      </c>
      <c r="D534" s="118">
        <v>4904</v>
      </c>
      <c r="E534" s="60" t="str">
        <f>[1]!'4904.TW-Price'</f>
        <v>--</v>
      </c>
    </row>
    <row r="535" spans="1:5">
      <c r="A535" s="118">
        <v>4906</v>
      </c>
      <c r="B535" s="60" t="s">
        <v>4132</v>
      </c>
      <c r="C535" s="121" t="s">
        <v>5574</v>
      </c>
      <c r="D535" s="118">
        <v>4906</v>
      </c>
      <c r="E535" s="60" t="str">
        <f>[1]!'4906.TW-Price'</f>
        <v>--</v>
      </c>
    </row>
    <row r="536" spans="1:5">
      <c r="A536" s="118">
        <v>4977</v>
      </c>
      <c r="B536" s="60" t="s">
        <v>4133</v>
      </c>
      <c r="C536" s="121" t="s">
        <v>5575</v>
      </c>
      <c r="D536" s="118">
        <v>4977</v>
      </c>
      <c r="E536" s="60" t="str">
        <f>[1]!'4977.TW-Price'</f>
        <v>--</v>
      </c>
    </row>
    <row r="537" spans="1:5">
      <c r="A537" s="118">
        <v>5388</v>
      </c>
      <c r="B537" s="60" t="s">
        <v>3693</v>
      </c>
      <c r="C537" s="121" t="s">
        <v>5574</v>
      </c>
      <c r="D537" s="118">
        <v>5388</v>
      </c>
      <c r="E537" s="60" t="str">
        <f>[1]!'5388.TW-Price'</f>
        <v>--</v>
      </c>
    </row>
    <row r="538" spans="1:5">
      <c r="A538" s="118">
        <v>6136</v>
      </c>
      <c r="B538" s="60" t="s">
        <v>4134</v>
      </c>
      <c r="C538" s="121" t="s">
        <v>5574</v>
      </c>
      <c r="D538" s="118">
        <v>6136</v>
      </c>
      <c r="E538" s="60">
        <f>[1]!'6136.TW-Price'</f>
        <v>19.100000000000001</v>
      </c>
    </row>
    <row r="539" spans="1:5">
      <c r="A539" s="118">
        <v>6142</v>
      </c>
      <c r="B539" s="60" t="s">
        <v>4135</v>
      </c>
      <c r="C539" s="121" t="s">
        <v>5574</v>
      </c>
      <c r="D539" s="118">
        <v>6142</v>
      </c>
      <c r="E539" s="60" t="str">
        <f>[1]!'6142.TW-Price'</f>
        <v>--</v>
      </c>
    </row>
    <row r="540" spans="1:5">
      <c r="A540" s="118">
        <v>6152</v>
      </c>
      <c r="B540" s="60" t="s">
        <v>4136</v>
      </c>
      <c r="C540" s="121" t="s">
        <v>5574</v>
      </c>
      <c r="D540" s="118">
        <v>6152</v>
      </c>
      <c r="E540" s="60" t="str">
        <f>[1]!'6152.TW-Price'</f>
        <v>--</v>
      </c>
    </row>
    <row r="541" spans="1:5">
      <c r="A541" s="118">
        <v>6216</v>
      </c>
      <c r="B541" s="60" t="s">
        <v>4137</v>
      </c>
      <c r="C541" s="121" t="s">
        <v>5574</v>
      </c>
      <c r="D541" s="118">
        <v>6216</v>
      </c>
      <c r="E541" s="60" t="str">
        <f>[1]!'6216.TW-Price'</f>
        <v>--</v>
      </c>
    </row>
    <row r="542" spans="1:5">
      <c r="A542" s="118">
        <v>6285</v>
      </c>
      <c r="B542" s="60" t="s">
        <v>4138</v>
      </c>
      <c r="C542" s="121" t="s">
        <v>5574</v>
      </c>
      <c r="D542" s="118">
        <v>6285</v>
      </c>
      <c r="E542" s="60" t="str">
        <f>[1]!'6285.TW-Price'</f>
        <v>--</v>
      </c>
    </row>
    <row r="543" spans="1:5">
      <c r="A543" s="118">
        <v>6416</v>
      </c>
      <c r="B543" s="60" t="s">
        <v>4139</v>
      </c>
      <c r="C543" s="121" t="s">
        <v>5574</v>
      </c>
      <c r="D543" s="118">
        <v>6416</v>
      </c>
      <c r="E543" s="60" t="str">
        <f>[1]!'6416.TW-Price'</f>
        <v>--</v>
      </c>
    </row>
    <row r="544" spans="1:5">
      <c r="A544" s="118">
        <v>6426</v>
      </c>
      <c r="B544" s="60" t="s">
        <v>3680</v>
      </c>
      <c r="C544" s="121" t="s">
        <v>5574</v>
      </c>
      <c r="D544" s="118">
        <v>6426</v>
      </c>
      <c r="E544" s="60" t="str">
        <f>[1]!'6426.TW-Price'</f>
        <v>--</v>
      </c>
    </row>
    <row r="545" spans="1:5">
      <c r="A545" s="118">
        <v>6442</v>
      </c>
      <c r="B545" s="60" t="s">
        <v>4140</v>
      </c>
      <c r="C545" s="121" t="s">
        <v>5574</v>
      </c>
      <c r="D545" s="118">
        <v>6442</v>
      </c>
      <c r="E545" s="60" t="str">
        <f>[1]!'6442.TW-Price'</f>
        <v>--</v>
      </c>
    </row>
    <row r="546" spans="1:5">
      <c r="A546" s="118">
        <v>6674</v>
      </c>
      <c r="B546" s="60" t="s">
        <v>4141</v>
      </c>
      <c r="C546" s="121" t="s">
        <v>5574</v>
      </c>
      <c r="D546" s="118">
        <v>6674</v>
      </c>
      <c r="E546" s="60" t="str">
        <f>[1]!'6674.TW-Price'</f>
        <v>--</v>
      </c>
    </row>
    <row r="547" spans="1:5">
      <c r="A547" s="118">
        <v>8011</v>
      </c>
      <c r="B547" s="60" t="s">
        <v>4142</v>
      </c>
      <c r="C547" s="121" t="s">
        <v>5574</v>
      </c>
      <c r="D547" s="118">
        <v>8011</v>
      </c>
      <c r="E547" s="60">
        <f>[1]!'8011.TW-Price'</f>
        <v>20.2</v>
      </c>
    </row>
    <row r="548" spans="1:5">
      <c r="A548" s="118">
        <v>8101</v>
      </c>
      <c r="B548" s="60" t="s">
        <v>4143</v>
      </c>
      <c r="C548" s="121" t="s">
        <v>5574</v>
      </c>
      <c r="D548" s="118">
        <v>8101</v>
      </c>
      <c r="E548" s="60" t="str">
        <f>[1]!'8101.TW-Price'</f>
        <v>--</v>
      </c>
    </row>
    <row r="549" spans="1:5">
      <c r="A549" s="118">
        <v>1471</v>
      </c>
      <c r="B549" s="60" t="s">
        <v>4144</v>
      </c>
      <c r="C549" s="121" t="s">
        <v>5576</v>
      </c>
      <c r="D549" s="118">
        <v>1471</v>
      </c>
      <c r="E549" s="60" t="str">
        <f>[1]!'1471.TW-Price'</f>
        <v>--</v>
      </c>
    </row>
    <row r="550" spans="1:5">
      <c r="A550" s="118">
        <v>1582</v>
      </c>
      <c r="B550" s="60" t="s">
        <v>4145</v>
      </c>
      <c r="C550" s="121" t="s">
        <v>5576</v>
      </c>
      <c r="D550" s="118">
        <v>1582</v>
      </c>
      <c r="E550" s="60" t="str">
        <f>[1]!'1582.TW-Price'</f>
        <v>--</v>
      </c>
    </row>
    <row r="551" spans="1:5">
      <c r="A551" s="118">
        <v>2059</v>
      </c>
      <c r="B551" s="60" t="s">
        <v>4146</v>
      </c>
      <c r="C551" s="121" t="s">
        <v>5576</v>
      </c>
      <c r="D551" s="118">
        <v>2059</v>
      </c>
      <c r="E551" s="60" t="str">
        <f>[1]!'2059.TW-Price'</f>
        <v>--</v>
      </c>
    </row>
    <row r="552" spans="1:5">
      <c r="A552" s="118">
        <v>2308</v>
      </c>
      <c r="B552" s="60" t="s">
        <v>4147</v>
      </c>
      <c r="C552" s="121" t="s">
        <v>5576</v>
      </c>
      <c r="D552" s="118">
        <v>2308</v>
      </c>
      <c r="E552" s="60">
        <f>[1]!'2308.TW-Price'</f>
        <v>258</v>
      </c>
    </row>
    <row r="553" spans="1:5">
      <c r="A553" s="118">
        <v>2313</v>
      </c>
      <c r="B553" s="60" t="s">
        <v>4148</v>
      </c>
      <c r="C553" s="121" t="s">
        <v>5576</v>
      </c>
      <c r="D553" s="118">
        <v>2313</v>
      </c>
      <c r="E553" s="60">
        <f>[1]!'2313.TW-Price'</f>
        <v>42.2</v>
      </c>
    </row>
    <row r="554" spans="1:5">
      <c r="A554" s="118">
        <v>2316</v>
      </c>
      <c r="B554" s="60" t="s">
        <v>4149</v>
      </c>
      <c r="C554" s="121" t="s">
        <v>5576</v>
      </c>
      <c r="D554" s="118">
        <v>2316</v>
      </c>
      <c r="E554" s="60" t="str">
        <f>[1]!'2316.TW-Price'</f>
        <v>--</v>
      </c>
    </row>
    <row r="555" spans="1:5">
      <c r="A555" s="118">
        <v>2327</v>
      </c>
      <c r="B555" s="60" t="s">
        <v>3645</v>
      </c>
      <c r="C555" s="121" t="s">
        <v>5576</v>
      </c>
      <c r="D555" s="118">
        <v>2327</v>
      </c>
      <c r="E555" s="60" t="str">
        <f>[1]!'2327.TW-Price'</f>
        <v>--</v>
      </c>
    </row>
    <row r="556" spans="1:5">
      <c r="A556" s="118">
        <v>2328</v>
      </c>
      <c r="B556" s="60" t="s">
        <v>4150</v>
      </c>
      <c r="C556" s="121" t="s">
        <v>5576</v>
      </c>
      <c r="D556" s="118">
        <v>2328</v>
      </c>
      <c r="E556" s="60" t="str">
        <f>[1]!'2328.TW-Price'</f>
        <v>--</v>
      </c>
    </row>
    <row r="557" spans="1:5">
      <c r="A557" s="118">
        <v>2355</v>
      </c>
      <c r="B557" s="60" t="s">
        <v>3657</v>
      </c>
      <c r="C557" s="121" t="s">
        <v>5576</v>
      </c>
      <c r="D557" s="118">
        <v>2355</v>
      </c>
      <c r="E557" s="60" t="str">
        <f>[1]!'2355.TW-Price'</f>
        <v>--</v>
      </c>
    </row>
    <row r="558" spans="1:5">
      <c r="A558" s="118">
        <v>2367</v>
      </c>
      <c r="B558" s="60" t="s">
        <v>4151</v>
      </c>
      <c r="C558" s="121" t="s">
        <v>5576</v>
      </c>
      <c r="D558" s="118">
        <v>2367</v>
      </c>
      <c r="E558" s="60" t="str">
        <f>[1]!'2367.TW-Price'</f>
        <v>--</v>
      </c>
    </row>
    <row r="559" spans="1:5">
      <c r="A559" s="118">
        <v>2368</v>
      </c>
      <c r="B559" s="60" t="s">
        <v>3564</v>
      </c>
      <c r="C559" s="121" t="s">
        <v>5576</v>
      </c>
      <c r="D559" s="118">
        <v>2368</v>
      </c>
      <c r="E559" s="60">
        <f>[1]!'2368.TW-Price'</f>
        <v>70.099999999999994</v>
      </c>
    </row>
    <row r="560" spans="1:5">
      <c r="A560" s="118">
        <v>2375</v>
      </c>
      <c r="B560" s="60" t="s">
        <v>4152</v>
      </c>
      <c r="C560" s="121" t="s">
        <v>5576</v>
      </c>
      <c r="D560" s="118">
        <v>2375</v>
      </c>
      <c r="E560" s="60" t="str">
        <f>[1]!'2375.TW-Price'</f>
        <v>--</v>
      </c>
    </row>
    <row r="561" spans="1:5">
      <c r="A561" s="118">
        <v>2383</v>
      </c>
      <c r="B561" s="60" t="s">
        <v>3673</v>
      </c>
      <c r="C561" s="121" t="s">
        <v>5576</v>
      </c>
      <c r="D561" s="118">
        <v>2383</v>
      </c>
      <c r="E561" s="60">
        <f>[1]!'2383.TW-Price'</f>
        <v>237</v>
      </c>
    </row>
    <row r="562" spans="1:5">
      <c r="A562" s="118">
        <v>2385</v>
      </c>
      <c r="B562" s="60" t="s">
        <v>4153</v>
      </c>
      <c r="C562" s="121" t="s">
        <v>5576</v>
      </c>
      <c r="D562" s="118">
        <v>2385</v>
      </c>
      <c r="E562" s="60" t="str">
        <f>[1]!'2385.TW-Price'</f>
        <v>--</v>
      </c>
    </row>
    <row r="563" spans="1:5">
      <c r="A563" s="118">
        <v>2392</v>
      </c>
      <c r="B563" s="60" t="s">
        <v>4154</v>
      </c>
      <c r="C563" s="121" t="s">
        <v>5576</v>
      </c>
      <c r="D563" s="118">
        <v>2392</v>
      </c>
      <c r="E563" s="60" t="str">
        <f>[1]!'2392.TW-Price'</f>
        <v>--</v>
      </c>
    </row>
    <row r="564" spans="1:5">
      <c r="A564" s="118">
        <v>2402</v>
      </c>
      <c r="B564" s="60" t="s">
        <v>4155</v>
      </c>
      <c r="C564" s="121" t="s">
        <v>5576</v>
      </c>
      <c r="D564" s="118">
        <v>2402</v>
      </c>
      <c r="E564" s="60" t="str">
        <f>[1]!'2402.TW-Price'</f>
        <v>--</v>
      </c>
    </row>
    <row r="565" spans="1:5">
      <c r="A565" s="118">
        <v>2413</v>
      </c>
      <c r="B565" s="60" t="s">
        <v>4156</v>
      </c>
      <c r="C565" s="121" t="s">
        <v>5576</v>
      </c>
      <c r="D565" s="118">
        <v>2413</v>
      </c>
      <c r="E565" s="60" t="str">
        <f>[1]!'2413.TW-Price'</f>
        <v>--</v>
      </c>
    </row>
    <row r="566" spans="1:5">
      <c r="A566" s="118">
        <v>2415</v>
      </c>
      <c r="B566" s="60" t="s">
        <v>4157</v>
      </c>
      <c r="C566" s="121" t="s">
        <v>5576</v>
      </c>
      <c r="D566" s="118">
        <v>2415</v>
      </c>
      <c r="E566" s="60" t="str">
        <f>[1]!'2415.TW-Price'</f>
        <v>--</v>
      </c>
    </row>
    <row r="567" spans="1:5">
      <c r="A567" s="118">
        <v>2420</v>
      </c>
      <c r="B567" s="60" t="s">
        <v>4158</v>
      </c>
      <c r="C567" s="121" t="s">
        <v>5576</v>
      </c>
      <c r="D567" s="118">
        <v>2420</v>
      </c>
      <c r="E567" s="60" t="str">
        <f>[1]!'2420.TW-Price'</f>
        <v>--</v>
      </c>
    </row>
    <row r="568" spans="1:5">
      <c r="A568" s="118">
        <v>2421</v>
      </c>
      <c r="B568" s="60" t="s">
        <v>4159</v>
      </c>
      <c r="C568" s="121" t="s">
        <v>5576</v>
      </c>
      <c r="D568" s="118">
        <v>2421</v>
      </c>
      <c r="E568" s="60">
        <f>[1]!'2421.TW-Price'</f>
        <v>45.55</v>
      </c>
    </row>
    <row r="569" spans="1:5">
      <c r="A569" s="118">
        <v>2428</v>
      </c>
      <c r="B569" s="60" t="s">
        <v>4160</v>
      </c>
      <c r="C569" s="121" t="s">
        <v>5576</v>
      </c>
      <c r="D569" s="118">
        <v>2428</v>
      </c>
      <c r="E569" s="60" t="str">
        <f>[1]!'2428.TW-Price'</f>
        <v>--</v>
      </c>
    </row>
    <row r="570" spans="1:5">
      <c r="A570" s="118">
        <v>2431</v>
      </c>
      <c r="B570" s="60" t="s">
        <v>4162</v>
      </c>
      <c r="C570" s="121" t="s">
        <v>5576</v>
      </c>
      <c r="D570" s="118">
        <v>2431</v>
      </c>
      <c r="E570" s="60" t="str">
        <f>[1]!'2431.TW-Price'</f>
        <v>--</v>
      </c>
    </row>
    <row r="571" spans="1:5">
      <c r="A571" s="118">
        <v>2440</v>
      </c>
      <c r="B571" s="60" t="s">
        <v>4163</v>
      </c>
      <c r="C571" s="121" t="s">
        <v>5576</v>
      </c>
      <c r="D571" s="118">
        <v>2440</v>
      </c>
      <c r="E571" s="60" t="str">
        <f>[1]!'2440.TW-Price'</f>
        <v>--</v>
      </c>
    </row>
    <row r="572" spans="1:5">
      <c r="A572" s="118">
        <v>2456</v>
      </c>
      <c r="B572" s="60" t="s">
        <v>4164</v>
      </c>
      <c r="C572" s="121" t="s">
        <v>5576</v>
      </c>
      <c r="D572" s="118">
        <v>2456</v>
      </c>
      <c r="E572" s="60" t="str">
        <f>[1]!'2456.TW-Price'</f>
        <v>--</v>
      </c>
    </row>
    <row r="573" spans="1:5">
      <c r="A573" s="118">
        <v>2457</v>
      </c>
      <c r="B573" s="60" t="s">
        <v>3632</v>
      </c>
      <c r="C573" s="121" t="s">
        <v>5576</v>
      </c>
      <c r="D573" s="118">
        <v>2457</v>
      </c>
      <c r="E573" s="60" t="str">
        <f>[1]!'2457.TW-Price'</f>
        <v>--</v>
      </c>
    </row>
    <row r="574" spans="1:5">
      <c r="A574" s="118">
        <v>2460</v>
      </c>
      <c r="B574" s="60" t="s">
        <v>3575</v>
      </c>
      <c r="C574" s="121" t="s">
        <v>5576</v>
      </c>
      <c r="D574" s="118">
        <v>2460</v>
      </c>
      <c r="E574" s="60" t="str">
        <f>[1]!'2460.TW-Price'</f>
        <v>--</v>
      </c>
    </row>
    <row r="575" spans="1:5">
      <c r="A575" s="118">
        <v>2462</v>
      </c>
      <c r="B575" s="60" t="s">
        <v>4165</v>
      </c>
      <c r="C575" s="121" t="s">
        <v>5576</v>
      </c>
      <c r="D575" s="118">
        <v>2462</v>
      </c>
      <c r="E575" s="60" t="str">
        <f>[1]!'2462.TW-Price'</f>
        <v>--</v>
      </c>
    </row>
    <row r="576" spans="1:5">
      <c r="A576" s="118">
        <v>2467</v>
      </c>
      <c r="B576" s="60" t="s">
        <v>4166</v>
      </c>
      <c r="C576" s="121" t="s">
        <v>5576</v>
      </c>
      <c r="D576" s="118">
        <v>2467</v>
      </c>
      <c r="E576" s="60">
        <f>[1]!'2467.TW-Price'</f>
        <v>50.1</v>
      </c>
    </row>
    <row r="577" spans="1:5">
      <c r="A577" s="118">
        <v>2472</v>
      </c>
      <c r="B577" s="60" t="s">
        <v>4167</v>
      </c>
      <c r="C577" s="121" t="s">
        <v>5576</v>
      </c>
      <c r="D577" s="118">
        <v>2472</v>
      </c>
      <c r="E577" s="60" t="str">
        <f>[1]!'2472.TW-Price'</f>
        <v>--</v>
      </c>
    </row>
    <row r="578" spans="1:5">
      <c r="A578" s="118">
        <v>2476</v>
      </c>
      <c r="B578" s="60" t="s">
        <v>4168</v>
      </c>
      <c r="C578" s="121" t="s">
        <v>5576</v>
      </c>
      <c r="D578" s="118">
        <v>2476</v>
      </c>
      <c r="E578" s="60" t="str">
        <f>[1]!'2476.TW-Price'</f>
        <v>--</v>
      </c>
    </row>
    <row r="579" spans="1:5">
      <c r="A579" s="118">
        <v>2478</v>
      </c>
      <c r="B579" s="60" t="s">
        <v>4169</v>
      </c>
      <c r="C579" s="121" t="s">
        <v>5576</v>
      </c>
      <c r="D579" s="118">
        <v>2478</v>
      </c>
      <c r="E579" s="60" t="str">
        <f>[1]!'2478.TW-Price'</f>
        <v>--</v>
      </c>
    </row>
    <row r="580" spans="1:5">
      <c r="A580" s="118">
        <v>2483</v>
      </c>
      <c r="B580" s="60" t="s">
        <v>4170</v>
      </c>
      <c r="C580" s="121" t="s">
        <v>5576</v>
      </c>
      <c r="D580" s="118">
        <v>2483</v>
      </c>
      <c r="E580" s="60" t="str">
        <f>[1]!'2483.TW-Price'</f>
        <v>--</v>
      </c>
    </row>
    <row r="581" spans="1:5">
      <c r="A581" s="118">
        <v>2484</v>
      </c>
      <c r="B581" s="60" t="s">
        <v>4171</v>
      </c>
      <c r="C581" s="121" t="s">
        <v>5576</v>
      </c>
      <c r="D581" s="118">
        <v>2484</v>
      </c>
      <c r="E581" s="60">
        <f>[1]!'2484.TW-Price'</f>
        <v>41.1</v>
      </c>
    </row>
    <row r="582" spans="1:5">
      <c r="A582" s="118">
        <v>2492</v>
      </c>
      <c r="B582" s="60" t="s">
        <v>4172</v>
      </c>
      <c r="C582" s="121" t="s">
        <v>5576</v>
      </c>
      <c r="D582" s="118">
        <v>2492</v>
      </c>
      <c r="E582" s="60" t="str">
        <f>[1]!'2492.TW-Price'</f>
        <v>--</v>
      </c>
    </row>
    <row r="583" spans="1:5">
      <c r="A583" s="118">
        <v>2493</v>
      </c>
      <c r="B583" s="60" t="s">
        <v>4173</v>
      </c>
      <c r="C583" s="121" t="s">
        <v>5576</v>
      </c>
      <c r="D583" s="118">
        <v>2493</v>
      </c>
      <c r="E583" s="60" t="str">
        <f>[1]!'2493.TW-Price'</f>
        <v>--</v>
      </c>
    </row>
    <row r="584" spans="1:5">
      <c r="A584" s="118">
        <v>3003</v>
      </c>
      <c r="B584" s="60" t="s">
        <v>4174</v>
      </c>
      <c r="C584" s="121" t="s">
        <v>5576</v>
      </c>
      <c r="D584" s="118">
        <v>3003</v>
      </c>
      <c r="E584" s="60">
        <f>[1]!'3003.TW-Price'</f>
        <v>94.6</v>
      </c>
    </row>
    <row r="585" spans="1:5">
      <c r="A585" s="118">
        <v>3011</v>
      </c>
      <c r="B585" s="60" t="s">
        <v>4175</v>
      </c>
      <c r="C585" s="121" t="s">
        <v>5576</v>
      </c>
      <c r="D585" s="118">
        <v>3011</v>
      </c>
      <c r="E585" s="60" t="str">
        <f>[1]!'3011.TW-Price'</f>
        <v>--</v>
      </c>
    </row>
    <row r="586" spans="1:5">
      <c r="A586" s="118">
        <v>3015</v>
      </c>
      <c r="B586" s="60" t="s">
        <v>4176</v>
      </c>
      <c r="C586" s="121" t="s">
        <v>5576</v>
      </c>
      <c r="D586" s="118">
        <v>3015</v>
      </c>
      <c r="E586" s="60" t="str">
        <f>[1]!'3015.TW-Price'</f>
        <v>--</v>
      </c>
    </row>
    <row r="587" spans="1:5">
      <c r="A587" s="118">
        <v>3021</v>
      </c>
      <c r="B587" s="60" t="s">
        <v>4177</v>
      </c>
      <c r="C587" s="121" t="s">
        <v>5576</v>
      </c>
      <c r="D587" s="118">
        <v>3021</v>
      </c>
      <c r="E587" s="60" t="str">
        <f>[1]!'3021.TW-Price'</f>
        <v>--</v>
      </c>
    </row>
    <row r="588" spans="1:5">
      <c r="A588" s="118">
        <v>3023</v>
      </c>
      <c r="B588" s="60" t="s">
        <v>4178</v>
      </c>
      <c r="C588" s="121" t="s">
        <v>5576</v>
      </c>
      <c r="D588" s="118">
        <v>3023</v>
      </c>
      <c r="E588" s="60" t="str">
        <f>[1]!'3023.TW-Price'</f>
        <v>--</v>
      </c>
    </row>
    <row r="589" spans="1:5">
      <c r="A589" s="118">
        <v>3026</v>
      </c>
      <c r="B589" s="60" t="s">
        <v>4179</v>
      </c>
      <c r="C589" s="121" t="s">
        <v>5576</v>
      </c>
      <c r="D589" s="118">
        <v>3026</v>
      </c>
      <c r="E589" s="60" t="str">
        <f>[1]!'3026.TW-Price'</f>
        <v>--</v>
      </c>
    </row>
    <row r="590" spans="1:5">
      <c r="A590" s="118">
        <v>3032</v>
      </c>
      <c r="B590" s="60" t="s">
        <v>4180</v>
      </c>
      <c r="C590" s="121" t="s">
        <v>5576</v>
      </c>
      <c r="D590" s="118">
        <v>3032</v>
      </c>
      <c r="E590" s="60" t="str">
        <f>[1]!'3032.TW-Price'</f>
        <v>--</v>
      </c>
    </row>
    <row r="591" spans="1:5">
      <c r="A591" s="118">
        <v>3037</v>
      </c>
      <c r="B591" s="60" t="s">
        <v>4181</v>
      </c>
      <c r="C591" s="121" t="s">
        <v>5576</v>
      </c>
      <c r="D591" s="118">
        <v>3037</v>
      </c>
      <c r="E591" s="60">
        <f>[1]!'3037.TW-Price'</f>
        <v>195.5</v>
      </c>
    </row>
    <row r="592" spans="1:5">
      <c r="A592" s="118">
        <v>3042</v>
      </c>
      <c r="B592" s="60" t="s">
        <v>4182</v>
      </c>
      <c r="C592" s="121" t="s">
        <v>5576</v>
      </c>
      <c r="D592" s="118">
        <v>3042</v>
      </c>
      <c r="E592" s="60">
        <f>[1]!'3042.TW-Price'</f>
        <v>107.5</v>
      </c>
    </row>
    <row r="593" spans="1:5">
      <c r="A593" s="118">
        <v>3044</v>
      </c>
      <c r="B593" s="60" t="s">
        <v>4183</v>
      </c>
      <c r="C593" s="121" t="s">
        <v>5576</v>
      </c>
      <c r="D593" s="118">
        <v>3044</v>
      </c>
      <c r="E593" s="60">
        <f>[1]!'3044.TW-Price'</f>
        <v>123</v>
      </c>
    </row>
    <row r="594" spans="1:5">
      <c r="A594" s="118">
        <v>3058</v>
      </c>
      <c r="B594" s="60" t="s">
        <v>4184</v>
      </c>
      <c r="C594" s="121" t="s">
        <v>5576</v>
      </c>
      <c r="D594" s="118">
        <v>3058</v>
      </c>
      <c r="E594" s="60" t="str">
        <f>[1]!'3058.TW-Price'</f>
        <v>--</v>
      </c>
    </row>
    <row r="595" spans="1:5">
      <c r="A595" s="118">
        <v>3090</v>
      </c>
      <c r="B595" s="60" t="s">
        <v>4185</v>
      </c>
      <c r="C595" s="121" t="s">
        <v>5576</v>
      </c>
      <c r="D595" s="118">
        <v>3090</v>
      </c>
      <c r="E595" s="60" t="str">
        <f>[1]!'3090.TW-Price'</f>
        <v>--</v>
      </c>
    </row>
    <row r="596" spans="1:5">
      <c r="A596" s="118">
        <v>3092</v>
      </c>
      <c r="B596" s="60" t="s">
        <v>4186</v>
      </c>
      <c r="C596" s="121" t="s">
        <v>5576</v>
      </c>
      <c r="D596" s="118">
        <v>3092</v>
      </c>
      <c r="E596" s="60" t="str">
        <f>[1]!'3092.TW-Price'</f>
        <v>--</v>
      </c>
    </row>
    <row r="597" spans="1:5">
      <c r="A597" s="118">
        <v>3229</v>
      </c>
      <c r="B597" s="60" t="s">
        <v>4187</v>
      </c>
      <c r="C597" s="121" t="s">
        <v>5576</v>
      </c>
      <c r="D597" s="118">
        <v>3229</v>
      </c>
      <c r="E597" s="60" t="str">
        <f>[1]!'3229.TW-Price'</f>
        <v>--</v>
      </c>
    </row>
    <row r="598" spans="1:5">
      <c r="A598" s="118">
        <v>3296</v>
      </c>
      <c r="B598" s="60" t="s">
        <v>4188</v>
      </c>
      <c r="C598" s="121" t="s">
        <v>5576</v>
      </c>
      <c r="D598" s="118">
        <v>3296</v>
      </c>
      <c r="E598" s="60" t="str">
        <f>[1]!'3296.TW-Price'</f>
        <v>--</v>
      </c>
    </row>
    <row r="599" spans="1:5">
      <c r="A599" s="118">
        <v>3308</v>
      </c>
      <c r="B599" s="60" t="s">
        <v>4189</v>
      </c>
      <c r="C599" s="121" t="s">
        <v>5576</v>
      </c>
      <c r="D599" s="118">
        <v>3308</v>
      </c>
      <c r="E599" s="60" t="str">
        <f>[1]!'3308.TW-Price'</f>
        <v>--</v>
      </c>
    </row>
    <row r="600" spans="1:5">
      <c r="A600" s="118">
        <v>3321</v>
      </c>
      <c r="B600" s="60" t="s">
        <v>4190</v>
      </c>
      <c r="C600" s="121" t="s">
        <v>5576</v>
      </c>
      <c r="D600" s="118">
        <v>3321</v>
      </c>
      <c r="E600" s="60" t="str">
        <f>[1]!'3321.TW-Price'</f>
        <v>--</v>
      </c>
    </row>
    <row r="601" spans="1:5">
      <c r="A601" s="118">
        <v>3338</v>
      </c>
      <c r="B601" s="60" t="s">
        <v>4191</v>
      </c>
      <c r="C601" s="121" t="s">
        <v>5576</v>
      </c>
      <c r="D601" s="118">
        <v>3338</v>
      </c>
      <c r="E601" s="60">
        <f>[1]!'3338.TW-Price'</f>
        <v>55</v>
      </c>
    </row>
    <row r="602" spans="1:5">
      <c r="A602" s="118">
        <v>3376</v>
      </c>
      <c r="B602" s="60" t="s">
        <v>4192</v>
      </c>
      <c r="C602" s="121" t="s">
        <v>5576</v>
      </c>
      <c r="D602" s="118">
        <v>3376</v>
      </c>
      <c r="E602" s="60" t="str">
        <f>[1]!'3376.TW-Price'</f>
        <v>--</v>
      </c>
    </row>
    <row r="603" spans="1:5">
      <c r="A603" s="118">
        <v>3432</v>
      </c>
      <c r="B603" s="60" t="s">
        <v>4193</v>
      </c>
      <c r="C603" s="121" t="s">
        <v>5576</v>
      </c>
      <c r="D603" s="118">
        <v>3432</v>
      </c>
      <c r="E603" s="60" t="str">
        <f>[1]!'3432.TW-Price'</f>
        <v>--</v>
      </c>
    </row>
    <row r="604" spans="1:5">
      <c r="A604" s="118">
        <v>3501</v>
      </c>
      <c r="B604" s="60" t="s">
        <v>4194</v>
      </c>
      <c r="C604" s="121" t="s">
        <v>5576</v>
      </c>
      <c r="D604" s="118">
        <v>3501</v>
      </c>
      <c r="E604" s="60" t="str">
        <f>[1]!'3501.TW-Price'</f>
        <v>--</v>
      </c>
    </row>
    <row r="605" spans="1:5">
      <c r="A605" s="118">
        <v>3533</v>
      </c>
      <c r="B605" s="60" t="s">
        <v>3641</v>
      </c>
      <c r="C605" s="121" t="s">
        <v>5576</v>
      </c>
      <c r="D605" s="118">
        <v>3533</v>
      </c>
      <c r="E605" s="60" t="str">
        <f>[1]!'3533.TW-Price'</f>
        <v>--</v>
      </c>
    </row>
    <row r="606" spans="1:5">
      <c r="A606" s="118">
        <v>3550</v>
      </c>
      <c r="B606" s="60" t="s">
        <v>4195</v>
      </c>
      <c r="C606" s="121" t="s">
        <v>5576</v>
      </c>
      <c r="D606" s="118">
        <v>3550</v>
      </c>
      <c r="E606" s="60" t="str">
        <f>[1]!'3550.TW-Price'</f>
        <v>--</v>
      </c>
    </row>
    <row r="607" spans="1:5">
      <c r="A607" s="118">
        <v>3593</v>
      </c>
      <c r="B607" s="60" t="s">
        <v>4196</v>
      </c>
      <c r="C607" s="121" t="s">
        <v>5576</v>
      </c>
      <c r="D607" s="118">
        <v>3593</v>
      </c>
      <c r="E607" s="60" t="str">
        <f>[1]!'3593.TW-Price'</f>
        <v>--</v>
      </c>
    </row>
    <row r="608" spans="1:5">
      <c r="A608" s="118">
        <v>3605</v>
      </c>
      <c r="B608" s="60" t="s">
        <v>4197</v>
      </c>
      <c r="C608" s="121" t="s">
        <v>5576</v>
      </c>
      <c r="D608" s="118">
        <v>3605</v>
      </c>
      <c r="E608" s="60" t="str">
        <f>[1]!'3605.TW-Price'</f>
        <v>--</v>
      </c>
    </row>
    <row r="609" spans="1:5">
      <c r="A609" s="118">
        <v>3607</v>
      </c>
      <c r="B609" s="60" t="s">
        <v>4198</v>
      </c>
      <c r="C609" s="121" t="s">
        <v>5576</v>
      </c>
      <c r="D609" s="118">
        <v>3607</v>
      </c>
      <c r="E609" s="60" t="str">
        <f>[1]!'3607.TW-Price'</f>
        <v>--</v>
      </c>
    </row>
    <row r="610" spans="1:5">
      <c r="A610" s="118">
        <v>3645</v>
      </c>
      <c r="B610" s="60" t="s">
        <v>4199</v>
      </c>
      <c r="C610" s="121" t="s">
        <v>5576</v>
      </c>
      <c r="D610" s="118">
        <v>3645</v>
      </c>
      <c r="E610" s="60" t="str">
        <f>[1]!'3645.TW-Price'</f>
        <v>--</v>
      </c>
    </row>
    <row r="611" spans="1:5">
      <c r="A611" s="118">
        <v>3653</v>
      </c>
      <c r="B611" s="60" t="s">
        <v>3556</v>
      </c>
      <c r="C611" s="121" t="s">
        <v>5576</v>
      </c>
      <c r="D611" s="118">
        <v>3653</v>
      </c>
      <c r="E611" s="60">
        <f>[1]!'3653.TW-Price'</f>
        <v>408.5</v>
      </c>
    </row>
    <row r="612" spans="1:5">
      <c r="A612" s="118">
        <v>3679</v>
      </c>
      <c r="B612" s="60" t="s">
        <v>4200</v>
      </c>
      <c r="C612" s="121" t="s">
        <v>5576</v>
      </c>
      <c r="D612" s="118">
        <v>3679</v>
      </c>
      <c r="E612" s="60" t="str">
        <f>[1]!'3679.TW-Price'</f>
        <v>--</v>
      </c>
    </row>
    <row r="613" spans="1:5">
      <c r="A613" s="118">
        <v>4545</v>
      </c>
      <c r="B613" s="60" t="s">
        <v>4201</v>
      </c>
      <c r="C613" s="121" t="s">
        <v>5576</v>
      </c>
      <c r="D613" s="118">
        <v>4545</v>
      </c>
      <c r="E613" s="60" t="str">
        <f>[1]!'4545.TW-Price'</f>
        <v>--</v>
      </c>
    </row>
    <row r="614" spans="1:5">
      <c r="A614" s="118">
        <v>4912</v>
      </c>
      <c r="B614" s="60" t="s">
        <v>4202</v>
      </c>
      <c r="C614" s="121" t="s">
        <v>5577</v>
      </c>
      <c r="D614" s="118">
        <v>4912</v>
      </c>
      <c r="E614" s="60" t="str">
        <f>[1]!'4912.TW-Price'</f>
        <v>--</v>
      </c>
    </row>
    <row r="615" spans="1:5">
      <c r="A615" s="118">
        <v>4915</v>
      </c>
      <c r="B615" s="60" t="s">
        <v>4203</v>
      </c>
      <c r="C615" s="121" t="s">
        <v>5576</v>
      </c>
      <c r="D615" s="118">
        <v>4915</v>
      </c>
      <c r="E615" s="60" t="str">
        <f>[1]!'4915.TW-Price'</f>
        <v>--</v>
      </c>
    </row>
    <row r="616" spans="1:5">
      <c r="A616" s="118">
        <v>4927</v>
      </c>
      <c r="B616" s="60" t="s">
        <v>4204</v>
      </c>
      <c r="C616" s="121" t="s">
        <v>5577</v>
      </c>
      <c r="D616" s="118">
        <v>4927</v>
      </c>
      <c r="E616" s="60" t="str">
        <f>[1]!'4927.TW-Price'</f>
        <v>--</v>
      </c>
    </row>
    <row r="617" spans="1:5">
      <c r="A617" s="118">
        <v>4943</v>
      </c>
      <c r="B617" s="60" t="s">
        <v>3683</v>
      </c>
      <c r="C617" s="121" t="s">
        <v>5577</v>
      </c>
      <c r="D617" s="118">
        <v>4943</v>
      </c>
      <c r="E617" s="60" t="str">
        <f>[1]!'4943.TW-Price'</f>
        <v>--</v>
      </c>
    </row>
    <row r="618" spans="1:5">
      <c r="A618" s="118">
        <v>4958</v>
      </c>
      <c r="B618" s="60" t="s">
        <v>4205</v>
      </c>
      <c r="C618" s="121" t="s">
        <v>5577</v>
      </c>
      <c r="D618" s="118">
        <v>4958</v>
      </c>
      <c r="E618" s="60" t="str">
        <f>[1]!'4958.TW-Price'</f>
        <v>--</v>
      </c>
    </row>
    <row r="619" spans="1:5">
      <c r="A619" s="118">
        <v>4989</v>
      </c>
      <c r="B619" s="60" t="s">
        <v>4206</v>
      </c>
      <c r="C619" s="121" t="s">
        <v>5576</v>
      </c>
      <c r="D619" s="118">
        <v>4989</v>
      </c>
      <c r="E619" s="60" t="str">
        <f>[1]!'4989.TW-Price'</f>
        <v>--</v>
      </c>
    </row>
    <row r="620" spans="1:5">
      <c r="A620" s="118">
        <v>4999</v>
      </c>
      <c r="B620" s="60" t="s">
        <v>4207</v>
      </c>
      <c r="C620" s="121" t="s">
        <v>5576</v>
      </c>
      <c r="D620" s="118">
        <v>4999</v>
      </c>
      <c r="E620" s="60" t="str">
        <f>[1]!'4999.TW-Price'</f>
        <v>--</v>
      </c>
    </row>
    <row r="621" spans="1:5">
      <c r="A621" s="118">
        <v>5469</v>
      </c>
      <c r="B621" s="60" t="s">
        <v>4208</v>
      </c>
      <c r="C621" s="121" t="s">
        <v>5576</v>
      </c>
      <c r="D621" s="118">
        <v>5469</v>
      </c>
      <c r="E621" s="60" t="str">
        <f>[1]!'5469.TW-Price'</f>
        <v>--</v>
      </c>
    </row>
    <row r="622" spans="1:5">
      <c r="A622" s="118">
        <v>6108</v>
      </c>
      <c r="B622" s="60" t="s">
        <v>4209</v>
      </c>
      <c r="C622" s="121" t="s">
        <v>5576</v>
      </c>
      <c r="D622" s="118">
        <v>6108</v>
      </c>
      <c r="E622" s="60" t="str">
        <f>[1]!'6108.TW-Price'</f>
        <v>--</v>
      </c>
    </row>
    <row r="623" spans="1:5">
      <c r="A623" s="118">
        <v>6115</v>
      </c>
      <c r="B623" s="60" t="s">
        <v>4210</v>
      </c>
      <c r="C623" s="121" t="s">
        <v>5576</v>
      </c>
      <c r="D623" s="118">
        <v>6115</v>
      </c>
      <c r="E623" s="60" t="str">
        <f>[1]!'6115.TW-Price'</f>
        <v>--</v>
      </c>
    </row>
    <row r="624" spans="1:5">
      <c r="A624" s="118">
        <v>6133</v>
      </c>
      <c r="B624" s="60" t="s">
        <v>4211</v>
      </c>
      <c r="C624" s="121" t="s">
        <v>5576</v>
      </c>
      <c r="D624" s="118">
        <v>6133</v>
      </c>
      <c r="E624" s="60" t="str">
        <f>[1]!'6133.TW-Price'</f>
        <v>--</v>
      </c>
    </row>
    <row r="625" spans="1:5">
      <c r="A625" s="118">
        <v>6141</v>
      </c>
      <c r="B625" s="60" t="s">
        <v>4212</v>
      </c>
      <c r="C625" s="121" t="s">
        <v>5576</v>
      </c>
      <c r="D625" s="118">
        <v>6141</v>
      </c>
      <c r="E625" s="60" t="str">
        <f>[1]!'6141.TW-Price'</f>
        <v>--</v>
      </c>
    </row>
    <row r="626" spans="1:5">
      <c r="A626" s="118">
        <v>6153</v>
      </c>
      <c r="B626" s="60" t="s">
        <v>4213</v>
      </c>
      <c r="C626" s="121" t="s">
        <v>5576</v>
      </c>
      <c r="D626" s="118">
        <v>6153</v>
      </c>
      <c r="E626" s="60" t="str">
        <f>[1]!'6153.TW-Price'</f>
        <v>--</v>
      </c>
    </row>
    <row r="627" spans="1:5">
      <c r="A627" s="118">
        <v>6155</v>
      </c>
      <c r="B627" s="60" t="s">
        <v>4214</v>
      </c>
      <c r="C627" s="121" t="s">
        <v>5576</v>
      </c>
      <c r="D627" s="118">
        <v>6155</v>
      </c>
      <c r="E627" s="60" t="str">
        <f>[1]!'6155.TW-Price'</f>
        <v>--</v>
      </c>
    </row>
    <row r="628" spans="1:5">
      <c r="A628" s="118">
        <v>6191</v>
      </c>
      <c r="B628" s="60" t="s">
        <v>4215</v>
      </c>
      <c r="C628" s="121" t="s">
        <v>5576</v>
      </c>
      <c r="D628" s="118">
        <v>6191</v>
      </c>
      <c r="E628" s="60" t="str">
        <f>[1]!'6191.TW-Price'</f>
        <v>--</v>
      </c>
    </row>
    <row r="629" spans="1:5">
      <c r="A629" s="118">
        <v>6197</v>
      </c>
      <c r="B629" s="60" t="s">
        <v>4216</v>
      </c>
      <c r="C629" s="121" t="s">
        <v>5576</v>
      </c>
      <c r="D629" s="118">
        <v>6197</v>
      </c>
      <c r="E629" s="60" t="str">
        <f>[1]!'6197.TW-Price'</f>
        <v>--</v>
      </c>
    </row>
    <row r="630" spans="1:5">
      <c r="A630" s="118">
        <v>6205</v>
      </c>
      <c r="B630" s="60" t="s">
        <v>4217</v>
      </c>
      <c r="C630" s="121" t="s">
        <v>5576</v>
      </c>
      <c r="D630" s="118">
        <v>6205</v>
      </c>
      <c r="E630" s="60" t="str">
        <f>[1]!'6205.TW-Price'</f>
        <v>--</v>
      </c>
    </row>
    <row r="631" spans="1:5">
      <c r="A631" s="118">
        <v>6213</v>
      </c>
      <c r="B631" s="60" t="s">
        <v>4218</v>
      </c>
      <c r="C631" s="121" t="s">
        <v>5576</v>
      </c>
      <c r="D631" s="118">
        <v>6213</v>
      </c>
      <c r="E631" s="60">
        <f>[1]!'6213.TW-Price'</f>
        <v>128</v>
      </c>
    </row>
    <row r="632" spans="1:5">
      <c r="A632" s="118">
        <v>6224</v>
      </c>
      <c r="B632" s="60" t="s">
        <v>4219</v>
      </c>
      <c r="C632" s="121" t="s">
        <v>5576</v>
      </c>
      <c r="D632" s="118">
        <v>6224</v>
      </c>
      <c r="E632" s="60" t="str">
        <f>[1]!'6224.TW-Price'</f>
        <v>--</v>
      </c>
    </row>
    <row r="633" spans="1:5">
      <c r="A633" s="118">
        <v>6251</v>
      </c>
      <c r="B633" s="60" t="s">
        <v>50</v>
      </c>
      <c r="C633" s="121" t="s">
        <v>5576</v>
      </c>
      <c r="D633" s="118">
        <v>6251</v>
      </c>
      <c r="E633" s="60" t="str">
        <f>[1]!'6251.TW-Price'</f>
        <v>--</v>
      </c>
    </row>
    <row r="634" spans="1:5">
      <c r="A634" s="118">
        <v>6269</v>
      </c>
      <c r="B634" s="60" t="s">
        <v>4220</v>
      </c>
      <c r="C634" s="121" t="s">
        <v>5576</v>
      </c>
      <c r="D634" s="118">
        <v>6269</v>
      </c>
      <c r="E634" s="60" t="str">
        <f>[1]!'6269.TW-Price'</f>
        <v>--</v>
      </c>
    </row>
    <row r="635" spans="1:5">
      <c r="A635" s="118">
        <v>6282</v>
      </c>
      <c r="B635" s="60" t="s">
        <v>4221</v>
      </c>
      <c r="C635" s="121" t="s">
        <v>5576</v>
      </c>
      <c r="D635" s="118">
        <v>6282</v>
      </c>
      <c r="E635" s="60" t="str">
        <f>[1]!'6282.TW-Price'</f>
        <v>--</v>
      </c>
    </row>
    <row r="636" spans="1:5">
      <c r="A636" s="118">
        <v>6412</v>
      </c>
      <c r="B636" s="60" t="s">
        <v>4222</v>
      </c>
      <c r="C636" s="121" t="s">
        <v>5576</v>
      </c>
      <c r="D636" s="118">
        <v>6412</v>
      </c>
      <c r="E636" s="60" t="str">
        <f>[1]!'6412.TW-Price'</f>
        <v>--</v>
      </c>
    </row>
    <row r="637" spans="1:5">
      <c r="A637" s="118">
        <v>6449</v>
      </c>
      <c r="B637" s="60" t="s">
        <v>4223</v>
      </c>
      <c r="C637" s="121" t="s">
        <v>5576</v>
      </c>
      <c r="D637" s="118">
        <v>6449</v>
      </c>
      <c r="E637" s="60" t="str">
        <f>[1]!'6449.TW-Price'</f>
        <v>--</v>
      </c>
    </row>
    <row r="638" spans="1:5">
      <c r="A638" s="118">
        <v>6672</v>
      </c>
      <c r="B638" s="60" t="s">
        <v>4224</v>
      </c>
      <c r="C638" s="121" t="s">
        <v>5577</v>
      </c>
      <c r="D638" s="118">
        <v>6672</v>
      </c>
      <c r="E638" s="60" t="str">
        <f>[1]!'6672.TW-Price'</f>
        <v>--</v>
      </c>
    </row>
    <row r="639" spans="1:5">
      <c r="A639" s="118">
        <v>6715</v>
      </c>
      <c r="B639" s="60" t="s">
        <v>4225</v>
      </c>
      <c r="C639" s="121" t="s">
        <v>5576</v>
      </c>
      <c r="D639" s="118">
        <v>6715</v>
      </c>
      <c r="E639" s="60" t="str">
        <f>[1]!'6715.TW-Price'</f>
        <v>--</v>
      </c>
    </row>
    <row r="640" spans="1:5">
      <c r="A640" s="118">
        <v>6781</v>
      </c>
      <c r="B640" s="60" t="s">
        <v>36</v>
      </c>
      <c r="C640" s="121" t="s">
        <v>5577</v>
      </c>
      <c r="D640" s="118">
        <v>6781</v>
      </c>
      <c r="E640" s="60" t="str">
        <f>[1]!'6781.TW-Price'</f>
        <v>--</v>
      </c>
    </row>
    <row r="641" spans="1:5">
      <c r="A641" s="118">
        <v>8039</v>
      </c>
      <c r="B641" s="60" t="s">
        <v>3686</v>
      </c>
      <c r="C641" s="121" t="s">
        <v>5576</v>
      </c>
      <c r="D641" s="118">
        <v>8039</v>
      </c>
      <c r="E641" s="60" t="str">
        <f>[1]!'8039.TW-Price'</f>
        <v>--</v>
      </c>
    </row>
    <row r="642" spans="1:5">
      <c r="A642" s="118">
        <v>8046</v>
      </c>
      <c r="B642" s="60" t="s">
        <v>4226</v>
      </c>
      <c r="C642" s="121" t="s">
        <v>5576</v>
      </c>
      <c r="D642" s="118">
        <v>8046</v>
      </c>
      <c r="E642" s="60" t="str">
        <f>[1]!'8046.TW-Price'</f>
        <v>--</v>
      </c>
    </row>
    <row r="643" spans="1:5">
      <c r="A643" s="118">
        <v>8103</v>
      </c>
      <c r="B643" s="60" t="s">
        <v>4227</v>
      </c>
      <c r="C643" s="121" t="s">
        <v>5576</v>
      </c>
      <c r="D643" s="118">
        <v>8103</v>
      </c>
      <c r="E643" s="60" t="str">
        <f>[1]!'8103.TW-Price'</f>
        <v>--</v>
      </c>
    </row>
    <row r="644" spans="1:5">
      <c r="A644" s="118">
        <v>8213</v>
      </c>
      <c r="B644" s="60" t="s">
        <v>4228</v>
      </c>
      <c r="C644" s="121" t="s">
        <v>5576</v>
      </c>
      <c r="D644" s="118">
        <v>8213</v>
      </c>
      <c r="E644" s="60" t="str">
        <f>[1]!'8213.TW-Price'</f>
        <v>--</v>
      </c>
    </row>
    <row r="645" spans="1:5">
      <c r="A645" s="118">
        <v>8249</v>
      </c>
      <c r="B645" s="60" t="s">
        <v>4229</v>
      </c>
      <c r="C645" s="121" t="s">
        <v>5576</v>
      </c>
      <c r="D645" s="118">
        <v>8249</v>
      </c>
      <c r="E645" s="60" t="str">
        <f>[1]!'8249.TW-Price'</f>
        <v>--</v>
      </c>
    </row>
    <row r="646" spans="1:5">
      <c r="A646" s="118">
        <v>2347</v>
      </c>
      <c r="B646" s="60" t="s">
        <v>4230</v>
      </c>
      <c r="C646" s="121" t="s">
        <v>5578</v>
      </c>
      <c r="D646" s="118">
        <v>2347</v>
      </c>
      <c r="E646" s="60">
        <f>[1]!'2347.TW-Price'</f>
        <v>58.5</v>
      </c>
    </row>
    <row r="647" spans="1:5">
      <c r="A647" s="118">
        <v>2414</v>
      </c>
      <c r="B647" s="60" t="s">
        <v>4231</v>
      </c>
      <c r="C647" s="121" t="s">
        <v>5578</v>
      </c>
      <c r="D647" s="118">
        <v>2414</v>
      </c>
      <c r="E647" s="60" t="str">
        <f>[1]!'2414.TW-Price'</f>
        <v>--</v>
      </c>
    </row>
    <row r="648" spans="1:5">
      <c r="A648" s="118">
        <v>2430</v>
      </c>
      <c r="B648" s="60" t="s">
        <v>4232</v>
      </c>
      <c r="C648" s="121" t="s">
        <v>5578</v>
      </c>
      <c r="D648" s="118">
        <v>2430</v>
      </c>
      <c r="E648" s="60" t="str">
        <f>[1]!'2430.TW-Price'</f>
        <v>--</v>
      </c>
    </row>
    <row r="649" spans="1:5">
      <c r="A649" s="118">
        <v>3010</v>
      </c>
      <c r="B649" s="60" t="s">
        <v>4234</v>
      </c>
      <c r="C649" s="121" t="s">
        <v>5578</v>
      </c>
      <c r="D649" s="118">
        <v>3010</v>
      </c>
      <c r="E649" s="60" t="str">
        <f>[1]!'3010.TW-Price'</f>
        <v>--</v>
      </c>
    </row>
    <row r="650" spans="1:5">
      <c r="A650" s="118">
        <v>3028</v>
      </c>
      <c r="B650" s="60" t="s">
        <v>4235</v>
      </c>
      <c r="C650" s="121" t="s">
        <v>5578</v>
      </c>
      <c r="D650" s="118">
        <v>3028</v>
      </c>
      <c r="E650" s="60" t="str">
        <f>[1]!'3028.TW-Price'</f>
        <v>--</v>
      </c>
    </row>
    <row r="651" spans="1:5">
      <c r="A651" s="118">
        <v>3033</v>
      </c>
      <c r="B651" s="60" t="s">
        <v>4236</v>
      </c>
      <c r="C651" s="121" t="s">
        <v>5578</v>
      </c>
      <c r="D651" s="118">
        <v>3033</v>
      </c>
      <c r="E651" s="60" t="str">
        <f>[1]!'3033.TW-Price'</f>
        <v>--</v>
      </c>
    </row>
    <row r="652" spans="1:5">
      <c r="A652" s="118">
        <v>3036</v>
      </c>
      <c r="B652" s="60" t="s">
        <v>4237</v>
      </c>
      <c r="C652" s="121" t="s">
        <v>5578</v>
      </c>
      <c r="D652" s="118">
        <v>3036</v>
      </c>
      <c r="E652" s="60" t="str">
        <f>[1]!'3036.TW-Price'</f>
        <v>--</v>
      </c>
    </row>
    <row r="653" spans="1:5">
      <c r="A653" s="118">
        <v>3048</v>
      </c>
      <c r="B653" s="60" t="s">
        <v>4238</v>
      </c>
      <c r="C653" s="121" t="s">
        <v>5578</v>
      </c>
      <c r="D653" s="118">
        <v>3048</v>
      </c>
      <c r="E653" s="60" t="str">
        <f>[1]!'3048.TW-Price'</f>
        <v>--</v>
      </c>
    </row>
    <row r="654" spans="1:5">
      <c r="A654" s="118">
        <v>3055</v>
      </c>
      <c r="B654" s="60" t="s">
        <v>4239</v>
      </c>
      <c r="C654" s="121" t="s">
        <v>5578</v>
      </c>
      <c r="D654" s="118">
        <v>3055</v>
      </c>
      <c r="E654" s="60" t="str">
        <f>[1]!'3055.TW-Price'</f>
        <v>--</v>
      </c>
    </row>
    <row r="655" spans="1:5">
      <c r="A655" s="118">
        <v>3209</v>
      </c>
      <c r="B655" s="60" t="s">
        <v>4240</v>
      </c>
      <c r="C655" s="121" t="s">
        <v>5578</v>
      </c>
      <c r="D655" s="118">
        <v>3209</v>
      </c>
      <c r="E655" s="60" t="str">
        <f>[1]!'3209.TW-Price'</f>
        <v>--</v>
      </c>
    </row>
    <row r="656" spans="1:5">
      <c r="A656" s="118">
        <v>3312</v>
      </c>
      <c r="B656" s="60" t="s">
        <v>4241</v>
      </c>
      <c r="C656" s="121" t="s">
        <v>5578</v>
      </c>
      <c r="D656" s="118">
        <v>3312</v>
      </c>
      <c r="E656" s="60" t="str">
        <f>[1]!'3312.TW-Price'</f>
        <v>--</v>
      </c>
    </row>
    <row r="657" spans="1:5">
      <c r="A657" s="118">
        <v>3528</v>
      </c>
      <c r="B657" s="60" t="s">
        <v>4242</v>
      </c>
      <c r="C657" s="121" t="s">
        <v>5578</v>
      </c>
      <c r="D657" s="118">
        <v>3528</v>
      </c>
      <c r="E657" s="60" t="str">
        <f>[1]!'3528.TW-Price'</f>
        <v>--</v>
      </c>
    </row>
    <row r="658" spans="1:5">
      <c r="A658" s="118">
        <v>3702</v>
      </c>
      <c r="B658" s="60" t="s">
        <v>4243</v>
      </c>
      <c r="C658" s="121" t="s">
        <v>5578</v>
      </c>
      <c r="D658" s="118">
        <v>3702</v>
      </c>
      <c r="E658" s="60" t="str">
        <f>[1]!'3702.TW-Price'</f>
        <v>--</v>
      </c>
    </row>
    <row r="659" spans="1:5">
      <c r="A659" s="118">
        <v>5434</v>
      </c>
      <c r="B659" s="60" t="s">
        <v>4244</v>
      </c>
      <c r="C659" s="121" t="s">
        <v>5578</v>
      </c>
      <c r="D659" s="118">
        <v>5434</v>
      </c>
      <c r="E659" s="60">
        <f>[1]!'5434.TW-Price'</f>
        <v>150</v>
      </c>
    </row>
    <row r="660" spans="1:5">
      <c r="A660" s="118">
        <v>6189</v>
      </c>
      <c r="B660" s="60" t="s">
        <v>4245</v>
      </c>
      <c r="C660" s="121" t="s">
        <v>5578</v>
      </c>
      <c r="D660" s="118">
        <v>6189</v>
      </c>
      <c r="E660" s="60">
        <f>[1]!'6189.TW-Price'</f>
        <v>40.85</v>
      </c>
    </row>
    <row r="661" spans="1:5">
      <c r="A661" s="118">
        <v>6281</v>
      </c>
      <c r="B661" s="60" t="s">
        <v>4246</v>
      </c>
      <c r="C661" s="121" t="s">
        <v>5578</v>
      </c>
      <c r="D661" s="118">
        <v>6281</v>
      </c>
      <c r="E661" s="60" t="str">
        <f>[1]!'6281.TW-Price'</f>
        <v>--</v>
      </c>
    </row>
    <row r="662" spans="1:5">
      <c r="A662" s="118">
        <v>6776</v>
      </c>
      <c r="B662" s="60" t="s">
        <v>4247</v>
      </c>
      <c r="C662" s="121" t="s">
        <v>5578</v>
      </c>
      <c r="D662" s="118">
        <v>6776</v>
      </c>
      <c r="E662" s="60" t="str">
        <f>[1]!'6776.TW-Price'</f>
        <v>--</v>
      </c>
    </row>
    <row r="663" spans="1:5">
      <c r="A663" s="118">
        <v>8070</v>
      </c>
      <c r="B663" s="60" t="s">
        <v>4248</v>
      </c>
      <c r="C663" s="121" t="s">
        <v>5578</v>
      </c>
      <c r="D663" s="118">
        <v>8070</v>
      </c>
      <c r="E663" s="60" t="str">
        <f>[1]!'8070.TW-Price'</f>
        <v>--</v>
      </c>
    </row>
    <row r="664" spans="1:5">
      <c r="A664" s="118">
        <v>8072</v>
      </c>
      <c r="B664" s="60" t="s">
        <v>4249</v>
      </c>
      <c r="C664" s="121" t="s">
        <v>5578</v>
      </c>
      <c r="D664" s="118">
        <v>8072</v>
      </c>
      <c r="E664" s="60" t="str">
        <f>[1]!'8072.TW-Price'</f>
        <v>--</v>
      </c>
    </row>
    <row r="665" spans="1:5">
      <c r="A665" s="118">
        <v>8112</v>
      </c>
      <c r="B665" s="60" t="s">
        <v>4250</v>
      </c>
      <c r="C665" s="121" t="s">
        <v>5578</v>
      </c>
      <c r="D665" s="118">
        <v>8112</v>
      </c>
      <c r="E665" s="60" t="str">
        <f>[1]!'8112.TW-Price'</f>
        <v>--</v>
      </c>
    </row>
    <row r="666" spans="1:5">
      <c r="A666" s="118">
        <v>2427</v>
      </c>
      <c r="B666" s="60" t="s">
        <v>4251</v>
      </c>
      <c r="C666" s="121" t="s">
        <v>5579</v>
      </c>
      <c r="D666" s="118">
        <v>2427</v>
      </c>
      <c r="E666" s="60" t="str">
        <f>[1]!'2427.TW-Price'</f>
        <v>--</v>
      </c>
    </row>
    <row r="667" spans="1:5">
      <c r="A667" s="118">
        <v>2453</v>
      </c>
      <c r="B667" s="60" t="s">
        <v>4252</v>
      </c>
      <c r="C667" s="121" t="s">
        <v>5579</v>
      </c>
      <c r="D667" s="118">
        <v>2453</v>
      </c>
      <c r="E667" s="60" t="str">
        <f>[1]!'2453.TW-Price'</f>
        <v>--</v>
      </c>
    </row>
    <row r="668" spans="1:5">
      <c r="A668" s="118">
        <v>2468</v>
      </c>
      <c r="B668" s="60" t="s">
        <v>4253</v>
      </c>
      <c r="C668" s="121" t="s">
        <v>5579</v>
      </c>
      <c r="D668" s="118">
        <v>2468</v>
      </c>
      <c r="E668" s="60" t="str">
        <f>[1]!'2468.TW-Price'</f>
        <v>--</v>
      </c>
    </row>
    <row r="669" spans="1:5">
      <c r="A669" s="118">
        <v>2471</v>
      </c>
      <c r="B669" s="60" t="s">
        <v>4254</v>
      </c>
      <c r="C669" s="121" t="s">
        <v>5579</v>
      </c>
      <c r="D669" s="118">
        <v>2471</v>
      </c>
      <c r="E669" s="60" t="str">
        <f>[1]!'2471.TW-Price'</f>
        <v>--</v>
      </c>
    </row>
    <row r="670" spans="1:5">
      <c r="A670" s="118">
        <v>2480</v>
      </c>
      <c r="B670" s="60" t="s">
        <v>4255</v>
      </c>
      <c r="C670" s="121" t="s">
        <v>5579</v>
      </c>
      <c r="D670" s="118">
        <v>2480</v>
      </c>
      <c r="E670" s="60" t="str">
        <f>[1]!'2480.TW-Price'</f>
        <v>--</v>
      </c>
    </row>
    <row r="671" spans="1:5">
      <c r="A671" s="118">
        <v>3029</v>
      </c>
      <c r="B671" s="60" t="s">
        <v>4256</v>
      </c>
      <c r="C671" s="121" t="s">
        <v>5579</v>
      </c>
      <c r="D671" s="118">
        <v>3029</v>
      </c>
      <c r="E671" s="60" t="str">
        <f>[1]!'3029.TW-Price'</f>
        <v>--</v>
      </c>
    </row>
    <row r="672" spans="1:5">
      <c r="A672" s="118">
        <v>3130</v>
      </c>
      <c r="B672" s="60" t="s">
        <v>4257</v>
      </c>
      <c r="C672" s="121" t="s">
        <v>5579</v>
      </c>
      <c r="D672" s="118">
        <v>3130</v>
      </c>
      <c r="E672" s="60" t="str">
        <f>[1]!'3130.TW-Price'</f>
        <v>--</v>
      </c>
    </row>
    <row r="673" spans="1:5">
      <c r="A673" s="118">
        <v>4994</v>
      </c>
      <c r="B673" s="60" t="s">
        <v>4258</v>
      </c>
      <c r="C673" s="121" t="s">
        <v>5579</v>
      </c>
      <c r="D673" s="118">
        <v>4994</v>
      </c>
      <c r="E673" s="60" t="str">
        <f>[1]!'4994.TW-Price'</f>
        <v>--</v>
      </c>
    </row>
    <row r="674" spans="1:5">
      <c r="A674" s="118">
        <v>5203</v>
      </c>
      <c r="B674" s="60" t="s">
        <v>4259</v>
      </c>
      <c r="C674" s="121" t="s">
        <v>5579</v>
      </c>
      <c r="D674" s="118">
        <v>5203</v>
      </c>
      <c r="E674" s="60" t="str">
        <f>[1]!'5203.TW-Price'</f>
        <v>--</v>
      </c>
    </row>
    <row r="675" spans="1:5">
      <c r="A675" s="118">
        <v>6112</v>
      </c>
      <c r="B675" s="60" t="s">
        <v>4260</v>
      </c>
      <c r="C675" s="121" t="s">
        <v>5579</v>
      </c>
      <c r="D675" s="118">
        <v>6112</v>
      </c>
      <c r="E675" s="60" t="str">
        <f>[1]!'6112.TW-Price'</f>
        <v>--</v>
      </c>
    </row>
    <row r="676" spans="1:5">
      <c r="A676" s="118">
        <v>6183</v>
      </c>
      <c r="B676" s="60" t="s">
        <v>4261</v>
      </c>
      <c r="C676" s="121" t="s">
        <v>5579</v>
      </c>
      <c r="D676" s="118">
        <v>6183</v>
      </c>
      <c r="E676" s="60" t="str">
        <f>[1]!'6183.TW-Price'</f>
        <v>--</v>
      </c>
    </row>
    <row r="677" spans="1:5">
      <c r="A677" s="118">
        <v>6214</v>
      </c>
      <c r="B677" s="60" t="s">
        <v>4262</v>
      </c>
      <c r="C677" s="121" t="s">
        <v>5579</v>
      </c>
      <c r="D677" s="118">
        <v>6214</v>
      </c>
      <c r="E677" s="60" t="str">
        <f>[1]!'6214.TW-Price'</f>
        <v>--</v>
      </c>
    </row>
    <row r="678" spans="1:5">
      <c r="A678" s="118">
        <v>2312</v>
      </c>
      <c r="B678" s="60" t="s">
        <v>4263</v>
      </c>
      <c r="C678" s="121" t="s">
        <v>5580</v>
      </c>
      <c r="D678" s="118">
        <v>2312</v>
      </c>
      <c r="E678" s="60" t="str">
        <f>[1]!'2312.TW-Price'</f>
        <v>--</v>
      </c>
    </row>
    <row r="679" spans="1:5">
      <c r="A679" s="118">
        <v>2317</v>
      </c>
      <c r="B679" s="60" t="s">
        <v>4264</v>
      </c>
      <c r="C679" s="121" t="s">
        <v>5580</v>
      </c>
      <c r="D679" s="118">
        <v>2317</v>
      </c>
      <c r="E679" s="60">
        <f>[1]!'2317.TW-Price'</f>
        <v>105.5</v>
      </c>
    </row>
    <row r="680" spans="1:5">
      <c r="A680" s="118">
        <v>2354</v>
      </c>
      <c r="B680" s="60" t="s">
        <v>4265</v>
      </c>
      <c r="C680" s="121" t="s">
        <v>5580</v>
      </c>
      <c r="D680" s="118">
        <v>2354</v>
      </c>
      <c r="E680" s="60" t="str">
        <f>[1]!'2354.TW-Price'</f>
        <v>--</v>
      </c>
    </row>
    <row r="681" spans="1:5">
      <c r="A681" s="118">
        <v>2359</v>
      </c>
      <c r="B681" s="60" t="s">
        <v>4266</v>
      </c>
      <c r="C681" s="121" t="s">
        <v>5580</v>
      </c>
      <c r="D681" s="118">
        <v>2359</v>
      </c>
      <c r="E681" s="60" t="str">
        <f>[1]!'2359.TW-Price'</f>
        <v>--</v>
      </c>
    </row>
    <row r="682" spans="1:5">
      <c r="A682" s="118">
        <v>2360</v>
      </c>
      <c r="B682" s="60" t="s">
        <v>3604</v>
      </c>
      <c r="C682" s="121" t="s">
        <v>5580</v>
      </c>
      <c r="D682" s="118">
        <v>2360</v>
      </c>
      <c r="E682" s="60" t="str">
        <f>[1]!'2360.TW-Price'</f>
        <v>--</v>
      </c>
    </row>
    <row r="683" spans="1:5">
      <c r="A683" s="118">
        <v>2373</v>
      </c>
      <c r="B683" s="60" t="s">
        <v>4267</v>
      </c>
      <c r="C683" s="121" t="s">
        <v>5580</v>
      </c>
      <c r="D683" s="118">
        <v>2373</v>
      </c>
      <c r="E683" s="60" t="str">
        <f>[1]!'2373.TW-Price'</f>
        <v>--</v>
      </c>
    </row>
    <row r="684" spans="1:5">
      <c r="A684" s="118">
        <v>2390</v>
      </c>
      <c r="B684" s="60" t="s">
        <v>3545</v>
      </c>
      <c r="C684" s="121" t="s">
        <v>5580</v>
      </c>
      <c r="D684" s="118">
        <v>2390</v>
      </c>
      <c r="E684" s="60">
        <f>[1]!'2390.TW-Price'</f>
        <v>21.4</v>
      </c>
    </row>
    <row r="685" spans="1:5">
      <c r="A685" s="118">
        <v>2404</v>
      </c>
      <c r="B685" s="60" t="s">
        <v>4268</v>
      </c>
      <c r="C685" s="121" t="s">
        <v>5580</v>
      </c>
      <c r="D685" s="118">
        <v>2404</v>
      </c>
      <c r="E685" s="60">
        <f>[1]!'2404.TW-Price'</f>
        <v>183</v>
      </c>
    </row>
    <row r="686" spans="1:5">
      <c r="A686" s="118">
        <v>2423</v>
      </c>
      <c r="B686" s="60" t="s">
        <v>4269</v>
      </c>
      <c r="C686" s="121" t="s">
        <v>5580</v>
      </c>
      <c r="D686" s="118">
        <v>2423</v>
      </c>
      <c r="E686" s="60" t="str">
        <f>[1]!'2423.TW-Price'</f>
        <v>--</v>
      </c>
    </row>
    <row r="687" spans="1:5">
      <c r="A687" s="118">
        <v>2433</v>
      </c>
      <c r="B687" s="60" t="s">
        <v>4270</v>
      </c>
      <c r="C687" s="121" t="s">
        <v>5580</v>
      </c>
      <c r="D687" s="118">
        <v>2433</v>
      </c>
      <c r="E687" s="60" t="str">
        <f>[1]!'2433.TW-Price'</f>
        <v>--</v>
      </c>
    </row>
    <row r="688" spans="1:5">
      <c r="A688" s="118">
        <v>2459</v>
      </c>
      <c r="B688" s="60" t="s">
        <v>4233</v>
      </c>
      <c r="C688" s="121" t="s">
        <v>5580</v>
      </c>
      <c r="D688" s="118">
        <v>2459</v>
      </c>
      <c r="E688" s="60" t="str">
        <f>[1]!'2459.TW-Price'</f>
        <v>--</v>
      </c>
    </row>
    <row r="689" spans="1:5">
      <c r="A689" s="118">
        <v>2461</v>
      </c>
      <c r="B689" s="60" t="s">
        <v>3691</v>
      </c>
      <c r="C689" s="121" t="s">
        <v>5580</v>
      </c>
      <c r="D689" s="118">
        <v>2461</v>
      </c>
      <c r="E689" s="60" t="str">
        <f>[1]!'2461.TW-Price'</f>
        <v>--</v>
      </c>
    </row>
    <row r="690" spans="1:5">
      <c r="A690" s="118">
        <v>2464</v>
      </c>
      <c r="B690" s="60" t="s">
        <v>4271</v>
      </c>
      <c r="C690" s="121" t="s">
        <v>5580</v>
      </c>
      <c r="D690" s="118">
        <v>2464</v>
      </c>
      <c r="E690" s="60" t="str">
        <f>[1]!'2464.TW-Price'</f>
        <v>--</v>
      </c>
    </row>
    <row r="691" spans="1:5">
      <c r="A691" s="118">
        <v>2474</v>
      </c>
      <c r="B691" s="60" t="s">
        <v>4272</v>
      </c>
      <c r="C691" s="121" t="s">
        <v>5580</v>
      </c>
      <c r="D691" s="118">
        <v>2474</v>
      </c>
      <c r="E691" s="60" t="str">
        <f>[1]!'2474.TW-Price'</f>
        <v>--</v>
      </c>
    </row>
    <row r="692" spans="1:5">
      <c r="A692" s="118">
        <v>2477</v>
      </c>
      <c r="B692" s="60" t="s">
        <v>4273</v>
      </c>
      <c r="C692" s="121" t="s">
        <v>5580</v>
      </c>
      <c r="D692" s="118">
        <v>2477</v>
      </c>
      <c r="E692" s="60" t="str">
        <f>[1]!'2477.TW-Price'</f>
        <v>--</v>
      </c>
    </row>
    <row r="693" spans="1:5">
      <c r="A693" s="118">
        <v>2482</v>
      </c>
      <c r="B693" s="60" t="s">
        <v>4274</v>
      </c>
      <c r="C693" s="121" t="s">
        <v>5580</v>
      </c>
      <c r="D693" s="118">
        <v>2482</v>
      </c>
      <c r="E693" s="60" t="str">
        <f>[1]!'2482.TW-Price'</f>
        <v>--</v>
      </c>
    </row>
    <row r="694" spans="1:5">
      <c r="A694" s="118">
        <v>2488</v>
      </c>
      <c r="B694" s="60" t="s">
        <v>4275</v>
      </c>
      <c r="C694" s="121" t="s">
        <v>5580</v>
      </c>
      <c r="D694" s="118">
        <v>2488</v>
      </c>
      <c r="E694" s="60" t="str">
        <f>[1]!'2488.TW-Price'</f>
        <v>--</v>
      </c>
    </row>
    <row r="695" spans="1:5">
      <c r="A695" s="118">
        <v>2495</v>
      </c>
      <c r="B695" s="60" t="s">
        <v>4276</v>
      </c>
      <c r="C695" s="121" t="s">
        <v>5580</v>
      </c>
      <c r="D695" s="118">
        <v>2495</v>
      </c>
      <c r="E695" s="60" t="str">
        <f>[1]!'2495.TW-Price'</f>
        <v>--</v>
      </c>
    </row>
    <row r="696" spans="1:5">
      <c r="A696" s="118">
        <v>3018</v>
      </c>
      <c r="B696" s="60" t="s">
        <v>4277</v>
      </c>
      <c r="C696" s="121" t="s">
        <v>5580</v>
      </c>
      <c r="D696" s="118">
        <v>3018</v>
      </c>
      <c r="E696" s="60" t="str">
        <f>[1]!'3018.TW-Price'</f>
        <v>--</v>
      </c>
    </row>
    <row r="697" spans="1:5">
      <c r="A697" s="118">
        <v>3030</v>
      </c>
      <c r="B697" s="60" t="s">
        <v>4278</v>
      </c>
      <c r="C697" s="121" t="s">
        <v>5580</v>
      </c>
      <c r="D697" s="118">
        <v>3030</v>
      </c>
      <c r="E697" s="60" t="str">
        <f>[1]!'3030.TW-Price'</f>
        <v>--</v>
      </c>
    </row>
    <row r="698" spans="1:5">
      <c r="A698" s="118">
        <v>3043</v>
      </c>
      <c r="B698" s="60" t="s">
        <v>4279</v>
      </c>
      <c r="C698" s="121" t="s">
        <v>5580</v>
      </c>
      <c r="D698" s="118">
        <v>3043</v>
      </c>
      <c r="E698" s="60" t="str">
        <f>[1]!'3043.TW-Price'</f>
        <v>--</v>
      </c>
    </row>
    <row r="699" spans="1:5">
      <c r="A699" s="118">
        <v>3305</v>
      </c>
      <c r="B699" s="60" t="s">
        <v>4280</v>
      </c>
      <c r="C699" s="121" t="s">
        <v>5580</v>
      </c>
      <c r="D699" s="118">
        <v>3305</v>
      </c>
      <c r="E699" s="60" t="str">
        <f>[1]!'3305.TW-Price'</f>
        <v>--</v>
      </c>
    </row>
    <row r="700" spans="1:5">
      <c r="A700" s="118">
        <v>3518</v>
      </c>
      <c r="B700" s="60" t="s">
        <v>4282</v>
      </c>
      <c r="C700" s="121" t="s">
        <v>5580</v>
      </c>
      <c r="D700" s="118">
        <v>3518</v>
      </c>
      <c r="E700" s="60" t="str">
        <f>[1]!'3518.TW-Price'</f>
        <v>--</v>
      </c>
    </row>
    <row r="701" spans="1:5">
      <c r="A701" s="118">
        <v>3617</v>
      </c>
      <c r="B701" s="60" t="s">
        <v>4283</v>
      </c>
      <c r="C701" s="121" t="s">
        <v>5580</v>
      </c>
      <c r="D701" s="118">
        <v>3617</v>
      </c>
      <c r="E701" s="60" t="str">
        <f>[1]!'3617.TW-Price'</f>
        <v>--</v>
      </c>
    </row>
    <row r="702" spans="1:5">
      <c r="A702" s="118">
        <v>3665</v>
      </c>
      <c r="B702" s="60" t="s">
        <v>4284</v>
      </c>
      <c r="C702" s="121" t="s">
        <v>5581</v>
      </c>
      <c r="D702" s="118">
        <v>3665</v>
      </c>
      <c r="E702" s="60" t="str">
        <f>[1]!'3665.TW-Price'</f>
        <v>--</v>
      </c>
    </row>
    <row r="703" spans="1:5">
      <c r="A703" s="118">
        <v>5225</v>
      </c>
      <c r="B703" s="60" t="s">
        <v>4285</v>
      </c>
      <c r="C703" s="121" t="s">
        <v>5581</v>
      </c>
      <c r="D703" s="118">
        <v>5225</v>
      </c>
      <c r="E703" s="60" t="str">
        <f>[1]!'5225.TW-Price'</f>
        <v>--</v>
      </c>
    </row>
    <row r="704" spans="1:5">
      <c r="A704" s="118">
        <v>6139</v>
      </c>
      <c r="B704" s="60" t="s">
        <v>4286</v>
      </c>
      <c r="C704" s="121" t="s">
        <v>5580</v>
      </c>
      <c r="D704" s="118">
        <v>6139</v>
      </c>
      <c r="E704" s="60" t="str">
        <f>[1]!'6139.TW-Price'</f>
        <v>--</v>
      </c>
    </row>
    <row r="705" spans="1:5">
      <c r="A705" s="118">
        <v>6192</v>
      </c>
      <c r="B705" s="60" t="s">
        <v>4287</v>
      </c>
      <c r="C705" s="121" t="s">
        <v>5580</v>
      </c>
      <c r="D705" s="118">
        <v>6192</v>
      </c>
      <c r="E705" s="60" t="str">
        <f>[1]!'6192.TW-Price'</f>
        <v>--</v>
      </c>
    </row>
    <row r="706" spans="1:5">
      <c r="A706" s="118">
        <v>6196</v>
      </c>
      <c r="B706" s="60" t="s">
        <v>4288</v>
      </c>
      <c r="C706" s="121" t="s">
        <v>5580</v>
      </c>
      <c r="D706" s="118">
        <v>6196</v>
      </c>
      <c r="E706" s="60">
        <f>[1]!'6196.TW-Price'</f>
        <v>147.5</v>
      </c>
    </row>
    <row r="707" spans="1:5">
      <c r="A707" s="118">
        <v>6201</v>
      </c>
      <c r="B707" s="60" t="s">
        <v>4289</v>
      </c>
      <c r="C707" s="121" t="s">
        <v>5580</v>
      </c>
      <c r="D707" s="118">
        <v>6201</v>
      </c>
      <c r="E707" s="60" t="str">
        <f>[1]!'6201.TW-Price'</f>
        <v>--</v>
      </c>
    </row>
    <row r="708" spans="1:5">
      <c r="A708" s="118">
        <v>6215</v>
      </c>
      <c r="B708" s="60" t="s">
        <v>4290</v>
      </c>
      <c r="C708" s="121" t="s">
        <v>5580</v>
      </c>
      <c r="D708" s="118">
        <v>6215</v>
      </c>
      <c r="E708" s="60" t="str">
        <f>[1]!'6215.TW-Price'</f>
        <v>--</v>
      </c>
    </row>
    <row r="709" spans="1:5">
      <c r="A709" s="118">
        <v>6283</v>
      </c>
      <c r="B709" s="60" t="s">
        <v>4291</v>
      </c>
      <c r="C709" s="121" t="s">
        <v>5580</v>
      </c>
      <c r="D709" s="118">
        <v>6283</v>
      </c>
      <c r="E709" s="60" t="str">
        <f>[1]!'6283.TW-Price'</f>
        <v>--</v>
      </c>
    </row>
    <row r="710" spans="1:5">
      <c r="A710" s="118">
        <v>6409</v>
      </c>
      <c r="B710" s="60" t="s">
        <v>4292</v>
      </c>
      <c r="C710" s="121" t="s">
        <v>5580</v>
      </c>
      <c r="D710" s="118">
        <v>6409</v>
      </c>
      <c r="E710" s="60" t="str">
        <f>[1]!'6409.TW-Price'</f>
        <v>--</v>
      </c>
    </row>
    <row r="711" spans="1:5">
      <c r="A711" s="118">
        <v>6438</v>
      </c>
      <c r="B711" s="60" t="s">
        <v>4293</v>
      </c>
      <c r="C711" s="121" t="s">
        <v>5580</v>
      </c>
      <c r="D711" s="118">
        <v>6438</v>
      </c>
      <c r="E711" s="60" t="str">
        <f>[1]!'6438.TW-Price'</f>
        <v>--</v>
      </c>
    </row>
    <row r="712" spans="1:5">
      <c r="A712" s="118">
        <v>6558</v>
      </c>
      <c r="B712" s="60" t="s">
        <v>4294</v>
      </c>
      <c r="C712" s="121" t="s">
        <v>5580</v>
      </c>
      <c r="D712" s="118">
        <v>6558</v>
      </c>
      <c r="E712" s="60" t="str">
        <f>[1]!'6558.TW-Price'</f>
        <v>--</v>
      </c>
    </row>
    <row r="713" spans="1:5">
      <c r="A713" s="118">
        <v>6698</v>
      </c>
      <c r="B713" s="60" t="s">
        <v>4295</v>
      </c>
      <c r="C713" s="121" t="s">
        <v>5580</v>
      </c>
      <c r="D713" s="118">
        <v>6698</v>
      </c>
      <c r="E713" s="60" t="str">
        <f>[1]!'6698.TW-Price'</f>
        <v>--</v>
      </c>
    </row>
    <row r="714" spans="1:5">
      <c r="A714" s="118">
        <v>6743</v>
      </c>
      <c r="B714" s="60" t="s">
        <v>41</v>
      </c>
      <c r="C714" s="121" t="s">
        <v>5580</v>
      </c>
      <c r="D714" s="118">
        <v>6743</v>
      </c>
      <c r="E714" s="60" t="str">
        <f>[1]!'6743.TW-Price'</f>
        <v>--</v>
      </c>
    </row>
    <row r="715" spans="1:5">
      <c r="A715" s="118">
        <v>8021</v>
      </c>
      <c r="B715" s="60" t="s">
        <v>3638</v>
      </c>
      <c r="C715" s="121" t="s">
        <v>5580</v>
      </c>
      <c r="D715" s="118">
        <v>8021</v>
      </c>
      <c r="E715" s="60" t="str">
        <f>[1]!'8021.TW-Price'</f>
        <v>--</v>
      </c>
    </row>
    <row r="716" spans="1:5">
      <c r="A716" s="118">
        <v>8201</v>
      </c>
      <c r="B716" s="60" t="s">
        <v>4296</v>
      </c>
      <c r="C716" s="121" t="s">
        <v>5580</v>
      </c>
      <c r="D716" s="118">
        <v>8201</v>
      </c>
      <c r="E716" s="60" t="str">
        <f>[1]!'8201.TW-Price'</f>
        <v>--</v>
      </c>
    </row>
    <row r="717" spans="1:5">
      <c r="A717" s="118">
        <v>8499</v>
      </c>
      <c r="B717" s="60" t="s">
        <v>4476</v>
      </c>
      <c r="C717" s="121" t="s">
        <v>5581</v>
      </c>
      <c r="D717" s="118">
        <v>8499</v>
      </c>
      <c r="E717" s="60" t="str">
        <f>[1]!'8499.TW-Price'</f>
        <v>--</v>
      </c>
    </row>
    <row r="718" spans="1:5">
      <c r="A718" s="118">
        <v>1316</v>
      </c>
      <c r="B718" s="60" t="s">
        <v>4297</v>
      </c>
      <c r="C718" s="121" t="s">
        <v>5582</v>
      </c>
      <c r="D718" s="118">
        <v>1316</v>
      </c>
      <c r="E718" s="60">
        <f>[1]!'1316.TW-Price'</f>
        <v>20.3</v>
      </c>
    </row>
    <row r="719" spans="1:5">
      <c r="A719" s="118">
        <v>1436</v>
      </c>
      <c r="B719" s="60" t="s">
        <v>4299</v>
      </c>
      <c r="C719" s="121" t="s">
        <v>5582</v>
      </c>
      <c r="D719" s="118">
        <v>1436</v>
      </c>
      <c r="E719" s="60" t="str">
        <f>[1]!'1436.TW-Price'</f>
        <v>--</v>
      </c>
    </row>
    <row r="720" spans="1:5">
      <c r="A720" s="118">
        <v>1438</v>
      </c>
      <c r="B720" s="60" t="s">
        <v>4300</v>
      </c>
      <c r="C720" s="121" t="s">
        <v>5582</v>
      </c>
      <c r="D720" s="118">
        <v>1438</v>
      </c>
      <c r="E720" s="60" t="str">
        <f>[1]!'1438.TW-Price'</f>
        <v>--</v>
      </c>
    </row>
    <row r="721" spans="1:5">
      <c r="A721" s="118">
        <v>1442</v>
      </c>
      <c r="B721" s="60" t="s">
        <v>4301</v>
      </c>
      <c r="C721" s="121" t="s">
        <v>5582</v>
      </c>
      <c r="D721" s="118">
        <v>1442</v>
      </c>
      <c r="E721" s="60">
        <f>[1]!'1442.TW-Price'</f>
        <v>24.1</v>
      </c>
    </row>
    <row r="722" spans="1:5">
      <c r="A722" s="118">
        <v>1453</v>
      </c>
      <c r="B722" s="60" t="s">
        <v>3754</v>
      </c>
      <c r="C722" s="121" t="s">
        <v>5582</v>
      </c>
      <c r="D722" s="118">
        <v>1453</v>
      </c>
      <c r="E722" s="60" t="str">
        <f>[1]!'1453.TW-Price'</f>
        <v>--</v>
      </c>
    </row>
    <row r="723" spans="1:5">
      <c r="A723" s="118">
        <v>1456</v>
      </c>
      <c r="B723" s="60" t="s">
        <v>3755</v>
      </c>
      <c r="C723" s="121" t="s">
        <v>5582</v>
      </c>
      <c r="D723" s="118">
        <v>1456</v>
      </c>
      <c r="E723" s="60" t="str">
        <f>[1]!'1456.TW-Price'</f>
        <v>--</v>
      </c>
    </row>
    <row r="724" spans="1:5">
      <c r="A724" s="118">
        <v>1805</v>
      </c>
      <c r="B724" s="60" t="s">
        <v>3634</v>
      </c>
      <c r="C724" s="121" t="s">
        <v>5582</v>
      </c>
      <c r="D724" s="118">
        <v>1805</v>
      </c>
      <c r="E724" s="60" t="str">
        <f>[1]!'1805.TW-Price'</f>
        <v>--</v>
      </c>
    </row>
    <row r="725" spans="1:5">
      <c r="A725" s="118">
        <v>1808</v>
      </c>
      <c r="B725" s="60" t="s">
        <v>4302</v>
      </c>
      <c r="C725" s="121" t="s">
        <v>5582</v>
      </c>
      <c r="D725" s="118">
        <v>1808</v>
      </c>
      <c r="E725" s="60" t="str">
        <f>[1]!'1808.TW-Price'</f>
        <v>--</v>
      </c>
    </row>
    <row r="726" spans="1:5">
      <c r="A726" s="118">
        <v>2501</v>
      </c>
      <c r="B726" s="60" t="s">
        <v>4303</v>
      </c>
      <c r="C726" s="121" t="s">
        <v>5582</v>
      </c>
      <c r="D726" s="118">
        <v>2501</v>
      </c>
      <c r="E726" s="60" t="str">
        <f>[1]!'2501.TW-Price'</f>
        <v>--</v>
      </c>
    </row>
    <row r="727" spans="1:5">
      <c r="A727" s="118">
        <v>2504</v>
      </c>
      <c r="B727" s="60" t="s">
        <v>4304</v>
      </c>
      <c r="C727" s="121" t="s">
        <v>5582</v>
      </c>
      <c r="D727" s="118">
        <v>2504</v>
      </c>
      <c r="E727" s="60" t="str">
        <f>[1]!'2504.TW-Price'</f>
        <v>--</v>
      </c>
    </row>
    <row r="728" spans="1:5">
      <c r="A728" s="118">
        <v>2505</v>
      </c>
      <c r="B728" s="60" t="s">
        <v>4305</v>
      </c>
      <c r="C728" s="121" t="s">
        <v>5582</v>
      </c>
      <c r="D728" s="118">
        <v>2505</v>
      </c>
      <c r="E728" s="60" t="str">
        <f>[1]!'2505.TW-Price'</f>
        <v>--</v>
      </c>
    </row>
    <row r="729" spans="1:5">
      <c r="A729" s="118">
        <v>2506</v>
      </c>
      <c r="B729" s="60" t="s">
        <v>4306</v>
      </c>
      <c r="C729" s="121" t="s">
        <v>5582</v>
      </c>
      <c r="D729" s="118">
        <v>2506</v>
      </c>
      <c r="E729" s="60" t="str">
        <f>[1]!'2506.TW-Price'</f>
        <v>--</v>
      </c>
    </row>
    <row r="730" spans="1:5">
      <c r="A730" s="118">
        <v>2509</v>
      </c>
      <c r="B730" s="60" t="s">
        <v>4307</v>
      </c>
      <c r="C730" s="121" t="s">
        <v>5582</v>
      </c>
      <c r="D730" s="118">
        <v>2509</v>
      </c>
      <c r="E730" s="60" t="str">
        <f>[1]!'2509.TW-Price'</f>
        <v>--</v>
      </c>
    </row>
    <row r="731" spans="1:5">
      <c r="A731" s="118">
        <v>2511</v>
      </c>
      <c r="B731" s="60" t="s">
        <v>4308</v>
      </c>
      <c r="C731" s="121" t="s">
        <v>5582</v>
      </c>
      <c r="D731" s="118">
        <v>2511</v>
      </c>
      <c r="E731" s="60" t="str">
        <f>[1]!'2511.TW-Price'</f>
        <v>--</v>
      </c>
    </row>
    <row r="732" spans="1:5">
      <c r="A732" s="118">
        <v>2515</v>
      </c>
      <c r="B732" s="60" t="s">
        <v>4309</v>
      </c>
      <c r="C732" s="121" t="s">
        <v>5582</v>
      </c>
      <c r="D732" s="118">
        <v>2515</v>
      </c>
      <c r="E732" s="60">
        <f>[1]!'2515.TW-Price'</f>
        <v>9</v>
      </c>
    </row>
    <row r="733" spans="1:5">
      <c r="A733" s="118">
        <v>2516</v>
      </c>
      <c r="B733" s="60" t="s">
        <v>4310</v>
      </c>
      <c r="C733" s="121" t="s">
        <v>5582</v>
      </c>
      <c r="D733" s="118">
        <v>2516</v>
      </c>
      <c r="E733" s="60" t="str">
        <f>[1]!'2516.TW-Price'</f>
        <v>--</v>
      </c>
    </row>
    <row r="734" spans="1:5">
      <c r="A734" s="118">
        <v>2520</v>
      </c>
      <c r="B734" s="60" t="s">
        <v>4311</v>
      </c>
      <c r="C734" s="121" t="s">
        <v>5582</v>
      </c>
      <c r="D734" s="118">
        <v>2520</v>
      </c>
      <c r="E734" s="60" t="str">
        <f>[1]!'2520.TW-Price'</f>
        <v>--</v>
      </c>
    </row>
    <row r="735" spans="1:5">
      <c r="A735" s="118">
        <v>2524</v>
      </c>
      <c r="B735" s="60" t="s">
        <v>4312</v>
      </c>
      <c r="C735" s="121" t="s">
        <v>5582</v>
      </c>
      <c r="D735" s="118">
        <v>2524</v>
      </c>
      <c r="E735" s="60" t="str">
        <f>[1]!'2524.TW-Price'</f>
        <v>--</v>
      </c>
    </row>
    <row r="736" spans="1:5">
      <c r="A736" s="118">
        <v>2527</v>
      </c>
      <c r="B736" s="60" t="s">
        <v>4313</v>
      </c>
      <c r="C736" s="121" t="s">
        <v>5582</v>
      </c>
      <c r="D736" s="118">
        <v>2527</v>
      </c>
      <c r="E736" s="60" t="str">
        <f>[1]!'2527.TW-Price'</f>
        <v>--</v>
      </c>
    </row>
    <row r="737" spans="1:5">
      <c r="A737" s="118">
        <v>2528</v>
      </c>
      <c r="B737" s="60" t="s">
        <v>4314</v>
      </c>
      <c r="C737" s="121" t="s">
        <v>5582</v>
      </c>
      <c r="D737" s="118">
        <v>2528</v>
      </c>
      <c r="E737" s="60" t="str">
        <f>[1]!'2528.TW-Price'</f>
        <v>--</v>
      </c>
    </row>
    <row r="738" spans="1:5">
      <c r="A738" s="118">
        <v>2530</v>
      </c>
      <c r="B738" s="60" t="s">
        <v>4315</v>
      </c>
      <c r="C738" s="121" t="s">
        <v>5582</v>
      </c>
      <c r="D738" s="118">
        <v>2530</v>
      </c>
      <c r="E738" s="60" t="str">
        <f>[1]!'2530.TW-Price'</f>
        <v>--</v>
      </c>
    </row>
    <row r="739" spans="1:5">
      <c r="A739" s="118">
        <v>2534</v>
      </c>
      <c r="B739" s="60" t="s">
        <v>4316</v>
      </c>
      <c r="C739" s="121" t="s">
        <v>5582</v>
      </c>
      <c r="D739" s="118">
        <v>2534</v>
      </c>
      <c r="E739" s="60" t="str">
        <f>[1]!'2534.TW-Price'</f>
        <v>--</v>
      </c>
    </row>
    <row r="740" spans="1:5">
      <c r="A740" s="118">
        <v>2535</v>
      </c>
      <c r="B740" s="60" t="s">
        <v>4317</v>
      </c>
      <c r="C740" s="121" t="s">
        <v>5582</v>
      </c>
      <c r="D740" s="118">
        <v>2535</v>
      </c>
      <c r="E740" s="60" t="str">
        <f>[1]!'2535.TW-Price'</f>
        <v>--</v>
      </c>
    </row>
    <row r="741" spans="1:5">
      <c r="A741" s="118">
        <v>2536</v>
      </c>
      <c r="B741" s="60" t="s">
        <v>4318</v>
      </c>
      <c r="C741" s="121" t="s">
        <v>5582</v>
      </c>
      <c r="D741" s="118">
        <v>2536</v>
      </c>
      <c r="E741" s="60" t="str">
        <f>[1]!'2536.TW-Price'</f>
        <v>--</v>
      </c>
    </row>
    <row r="742" spans="1:5">
      <c r="A742" s="118">
        <v>2537</v>
      </c>
      <c r="B742" s="60" t="s">
        <v>4319</v>
      </c>
      <c r="C742" s="121" t="s">
        <v>5582</v>
      </c>
      <c r="D742" s="118">
        <v>2537</v>
      </c>
      <c r="E742" s="60" t="str">
        <f>[1]!'2537.TW-Price'</f>
        <v>--</v>
      </c>
    </row>
    <row r="743" spans="1:5">
      <c r="A743" s="118">
        <v>2538</v>
      </c>
      <c r="B743" s="60" t="s">
        <v>4320</v>
      </c>
      <c r="C743" s="121" t="s">
        <v>5582</v>
      </c>
      <c r="D743" s="118">
        <v>2538</v>
      </c>
      <c r="E743" s="60" t="str">
        <f>[1]!'2538.TW-Price'</f>
        <v>--</v>
      </c>
    </row>
    <row r="744" spans="1:5">
      <c r="A744" s="118">
        <v>2539</v>
      </c>
      <c r="B744" s="60" t="s">
        <v>4321</v>
      </c>
      <c r="C744" s="121" t="s">
        <v>5582</v>
      </c>
      <c r="D744" s="118">
        <v>2539</v>
      </c>
      <c r="E744" s="60" t="str">
        <f>[1]!'2539.TW-Price'</f>
        <v>--</v>
      </c>
    </row>
    <row r="745" spans="1:5">
      <c r="A745" s="118">
        <v>2540</v>
      </c>
      <c r="B745" s="60" t="s">
        <v>4322</v>
      </c>
      <c r="C745" s="121" t="s">
        <v>5582</v>
      </c>
      <c r="D745" s="118">
        <v>2540</v>
      </c>
      <c r="E745" s="60" t="str">
        <f>[1]!'2540.TW-Price'</f>
        <v>--</v>
      </c>
    </row>
    <row r="746" spans="1:5">
      <c r="A746" s="118">
        <v>2542</v>
      </c>
      <c r="B746" s="60" t="s">
        <v>4323</v>
      </c>
      <c r="C746" s="121" t="s">
        <v>5582</v>
      </c>
      <c r="D746" s="118">
        <v>2542</v>
      </c>
      <c r="E746" s="60">
        <f>[1]!'2542.TW-Price'</f>
        <v>46.25</v>
      </c>
    </row>
    <row r="747" spans="1:5">
      <c r="A747" s="118">
        <v>2543</v>
      </c>
      <c r="B747" s="60" t="s">
        <v>4324</v>
      </c>
      <c r="C747" s="121" t="s">
        <v>5582</v>
      </c>
      <c r="D747" s="118">
        <v>2543</v>
      </c>
      <c r="E747" s="60" t="str">
        <f>[1]!'2543.TW-Price'</f>
        <v>--</v>
      </c>
    </row>
    <row r="748" spans="1:5">
      <c r="A748" s="118">
        <v>2545</v>
      </c>
      <c r="B748" s="60" t="s">
        <v>4325</v>
      </c>
      <c r="C748" s="121" t="s">
        <v>5582</v>
      </c>
      <c r="D748" s="118">
        <v>2545</v>
      </c>
      <c r="E748" s="60" t="str">
        <f>[1]!'2545.TW-Price'</f>
        <v>--</v>
      </c>
    </row>
    <row r="749" spans="1:5">
      <c r="A749" s="118">
        <v>2546</v>
      </c>
      <c r="B749" s="60" t="s">
        <v>4326</v>
      </c>
      <c r="C749" s="121" t="s">
        <v>5582</v>
      </c>
      <c r="D749" s="118">
        <v>2546</v>
      </c>
      <c r="E749" s="60" t="str">
        <f>[1]!'2546.TW-Price'</f>
        <v>--</v>
      </c>
    </row>
    <row r="750" spans="1:5">
      <c r="A750" s="118">
        <v>2547</v>
      </c>
      <c r="B750" s="60" t="s">
        <v>4327</v>
      </c>
      <c r="C750" s="121" t="s">
        <v>5582</v>
      </c>
      <c r="D750" s="118">
        <v>2547</v>
      </c>
      <c r="E750" s="60" t="str">
        <f>[1]!'2547.TW-Price'</f>
        <v>--</v>
      </c>
    </row>
    <row r="751" spans="1:5">
      <c r="A751" s="118">
        <v>2548</v>
      </c>
      <c r="B751" s="60" t="s">
        <v>3689</v>
      </c>
      <c r="C751" s="121" t="s">
        <v>5582</v>
      </c>
      <c r="D751" s="118">
        <v>2548</v>
      </c>
      <c r="E751" s="60" t="str">
        <f>[1]!'2548.TW-Price'</f>
        <v>--</v>
      </c>
    </row>
    <row r="752" spans="1:5">
      <c r="A752" s="118">
        <v>2597</v>
      </c>
      <c r="B752" s="60" t="s">
        <v>3668</v>
      </c>
      <c r="C752" s="121" t="s">
        <v>5582</v>
      </c>
      <c r="D752" s="118">
        <v>2597</v>
      </c>
      <c r="E752" s="60" t="str">
        <f>[1]!'2597.TW-Price'</f>
        <v>--</v>
      </c>
    </row>
    <row r="753" spans="1:5">
      <c r="A753" s="118">
        <v>2841</v>
      </c>
      <c r="B753" s="60" t="s">
        <v>4328</v>
      </c>
      <c r="C753" s="121" t="s">
        <v>5582</v>
      </c>
      <c r="D753" s="118">
        <v>2841</v>
      </c>
      <c r="E753" s="60" t="str">
        <f>[1]!'2841.TW-Price'</f>
        <v>--</v>
      </c>
    </row>
    <row r="754" spans="1:5">
      <c r="A754" s="118">
        <v>2923</v>
      </c>
      <c r="B754" s="60" t="s">
        <v>4329</v>
      </c>
      <c r="C754" s="121" t="s">
        <v>4298</v>
      </c>
      <c r="D754" s="118">
        <v>2923</v>
      </c>
      <c r="E754" s="60" t="str">
        <f>[1]!'2923.TW-Price'</f>
        <v>--</v>
      </c>
    </row>
    <row r="755" spans="1:5">
      <c r="A755" s="118">
        <v>3052</v>
      </c>
      <c r="B755" s="60" t="s">
        <v>4330</v>
      </c>
      <c r="C755" s="121" t="s">
        <v>5582</v>
      </c>
      <c r="D755" s="118">
        <v>3052</v>
      </c>
      <c r="E755" s="60" t="str">
        <f>[1]!'3052.TW-Price'</f>
        <v>--</v>
      </c>
    </row>
    <row r="756" spans="1:5">
      <c r="A756" s="118">
        <v>3056</v>
      </c>
      <c r="B756" s="60" t="s">
        <v>4331</v>
      </c>
      <c r="C756" s="121" t="s">
        <v>5582</v>
      </c>
      <c r="D756" s="118">
        <v>3056</v>
      </c>
      <c r="E756" s="60" t="str">
        <f>[1]!'3056.TW-Price'</f>
        <v>--</v>
      </c>
    </row>
    <row r="757" spans="1:5">
      <c r="A757" s="118">
        <v>3266</v>
      </c>
      <c r="B757" s="60" t="s">
        <v>4332</v>
      </c>
      <c r="C757" s="121" t="s">
        <v>5582</v>
      </c>
      <c r="D757" s="118">
        <v>3266</v>
      </c>
      <c r="E757" s="60" t="str">
        <f>[1]!'3266.TW-Price'</f>
        <v>--</v>
      </c>
    </row>
    <row r="758" spans="1:5">
      <c r="A758" s="118">
        <v>3703</v>
      </c>
      <c r="B758" s="60" t="s">
        <v>4333</v>
      </c>
      <c r="C758" s="121" t="s">
        <v>5582</v>
      </c>
      <c r="D758" s="118">
        <v>3703</v>
      </c>
      <c r="E758" s="60" t="str">
        <f>[1]!'3703.TW-Price'</f>
        <v>--</v>
      </c>
    </row>
    <row r="759" spans="1:5">
      <c r="A759" s="118">
        <v>5515</v>
      </c>
      <c r="B759" s="60" t="s">
        <v>4334</v>
      </c>
      <c r="C759" s="121" t="s">
        <v>5582</v>
      </c>
      <c r="D759" s="118">
        <v>5515</v>
      </c>
      <c r="E759" s="60" t="str">
        <f>[1]!'5515.TW-Price'</f>
        <v>--</v>
      </c>
    </row>
    <row r="760" spans="1:5">
      <c r="A760" s="118">
        <v>5519</v>
      </c>
      <c r="B760" s="60" t="s">
        <v>4335</v>
      </c>
      <c r="C760" s="121" t="s">
        <v>5582</v>
      </c>
      <c r="D760" s="118">
        <v>5519</v>
      </c>
      <c r="E760" s="60" t="str">
        <f>[1]!'5519.TW-Price'</f>
        <v>--</v>
      </c>
    </row>
    <row r="761" spans="1:5">
      <c r="A761" s="118">
        <v>5521</v>
      </c>
      <c r="B761" s="60" t="s">
        <v>4336</v>
      </c>
      <c r="C761" s="121" t="s">
        <v>5582</v>
      </c>
      <c r="D761" s="118">
        <v>5521</v>
      </c>
      <c r="E761" s="60" t="str">
        <f>[1]!'5521.TW-Price'</f>
        <v>--</v>
      </c>
    </row>
    <row r="762" spans="1:5">
      <c r="A762" s="118">
        <v>5522</v>
      </c>
      <c r="B762" s="60" t="s">
        <v>4337</v>
      </c>
      <c r="C762" s="121" t="s">
        <v>5582</v>
      </c>
      <c r="D762" s="118">
        <v>5522</v>
      </c>
      <c r="E762" s="60" t="str">
        <f>[1]!'5522.TW-Price'</f>
        <v>--</v>
      </c>
    </row>
    <row r="763" spans="1:5">
      <c r="A763" s="118">
        <v>5525</v>
      </c>
      <c r="B763" s="60" t="s">
        <v>4338</v>
      </c>
      <c r="C763" s="121" t="s">
        <v>5582</v>
      </c>
      <c r="D763" s="118">
        <v>5525</v>
      </c>
      <c r="E763" s="60" t="str">
        <f>[1]!'5525.TW-Price'</f>
        <v>--</v>
      </c>
    </row>
    <row r="764" spans="1:5">
      <c r="A764" s="118">
        <v>5531</v>
      </c>
      <c r="B764" s="60" t="s">
        <v>4339</v>
      </c>
      <c r="C764" s="121" t="s">
        <v>5582</v>
      </c>
      <c r="D764" s="118">
        <v>5531</v>
      </c>
      <c r="E764" s="60" t="str">
        <f>[1]!'5531.TW-Price'</f>
        <v>--</v>
      </c>
    </row>
    <row r="765" spans="1:5">
      <c r="A765" s="118">
        <v>5533</v>
      </c>
      <c r="B765" s="60" t="s">
        <v>4340</v>
      </c>
      <c r="C765" s="121" t="s">
        <v>5582</v>
      </c>
      <c r="D765" s="118">
        <v>5533</v>
      </c>
      <c r="E765" s="60" t="str">
        <f>[1]!'5533.TW-Price'</f>
        <v>--</v>
      </c>
    </row>
    <row r="766" spans="1:5">
      <c r="A766" s="118">
        <v>5534</v>
      </c>
      <c r="B766" s="60" t="s">
        <v>4341</v>
      </c>
      <c r="C766" s="121" t="s">
        <v>5582</v>
      </c>
      <c r="D766" s="118">
        <v>5534</v>
      </c>
      <c r="E766" s="60" t="str">
        <f>[1]!'5534.TW-Price'</f>
        <v>--</v>
      </c>
    </row>
    <row r="767" spans="1:5">
      <c r="A767" s="118">
        <v>5546</v>
      </c>
      <c r="B767" s="60" t="s">
        <v>4342</v>
      </c>
      <c r="C767" s="121" t="s">
        <v>4298</v>
      </c>
      <c r="D767" s="118">
        <v>5546</v>
      </c>
      <c r="E767" s="60" t="str">
        <f>[1]!'5546.TW-Price'</f>
        <v>--</v>
      </c>
    </row>
    <row r="768" spans="1:5">
      <c r="A768" s="118">
        <v>6177</v>
      </c>
      <c r="B768" s="60" t="s">
        <v>4343</v>
      </c>
      <c r="C768" s="121" t="s">
        <v>5582</v>
      </c>
      <c r="D768" s="118">
        <v>6177</v>
      </c>
      <c r="E768" s="60" t="str">
        <f>[1]!'6177.TW-Price'</f>
        <v>--</v>
      </c>
    </row>
    <row r="769" spans="1:5">
      <c r="A769" s="118">
        <v>9906</v>
      </c>
      <c r="B769" s="60" t="s">
        <v>4344</v>
      </c>
      <c r="C769" s="121" t="s">
        <v>5582</v>
      </c>
      <c r="D769" s="118">
        <v>9906</v>
      </c>
      <c r="E769" s="60" t="str">
        <f>[1]!'9906.TW-Price'</f>
        <v>--</v>
      </c>
    </row>
    <row r="770" spans="1:5">
      <c r="A770" s="118">
        <v>9946</v>
      </c>
      <c r="B770" s="60" t="s">
        <v>4345</v>
      </c>
      <c r="C770" s="121" t="s">
        <v>5582</v>
      </c>
      <c r="D770" s="118">
        <v>9946</v>
      </c>
      <c r="E770" s="60" t="str">
        <f>[1]!'9946.TW-Price'</f>
        <v>--</v>
      </c>
    </row>
    <row r="771" spans="1:5">
      <c r="A771" s="118">
        <v>2208</v>
      </c>
      <c r="B771" s="60" t="s">
        <v>4346</v>
      </c>
      <c r="C771" s="121" t="s">
        <v>5583</v>
      </c>
      <c r="D771" s="118">
        <v>2208</v>
      </c>
      <c r="E771" s="60">
        <f>[1]!'2208.TW-Price'</f>
        <v>22.1</v>
      </c>
    </row>
    <row r="772" spans="1:5">
      <c r="A772" s="118">
        <v>2603</v>
      </c>
      <c r="B772" s="60" t="s">
        <v>3536</v>
      </c>
      <c r="C772" s="121" t="s">
        <v>5583</v>
      </c>
      <c r="D772" s="118">
        <v>2603</v>
      </c>
      <c r="E772" s="60" t="str">
        <f>[1]!'2603.TW-Price'</f>
        <v>--</v>
      </c>
    </row>
    <row r="773" spans="1:5">
      <c r="A773" s="118">
        <v>2605</v>
      </c>
      <c r="B773" s="60" t="s">
        <v>3576</v>
      </c>
      <c r="C773" s="121" t="s">
        <v>5583</v>
      </c>
      <c r="D773" s="118">
        <v>2605</v>
      </c>
      <c r="E773" s="60" t="str">
        <f>[1]!'2605.TW-Price'</f>
        <v>--</v>
      </c>
    </row>
    <row r="774" spans="1:5">
      <c r="A774" s="118">
        <v>2606</v>
      </c>
      <c r="B774" s="60" t="s">
        <v>3563</v>
      </c>
      <c r="C774" s="121" t="s">
        <v>5583</v>
      </c>
      <c r="D774" s="118">
        <v>2606</v>
      </c>
      <c r="E774" s="60" t="str">
        <f>[1]!'2606.TW-Price'</f>
        <v>--</v>
      </c>
    </row>
    <row r="775" spans="1:5">
      <c r="A775" s="118">
        <v>2607</v>
      </c>
      <c r="B775" s="60" t="s">
        <v>3663</v>
      </c>
      <c r="C775" s="121" t="s">
        <v>5583</v>
      </c>
      <c r="D775" s="118">
        <v>2607</v>
      </c>
      <c r="E775" s="60" t="str">
        <f>[1]!'2607.TW-Price'</f>
        <v>--</v>
      </c>
    </row>
    <row r="776" spans="1:5">
      <c r="A776" s="118">
        <v>2608</v>
      </c>
      <c r="B776" s="60" t="s">
        <v>3592</v>
      </c>
      <c r="C776" s="121" t="s">
        <v>5583</v>
      </c>
      <c r="D776" s="118">
        <v>2608</v>
      </c>
      <c r="E776" s="60" t="str">
        <f>[1]!'2608.TW-Price'</f>
        <v>--</v>
      </c>
    </row>
    <row r="777" spans="1:5">
      <c r="A777" s="118">
        <v>2609</v>
      </c>
      <c r="B777" s="60" t="s">
        <v>3567</v>
      </c>
      <c r="C777" s="121" t="s">
        <v>5583</v>
      </c>
      <c r="D777" s="118">
        <v>2609</v>
      </c>
      <c r="E777" s="60">
        <f>[1]!'2609.TW-Price'</f>
        <v>111.5</v>
      </c>
    </row>
    <row r="778" spans="1:5">
      <c r="A778" s="118">
        <v>2610</v>
      </c>
      <c r="B778" s="60" t="s">
        <v>4347</v>
      </c>
      <c r="C778" s="121" t="s">
        <v>5583</v>
      </c>
      <c r="D778" s="118">
        <v>2610</v>
      </c>
      <c r="E778" s="60">
        <f>[1]!'2610.TW-Price'</f>
        <v>28.4</v>
      </c>
    </row>
    <row r="779" spans="1:5">
      <c r="A779" s="118">
        <v>2611</v>
      </c>
      <c r="B779" s="60" t="s">
        <v>3584</v>
      </c>
      <c r="C779" s="121" t="s">
        <v>5583</v>
      </c>
      <c r="D779" s="118">
        <v>2611</v>
      </c>
      <c r="E779" s="60" t="str">
        <f>[1]!'2611.TW-Price'</f>
        <v>--</v>
      </c>
    </row>
    <row r="780" spans="1:5">
      <c r="A780" s="118">
        <v>2612</v>
      </c>
      <c r="B780" s="60" t="s">
        <v>4348</v>
      </c>
      <c r="C780" s="121" t="s">
        <v>5583</v>
      </c>
      <c r="D780" s="118">
        <v>2612</v>
      </c>
      <c r="E780" s="60" t="str">
        <f>[1]!'2612.TW-Price'</f>
        <v>--</v>
      </c>
    </row>
    <row r="781" spans="1:5">
      <c r="A781" s="118">
        <v>2613</v>
      </c>
      <c r="B781" s="60" t="s">
        <v>3582</v>
      </c>
      <c r="C781" s="121" t="s">
        <v>5583</v>
      </c>
      <c r="D781" s="118">
        <v>2613</v>
      </c>
      <c r="E781" s="60" t="str">
        <f>[1]!'2613.TW-Price'</f>
        <v>--</v>
      </c>
    </row>
    <row r="782" spans="1:5">
      <c r="A782" s="118">
        <v>2615</v>
      </c>
      <c r="B782" s="60" t="s">
        <v>4349</v>
      </c>
      <c r="C782" s="121" t="s">
        <v>5583</v>
      </c>
      <c r="D782" s="118">
        <v>2615</v>
      </c>
      <c r="E782" s="60" t="str">
        <f>[1]!'2615.TW-Price'</f>
        <v>--</v>
      </c>
    </row>
    <row r="783" spans="1:5">
      <c r="A783" s="118">
        <v>2617</v>
      </c>
      <c r="B783" s="60" t="s">
        <v>3548</v>
      </c>
      <c r="C783" s="121" t="s">
        <v>5583</v>
      </c>
      <c r="D783" s="118">
        <v>2617</v>
      </c>
      <c r="E783" s="60" t="str">
        <f>[1]!'2617.TW-Price'</f>
        <v>--</v>
      </c>
    </row>
    <row r="784" spans="1:5">
      <c r="A784" s="118">
        <v>2618</v>
      </c>
      <c r="B784" s="60" t="s">
        <v>4350</v>
      </c>
      <c r="C784" s="121" t="s">
        <v>5583</v>
      </c>
      <c r="D784" s="118">
        <v>2618</v>
      </c>
      <c r="E784" s="60">
        <f>[1]!'2618.TW-Price'</f>
        <v>26.15</v>
      </c>
    </row>
    <row r="785" spans="1:5">
      <c r="A785" s="118">
        <v>2630</v>
      </c>
      <c r="B785" s="60" t="s">
        <v>4351</v>
      </c>
      <c r="C785" s="121" t="s">
        <v>5583</v>
      </c>
      <c r="D785" s="118">
        <v>2630</v>
      </c>
      <c r="E785" s="60" t="str">
        <f>[1]!'2630.TW-Price'</f>
        <v>--</v>
      </c>
    </row>
    <row r="786" spans="1:5">
      <c r="A786" s="118">
        <v>2633</v>
      </c>
      <c r="B786" s="60" t="s">
        <v>4352</v>
      </c>
      <c r="C786" s="121" t="s">
        <v>5583</v>
      </c>
      <c r="D786" s="118">
        <v>2633</v>
      </c>
      <c r="E786" s="60" t="str">
        <f>[1]!'2633.TW-Price'</f>
        <v>--</v>
      </c>
    </row>
    <row r="787" spans="1:5">
      <c r="A787" s="118">
        <v>2634</v>
      </c>
      <c r="B787" s="60" t="s">
        <v>4353</v>
      </c>
      <c r="C787" s="121" t="s">
        <v>5583</v>
      </c>
      <c r="D787" s="118">
        <v>2634</v>
      </c>
      <c r="E787" s="60" t="str">
        <f>[1]!'2634.TW-Price'</f>
        <v>--</v>
      </c>
    </row>
    <row r="788" spans="1:5">
      <c r="A788" s="118">
        <v>2636</v>
      </c>
      <c r="B788" s="60" t="s">
        <v>4354</v>
      </c>
      <c r="C788" s="121" t="s">
        <v>5583</v>
      </c>
      <c r="D788" s="118">
        <v>2636</v>
      </c>
      <c r="E788" s="60" t="str">
        <f>[1]!'2636.TW-Price'</f>
        <v>--</v>
      </c>
    </row>
    <row r="789" spans="1:5">
      <c r="A789" s="118">
        <v>2637</v>
      </c>
      <c r="B789" s="60" t="s">
        <v>3577</v>
      </c>
      <c r="C789" s="121" t="s">
        <v>5584</v>
      </c>
      <c r="D789" s="118">
        <v>2637</v>
      </c>
      <c r="E789" s="60" t="str">
        <f>[1]!'2637.TW-Price'</f>
        <v>--</v>
      </c>
    </row>
    <row r="790" spans="1:5">
      <c r="A790" s="118">
        <v>2642</v>
      </c>
      <c r="B790" s="60" t="s">
        <v>3557</v>
      </c>
      <c r="C790" s="121" t="s">
        <v>5583</v>
      </c>
      <c r="D790" s="118">
        <v>2642</v>
      </c>
      <c r="E790" s="60" t="str">
        <f>[1]!'2642.TW-Price'</f>
        <v>--</v>
      </c>
    </row>
    <row r="791" spans="1:5">
      <c r="A791" s="118">
        <v>5607</v>
      </c>
      <c r="B791" s="60" t="s">
        <v>4355</v>
      </c>
      <c r="C791" s="121" t="s">
        <v>5583</v>
      </c>
      <c r="D791" s="118">
        <v>5607</v>
      </c>
      <c r="E791" s="60" t="str">
        <f>[1]!'5607.TW-Price'</f>
        <v>--</v>
      </c>
    </row>
    <row r="792" spans="1:5">
      <c r="A792" s="118">
        <v>5608</v>
      </c>
      <c r="B792" s="60" t="s">
        <v>3530</v>
      </c>
      <c r="C792" s="121" t="s">
        <v>5583</v>
      </c>
      <c r="D792" s="118">
        <v>5608</v>
      </c>
      <c r="E792" s="60" t="str">
        <f>[1]!'5608.TW-Price'</f>
        <v>--</v>
      </c>
    </row>
    <row r="793" spans="1:5">
      <c r="A793" s="118">
        <v>8367</v>
      </c>
      <c r="B793" s="60" t="s">
        <v>4356</v>
      </c>
      <c r="C793" s="121" t="s">
        <v>5583</v>
      </c>
      <c r="D793" s="118">
        <v>8367</v>
      </c>
      <c r="E793" s="60" t="str">
        <f>[1]!'8367.TW-Price'</f>
        <v>--</v>
      </c>
    </row>
    <row r="794" spans="1:5">
      <c r="A794" s="118">
        <v>2701</v>
      </c>
      <c r="B794" s="60" t="s">
        <v>4357</v>
      </c>
      <c r="C794" s="121" t="s">
        <v>5585</v>
      </c>
      <c r="D794" s="118">
        <v>2701</v>
      </c>
      <c r="E794" s="60" t="str">
        <f>[1]!'2701.TW-Price'</f>
        <v>--</v>
      </c>
    </row>
    <row r="795" spans="1:5">
      <c r="A795" s="118">
        <v>2702</v>
      </c>
      <c r="B795" s="60" t="s">
        <v>4358</v>
      </c>
      <c r="C795" s="121" t="s">
        <v>5585</v>
      </c>
      <c r="D795" s="118">
        <v>2702</v>
      </c>
      <c r="E795" s="60" t="str">
        <f>[1]!'2702.TW-Price'</f>
        <v>--</v>
      </c>
    </row>
    <row r="796" spans="1:5">
      <c r="A796" s="118">
        <v>2704</v>
      </c>
      <c r="B796" s="60" t="s">
        <v>4359</v>
      </c>
      <c r="C796" s="121" t="s">
        <v>5585</v>
      </c>
      <c r="D796" s="118">
        <v>2704</v>
      </c>
      <c r="E796" s="60" t="str">
        <f>[1]!'2704.TW-Price'</f>
        <v>--</v>
      </c>
    </row>
    <row r="797" spans="1:5">
      <c r="A797" s="118">
        <v>2705</v>
      </c>
      <c r="B797" s="60" t="s">
        <v>4360</v>
      </c>
      <c r="C797" s="121" t="s">
        <v>5585</v>
      </c>
      <c r="D797" s="118">
        <v>2705</v>
      </c>
      <c r="E797" s="60" t="str">
        <f>[1]!'2705.TW-Price'</f>
        <v>--</v>
      </c>
    </row>
    <row r="798" spans="1:5">
      <c r="A798" s="118">
        <v>2706</v>
      </c>
      <c r="B798" s="60" t="s">
        <v>4361</v>
      </c>
      <c r="C798" s="121" t="s">
        <v>5585</v>
      </c>
      <c r="D798" s="118">
        <v>2706</v>
      </c>
      <c r="E798" s="60" t="str">
        <f>[1]!'2706.TW-Price'</f>
        <v>--</v>
      </c>
    </row>
    <row r="799" spans="1:5">
      <c r="A799" s="118">
        <v>2707</v>
      </c>
      <c r="B799" s="60" t="s">
        <v>4362</v>
      </c>
      <c r="C799" s="121" t="s">
        <v>5585</v>
      </c>
      <c r="D799" s="118">
        <v>2707</v>
      </c>
      <c r="E799" s="60" t="str">
        <f>[1]!'2707.TW-Price'</f>
        <v>--</v>
      </c>
    </row>
    <row r="800" spans="1:5">
      <c r="A800" s="118">
        <v>2712</v>
      </c>
      <c r="B800" s="60" t="s">
        <v>4363</v>
      </c>
      <c r="C800" s="121" t="s">
        <v>5585</v>
      </c>
      <c r="D800" s="118">
        <v>2712</v>
      </c>
      <c r="E800" s="60" t="str">
        <f>[1]!'2712.TW-Price'</f>
        <v>--</v>
      </c>
    </row>
    <row r="801" spans="1:5">
      <c r="A801" s="118">
        <v>2722</v>
      </c>
      <c r="B801" s="60" t="s">
        <v>4364</v>
      </c>
      <c r="C801" s="121" t="s">
        <v>5585</v>
      </c>
      <c r="D801" s="118">
        <v>2722</v>
      </c>
      <c r="E801" s="60" t="str">
        <f>[1]!'2722.TW-Price'</f>
        <v>--</v>
      </c>
    </row>
    <row r="802" spans="1:5">
      <c r="A802" s="118">
        <v>2723</v>
      </c>
      <c r="B802" s="60" t="s">
        <v>4365</v>
      </c>
      <c r="C802" s="121" t="s">
        <v>5586</v>
      </c>
      <c r="D802" s="118">
        <v>2723</v>
      </c>
      <c r="E802" s="60" t="str">
        <f>[1]!'2723.TW-Price'</f>
        <v>--</v>
      </c>
    </row>
    <row r="803" spans="1:5">
      <c r="A803" s="118">
        <v>2727</v>
      </c>
      <c r="B803" s="60" t="s">
        <v>4366</v>
      </c>
      <c r="C803" s="121" t="s">
        <v>5585</v>
      </c>
      <c r="D803" s="118">
        <v>2727</v>
      </c>
      <c r="E803" s="60">
        <f>[1]!'2727.TW-Price'</f>
        <v>141.5</v>
      </c>
    </row>
    <row r="804" spans="1:5">
      <c r="A804" s="118">
        <v>2731</v>
      </c>
      <c r="B804" s="60" t="s">
        <v>4367</v>
      </c>
      <c r="C804" s="121" t="s">
        <v>5585</v>
      </c>
      <c r="D804" s="118">
        <v>2731</v>
      </c>
      <c r="E804" s="60" t="str">
        <f>[1]!'2731.TW-Price'</f>
        <v>--</v>
      </c>
    </row>
    <row r="805" spans="1:5">
      <c r="A805" s="118">
        <v>2739</v>
      </c>
      <c r="B805" s="60" t="s">
        <v>4368</v>
      </c>
      <c r="C805" s="121" t="s">
        <v>5585</v>
      </c>
      <c r="D805" s="118">
        <v>2739</v>
      </c>
      <c r="E805" s="60" t="str">
        <f>[1]!'2739.TW-Price'</f>
        <v>--</v>
      </c>
    </row>
    <row r="806" spans="1:5">
      <c r="A806" s="118">
        <v>2748</v>
      </c>
      <c r="B806" s="60" t="s">
        <v>4369</v>
      </c>
      <c r="C806" s="121" t="s">
        <v>5585</v>
      </c>
      <c r="D806" s="118">
        <v>2748</v>
      </c>
      <c r="E806" s="60" t="str">
        <f>[1]!'2748.TW-Price'</f>
        <v>--</v>
      </c>
    </row>
    <row r="807" spans="1:5">
      <c r="A807" s="118">
        <v>2753</v>
      </c>
      <c r="B807" s="60" t="s">
        <v>5414</v>
      </c>
      <c r="C807" s="121" t="s">
        <v>5585</v>
      </c>
      <c r="D807" s="118">
        <v>2753</v>
      </c>
      <c r="E807" s="60" t="str">
        <f>[1]!'2753.TW-Price'</f>
        <v>--</v>
      </c>
    </row>
    <row r="808" spans="1:5">
      <c r="A808" s="118">
        <v>5706</v>
      </c>
      <c r="B808" s="60" t="s">
        <v>4370</v>
      </c>
      <c r="C808" s="121" t="s">
        <v>5585</v>
      </c>
      <c r="D808" s="118">
        <v>5706</v>
      </c>
      <c r="E808" s="60" t="str">
        <f>[1]!'5706.TW-Price'</f>
        <v>--</v>
      </c>
    </row>
    <row r="809" spans="1:5">
      <c r="A809" s="118">
        <v>8462</v>
      </c>
      <c r="B809" s="60" t="s">
        <v>4371</v>
      </c>
      <c r="C809" s="121" t="s">
        <v>5585</v>
      </c>
      <c r="D809" s="118">
        <v>8462</v>
      </c>
      <c r="E809" s="60" t="str">
        <f>[1]!'8462.TW-Price'</f>
        <v>--</v>
      </c>
    </row>
    <row r="810" spans="1:5">
      <c r="A810" s="118">
        <v>8940</v>
      </c>
      <c r="B810" s="60" t="s">
        <v>4372</v>
      </c>
      <c r="C810" s="121" t="s">
        <v>5585</v>
      </c>
      <c r="D810" s="118">
        <v>8940</v>
      </c>
      <c r="E810" s="60" t="str">
        <f>[1]!'8940.TW-Price'</f>
        <v>--</v>
      </c>
    </row>
    <row r="811" spans="1:5">
      <c r="A811" s="118">
        <v>9943</v>
      </c>
      <c r="B811" s="60" t="s">
        <v>4373</v>
      </c>
      <c r="C811" s="121" t="s">
        <v>5585</v>
      </c>
      <c r="D811" s="118">
        <v>9943</v>
      </c>
      <c r="E811" s="60" t="str">
        <f>[1]!'9943.TW-Price'</f>
        <v>--</v>
      </c>
    </row>
    <row r="812" spans="1:5">
      <c r="A812" s="118">
        <v>2801</v>
      </c>
      <c r="B812" s="60" t="s">
        <v>4374</v>
      </c>
      <c r="C812" s="121" t="s">
        <v>5587</v>
      </c>
      <c r="D812" s="118">
        <v>2801</v>
      </c>
      <c r="E812" s="60" t="str">
        <f>[1]!'2801.TW-Price'</f>
        <v>--</v>
      </c>
    </row>
    <row r="813" spans="1:5">
      <c r="A813" s="118">
        <v>2809</v>
      </c>
      <c r="B813" s="60" t="s">
        <v>4375</v>
      </c>
      <c r="C813" s="121" t="s">
        <v>5587</v>
      </c>
      <c r="D813" s="118">
        <v>2809</v>
      </c>
      <c r="E813" s="60" t="str">
        <f>[1]!'2809.TW-Price'</f>
        <v>--</v>
      </c>
    </row>
    <row r="814" spans="1:5">
      <c r="A814" s="118">
        <v>2812</v>
      </c>
      <c r="B814" s="60" t="s">
        <v>4376</v>
      </c>
      <c r="C814" s="121" t="s">
        <v>5587</v>
      </c>
      <c r="D814" s="118">
        <v>2812</v>
      </c>
      <c r="E814" s="60" t="str">
        <f>[1]!'2812.TW-Price'</f>
        <v>--</v>
      </c>
    </row>
    <row r="815" spans="1:5">
      <c r="A815" s="118">
        <v>2816</v>
      </c>
      <c r="B815" s="60" t="s">
        <v>4377</v>
      </c>
      <c r="C815" s="121" t="s">
        <v>5587</v>
      </c>
      <c r="D815" s="118">
        <v>2816</v>
      </c>
      <c r="E815" s="60" t="str">
        <f>[1]!'2816.TW-Price'</f>
        <v>--</v>
      </c>
    </row>
    <row r="816" spans="1:5">
      <c r="A816" s="118">
        <v>2820</v>
      </c>
      <c r="B816" s="60" t="s">
        <v>4378</v>
      </c>
      <c r="C816" s="121" t="s">
        <v>5587</v>
      </c>
      <c r="D816" s="118">
        <v>2820</v>
      </c>
      <c r="E816" s="60" t="str">
        <f>[1]!'2820.TW-Price'</f>
        <v>--</v>
      </c>
    </row>
    <row r="817" spans="1:5">
      <c r="A817" s="118">
        <v>2823</v>
      </c>
      <c r="B817" s="60" t="s">
        <v>4379</v>
      </c>
      <c r="C817" s="121" t="s">
        <v>5587</v>
      </c>
      <c r="D817" s="118">
        <v>2823</v>
      </c>
      <c r="E817" s="60">
        <f>[1]!'2823.TW-Price'</f>
        <v>30.9</v>
      </c>
    </row>
    <row r="818" spans="1:5">
      <c r="A818" s="118">
        <v>2832</v>
      </c>
      <c r="B818" s="60" t="s">
        <v>4380</v>
      </c>
      <c r="C818" s="121" t="s">
        <v>5587</v>
      </c>
      <c r="D818" s="118">
        <v>2832</v>
      </c>
      <c r="E818" s="60" t="str">
        <f>[1]!'2832.TW-Price'</f>
        <v>--</v>
      </c>
    </row>
    <row r="819" spans="1:5">
      <c r="A819" s="118">
        <v>2834</v>
      </c>
      <c r="B819" s="60" t="s">
        <v>4381</v>
      </c>
      <c r="C819" s="121" t="s">
        <v>5587</v>
      </c>
      <c r="D819" s="118">
        <v>2834</v>
      </c>
      <c r="E819" s="60">
        <f>[1]!'2834.TW-Price'</f>
        <v>9.89</v>
      </c>
    </row>
    <row r="820" spans="1:5">
      <c r="A820" s="118">
        <v>2836</v>
      </c>
      <c r="B820" s="60" t="s">
        <v>4382</v>
      </c>
      <c r="C820" s="121" t="s">
        <v>5587</v>
      </c>
      <c r="D820" s="118">
        <v>2836</v>
      </c>
      <c r="E820" s="60" t="str">
        <f>[1]!'2836.TW-Price'</f>
        <v>--</v>
      </c>
    </row>
    <row r="821" spans="1:5">
      <c r="A821" s="118">
        <v>2838</v>
      </c>
      <c r="B821" s="60" t="s">
        <v>4383</v>
      </c>
      <c r="C821" s="121" t="s">
        <v>5587</v>
      </c>
      <c r="D821" s="118">
        <v>2838</v>
      </c>
      <c r="E821" s="60">
        <f>[1]!'2838.TW-Price'</f>
        <v>12.3</v>
      </c>
    </row>
    <row r="822" spans="1:5">
      <c r="A822" s="118">
        <v>2845</v>
      </c>
      <c r="B822" s="60" t="s">
        <v>4384</v>
      </c>
      <c r="C822" s="121" t="s">
        <v>5587</v>
      </c>
      <c r="D822" s="118">
        <v>2845</v>
      </c>
      <c r="E822" s="60" t="str">
        <f>[1]!'2845.TW-Price'</f>
        <v>--</v>
      </c>
    </row>
    <row r="823" spans="1:5">
      <c r="A823" s="118">
        <v>2849</v>
      </c>
      <c r="B823" s="60" t="s">
        <v>4385</v>
      </c>
      <c r="C823" s="121" t="s">
        <v>5587</v>
      </c>
      <c r="D823" s="118">
        <v>2849</v>
      </c>
      <c r="E823" s="60">
        <f>[1]!'2849.TW-Price'</f>
        <v>16.75</v>
      </c>
    </row>
    <row r="824" spans="1:5">
      <c r="A824" s="118">
        <v>2850</v>
      </c>
      <c r="B824" s="60" t="s">
        <v>4386</v>
      </c>
      <c r="C824" s="121" t="s">
        <v>5587</v>
      </c>
      <c r="D824" s="118">
        <v>2850</v>
      </c>
      <c r="E824" s="60" t="str">
        <f>[1]!'2850.TW-Price'</f>
        <v>--</v>
      </c>
    </row>
    <row r="825" spans="1:5">
      <c r="A825" s="118">
        <v>2851</v>
      </c>
      <c r="B825" s="60" t="s">
        <v>4387</v>
      </c>
      <c r="C825" s="121" t="s">
        <v>5587</v>
      </c>
      <c r="D825" s="118">
        <v>2851</v>
      </c>
      <c r="E825" s="60" t="str">
        <f>[1]!'2851.TW-Price'</f>
        <v>--</v>
      </c>
    </row>
    <row r="826" spans="1:5">
      <c r="A826" s="118">
        <v>2852</v>
      </c>
      <c r="B826" s="60" t="s">
        <v>4388</v>
      </c>
      <c r="C826" s="121" t="s">
        <v>5587</v>
      </c>
      <c r="D826" s="118">
        <v>2852</v>
      </c>
      <c r="E826" s="60" t="str">
        <f>[1]!'2852.TW-Price'</f>
        <v>--</v>
      </c>
    </row>
    <row r="827" spans="1:5">
      <c r="A827" s="118">
        <v>2855</v>
      </c>
      <c r="B827" s="60" t="s">
        <v>4389</v>
      </c>
      <c r="C827" s="121" t="s">
        <v>5587</v>
      </c>
      <c r="D827" s="118">
        <v>2855</v>
      </c>
      <c r="E827" s="60" t="str">
        <f>[1]!'2855.TW-Price'</f>
        <v>--</v>
      </c>
    </row>
    <row r="828" spans="1:5">
      <c r="A828" s="118">
        <v>2867</v>
      </c>
      <c r="B828" s="60" t="s">
        <v>4390</v>
      </c>
      <c r="C828" s="121" t="s">
        <v>5587</v>
      </c>
      <c r="D828" s="118">
        <v>2867</v>
      </c>
      <c r="E828" s="60" t="str">
        <f>[1]!'2867.TW-Price'</f>
        <v>--</v>
      </c>
    </row>
    <row r="829" spans="1:5">
      <c r="A829" s="118">
        <v>2880</v>
      </c>
      <c r="B829" s="60" t="s">
        <v>4391</v>
      </c>
      <c r="C829" s="121" t="s">
        <v>5587</v>
      </c>
      <c r="D829" s="118">
        <v>2880</v>
      </c>
      <c r="E829" s="60" t="str">
        <f>[1]!'2880.TW-Price'</f>
        <v>--</v>
      </c>
    </row>
    <row r="830" spans="1:5">
      <c r="A830" s="118">
        <v>2881</v>
      </c>
      <c r="B830" s="60" t="s">
        <v>4392</v>
      </c>
      <c r="C830" s="121" t="s">
        <v>5587</v>
      </c>
      <c r="D830" s="118">
        <v>2881</v>
      </c>
      <c r="E830" s="60">
        <f>[1]!'2881.TW-Price'</f>
        <v>74.900000000000006</v>
      </c>
    </row>
    <row r="831" spans="1:5">
      <c r="A831" s="118">
        <v>2882</v>
      </c>
      <c r="B831" s="60" t="s">
        <v>4393</v>
      </c>
      <c r="C831" s="121" t="s">
        <v>5587</v>
      </c>
      <c r="D831" s="118">
        <v>2882</v>
      </c>
      <c r="E831" s="60">
        <f>[1]!'2882.TW-Price'</f>
        <v>61.5</v>
      </c>
    </row>
    <row r="832" spans="1:5">
      <c r="A832" s="118">
        <v>2883</v>
      </c>
      <c r="B832" s="60" t="s">
        <v>4394</v>
      </c>
      <c r="C832" s="121" t="s">
        <v>5587</v>
      </c>
      <c r="D832" s="118">
        <v>2883</v>
      </c>
      <c r="E832" s="60">
        <f>[1]!'2883.TW-Price'</f>
        <v>17.05</v>
      </c>
    </row>
    <row r="833" spans="1:5">
      <c r="A833" s="118">
        <v>2884</v>
      </c>
      <c r="B833" s="60" t="s">
        <v>4395</v>
      </c>
      <c r="C833" s="121" t="s">
        <v>5587</v>
      </c>
      <c r="D833" s="118">
        <v>2884</v>
      </c>
      <c r="E833" s="60">
        <f>[1]!'2884.TW-Price'</f>
        <v>27.9</v>
      </c>
    </row>
    <row r="834" spans="1:5">
      <c r="A834" s="118">
        <v>2885</v>
      </c>
      <c r="B834" s="60" t="s">
        <v>4396</v>
      </c>
      <c r="C834" s="121" t="s">
        <v>5587</v>
      </c>
      <c r="D834" s="118">
        <v>2885</v>
      </c>
      <c r="E834" s="60">
        <f>[1]!'2885.TW-Price'</f>
        <v>25.1</v>
      </c>
    </row>
    <row r="835" spans="1:5">
      <c r="A835" s="118">
        <v>2886</v>
      </c>
      <c r="B835" s="60" t="s">
        <v>4397</v>
      </c>
      <c r="C835" s="121" t="s">
        <v>5587</v>
      </c>
      <c r="D835" s="118">
        <v>2886</v>
      </c>
      <c r="E835" s="60">
        <f>[1]!'2886.TW-Price'</f>
        <v>34.4</v>
      </c>
    </row>
    <row r="836" spans="1:5">
      <c r="A836" s="118">
        <v>2887</v>
      </c>
      <c r="B836" s="60" t="s">
        <v>4398</v>
      </c>
      <c r="C836" s="121" t="s">
        <v>5587</v>
      </c>
      <c r="D836" s="118">
        <v>2887</v>
      </c>
      <c r="E836" s="60">
        <f>[1]!'2887.TW-Price'</f>
        <v>18.7</v>
      </c>
    </row>
    <row r="837" spans="1:5">
      <c r="A837" s="118">
        <v>2888</v>
      </c>
      <c r="B837" s="60" t="s">
        <v>4399</v>
      </c>
      <c r="C837" s="121" t="s">
        <v>5587</v>
      </c>
      <c r="D837" s="118">
        <v>2888</v>
      </c>
      <c r="E837" s="60">
        <f>[1]!'2888.TW-Price'</f>
        <v>11.45</v>
      </c>
    </row>
    <row r="838" spans="1:5">
      <c r="A838" s="118">
        <v>2889</v>
      </c>
      <c r="B838" s="60" t="s">
        <v>4400</v>
      </c>
      <c r="C838" s="121" t="s">
        <v>5587</v>
      </c>
      <c r="D838" s="118">
        <v>2889</v>
      </c>
      <c r="E838" s="60">
        <f>[1]!'2889.TW-Price'</f>
        <v>16.100000000000001</v>
      </c>
    </row>
    <row r="839" spans="1:5">
      <c r="A839" s="118">
        <v>2890</v>
      </c>
      <c r="B839" s="60" t="s">
        <v>4401</v>
      </c>
      <c r="C839" s="121" t="s">
        <v>5587</v>
      </c>
      <c r="D839" s="118">
        <v>2890</v>
      </c>
      <c r="E839" s="60" t="str">
        <f>[1]!'2890.TW-Price'</f>
        <v>--</v>
      </c>
    </row>
    <row r="840" spans="1:5">
      <c r="A840" s="118">
        <v>2891</v>
      </c>
      <c r="B840" s="60" t="s">
        <v>4402</v>
      </c>
      <c r="C840" s="121" t="s">
        <v>5587</v>
      </c>
      <c r="D840" s="118">
        <v>2891</v>
      </c>
      <c r="E840" s="60">
        <f>[1]!'2891.TW-Price'</f>
        <v>24.7</v>
      </c>
    </row>
    <row r="841" spans="1:5">
      <c r="A841" s="118">
        <v>2892</v>
      </c>
      <c r="B841" s="60" t="s">
        <v>4403</v>
      </c>
      <c r="C841" s="121" t="s">
        <v>5587</v>
      </c>
      <c r="D841" s="118">
        <v>2892</v>
      </c>
      <c r="E841" s="60">
        <f>[1]!'2892.TW-Price'</f>
        <v>23.8</v>
      </c>
    </row>
    <row r="842" spans="1:5">
      <c r="A842" s="118">
        <v>2897</v>
      </c>
      <c r="B842" s="60" t="s">
        <v>4404</v>
      </c>
      <c r="C842" s="121" t="s">
        <v>5587</v>
      </c>
      <c r="D842" s="118">
        <v>2897</v>
      </c>
      <c r="E842" s="60" t="str">
        <f>[1]!'2897.TW-Price'</f>
        <v>--</v>
      </c>
    </row>
    <row r="843" spans="1:5">
      <c r="A843" s="118">
        <v>5876</v>
      </c>
      <c r="B843" s="60" t="s">
        <v>3678</v>
      </c>
      <c r="C843" s="121" t="s">
        <v>5587</v>
      </c>
      <c r="D843" s="118">
        <v>5876</v>
      </c>
      <c r="E843" s="60">
        <f>[1]!'5876.TW-Price'</f>
        <v>47.45</v>
      </c>
    </row>
    <row r="844" spans="1:5">
      <c r="A844" s="118">
        <v>5880</v>
      </c>
      <c r="B844" s="60" t="s">
        <v>4405</v>
      </c>
      <c r="C844" s="121" t="s">
        <v>5587</v>
      </c>
      <c r="D844" s="118">
        <v>5880</v>
      </c>
      <c r="E844" s="60" t="str">
        <f>[1]!'5880.TW-Price'</f>
        <v>--</v>
      </c>
    </row>
    <row r="845" spans="1:5">
      <c r="A845" s="118">
        <v>6005</v>
      </c>
      <c r="B845" s="60" t="s">
        <v>4406</v>
      </c>
      <c r="C845" s="121" t="s">
        <v>5587</v>
      </c>
      <c r="D845" s="118">
        <v>6005</v>
      </c>
      <c r="E845" s="60" t="str">
        <f>[1]!'6005.TW-Price'</f>
        <v>--</v>
      </c>
    </row>
    <row r="846" spans="1:5">
      <c r="A846" s="118">
        <v>6024</v>
      </c>
      <c r="B846" s="60" t="s">
        <v>4407</v>
      </c>
      <c r="C846" s="121" t="s">
        <v>5587</v>
      </c>
      <c r="D846" s="118">
        <v>6024</v>
      </c>
      <c r="E846" s="60" t="str">
        <f>[1]!'6024.TW-Price'</f>
        <v>--</v>
      </c>
    </row>
    <row r="847" spans="1:5">
      <c r="A847" s="118">
        <v>1432</v>
      </c>
      <c r="B847" s="60" t="s">
        <v>4408</v>
      </c>
      <c r="C847" s="121" t="s">
        <v>5588</v>
      </c>
      <c r="D847" s="118">
        <v>1432</v>
      </c>
      <c r="E847" s="60" t="str">
        <f>[1]!'1432.TW-Price'</f>
        <v>--</v>
      </c>
    </row>
    <row r="848" spans="1:5">
      <c r="A848" s="118">
        <v>2601</v>
      </c>
      <c r="B848" s="60" t="s">
        <v>4409</v>
      </c>
      <c r="C848" s="121" t="s">
        <v>5588</v>
      </c>
      <c r="D848" s="118">
        <v>2601</v>
      </c>
      <c r="E848" s="60">
        <f>[1]!'2601.TW-Price'</f>
        <v>13</v>
      </c>
    </row>
    <row r="849" spans="1:5">
      <c r="A849" s="118">
        <v>2901</v>
      </c>
      <c r="B849" s="60" t="s">
        <v>4410</v>
      </c>
      <c r="C849" s="121" t="s">
        <v>5588</v>
      </c>
      <c r="D849" s="118">
        <v>2901</v>
      </c>
      <c r="E849" s="60" t="str">
        <f>[1]!'2901.TW-Price'</f>
        <v>--</v>
      </c>
    </row>
    <row r="850" spans="1:5">
      <c r="A850" s="118">
        <v>2903</v>
      </c>
      <c r="B850" s="60" t="s">
        <v>4411</v>
      </c>
      <c r="C850" s="121" t="s">
        <v>5588</v>
      </c>
      <c r="D850" s="118">
        <v>2903</v>
      </c>
      <c r="E850" s="60" t="str">
        <f>[1]!'2903.TW-Price'</f>
        <v>--</v>
      </c>
    </row>
    <row r="851" spans="1:5">
      <c r="A851" s="118">
        <v>2905</v>
      </c>
      <c r="B851" s="60" t="s">
        <v>4412</v>
      </c>
      <c r="C851" s="121" t="s">
        <v>5588</v>
      </c>
      <c r="D851" s="118">
        <v>2905</v>
      </c>
      <c r="E851" s="60" t="str">
        <f>[1]!'2905.TW-Price'</f>
        <v>--</v>
      </c>
    </row>
    <row r="852" spans="1:5">
      <c r="A852" s="118">
        <v>2906</v>
      </c>
      <c r="B852" s="60" t="s">
        <v>4413</v>
      </c>
      <c r="C852" s="121" t="s">
        <v>5588</v>
      </c>
      <c r="D852" s="118">
        <v>2906</v>
      </c>
      <c r="E852" s="60" t="str">
        <f>[1]!'2906.TW-Price'</f>
        <v>--</v>
      </c>
    </row>
    <row r="853" spans="1:5">
      <c r="A853" s="118">
        <v>2908</v>
      </c>
      <c r="B853" s="60" t="s">
        <v>4414</v>
      </c>
      <c r="C853" s="121" t="s">
        <v>5588</v>
      </c>
      <c r="D853" s="118">
        <v>2908</v>
      </c>
      <c r="E853" s="60">
        <f>[1]!'2908.TW-Price'</f>
        <v>22</v>
      </c>
    </row>
    <row r="854" spans="1:5">
      <c r="A854" s="118">
        <v>2910</v>
      </c>
      <c r="B854" s="60" t="s">
        <v>4415</v>
      </c>
      <c r="C854" s="121" t="s">
        <v>5588</v>
      </c>
      <c r="D854" s="118">
        <v>2910</v>
      </c>
      <c r="E854" s="60" t="str">
        <f>[1]!'2910.TW-Price'</f>
        <v>--</v>
      </c>
    </row>
    <row r="855" spans="1:5">
      <c r="A855" s="118">
        <v>2911</v>
      </c>
      <c r="B855" s="60" t="s">
        <v>4416</v>
      </c>
      <c r="C855" s="121" t="s">
        <v>5588</v>
      </c>
      <c r="D855" s="118">
        <v>2911</v>
      </c>
      <c r="E855" s="60" t="str">
        <f>[1]!'2911.TW-Price'</f>
        <v>--</v>
      </c>
    </row>
    <row r="856" spans="1:5">
      <c r="A856" s="118">
        <v>2912</v>
      </c>
      <c r="B856" s="60" t="s">
        <v>4417</v>
      </c>
      <c r="C856" s="121" t="s">
        <v>5588</v>
      </c>
      <c r="D856" s="118">
        <v>2912</v>
      </c>
      <c r="E856" s="60" t="str">
        <f>[1]!'2912.TW-Price'</f>
        <v>--</v>
      </c>
    </row>
    <row r="857" spans="1:5">
      <c r="A857" s="118">
        <v>2913</v>
      </c>
      <c r="B857" s="60" t="s">
        <v>4418</v>
      </c>
      <c r="C857" s="121" t="s">
        <v>5588</v>
      </c>
      <c r="D857" s="118">
        <v>2913</v>
      </c>
      <c r="E857" s="60" t="str">
        <f>[1]!'2913.TW-Price'</f>
        <v>--</v>
      </c>
    </row>
    <row r="858" spans="1:5">
      <c r="A858" s="118">
        <v>2915</v>
      </c>
      <c r="B858" s="60" t="s">
        <v>4419</v>
      </c>
      <c r="C858" s="121" t="s">
        <v>5588</v>
      </c>
      <c r="D858" s="118">
        <v>2915</v>
      </c>
      <c r="E858" s="60" t="str">
        <f>[1]!'2915.TW-Price'</f>
        <v>--</v>
      </c>
    </row>
    <row r="859" spans="1:5">
      <c r="A859" s="118">
        <v>2929</v>
      </c>
      <c r="B859" s="60" t="s">
        <v>3585</v>
      </c>
      <c r="C859" s="121" t="s">
        <v>5589</v>
      </c>
      <c r="D859" s="118">
        <v>2929</v>
      </c>
      <c r="E859" s="60" t="str">
        <f>[1]!'2929.TW-Price'</f>
        <v>--</v>
      </c>
    </row>
    <row r="860" spans="1:5">
      <c r="A860" s="118">
        <v>2936</v>
      </c>
      <c r="B860" s="60" t="s">
        <v>4420</v>
      </c>
      <c r="C860" s="121" t="s">
        <v>5589</v>
      </c>
      <c r="D860" s="118">
        <v>2936</v>
      </c>
      <c r="E860" s="60" t="str">
        <f>[1]!'2936.TW-Price'</f>
        <v>--</v>
      </c>
    </row>
    <row r="861" spans="1:5">
      <c r="A861" s="118">
        <v>2939</v>
      </c>
      <c r="B861" s="60" t="s">
        <v>4421</v>
      </c>
      <c r="C861" s="121" t="s">
        <v>5589</v>
      </c>
      <c r="D861" s="118">
        <v>2939</v>
      </c>
      <c r="E861" s="60" t="str">
        <f>[1]!'2939.TW-Price'</f>
        <v>--</v>
      </c>
    </row>
    <row r="862" spans="1:5">
      <c r="A862" s="118">
        <v>4807</v>
      </c>
      <c r="B862" s="60" t="s">
        <v>4422</v>
      </c>
      <c r="C862" s="121" t="s">
        <v>5589</v>
      </c>
      <c r="D862" s="118">
        <v>4807</v>
      </c>
      <c r="E862" s="60" t="str">
        <f>[1]!'4807.TW-Price'</f>
        <v>--</v>
      </c>
    </row>
    <row r="863" spans="1:5">
      <c r="A863" s="118">
        <v>5906</v>
      </c>
      <c r="B863" s="60" t="s">
        <v>4423</v>
      </c>
      <c r="C863" s="121" t="s">
        <v>5589</v>
      </c>
      <c r="D863" s="118">
        <v>5906</v>
      </c>
      <c r="E863" s="60" t="str">
        <f>[1]!'5906.TW-Price'</f>
        <v>--</v>
      </c>
    </row>
    <row r="864" spans="1:5">
      <c r="A864" s="118">
        <v>5907</v>
      </c>
      <c r="B864" s="60" t="s">
        <v>4424</v>
      </c>
      <c r="C864" s="121" t="s">
        <v>5589</v>
      </c>
      <c r="D864" s="118">
        <v>5907</v>
      </c>
      <c r="E864" s="60" t="str">
        <f>[1]!'5907.TW-Price'</f>
        <v>--</v>
      </c>
    </row>
    <row r="865" spans="1:5">
      <c r="A865" s="118">
        <v>8429</v>
      </c>
      <c r="B865" s="60" t="s">
        <v>4425</v>
      </c>
      <c r="C865" s="121" t="s">
        <v>5589</v>
      </c>
      <c r="D865" s="118">
        <v>8429</v>
      </c>
      <c r="E865" s="60" t="str">
        <f>[1]!'8429.TW-Price'</f>
        <v>--</v>
      </c>
    </row>
    <row r="866" spans="1:5">
      <c r="A866" s="118">
        <v>8443</v>
      </c>
      <c r="B866" s="60" t="s">
        <v>4426</v>
      </c>
      <c r="C866" s="121" t="s">
        <v>5588</v>
      </c>
      <c r="D866" s="118">
        <v>8443</v>
      </c>
      <c r="E866" s="60" t="str">
        <f>[1]!'8443.TW-Price'</f>
        <v>--</v>
      </c>
    </row>
    <row r="867" spans="1:5">
      <c r="A867" s="118">
        <v>8454</v>
      </c>
      <c r="B867" s="60" t="s">
        <v>4427</v>
      </c>
      <c r="C867" s="121" t="s">
        <v>5588</v>
      </c>
      <c r="D867" s="118">
        <v>8454</v>
      </c>
      <c r="E867" s="60" t="str">
        <f>[1]!'8454.TW-Price'</f>
        <v>--</v>
      </c>
    </row>
    <row r="868" spans="1:5">
      <c r="A868" s="118">
        <v>2616</v>
      </c>
      <c r="B868" s="60" t="s">
        <v>4428</v>
      </c>
      <c r="C868" s="121" t="s">
        <v>5590</v>
      </c>
      <c r="D868" s="118">
        <v>2616</v>
      </c>
      <c r="E868" s="60" t="str">
        <f>[1]!'2616.TW-Price'</f>
        <v>--</v>
      </c>
    </row>
    <row r="869" spans="1:5">
      <c r="A869" s="118">
        <v>6505</v>
      </c>
      <c r="B869" s="60" t="s">
        <v>4429</v>
      </c>
      <c r="C869" s="121" t="s">
        <v>5590</v>
      </c>
      <c r="D869" s="118">
        <v>6505</v>
      </c>
      <c r="E869" s="60" t="str">
        <f>[1]!'6505.TW-Price'</f>
        <v>--</v>
      </c>
    </row>
    <row r="870" spans="1:5">
      <c r="A870" s="118">
        <v>8926</v>
      </c>
      <c r="B870" s="60" t="s">
        <v>4430</v>
      </c>
      <c r="C870" s="121" t="s">
        <v>5590</v>
      </c>
      <c r="D870" s="118">
        <v>8926</v>
      </c>
      <c r="E870" s="60" t="str">
        <f>[1]!'8926.TW-Price'</f>
        <v>--</v>
      </c>
    </row>
    <row r="871" spans="1:5">
      <c r="A871" s="118">
        <v>9908</v>
      </c>
      <c r="B871" s="60" t="s">
        <v>4431</v>
      </c>
      <c r="C871" s="121" t="s">
        <v>5590</v>
      </c>
      <c r="D871" s="118">
        <v>9908</v>
      </c>
      <c r="E871" s="60" t="str">
        <f>[1]!'9908.TW-Price'</f>
        <v>--</v>
      </c>
    </row>
    <row r="872" spans="1:5">
      <c r="A872" s="118">
        <v>9918</v>
      </c>
      <c r="B872" s="60" t="s">
        <v>4432</v>
      </c>
      <c r="C872" s="121" t="s">
        <v>5590</v>
      </c>
      <c r="D872" s="118">
        <v>9918</v>
      </c>
      <c r="E872" s="60" t="str">
        <f>[1]!'9918.TW-Price'</f>
        <v>--</v>
      </c>
    </row>
    <row r="873" spans="1:5">
      <c r="A873" s="118">
        <v>9926</v>
      </c>
      <c r="B873" s="60" t="s">
        <v>4433</v>
      </c>
      <c r="C873" s="121" t="s">
        <v>5590</v>
      </c>
      <c r="D873" s="118">
        <v>9926</v>
      </c>
      <c r="E873" s="60" t="str">
        <f>[1]!'9926.TW-Price'</f>
        <v>--</v>
      </c>
    </row>
    <row r="874" spans="1:5">
      <c r="A874" s="118">
        <v>9931</v>
      </c>
      <c r="B874" s="60" t="s">
        <v>4434</v>
      </c>
      <c r="C874" s="121" t="s">
        <v>5590</v>
      </c>
      <c r="D874" s="118">
        <v>9931</v>
      </c>
      <c r="E874" s="60" t="str">
        <f>[1]!'9931.TW-Price'</f>
        <v>--</v>
      </c>
    </row>
    <row r="875" spans="1:5">
      <c r="A875" s="118">
        <v>9937</v>
      </c>
      <c r="B875" s="60" t="s">
        <v>4435</v>
      </c>
      <c r="C875" s="121" t="s">
        <v>5590</v>
      </c>
      <c r="D875" s="118">
        <v>9937</v>
      </c>
      <c r="E875" s="60" t="str">
        <f>[1]!'9937.TW-Price'</f>
        <v>--</v>
      </c>
    </row>
    <row r="876" spans="1:5">
      <c r="A876" s="118">
        <v>1342</v>
      </c>
      <c r="B876" s="60" t="s">
        <v>4436</v>
      </c>
      <c r="C876" s="121" t="s">
        <v>5591</v>
      </c>
      <c r="D876" s="118">
        <v>1342</v>
      </c>
      <c r="E876" s="60" t="str">
        <f>[1]!'1342.TW-Price'</f>
        <v>--</v>
      </c>
    </row>
    <row r="877" spans="1:5">
      <c r="A877" s="118">
        <v>1416</v>
      </c>
      <c r="B877" s="60" t="s">
        <v>4437</v>
      </c>
      <c r="C877" s="121" t="s">
        <v>5591</v>
      </c>
      <c r="D877" s="118">
        <v>1416</v>
      </c>
      <c r="E877" s="60" t="str">
        <f>[1]!'1416.TW-Price'</f>
        <v>--</v>
      </c>
    </row>
    <row r="878" spans="1:5">
      <c r="A878" s="118">
        <v>1435</v>
      </c>
      <c r="B878" s="60" t="s">
        <v>4438</v>
      </c>
      <c r="C878" s="121" t="s">
        <v>5591</v>
      </c>
      <c r="D878" s="118">
        <v>1435</v>
      </c>
      <c r="E878" s="60" t="str">
        <f>[1]!'1435.TW-Price'</f>
        <v>--</v>
      </c>
    </row>
    <row r="879" spans="1:5">
      <c r="A879" s="118">
        <v>1437</v>
      </c>
      <c r="B879" s="60" t="s">
        <v>4439</v>
      </c>
      <c r="C879" s="121" t="s">
        <v>5591</v>
      </c>
      <c r="D879" s="118">
        <v>1437</v>
      </c>
      <c r="E879" s="60" t="str">
        <f>[1]!'1437.TW-Price'</f>
        <v>--</v>
      </c>
    </row>
    <row r="880" spans="1:5">
      <c r="A880" s="118">
        <v>1443</v>
      </c>
      <c r="B880" s="60" t="s">
        <v>3747</v>
      </c>
      <c r="C880" s="121" t="s">
        <v>5591</v>
      </c>
      <c r="D880" s="118">
        <v>1443</v>
      </c>
      <c r="E880" s="60">
        <f>[1]!'1443.TW-Price'</f>
        <v>17</v>
      </c>
    </row>
    <row r="881" spans="1:5">
      <c r="A881" s="118">
        <v>1516</v>
      </c>
      <c r="B881" s="60" t="s">
        <v>4440</v>
      </c>
      <c r="C881" s="121" t="s">
        <v>5591</v>
      </c>
      <c r="D881" s="118">
        <v>1516</v>
      </c>
      <c r="E881" s="60" t="str">
        <f>[1]!'1516.TW-Price'</f>
        <v>--</v>
      </c>
    </row>
    <row r="882" spans="1:5">
      <c r="A882" s="118">
        <v>2062</v>
      </c>
      <c r="B882" s="60" t="s">
        <v>3515</v>
      </c>
      <c r="C882" s="121" t="s">
        <v>5591</v>
      </c>
      <c r="D882" s="118">
        <v>2062</v>
      </c>
      <c r="E882" s="60" t="str">
        <f>[1]!'2062.TW-Price'</f>
        <v>--</v>
      </c>
    </row>
    <row r="883" spans="1:5">
      <c r="A883" s="118">
        <v>2348</v>
      </c>
      <c r="B883" s="60" t="s">
        <v>4441</v>
      </c>
      <c r="C883" s="121" t="s">
        <v>5591</v>
      </c>
      <c r="D883" s="118">
        <v>2348</v>
      </c>
      <c r="E883" s="60" t="str">
        <f>[1]!'2348.TW-Price'</f>
        <v>--</v>
      </c>
    </row>
    <row r="884" spans="1:5">
      <c r="A884" s="118">
        <v>2358</v>
      </c>
      <c r="B884" s="60" t="s">
        <v>4442</v>
      </c>
      <c r="C884" s="121" t="s">
        <v>5591</v>
      </c>
      <c r="D884" s="118">
        <v>2358</v>
      </c>
      <c r="E884" s="60" t="str">
        <f>[1]!'2358.TW-Price'</f>
        <v>--</v>
      </c>
    </row>
    <row r="885" spans="1:5">
      <c r="A885" s="118">
        <v>2443</v>
      </c>
      <c r="B885" s="60" t="s">
        <v>4443</v>
      </c>
      <c r="C885" s="121" t="s">
        <v>5591</v>
      </c>
      <c r="D885" s="118">
        <v>2443</v>
      </c>
      <c r="E885" s="60" t="str">
        <f>[1]!'2443.TW-Price'</f>
        <v>--</v>
      </c>
    </row>
    <row r="886" spans="1:5">
      <c r="A886" s="118">
        <v>2496</v>
      </c>
      <c r="B886" s="60" t="s">
        <v>4444</v>
      </c>
      <c r="C886" s="121" t="s">
        <v>5591</v>
      </c>
      <c r="D886" s="118">
        <v>2496</v>
      </c>
      <c r="E886" s="60" t="str">
        <f>[1]!'2496.TW-Price'</f>
        <v>--</v>
      </c>
    </row>
    <row r="887" spans="1:5">
      <c r="A887" s="118">
        <v>2514</v>
      </c>
      <c r="B887" s="60" t="s">
        <v>4445</v>
      </c>
      <c r="C887" s="121" t="s">
        <v>5591</v>
      </c>
      <c r="D887" s="118">
        <v>2514</v>
      </c>
      <c r="E887" s="60" t="str">
        <f>[1]!'2514.TW-Price'</f>
        <v>--</v>
      </c>
    </row>
    <row r="888" spans="1:5">
      <c r="A888" s="118">
        <v>2614</v>
      </c>
      <c r="B888" s="60" t="s">
        <v>3597</v>
      </c>
      <c r="C888" s="121" t="s">
        <v>5591</v>
      </c>
      <c r="D888" s="118">
        <v>2614</v>
      </c>
      <c r="E888" s="60" t="str">
        <f>[1]!'2614.TW-Price'</f>
        <v>--</v>
      </c>
    </row>
    <row r="889" spans="1:5">
      <c r="A889" s="118">
        <v>2904</v>
      </c>
      <c r="B889" s="60" t="s">
        <v>4446</v>
      </c>
      <c r="C889" s="121" t="s">
        <v>5591</v>
      </c>
      <c r="D889" s="118">
        <v>2904</v>
      </c>
      <c r="E889" s="60" t="str">
        <f>[1]!'2904.TW-Price'</f>
        <v>--</v>
      </c>
    </row>
    <row r="890" spans="1:5">
      <c r="A890" s="118">
        <v>3040</v>
      </c>
      <c r="B890" s="60" t="s">
        <v>4447</v>
      </c>
      <c r="C890" s="121" t="s">
        <v>5591</v>
      </c>
      <c r="D890" s="118">
        <v>3040</v>
      </c>
      <c r="E890" s="60" t="str">
        <f>[1]!'3040.TW-Price'</f>
        <v>--</v>
      </c>
    </row>
    <row r="891" spans="1:5">
      <c r="A891" s="118">
        <v>3557</v>
      </c>
      <c r="B891" s="60" t="s">
        <v>4448</v>
      </c>
      <c r="C891" s="121" t="s">
        <v>5591</v>
      </c>
      <c r="D891" s="118">
        <v>3557</v>
      </c>
      <c r="E891" s="60" t="str">
        <f>[1]!'3557.TW-Price'</f>
        <v>--</v>
      </c>
    </row>
    <row r="892" spans="1:5">
      <c r="A892" s="118">
        <v>4536</v>
      </c>
      <c r="B892" s="60" t="s">
        <v>3676</v>
      </c>
      <c r="C892" s="121" t="s">
        <v>5591</v>
      </c>
      <c r="D892" s="118">
        <v>4536</v>
      </c>
      <c r="E892" s="60" t="str">
        <f>[1]!'4536.TW-Price'</f>
        <v>--</v>
      </c>
    </row>
    <row r="893" spans="1:5">
      <c r="A893" s="118">
        <v>5284</v>
      </c>
      <c r="B893" s="60" t="s">
        <v>2255</v>
      </c>
      <c r="C893" s="121" t="s">
        <v>5592</v>
      </c>
      <c r="D893" s="118">
        <v>5284</v>
      </c>
      <c r="E893" s="60" t="str">
        <f>[1]!'5284.TW-Price'</f>
        <v>--</v>
      </c>
    </row>
    <row r="894" spans="1:5">
      <c r="A894" s="118">
        <v>5871</v>
      </c>
      <c r="B894" s="60" t="s">
        <v>3654</v>
      </c>
      <c r="C894" s="121" t="s">
        <v>5592</v>
      </c>
      <c r="D894" s="118">
        <v>5871</v>
      </c>
      <c r="E894" s="60" t="str">
        <f>[1]!'5871.TW-Price'</f>
        <v>--</v>
      </c>
    </row>
    <row r="895" spans="1:5">
      <c r="A895" s="118">
        <v>6165</v>
      </c>
      <c r="B895" s="60" t="s">
        <v>3629</v>
      </c>
      <c r="C895" s="121" t="s">
        <v>5591</v>
      </c>
      <c r="D895" s="118">
        <v>6165</v>
      </c>
      <c r="E895" s="60" t="str">
        <f>[1]!'6165.TW-Price'</f>
        <v>--</v>
      </c>
    </row>
    <row r="896" spans="1:5">
      <c r="A896" s="118">
        <v>6184</v>
      </c>
      <c r="B896" s="60" t="s">
        <v>4449</v>
      </c>
      <c r="C896" s="121" t="s">
        <v>5591</v>
      </c>
      <c r="D896" s="118">
        <v>6184</v>
      </c>
      <c r="E896" s="60" t="str">
        <f>[1]!'6184.TW-Price'</f>
        <v>--</v>
      </c>
    </row>
    <row r="897" spans="1:5">
      <c r="A897" s="118">
        <v>6464</v>
      </c>
      <c r="B897" s="60" t="s">
        <v>4450</v>
      </c>
      <c r="C897" s="121" t="s">
        <v>5591</v>
      </c>
      <c r="D897" s="118">
        <v>6464</v>
      </c>
      <c r="E897" s="60" t="str">
        <f>[1]!'6464.TW-Price'</f>
        <v>--</v>
      </c>
    </row>
    <row r="898" spans="1:5">
      <c r="A898" s="118">
        <v>6504</v>
      </c>
      <c r="B898" s="60" t="s">
        <v>3550</v>
      </c>
      <c r="C898" s="121" t="s">
        <v>5591</v>
      </c>
      <c r="D898" s="118">
        <v>6504</v>
      </c>
      <c r="E898" s="60" t="str">
        <f>[1]!'6504.TW-Price'</f>
        <v>--</v>
      </c>
    </row>
    <row r="899" spans="1:5">
      <c r="A899" s="118">
        <v>6581</v>
      </c>
      <c r="B899" s="60" t="s">
        <v>4451</v>
      </c>
      <c r="C899" s="121" t="s">
        <v>5591</v>
      </c>
      <c r="D899" s="118">
        <v>6581</v>
      </c>
      <c r="E899" s="60" t="str">
        <f>[1]!'6581.TW-Price'</f>
        <v>--</v>
      </c>
    </row>
    <row r="900" spans="1:5">
      <c r="A900" s="118">
        <v>6592</v>
      </c>
      <c r="B900" s="60" t="s">
        <v>4452</v>
      </c>
      <c r="C900" s="121" t="s">
        <v>5591</v>
      </c>
      <c r="D900" s="118">
        <v>6592</v>
      </c>
      <c r="E900" s="60" t="str">
        <f>[1]!'6592.TW-Price'</f>
        <v>--</v>
      </c>
    </row>
    <row r="901" spans="1:5">
      <c r="A901" s="118">
        <v>6625</v>
      </c>
      <c r="B901" s="60" t="s">
        <v>4453</v>
      </c>
      <c r="C901" s="121" t="s">
        <v>5591</v>
      </c>
      <c r="D901" s="118">
        <v>6625</v>
      </c>
      <c r="E901" s="60" t="str">
        <f>[1]!'6625.TW-Price'</f>
        <v>--</v>
      </c>
    </row>
    <row r="902" spans="1:5">
      <c r="A902" s="118">
        <v>6641</v>
      </c>
      <c r="B902" s="60" t="s">
        <v>4454</v>
      </c>
      <c r="C902" s="121" t="s">
        <v>5592</v>
      </c>
      <c r="D902" s="118">
        <v>6641</v>
      </c>
      <c r="E902" s="60" t="str">
        <f>[1]!'6641.TW-Price'</f>
        <v>--</v>
      </c>
    </row>
    <row r="903" spans="1:5">
      <c r="A903" s="118">
        <v>6655</v>
      </c>
      <c r="B903" s="60" t="s">
        <v>4455</v>
      </c>
      <c r="C903" s="121" t="s">
        <v>5591</v>
      </c>
      <c r="D903" s="118">
        <v>6655</v>
      </c>
      <c r="E903" s="60" t="str">
        <f>[1]!'6655.TW-Price'</f>
        <v>--</v>
      </c>
    </row>
    <row r="904" spans="1:5">
      <c r="A904" s="118">
        <v>6670</v>
      </c>
      <c r="B904" s="60" t="s">
        <v>4456</v>
      </c>
      <c r="C904" s="121" t="s">
        <v>5591</v>
      </c>
      <c r="D904" s="118">
        <v>6670</v>
      </c>
      <c r="E904" s="60" t="str">
        <f>[1]!'6670.TW-Price'</f>
        <v>--</v>
      </c>
    </row>
    <row r="905" spans="1:5">
      <c r="A905" s="118">
        <v>6671</v>
      </c>
      <c r="B905" s="60" t="s">
        <v>4457</v>
      </c>
      <c r="C905" s="121" t="s">
        <v>5592</v>
      </c>
      <c r="D905" s="118">
        <v>6671</v>
      </c>
      <c r="E905" s="60" t="str">
        <f>[1]!'6671.TW-Price'</f>
        <v>--</v>
      </c>
    </row>
    <row r="906" spans="1:5">
      <c r="A906" s="118">
        <v>6754</v>
      </c>
      <c r="B906" s="60" t="s">
        <v>4458</v>
      </c>
      <c r="C906" s="121" t="s">
        <v>5591</v>
      </c>
      <c r="D906" s="118">
        <v>6754</v>
      </c>
      <c r="E906" s="60" t="str">
        <f>[1]!'6754.TW-Price'</f>
        <v>--</v>
      </c>
    </row>
    <row r="907" spans="1:5">
      <c r="A907" s="118">
        <v>6768</v>
      </c>
      <c r="B907" s="60" t="s">
        <v>4459</v>
      </c>
      <c r="C907" s="121" t="s">
        <v>5592</v>
      </c>
      <c r="D907" s="118">
        <v>6768</v>
      </c>
      <c r="E907" s="60" t="str">
        <f>[1]!'6768.TW-Price'</f>
        <v>--</v>
      </c>
    </row>
    <row r="908" spans="1:5">
      <c r="A908" s="118">
        <v>8033</v>
      </c>
      <c r="B908" s="60" t="s">
        <v>4460</v>
      </c>
      <c r="C908" s="121" t="s">
        <v>5591</v>
      </c>
      <c r="D908" s="118">
        <v>8033</v>
      </c>
      <c r="E908" s="60" t="str">
        <f>[1]!'8033.TW-Price'</f>
        <v>--</v>
      </c>
    </row>
    <row r="909" spans="1:5">
      <c r="A909" s="118">
        <v>8341</v>
      </c>
      <c r="B909" s="60" t="s">
        <v>4461</v>
      </c>
      <c r="C909" s="121" t="s">
        <v>5591</v>
      </c>
      <c r="D909" s="118">
        <v>8341</v>
      </c>
      <c r="E909" s="60" t="str">
        <f>[1]!'8341.TW-Price'</f>
        <v>--</v>
      </c>
    </row>
    <row r="910" spans="1:5">
      <c r="A910" s="118">
        <v>8404</v>
      </c>
      <c r="B910" s="60" t="s">
        <v>4462</v>
      </c>
      <c r="C910" s="121" t="s">
        <v>5592</v>
      </c>
      <c r="D910" s="118">
        <v>8404</v>
      </c>
      <c r="E910" s="60" t="str">
        <f>[1]!'8404.TW-Price'</f>
        <v>--</v>
      </c>
    </row>
    <row r="911" spans="1:5">
      <c r="A911" s="118">
        <v>8411</v>
      </c>
      <c r="B911" s="60" t="s">
        <v>4463</v>
      </c>
      <c r="C911" s="121" t="s">
        <v>5592</v>
      </c>
      <c r="D911" s="118">
        <v>8411</v>
      </c>
      <c r="E911" s="60" t="str">
        <f>[1]!'8411.TW-Price'</f>
        <v>--</v>
      </c>
    </row>
    <row r="912" spans="1:5">
      <c r="A912" s="118">
        <v>8422</v>
      </c>
      <c r="B912" s="60" t="s">
        <v>4464</v>
      </c>
      <c r="C912" s="121" t="s">
        <v>5591</v>
      </c>
      <c r="D912" s="118">
        <v>8422</v>
      </c>
      <c r="E912" s="60" t="str">
        <f>[1]!'8422.TW-Price'</f>
        <v>--</v>
      </c>
    </row>
    <row r="913" spans="1:5">
      <c r="A913" s="118">
        <v>8427</v>
      </c>
      <c r="B913" s="60" t="s">
        <v>4465</v>
      </c>
      <c r="C913" s="121" t="s">
        <v>5592</v>
      </c>
      <c r="D913" s="118">
        <v>8427</v>
      </c>
      <c r="E913" s="60" t="str">
        <f>[1]!'8427.TW-Price'</f>
        <v>--</v>
      </c>
    </row>
    <row r="914" spans="1:5">
      <c r="A914" s="118">
        <v>8442</v>
      </c>
      <c r="B914" s="60" t="s">
        <v>4466</v>
      </c>
      <c r="C914" s="121" t="s">
        <v>5592</v>
      </c>
      <c r="D914" s="118">
        <v>8442</v>
      </c>
      <c r="E914" s="60" t="str">
        <f>[1]!'8442.TW-Price'</f>
        <v>--</v>
      </c>
    </row>
    <row r="915" spans="1:5">
      <c r="A915" s="118">
        <v>8463</v>
      </c>
      <c r="B915" s="60" t="s">
        <v>4467</v>
      </c>
      <c r="C915" s="121" t="s">
        <v>5591</v>
      </c>
      <c r="D915" s="118">
        <v>8463</v>
      </c>
      <c r="E915" s="60" t="str">
        <f>[1]!'8463.TW-Price'</f>
        <v>--</v>
      </c>
    </row>
    <row r="916" spans="1:5">
      <c r="A916" s="118">
        <v>8464</v>
      </c>
      <c r="B916" s="60" t="s">
        <v>3692</v>
      </c>
      <c r="C916" s="121" t="s">
        <v>5591</v>
      </c>
      <c r="D916" s="118">
        <v>8464</v>
      </c>
      <c r="E916" s="60" t="str">
        <f>[1]!'8464.TW-Price'</f>
        <v>--</v>
      </c>
    </row>
    <row r="917" spans="1:5">
      <c r="A917" s="118">
        <v>8466</v>
      </c>
      <c r="B917" s="60" t="s">
        <v>4468</v>
      </c>
      <c r="C917" s="121" t="s">
        <v>5592</v>
      </c>
      <c r="D917" s="118">
        <v>8466</v>
      </c>
      <c r="E917" s="60" t="str">
        <f>[1]!'8466.TW-Price'</f>
        <v>--</v>
      </c>
    </row>
    <row r="918" spans="1:5">
      <c r="A918" s="118">
        <v>8467</v>
      </c>
      <c r="B918" s="60" t="s">
        <v>4469</v>
      </c>
      <c r="C918" s="121" t="s">
        <v>5592</v>
      </c>
      <c r="D918" s="118">
        <v>8467</v>
      </c>
      <c r="E918" s="60" t="str">
        <f>[1]!'8467.TW-Price'</f>
        <v>--</v>
      </c>
    </row>
    <row r="919" spans="1:5">
      <c r="A919" s="118">
        <v>8473</v>
      </c>
      <c r="B919" s="60" t="s">
        <v>4470</v>
      </c>
      <c r="C919" s="121" t="s">
        <v>5591</v>
      </c>
      <c r="D919" s="118">
        <v>8473</v>
      </c>
      <c r="E919" s="60" t="str">
        <f>[1]!'8473.TW-Price'</f>
        <v>--</v>
      </c>
    </row>
    <row r="920" spans="1:5">
      <c r="A920" s="118">
        <v>8478</v>
      </c>
      <c r="B920" s="60" t="s">
        <v>4471</v>
      </c>
      <c r="C920" s="121" t="s">
        <v>5591</v>
      </c>
      <c r="D920" s="118">
        <v>8478</v>
      </c>
      <c r="E920" s="60" t="str">
        <f>[1]!'8478.TW-Price'</f>
        <v>--</v>
      </c>
    </row>
    <row r="921" spans="1:5">
      <c r="A921" s="118">
        <v>8480</v>
      </c>
      <c r="B921" s="60" t="s">
        <v>4472</v>
      </c>
      <c r="C921" s="121" t="s">
        <v>5592</v>
      </c>
      <c r="D921" s="118">
        <v>8480</v>
      </c>
      <c r="E921" s="60" t="str">
        <f>[1]!'8480.TW-Price'</f>
        <v>--</v>
      </c>
    </row>
    <row r="922" spans="1:5">
      <c r="A922" s="118">
        <v>8481</v>
      </c>
      <c r="B922" s="60" t="s">
        <v>4473</v>
      </c>
      <c r="C922" s="121" t="s">
        <v>5591</v>
      </c>
      <c r="D922" s="118">
        <v>8481</v>
      </c>
      <c r="E922" s="60" t="str">
        <f>[1]!'8481.TW-Price'</f>
        <v>--</v>
      </c>
    </row>
    <row r="923" spans="1:5">
      <c r="A923" s="118">
        <v>8482</v>
      </c>
      <c r="B923" s="60" t="s">
        <v>4474</v>
      </c>
      <c r="C923" s="121" t="s">
        <v>5592</v>
      </c>
      <c r="D923" s="118">
        <v>8482</v>
      </c>
      <c r="E923" s="60" t="str">
        <f>[1]!'8482.TW-Price'</f>
        <v>--</v>
      </c>
    </row>
    <row r="924" spans="1:5">
      <c r="A924" s="118">
        <v>8488</v>
      </c>
      <c r="B924" s="60" t="s">
        <v>4475</v>
      </c>
      <c r="C924" s="121" t="s">
        <v>5592</v>
      </c>
      <c r="D924" s="118">
        <v>8488</v>
      </c>
      <c r="E924" s="60" t="str">
        <f>[1]!'8488.TW-Price'</f>
        <v>--</v>
      </c>
    </row>
    <row r="925" spans="1:5">
      <c r="A925" s="118">
        <v>9802</v>
      </c>
      <c r="B925" s="60" t="s">
        <v>4477</v>
      </c>
      <c r="C925" s="121" t="s">
        <v>5592</v>
      </c>
      <c r="D925" s="118">
        <v>9802</v>
      </c>
      <c r="E925" s="60" t="str">
        <f>[1]!'9802.TW-Price'</f>
        <v>--</v>
      </c>
    </row>
    <row r="926" spans="1:5">
      <c r="A926" s="118">
        <v>9902</v>
      </c>
      <c r="B926" s="60" t="s">
        <v>4478</v>
      </c>
      <c r="C926" s="121" t="s">
        <v>5591</v>
      </c>
      <c r="D926" s="118">
        <v>9902</v>
      </c>
      <c r="E926" s="60" t="str">
        <f>[1]!'9902.TW-Price'</f>
        <v>--</v>
      </c>
    </row>
    <row r="927" spans="1:5">
      <c r="A927" s="118">
        <v>9904</v>
      </c>
      <c r="B927" s="60" t="s">
        <v>4479</v>
      </c>
      <c r="C927" s="121" t="s">
        <v>5591</v>
      </c>
      <c r="D927" s="118">
        <v>9904</v>
      </c>
      <c r="E927" s="60" t="str">
        <f>[1]!'9904.TW-Price'</f>
        <v>--</v>
      </c>
    </row>
    <row r="928" spans="1:5">
      <c r="A928" s="118">
        <v>9905</v>
      </c>
      <c r="B928" s="60" t="s">
        <v>4480</v>
      </c>
      <c r="C928" s="121" t="s">
        <v>5591</v>
      </c>
      <c r="D928" s="118">
        <v>9905</v>
      </c>
      <c r="E928" s="60" t="str">
        <f>[1]!'9905.TW-Price'</f>
        <v>--</v>
      </c>
    </row>
    <row r="929" spans="1:5">
      <c r="A929" s="118">
        <v>9907</v>
      </c>
      <c r="B929" s="60" t="s">
        <v>4481</v>
      </c>
      <c r="C929" s="121" t="s">
        <v>5591</v>
      </c>
      <c r="D929" s="118">
        <v>9907</v>
      </c>
      <c r="E929" s="60" t="str">
        <f>[1]!'9907.TW-Price'</f>
        <v>--</v>
      </c>
    </row>
    <row r="930" spans="1:5">
      <c r="A930" s="118">
        <v>9910</v>
      </c>
      <c r="B930" s="60" t="s">
        <v>3671</v>
      </c>
      <c r="C930" s="121" t="s">
        <v>5591</v>
      </c>
      <c r="D930" s="118">
        <v>9910</v>
      </c>
      <c r="E930" s="60" t="str">
        <f>[1]!'9910.TW-Price'</f>
        <v>--</v>
      </c>
    </row>
    <row r="931" spans="1:5">
      <c r="A931" s="118">
        <v>9911</v>
      </c>
      <c r="B931" s="60" t="s">
        <v>4482</v>
      </c>
      <c r="C931" s="121" t="s">
        <v>5591</v>
      </c>
      <c r="D931" s="118">
        <v>9911</v>
      </c>
      <c r="E931" s="60" t="str">
        <f>[1]!'9911.TW-Price'</f>
        <v>--</v>
      </c>
    </row>
    <row r="932" spans="1:5">
      <c r="A932" s="118">
        <v>9914</v>
      </c>
      <c r="B932" s="60" t="s">
        <v>4483</v>
      </c>
      <c r="C932" s="121" t="s">
        <v>5591</v>
      </c>
      <c r="D932" s="118">
        <v>9914</v>
      </c>
      <c r="E932" s="60" t="str">
        <f>[1]!'9914.TW-Price'</f>
        <v>--</v>
      </c>
    </row>
    <row r="933" spans="1:5">
      <c r="A933" s="118">
        <v>9917</v>
      </c>
      <c r="B933" s="60" t="s">
        <v>4484</v>
      </c>
      <c r="C933" s="121" t="s">
        <v>5591</v>
      </c>
      <c r="D933" s="118">
        <v>9917</v>
      </c>
      <c r="E933" s="60" t="str">
        <f>[1]!'9917.TW-Price'</f>
        <v>--</v>
      </c>
    </row>
    <row r="934" spans="1:5">
      <c r="A934" s="118">
        <v>9919</v>
      </c>
      <c r="B934" s="60" t="s">
        <v>3543</v>
      </c>
      <c r="C934" s="121" t="s">
        <v>5591</v>
      </c>
      <c r="D934" s="118">
        <v>9919</v>
      </c>
      <c r="E934" s="60" t="str">
        <f>[1]!'9919.TW-Price'</f>
        <v>--</v>
      </c>
    </row>
    <row r="935" spans="1:5">
      <c r="A935" s="118">
        <v>9921</v>
      </c>
      <c r="B935" s="60" t="s">
        <v>4485</v>
      </c>
      <c r="C935" s="121" t="s">
        <v>5591</v>
      </c>
      <c r="D935" s="118">
        <v>9921</v>
      </c>
      <c r="E935" s="60" t="str">
        <f>[1]!'9921.TW-Price'</f>
        <v>--</v>
      </c>
    </row>
    <row r="936" spans="1:5">
      <c r="A936" s="118">
        <v>9924</v>
      </c>
      <c r="B936" s="60" t="s">
        <v>4486</v>
      </c>
      <c r="C936" s="121" t="s">
        <v>5591</v>
      </c>
      <c r="D936" s="118">
        <v>9924</v>
      </c>
      <c r="E936" s="60" t="str">
        <f>[1]!'9924.TW-Price'</f>
        <v>--</v>
      </c>
    </row>
    <row r="937" spans="1:5">
      <c r="A937" s="118">
        <v>9925</v>
      </c>
      <c r="B937" s="60" t="s">
        <v>4487</v>
      </c>
      <c r="C937" s="121" t="s">
        <v>5591</v>
      </c>
      <c r="D937" s="118">
        <v>9925</v>
      </c>
      <c r="E937" s="60" t="str">
        <f>[1]!'9925.TW-Price'</f>
        <v>--</v>
      </c>
    </row>
    <row r="938" spans="1:5">
      <c r="A938" s="118">
        <v>9927</v>
      </c>
      <c r="B938" s="60" t="s">
        <v>4488</v>
      </c>
      <c r="C938" s="121" t="s">
        <v>5591</v>
      </c>
      <c r="D938" s="118">
        <v>9927</v>
      </c>
      <c r="E938" s="60" t="str">
        <f>[1]!'9927.TW-Price'</f>
        <v>--</v>
      </c>
    </row>
    <row r="939" spans="1:5">
      <c r="A939" s="118">
        <v>9928</v>
      </c>
      <c r="B939" s="60" t="s">
        <v>4489</v>
      </c>
      <c r="C939" s="121" t="s">
        <v>5591</v>
      </c>
      <c r="D939" s="118">
        <v>9928</v>
      </c>
      <c r="E939" s="60" t="str">
        <f>[1]!'9928.TW-Price'</f>
        <v>--</v>
      </c>
    </row>
    <row r="940" spans="1:5">
      <c r="A940" s="118">
        <v>9929</v>
      </c>
      <c r="B940" s="60" t="s">
        <v>4490</v>
      </c>
      <c r="C940" s="121" t="s">
        <v>5591</v>
      </c>
      <c r="D940" s="118">
        <v>9929</v>
      </c>
      <c r="E940" s="60" t="str">
        <f>[1]!'9929.TW-Price'</f>
        <v>--</v>
      </c>
    </row>
    <row r="941" spans="1:5">
      <c r="A941" s="118">
        <v>9930</v>
      </c>
      <c r="B941" s="60" t="s">
        <v>4491</v>
      </c>
      <c r="C941" s="121" t="s">
        <v>5591</v>
      </c>
      <c r="D941" s="118">
        <v>9930</v>
      </c>
      <c r="E941" s="60" t="str">
        <f>[1]!'9930.TW-Price'</f>
        <v>--</v>
      </c>
    </row>
    <row r="942" spans="1:5">
      <c r="A942" s="118">
        <v>9933</v>
      </c>
      <c r="B942" s="60" t="s">
        <v>4492</v>
      </c>
      <c r="C942" s="121" t="s">
        <v>5591</v>
      </c>
      <c r="D942" s="118">
        <v>9933</v>
      </c>
      <c r="E942" s="60" t="str">
        <f>[1]!'9933.TW-Price'</f>
        <v>--</v>
      </c>
    </row>
    <row r="943" spans="1:5">
      <c r="A943" s="118">
        <v>9934</v>
      </c>
      <c r="B943" s="60" t="s">
        <v>4493</v>
      </c>
      <c r="C943" s="121" t="s">
        <v>5591</v>
      </c>
      <c r="D943" s="118">
        <v>9934</v>
      </c>
      <c r="E943" s="60" t="str">
        <f>[1]!'9934.TW-Price'</f>
        <v>--</v>
      </c>
    </row>
    <row r="944" spans="1:5">
      <c r="A944" s="118">
        <v>9935</v>
      </c>
      <c r="B944" s="60" t="s">
        <v>3682</v>
      </c>
      <c r="C944" s="121" t="s">
        <v>5591</v>
      </c>
      <c r="D944" s="118">
        <v>9935</v>
      </c>
      <c r="E944" s="60" t="str">
        <f>[1]!'9935.TW-Price'</f>
        <v>--</v>
      </c>
    </row>
    <row r="945" spans="1:5">
      <c r="A945" s="118">
        <v>9938</v>
      </c>
      <c r="B945" s="60" t="s">
        <v>4494</v>
      </c>
      <c r="C945" s="121" t="s">
        <v>5591</v>
      </c>
      <c r="D945" s="118">
        <v>9938</v>
      </c>
      <c r="E945" s="60" t="str">
        <f>[1]!'9938.TW-Price'</f>
        <v>--</v>
      </c>
    </row>
    <row r="946" spans="1:5">
      <c r="A946" s="118">
        <v>9939</v>
      </c>
      <c r="B946" s="60" t="s">
        <v>4495</v>
      </c>
      <c r="C946" s="121" t="s">
        <v>5591</v>
      </c>
      <c r="D946" s="118">
        <v>9939</v>
      </c>
      <c r="E946" s="60" t="str">
        <f>[1]!'9939.TW-Price'</f>
        <v>--</v>
      </c>
    </row>
    <row r="947" spans="1:5">
      <c r="A947" s="118">
        <v>9940</v>
      </c>
      <c r="B947" s="60" t="s">
        <v>3674</v>
      </c>
      <c r="C947" s="121" t="s">
        <v>5591</v>
      </c>
      <c r="D947" s="118">
        <v>9940</v>
      </c>
      <c r="E947" s="60" t="str">
        <f>[1]!'9940.TW-Price'</f>
        <v>--</v>
      </c>
    </row>
    <row r="948" spans="1:5">
      <c r="A948" s="118">
        <v>9941</v>
      </c>
      <c r="B948" s="60" t="s">
        <v>4496</v>
      </c>
      <c r="C948" s="121" t="s">
        <v>5591</v>
      </c>
      <c r="D948" s="118">
        <v>9941</v>
      </c>
      <c r="E948" s="60">
        <f>[1]!'9941.TW-Price'</f>
        <v>171.5</v>
      </c>
    </row>
    <row r="949" spans="1:5">
      <c r="A949" s="118">
        <v>9942</v>
      </c>
      <c r="B949" s="60" t="s">
        <v>4497</v>
      </c>
      <c r="C949" s="121" t="s">
        <v>5591</v>
      </c>
      <c r="D949" s="118">
        <v>9942</v>
      </c>
      <c r="E949" s="60" t="str">
        <f>[1]!'9942.TW-Price'</f>
        <v>--</v>
      </c>
    </row>
    <row r="950" spans="1:5">
      <c r="A950" s="118">
        <v>9944</v>
      </c>
      <c r="B950" s="60" t="s">
        <v>3549</v>
      </c>
      <c r="C950" s="121" t="s">
        <v>5591</v>
      </c>
      <c r="D950" s="118">
        <v>9944</v>
      </c>
      <c r="E950" s="60" t="str">
        <f>[1]!'9944.TW-Price'</f>
        <v>--</v>
      </c>
    </row>
    <row r="951" spans="1:5">
      <c r="A951" s="118">
        <v>9945</v>
      </c>
      <c r="B951" s="60" t="s">
        <v>4498</v>
      </c>
      <c r="C951" s="121" t="s">
        <v>5591</v>
      </c>
      <c r="D951" s="118">
        <v>9945</v>
      </c>
      <c r="E951" s="60" t="str">
        <f>[1]!'9945.TW-Price'</f>
        <v>--</v>
      </c>
    </row>
    <row r="952" spans="1:5">
      <c r="A952" s="118">
        <v>9955</v>
      </c>
      <c r="B952" s="60" t="s">
        <v>4499</v>
      </c>
      <c r="C952" s="121" t="s">
        <v>5591</v>
      </c>
      <c r="D952" s="118">
        <v>9955</v>
      </c>
      <c r="E952" s="60" t="str">
        <f>[1]!'9955.TW-Price'</f>
        <v>--</v>
      </c>
    </row>
    <row r="953" spans="1:5">
      <c r="A953" s="120">
        <v>1258</v>
      </c>
      <c r="B953" s="122" t="s">
        <v>4500</v>
      </c>
      <c r="C953" s="123" t="s">
        <v>5594</v>
      </c>
      <c r="D953" s="120">
        <v>1258</v>
      </c>
      <c r="E953" s="60" t="str">
        <f>[1]!'1258.TW-Price'</f>
        <v>--</v>
      </c>
    </row>
    <row r="954" spans="1:5">
      <c r="A954" s="120">
        <v>1264</v>
      </c>
      <c r="B954" s="122" t="s">
        <v>4501</v>
      </c>
      <c r="C954" s="123" t="s">
        <v>5595</v>
      </c>
      <c r="D954" s="120">
        <v>1264</v>
      </c>
      <c r="E954" s="60" t="str">
        <f>[1]!'1264.TW-Price'</f>
        <v>--</v>
      </c>
    </row>
    <row r="955" spans="1:5">
      <c r="A955" s="120">
        <v>1796</v>
      </c>
      <c r="B955" s="122" t="s">
        <v>4502</v>
      </c>
      <c r="C955" s="123" t="s">
        <v>5595</v>
      </c>
      <c r="D955" s="120">
        <v>1796</v>
      </c>
      <c r="E955" s="60" t="str">
        <f>[1]!'1796.TW-Price'</f>
        <v>--</v>
      </c>
    </row>
    <row r="956" spans="1:5">
      <c r="A956" s="120">
        <v>4205</v>
      </c>
      <c r="B956" s="122" t="s">
        <v>4503</v>
      </c>
      <c r="C956" s="123" t="s">
        <v>5595</v>
      </c>
      <c r="D956" s="120">
        <v>4205</v>
      </c>
      <c r="E956" s="60" t="str">
        <f>[1]!'4205.TW-Price'</f>
        <v>--</v>
      </c>
    </row>
    <row r="957" spans="1:5">
      <c r="A957" s="120">
        <v>4207</v>
      </c>
      <c r="B957" s="122" t="s">
        <v>4504</v>
      </c>
      <c r="C957" s="123" t="s">
        <v>5595</v>
      </c>
      <c r="D957" s="120">
        <v>4207</v>
      </c>
      <c r="E957" s="60" t="str">
        <f>[1]!'4207.TW-Price'</f>
        <v>--</v>
      </c>
    </row>
    <row r="958" spans="1:5">
      <c r="A958" s="120">
        <v>4303</v>
      </c>
      <c r="B958" s="122" t="s">
        <v>4505</v>
      </c>
      <c r="C958" s="123" t="s">
        <v>5596</v>
      </c>
      <c r="D958" s="120">
        <v>4303</v>
      </c>
      <c r="E958" s="60" t="str">
        <f>[1]!'4303.TW-Price'</f>
        <v>--</v>
      </c>
    </row>
    <row r="959" spans="1:5">
      <c r="A959" s="120">
        <v>4304</v>
      </c>
      <c r="B959" s="122" t="s">
        <v>4506</v>
      </c>
      <c r="C959" s="123" t="s">
        <v>5596</v>
      </c>
      <c r="D959" s="120">
        <v>4304</v>
      </c>
      <c r="E959" s="60" t="str">
        <f>[1]!'4304.TW-Price'</f>
        <v>--</v>
      </c>
    </row>
    <row r="960" spans="1:5">
      <c r="A960" s="120">
        <v>4305</v>
      </c>
      <c r="B960" s="122" t="s">
        <v>4507</v>
      </c>
      <c r="C960" s="123" t="s">
        <v>5596</v>
      </c>
      <c r="D960" s="120">
        <v>4305</v>
      </c>
      <c r="E960" s="60" t="str">
        <f>[1]!'4305.TW-Price'</f>
        <v>--</v>
      </c>
    </row>
    <row r="961" spans="1:5">
      <c r="A961" s="120">
        <v>9950</v>
      </c>
      <c r="B961" s="122" t="s">
        <v>4509</v>
      </c>
      <c r="C961" s="123" t="s">
        <v>5596</v>
      </c>
      <c r="D961" s="120">
        <v>9950</v>
      </c>
      <c r="E961" s="60" t="str">
        <f>[1]!'9950.TW-Price'</f>
        <v>--</v>
      </c>
    </row>
    <row r="962" spans="1:5">
      <c r="A962" s="120">
        <v>4401</v>
      </c>
      <c r="B962" s="122" t="s">
        <v>4510</v>
      </c>
      <c r="C962" s="123" t="s">
        <v>5597</v>
      </c>
      <c r="D962" s="120">
        <v>4401</v>
      </c>
      <c r="E962" s="60" t="str">
        <f>[1]!'4401.TW-Price'</f>
        <v>--</v>
      </c>
    </row>
    <row r="963" spans="1:5">
      <c r="A963" s="120">
        <v>4402</v>
      </c>
      <c r="B963" s="122" t="s">
        <v>4511</v>
      </c>
      <c r="C963" s="123" t="s">
        <v>5597</v>
      </c>
      <c r="D963" s="120">
        <v>4402</v>
      </c>
      <c r="E963" s="60" t="str">
        <f>[1]!'4402.TW-Price'</f>
        <v>--</v>
      </c>
    </row>
    <row r="964" spans="1:5">
      <c r="A964" s="120">
        <v>4406</v>
      </c>
      <c r="B964" s="122" t="s">
        <v>3544</v>
      </c>
      <c r="C964" s="123" t="s">
        <v>5597</v>
      </c>
      <c r="D964" s="120">
        <v>4406</v>
      </c>
      <c r="E964" s="60" t="str">
        <f>[1]!'4406.TW-Price'</f>
        <v>--</v>
      </c>
    </row>
    <row r="965" spans="1:5">
      <c r="A965" s="120">
        <v>4413</v>
      </c>
      <c r="B965" s="122" t="s">
        <v>4512</v>
      </c>
      <c r="C965" s="123" t="s">
        <v>5597</v>
      </c>
      <c r="D965" s="120">
        <v>4413</v>
      </c>
      <c r="E965" s="60" t="str">
        <f>[1]!'4413.TW-Price'</f>
        <v>--</v>
      </c>
    </row>
    <row r="966" spans="1:5">
      <c r="A966" s="120">
        <v>4417</v>
      </c>
      <c r="B966" s="122" t="s">
        <v>4513</v>
      </c>
      <c r="C966" s="123" t="s">
        <v>5597</v>
      </c>
      <c r="D966" s="120">
        <v>4417</v>
      </c>
      <c r="E966" s="60" t="str">
        <f>[1]!'4417.TW-Price'</f>
        <v>--</v>
      </c>
    </row>
    <row r="967" spans="1:5">
      <c r="A967" s="120">
        <v>4419</v>
      </c>
      <c r="B967" s="122" t="s">
        <v>4514</v>
      </c>
      <c r="C967" s="123" t="s">
        <v>5597</v>
      </c>
      <c r="D967" s="120">
        <v>4419</v>
      </c>
      <c r="E967" s="60" t="str">
        <f>[1]!'4419.TW-Price'</f>
        <v>--</v>
      </c>
    </row>
    <row r="968" spans="1:5">
      <c r="A968" s="120">
        <v>4420</v>
      </c>
      <c r="B968" s="122" t="s">
        <v>4515</v>
      </c>
      <c r="C968" s="123" t="s">
        <v>5597</v>
      </c>
      <c r="D968" s="120">
        <v>4420</v>
      </c>
      <c r="E968" s="60" t="str">
        <f>[1]!'4420.TW-Price'</f>
        <v>--</v>
      </c>
    </row>
    <row r="969" spans="1:5">
      <c r="A969" s="120">
        <v>4429</v>
      </c>
      <c r="B969" s="122" t="s">
        <v>4516</v>
      </c>
      <c r="C969" s="123" t="s">
        <v>5597</v>
      </c>
      <c r="D969" s="120">
        <v>4429</v>
      </c>
      <c r="E969" s="60" t="str">
        <f>[1]!'4429.TW-Price'</f>
        <v>--</v>
      </c>
    </row>
    <row r="970" spans="1:5">
      <c r="A970" s="120">
        <v>4432</v>
      </c>
      <c r="B970" s="122" t="s">
        <v>4517</v>
      </c>
      <c r="C970" s="123" t="s">
        <v>5597</v>
      </c>
      <c r="D970" s="120">
        <v>4432</v>
      </c>
      <c r="E970" s="60" t="str">
        <f>[1]!'4432.TW-Price'</f>
        <v>--</v>
      </c>
    </row>
    <row r="971" spans="1:5">
      <c r="A971" s="120">
        <v>4433</v>
      </c>
      <c r="B971" s="122" t="s">
        <v>4518</v>
      </c>
      <c r="C971" s="123" t="s">
        <v>5597</v>
      </c>
      <c r="D971" s="120">
        <v>4433</v>
      </c>
      <c r="E971" s="60" t="str">
        <f>[1]!'4433.TW-Price'</f>
        <v>--</v>
      </c>
    </row>
    <row r="972" spans="1:5">
      <c r="A972" s="120">
        <v>6506</v>
      </c>
      <c r="B972" s="122" t="s">
        <v>4571</v>
      </c>
      <c r="C972" s="123" t="s">
        <v>5597</v>
      </c>
      <c r="D972" s="120">
        <v>6506</v>
      </c>
      <c r="E972" s="60" t="str">
        <f>[1]!'6506.TW-Price'</f>
        <v>--</v>
      </c>
    </row>
    <row r="973" spans="1:5">
      <c r="A973" s="120">
        <v>1570</v>
      </c>
      <c r="B973" s="122" t="s">
        <v>4519</v>
      </c>
      <c r="C973" s="123" t="s">
        <v>5598</v>
      </c>
      <c r="D973" s="120">
        <v>1570</v>
      </c>
      <c r="E973" s="60" t="str">
        <f>[1]!'1570.TW-Price'</f>
        <v>--</v>
      </c>
    </row>
    <row r="974" spans="1:5">
      <c r="A974" s="120">
        <v>1580</v>
      </c>
      <c r="B974" s="122" t="s">
        <v>4520</v>
      </c>
      <c r="C974" s="123" t="s">
        <v>5598</v>
      </c>
      <c r="D974" s="120">
        <v>1580</v>
      </c>
      <c r="E974" s="60" t="str">
        <f>[1]!'1580.TW-Price'</f>
        <v>--</v>
      </c>
    </row>
    <row r="975" spans="1:5">
      <c r="A975" s="120">
        <v>1586</v>
      </c>
      <c r="B975" s="122" t="s">
        <v>3670</v>
      </c>
      <c r="C975" s="123" t="s">
        <v>5598</v>
      </c>
      <c r="D975" s="120">
        <v>1586</v>
      </c>
      <c r="E975" s="60" t="str">
        <f>[1]!'1586.TW-Price'</f>
        <v>--</v>
      </c>
    </row>
    <row r="976" spans="1:5">
      <c r="A976" s="120">
        <v>1591</v>
      </c>
      <c r="B976" s="122" t="s">
        <v>4521</v>
      </c>
      <c r="C976" s="123" t="s">
        <v>5599</v>
      </c>
      <c r="D976" s="120">
        <v>1591</v>
      </c>
      <c r="E976" s="60" t="str">
        <f>[1]!'1591.TW-Price'</f>
        <v>--</v>
      </c>
    </row>
    <row r="977" spans="1:5">
      <c r="A977" s="120">
        <v>1599</v>
      </c>
      <c r="B977" s="122" t="s">
        <v>4522</v>
      </c>
      <c r="C977" s="123" t="s">
        <v>5598</v>
      </c>
      <c r="D977" s="120">
        <v>1599</v>
      </c>
      <c r="E977" s="60" t="str">
        <f>[1]!'1599.TW-Price'</f>
        <v>--</v>
      </c>
    </row>
    <row r="978" spans="1:5">
      <c r="A978" s="120">
        <v>2066</v>
      </c>
      <c r="B978" s="122" t="s">
        <v>4523</v>
      </c>
      <c r="C978" s="123" t="s">
        <v>5598</v>
      </c>
      <c r="D978" s="120">
        <v>2066</v>
      </c>
      <c r="E978" s="60" t="str">
        <f>[1]!'2066.TW-Price'</f>
        <v>--</v>
      </c>
    </row>
    <row r="979" spans="1:5">
      <c r="A979" s="120">
        <v>2067</v>
      </c>
      <c r="B979" s="122" t="s">
        <v>4524</v>
      </c>
      <c r="C979" s="123" t="s">
        <v>5598</v>
      </c>
      <c r="D979" s="120">
        <v>2067</v>
      </c>
      <c r="E979" s="60" t="str">
        <f>[1]!'2067.TW-Price'</f>
        <v>--</v>
      </c>
    </row>
    <row r="980" spans="1:5">
      <c r="A980" s="120">
        <v>2070</v>
      </c>
      <c r="B980" s="122" t="s">
        <v>4525</v>
      </c>
      <c r="C980" s="123" t="s">
        <v>5598</v>
      </c>
      <c r="D980" s="120">
        <v>2070</v>
      </c>
      <c r="E980" s="60" t="str">
        <f>[1]!'2070.TW-Price'</f>
        <v>--</v>
      </c>
    </row>
    <row r="981" spans="1:5">
      <c r="A981" s="120">
        <v>2230</v>
      </c>
      <c r="B981" s="122" t="s">
        <v>4526</v>
      </c>
      <c r="C981" s="123" t="s">
        <v>5598</v>
      </c>
      <c r="D981" s="120">
        <v>2230</v>
      </c>
      <c r="E981" s="60" t="str">
        <f>[1]!'2230.TW-Price'</f>
        <v>--</v>
      </c>
    </row>
    <row r="982" spans="1:5">
      <c r="A982" s="120">
        <v>2235</v>
      </c>
      <c r="B982" s="122" t="s">
        <v>4527</v>
      </c>
      <c r="C982" s="123" t="s">
        <v>5598</v>
      </c>
      <c r="D982" s="120">
        <v>2235</v>
      </c>
      <c r="E982" s="60" t="str">
        <f>[1]!'2235.TW-Price'</f>
        <v>--</v>
      </c>
    </row>
    <row r="983" spans="1:5">
      <c r="A983" s="120">
        <v>3162</v>
      </c>
      <c r="B983" s="122" t="s">
        <v>4528</v>
      </c>
      <c r="C983" s="123" t="s">
        <v>5598</v>
      </c>
      <c r="D983" s="120">
        <v>3162</v>
      </c>
      <c r="E983" s="60">
        <f>[1]!'3162.TW-Price'</f>
        <v>48.35</v>
      </c>
    </row>
    <row r="984" spans="1:5">
      <c r="A984" s="120">
        <v>3178</v>
      </c>
      <c r="B984" s="122" t="s">
        <v>3605</v>
      </c>
      <c r="C984" s="123" t="s">
        <v>5598</v>
      </c>
      <c r="D984" s="120">
        <v>3178</v>
      </c>
      <c r="E984" s="60">
        <f>[1]!'3178.TW-Price'</f>
        <v>76</v>
      </c>
    </row>
    <row r="985" spans="1:5">
      <c r="A985" s="120">
        <v>3226</v>
      </c>
      <c r="B985" s="122" t="s">
        <v>4529</v>
      </c>
      <c r="C985" s="123" t="s">
        <v>5598</v>
      </c>
      <c r="D985" s="120">
        <v>3226</v>
      </c>
      <c r="E985" s="60" t="str">
        <f>[1]!'3226.TW-Price'</f>
        <v>--</v>
      </c>
    </row>
    <row r="986" spans="1:5">
      <c r="A986" s="120">
        <v>3379</v>
      </c>
      <c r="B986" s="122" t="s">
        <v>4530</v>
      </c>
      <c r="C986" s="123" t="s">
        <v>5598</v>
      </c>
      <c r="D986" s="120">
        <v>3379</v>
      </c>
      <c r="E986" s="60" t="str">
        <f>[1]!'3379.TW-Price'</f>
        <v>--</v>
      </c>
    </row>
    <row r="987" spans="1:5">
      <c r="A987" s="120">
        <v>3426</v>
      </c>
      <c r="B987" s="122" t="s">
        <v>4531</v>
      </c>
      <c r="C987" s="123" t="s">
        <v>5598</v>
      </c>
      <c r="D987" s="120">
        <v>3426</v>
      </c>
      <c r="E987" s="60" t="str">
        <f>[1]!'3426.TW-Price'</f>
        <v>--</v>
      </c>
    </row>
    <row r="988" spans="1:5">
      <c r="A988" s="120">
        <v>3685</v>
      </c>
      <c r="B988" s="122" t="s">
        <v>4789</v>
      </c>
      <c r="C988" s="123" t="s">
        <v>5598</v>
      </c>
      <c r="D988" s="120">
        <v>3685</v>
      </c>
      <c r="E988" s="60" t="str">
        <f>[1]!'3685.TW-Price'</f>
        <v>--</v>
      </c>
    </row>
    <row r="989" spans="1:5">
      <c r="A989" s="120">
        <v>4502</v>
      </c>
      <c r="B989" s="122" t="s">
        <v>4532</v>
      </c>
      <c r="C989" s="123" t="s">
        <v>5598</v>
      </c>
      <c r="D989" s="120">
        <v>4502</v>
      </c>
      <c r="E989" s="60" t="str">
        <f>[1]!'4502.TW-Price'</f>
        <v>--</v>
      </c>
    </row>
    <row r="990" spans="1:5">
      <c r="A990" s="120">
        <v>4503</v>
      </c>
      <c r="B990" s="122" t="s">
        <v>4533</v>
      </c>
      <c r="C990" s="123" t="s">
        <v>5598</v>
      </c>
      <c r="D990" s="120">
        <v>4503</v>
      </c>
      <c r="E990" s="60" t="str">
        <f>[1]!'4503.TW-Price'</f>
        <v>--</v>
      </c>
    </row>
    <row r="991" spans="1:5">
      <c r="A991" s="120">
        <v>4506</v>
      </c>
      <c r="B991" s="122" t="s">
        <v>4534</v>
      </c>
      <c r="C991" s="123" t="s">
        <v>5598</v>
      </c>
      <c r="D991" s="120">
        <v>4506</v>
      </c>
      <c r="E991" s="60" t="str">
        <f>[1]!'4506.TW-Price'</f>
        <v>--</v>
      </c>
    </row>
    <row r="992" spans="1:5">
      <c r="A992" s="120">
        <v>4510</v>
      </c>
      <c r="B992" s="122" t="s">
        <v>4535</v>
      </c>
      <c r="C992" s="123" t="s">
        <v>5598</v>
      </c>
      <c r="D992" s="120">
        <v>4510</v>
      </c>
      <c r="E992" s="60" t="str">
        <f>[1]!'4510.TW-Price'</f>
        <v>--</v>
      </c>
    </row>
    <row r="993" spans="1:5">
      <c r="A993" s="120">
        <v>4513</v>
      </c>
      <c r="B993" s="122" t="s">
        <v>4536</v>
      </c>
      <c r="C993" s="123" t="s">
        <v>5598</v>
      </c>
      <c r="D993" s="120">
        <v>4513</v>
      </c>
      <c r="E993" s="60">
        <f>[1]!'4513.TW-Price'</f>
        <v>15.55</v>
      </c>
    </row>
    <row r="994" spans="1:5">
      <c r="A994" s="120">
        <v>4523</v>
      </c>
      <c r="B994" s="122" t="s">
        <v>4537</v>
      </c>
      <c r="C994" s="123" t="s">
        <v>5598</v>
      </c>
      <c r="D994" s="120">
        <v>4523</v>
      </c>
      <c r="E994" s="60" t="str">
        <f>[1]!'4523.TW-Price'</f>
        <v>--</v>
      </c>
    </row>
    <row r="995" spans="1:5">
      <c r="A995" s="120">
        <v>4527</v>
      </c>
      <c r="B995" s="122" t="s">
        <v>4538</v>
      </c>
      <c r="C995" s="123" t="s">
        <v>5598</v>
      </c>
      <c r="D995" s="120">
        <v>4527</v>
      </c>
      <c r="E995" s="60" t="str">
        <f>[1]!'4527.TW-Price'</f>
        <v>--</v>
      </c>
    </row>
    <row r="996" spans="1:5">
      <c r="A996" s="120">
        <v>4528</v>
      </c>
      <c r="B996" s="122" t="s">
        <v>4539</v>
      </c>
      <c r="C996" s="123" t="s">
        <v>5598</v>
      </c>
      <c r="D996" s="120">
        <v>4528</v>
      </c>
      <c r="E996" s="60" t="str">
        <f>[1]!'4528.TW-Price'</f>
        <v>--</v>
      </c>
    </row>
    <row r="997" spans="1:5">
      <c r="A997" s="120">
        <v>4530</v>
      </c>
      <c r="B997" s="122" t="s">
        <v>4540</v>
      </c>
      <c r="C997" s="123" t="s">
        <v>5598</v>
      </c>
      <c r="D997" s="120">
        <v>4530</v>
      </c>
      <c r="E997" s="60" t="str">
        <f>[1]!'4530.TW-Price'</f>
        <v>--</v>
      </c>
    </row>
    <row r="998" spans="1:5">
      <c r="A998" s="120">
        <v>4533</v>
      </c>
      <c r="B998" s="122" t="s">
        <v>4541</v>
      </c>
      <c r="C998" s="123" t="s">
        <v>5598</v>
      </c>
      <c r="D998" s="120">
        <v>4533</v>
      </c>
      <c r="E998" s="60" t="str">
        <f>[1]!'4533.TW-Price'</f>
        <v>--</v>
      </c>
    </row>
    <row r="999" spans="1:5">
      <c r="A999" s="120">
        <v>4534</v>
      </c>
      <c r="B999" s="122" t="s">
        <v>4542</v>
      </c>
      <c r="C999" s="123" t="s">
        <v>5598</v>
      </c>
      <c r="D999" s="120">
        <v>4534</v>
      </c>
      <c r="E999" s="60" t="str">
        <f>[1]!'4534.TW-Price'</f>
        <v>--</v>
      </c>
    </row>
    <row r="1000" spans="1:5">
      <c r="A1000" s="120">
        <v>4535</v>
      </c>
      <c r="B1000" s="122" t="s">
        <v>4543</v>
      </c>
      <c r="C1000" s="123" t="s">
        <v>5598</v>
      </c>
      <c r="D1000" s="120">
        <v>4535</v>
      </c>
      <c r="E1000" s="60" t="str">
        <f>[1]!'4535.TW-Price'</f>
        <v>--</v>
      </c>
    </row>
    <row r="1001" spans="1:5">
      <c r="A1001" s="120">
        <v>4538</v>
      </c>
      <c r="B1001" s="122" t="s">
        <v>4544</v>
      </c>
      <c r="C1001" s="123" t="s">
        <v>5598</v>
      </c>
      <c r="D1001" s="120">
        <v>4538</v>
      </c>
      <c r="E1001" s="60" t="str">
        <f>[1]!'4538.TW-Price'</f>
        <v>--</v>
      </c>
    </row>
    <row r="1002" spans="1:5">
      <c r="A1002" s="120">
        <v>4543</v>
      </c>
      <c r="B1002" s="122" t="s">
        <v>4545</v>
      </c>
      <c r="C1002" s="123" t="s">
        <v>5598</v>
      </c>
      <c r="D1002" s="120">
        <v>4543</v>
      </c>
      <c r="E1002" s="60" t="str">
        <f>[1]!'4543.TW-Price'</f>
        <v>--</v>
      </c>
    </row>
    <row r="1003" spans="1:5">
      <c r="A1003" s="120">
        <v>4549</v>
      </c>
      <c r="B1003" s="122" t="s">
        <v>4546</v>
      </c>
      <c r="C1003" s="123" t="s">
        <v>5598</v>
      </c>
      <c r="D1003" s="120">
        <v>4549</v>
      </c>
      <c r="E1003" s="60" t="str">
        <f>[1]!'4549.TW-Price'</f>
        <v>--</v>
      </c>
    </row>
    <row r="1004" spans="1:5">
      <c r="A1004" s="120">
        <v>4550</v>
      </c>
      <c r="B1004" s="122" t="s">
        <v>4547</v>
      </c>
      <c r="C1004" s="123" t="s">
        <v>5598</v>
      </c>
      <c r="D1004" s="120">
        <v>4550</v>
      </c>
      <c r="E1004" s="60" t="str">
        <f>[1]!'4550.TW-Price'</f>
        <v>--</v>
      </c>
    </row>
    <row r="1005" spans="1:5">
      <c r="A1005" s="120">
        <v>4561</v>
      </c>
      <c r="B1005" s="122" t="s">
        <v>3512</v>
      </c>
      <c r="C1005" s="123" t="s">
        <v>5598</v>
      </c>
      <c r="D1005" s="120">
        <v>4561</v>
      </c>
      <c r="E1005" s="60" t="str">
        <f>[1]!'4561.TW-Price'</f>
        <v>--</v>
      </c>
    </row>
    <row r="1006" spans="1:5">
      <c r="A1006" s="120">
        <v>4563</v>
      </c>
      <c r="B1006" s="122" t="s">
        <v>4548</v>
      </c>
      <c r="C1006" s="123" t="s">
        <v>5598</v>
      </c>
      <c r="D1006" s="120">
        <v>4563</v>
      </c>
      <c r="E1006" s="60" t="str">
        <f>[1]!'4563.TW-Price'</f>
        <v>--</v>
      </c>
    </row>
    <row r="1007" spans="1:5">
      <c r="A1007" s="120">
        <v>4568</v>
      </c>
      <c r="B1007" s="122" t="s">
        <v>4549</v>
      </c>
      <c r="C1007" s="123" t="s">
        <v>5598</v>
      </c>
      <c r="D1007" s="120">
        <v>4568</v>
      </c>
      <c r="E1007" s="60" t="str">
        <f>[1]!'4568.TW-Price'</f>
        <v>--</v>
      </c>
    </row>
    <row r="1008" spans="1:5">
      <c r="A1008" s="120">
        <v>4580</v>
      </c>
      <c r="B1008" s="122" t="s">
        <v>4550</v>
      </c>
      <c r="C1008" s="123" t="s">
        <v>5598</v>
      </c>
      <c r="D1008" s="120">
        <v>4580</v>
      </c>
      <c r="E1008" s="60" t="str">
        <f>[1]!'4580.TW-Price'</f>
        <v>--</v>
      </c>
    </row>
    <row r="1009" spans="1:5">
      <c r="A1009" s="120">
        <v>6122</v>
      </c>
      <c r="B1009" s="122" t="s">
        <v>4551</v>
      </c>
      <c r="C1009" s="123" t="s">
        <v>5598</v>
      </c>
      <c r="D1009" s="120">
        <v>6122</v>
      </c>
      <c r="E1009" s="60" t="str">
        <f>[1]!'6122.TW-Price'</f>
        <v>--</v>
      </c>
    </row>
    <row r="1010" spans="1:5">
      <c r="A1010" s="120">
        <v>6425</v>
      </c>
      <c r="B1010" s="122" t="s">
        <v>4552</v>
      </c>
      <c r="C1010" s="123" t="s">
        <v>5598</v>
      </c>
      <c r="D1010" s="120">
        <v>6425</v>
      </c>
      <c r="E1010" s="60" t="str">
        <f>[1]!'6425.TW-Price'</f>
        <v>--</v>
      </c>
    </row>
    <row r="1011" spans="1:5">
      <c r="A1011" s="120">
        <v>6603</v>
      </c>
      <c r="B1011" s="122" t="s">
        <v>4553</v>
      </c>
      <c r="C1011" s="123" t="s">
        <v>5598</v>
      </c>
      <c r="D1011" s="120">
        <v>6603</v>
      </c>
      <c r="E1011" s="60" t="str">
        <f>[1]!'6603.TW-Price'</f>
        <v>--</v>
      </c>
    </row>
    <row r="1012" spans="1:5">
      <c r="A1012" s="120">
        <v>6609</v>
      </c>
      <c r="B1012" s="122" t="s">
        <v>4554</v>
      </c>
      <c r="C1012" s="123" t="s">
        <v>5598</v>
      </c>
      <c r="D1012" s="120">
        <v>6609</v>
      </c>
      <c r="E1012" s="60" t="str">
        <f>[1]!'6609.TW-Price'</f>
        <v>--</v>
      </c>
    </row>
    <row r="1013" spans="1:5">
      <c r="A1013" s="120">
        <v>6843</v>
      </c>
      <c r="B1013" s="122" t="s">
        <v>5593</v>
      </c>
      <c r="C1013" s="123" t="s">
        <v>5598</v>
      </c>
      <c r="D1013" s="120">
        <v>6843</v>
      </c>
      <c r="E1013" s="60" t="str">
        <f>[1]!'6843.TW-Price'</f>
        <v>--</v>
      </c>
    </row>
    <row r="1014" spans="1:5">
      <c r="A1014" s="120">
        <v>8027</v>
      </c>
      <c r="B1014" s="122" t="s">
        <v>4555</v>
      </c>
      <c r="C1014" s="123" t="s">
        <v>5598</v>
      </c>
      <c r="D1014" s="120">
        <v>8027</v>
      </c>
      <c r="E1014" s="60" t="str">
        <f>[1]!'8027.TW-Price'</f>
        <v>--</v>
      </c>
    </row>
    <row r="1015" spans="1:5">
      <c r="A1015" s="120">
        <v>8083</v>
      </c>
      <c r="B1015" s="122" t="s">
        <v>4556</v>
      </c>
      <c r="C1015" s="123" t="s">
        <v>5598</v>
      </c>
      <c r="D1015" s="120">
        <v>8083</v>
      </c>
      <c r="E1015" s="60" t="str">
        <f>[1]!'8083.TW-Price'</f>
        <v>--</v>
      </c>
    </row>
    <row r="1016" spans="1:5">
      <c r="A1016" s="120">
        <v>8107</v>
      </c>
      <c r="B1016" s="122" t="s">
        <v>3571</v>
      </c>
      <c r="C1016" s="123" t="s">
        <v>5598</v>
      </c>
      <c r="D1016" s="120">
        <v>8107</v>
      </c>
      <c r="E1016" s="60" t="str">
        <f>[1]!'8107.TW-Price'</f>
        <v>--</v>
      </c>
    </row>
    <row r="1017" spans="1:5">
      <c r="A1017" s="120">
        <v>8255</v>
      </c>
      <c r="B1017" s="122" t="s">
        <v>4557</v>
      </c>
      <c r="C1017" s="123" t="s">
        <v>5598</v>
      </c>
      <c r="D1017" s="120">
        <v>8255</v>
      </c>
      <c r="E1017" s="60" t="str">
        <f>[1]!'8255.TW-Price'</f>
        <v>--</v>
      </c>
    </row>
    <row r="1018" spans="1:5">
      <c r="A1018" s="120">
        <v>9951</v>
      </c>
      <c r="B1018" s="122" t="s">
        <v>4558</v>
      </c>
      <c r="C1018" s="123" t="s">
        <v>5598</v>
      </c>
      <c r="D1018" s="120">
        <v>9951</v>
      </c>
      <c r="E1018" s="60" t="str">
        <f>[1]!'9951.TW-Price'</f>
        <v>--</v>
      </c>
    </row>
    <row r="1019" spans="1:5">
      <c r="A1019" s="120">
        <v>2061</v>
      </c>
      <c r="B1019" s="122" t="s">
        <v>4559</v>
      </c>
      <c r="C1019" s="123" t="s">
        <v>5600</v>
      </c>
      <c r="D1019" s="120">
        <v>2061</v>
      </c>
      <c r="E1019" s="60" t="str">
        <f>[1]!'2061.TW-Price'</f>
        <v>--</v>
      </c>
    </row>
    <row r="1020" spans="1:5">
      <c r="A1020" s="120">
        <v>4609</v>
      </c>
      <c r="B1020" s="122" t="s">
        <v>4560</v>
      </c>
      <c r="C1020" s="123" t="s">
        <v>5600</v>
      </c>
      <c r="D1020" s="120">
        <v>4609</v>
      </c>
      <c r="E1020" s="60" t="str">
        <f>[1]!'4609.TW-Price'</f>
        <v>--</v>
      </c>
    </row>
    <row r="1021" spans="1:5">
      <c r="A1021" s="120">
        <v>1742</v>
      </c>
      <c r="B1021" s="122" t="s">
        <v>4561</v>
      </c>
      <c r="C1021" s="123" t="s">
        <v>5601</v>
      </c>
      <c r="D1021" s="120">
        <v>1742</v>
      </c>
      <c r="E1021" s="60" t="str">
        <f>[1]!'1742.TW-Price'</f>
        <v>--</v>
      </c>
    </row>
    <row r="1022" spans="1:5">
      <c r="A1022" s="120">
        <v>4702</v>
      </c>
      <c r="B1022" s="122" t="s">
        <v>3602</v>
      </c>
      <c r="C1022" s="123" t="s">
        <v>5601</v>
      </c>
      <c r="D1022" s="120">
        <v>4702</v>
      </c>
      <c r="E1022" s="60" t="str">
        <f>[1]!'4702.TW-Price'</f>
        <v>--</v>
      </c>
    </row>
    <row r="1023" spans="1:5">
      <c r="A1023" s="120">
        <v>4706</v>
      </c>
      <c r="B1023" s="122" t="s">
        <v>4562</v>
      </c>
      <c r="C1023" s="123" t="s">
        <v>5601</v>
      </c>
      <c r="D1023" s="120">
        <v>4706</v>
      </c>
      <c r="E1023" s="60" t="str">
        <f>[1]!'4706.TW-Price'</f>
        <v>--</v>
      </c>
    </row>
    <row r="1024" spans="1:5">
      <c r="A1024" s="120">
        <v>4707</v>
      </c>
      <c r="B1024" s="122" t="s">
        <v>4563</v>
      </c>
      <c r="C1024" s="123" t="s">
        <v>5601</v>
      </c>
      <c r="D1024" s="120">
        <v>4707</v>
      </c>
      <c r="E1024" s="60" t="str">
        <f>[1]!'4707.TW-Price'</f>
        <v>--</v>
      </c>
    </row>
    <row r="1025" spans="1:5">
      <c r="A1025" s="120">
        <v>4711</v>
      </c>
      <c r="B1025" s="122" t="s">
        <v>4564</v>
      </c>
      <c r="C1025" s="123" t="s">
        <v>5601</v>
      </c>
      <c r="D1025" s="120">
        <v>4711</v>
      </c>
      <c r="E1025" s="60" t="str">
        <f>[1]!'4711.TW-Price'</f>
        <v>--</v>
      </c>
    </row>
    <row r="1026" spans="1:5">
      <c r="A1026" s="120">
        <v>4714</v>
      </c>
      <c r="B1026" s="122" t="s">
        <v>4565</v>
      </c>
      <c r="C1026" s="123" t="s">
        <v>5601</v>
      </c>
      <c r="D1026" s="120">
        <v>4714</v>
      </c>
      <c r="E1026" s="60" t="str">
        <f>[1]!'4714.TW-Price'</f>
        <v>--</v>
      </c>
    </row>
    <row r="1027" spans="1:5">
      <c r="A1027" s="120">
        <v>4716</v>
      </c>
      <c r="B1027" s="122" t="s">
        <v>4566</v>
      </c>
      <c r="C1027" s="123" t="s">
        <v>5601</v>
      </c>
      <c r="D1027" s="120">
        <v>4716</v>
      </c>
      <c r="E1027" s="60" t="str">
        <f>[1]!'4716.TW-Price'</f>
        <v>--</v>
      </c>
    </row>
    <row r="1028" spans="1:5">
      <c r="A1028" s="120">
        <v>4721</v>
      </c>
      <c r="B1028" s="122" t="s">
        <v>4567</v>
      </c>
      <c r="C1028" s="123" t="s">
        <v>5601</v>
      </c>
      <c r="D1028" s="120">
        <v>4721</v>
      </c>
      <c r="E1028" s="60" t="str">
        <f>[1]!'4721.TW-Price'</f>
        <v>--</v>
      </c>
    </row>
    <row r="1029" spans="1:5">
      <c r="A1029" s="120">
        <v>4741</v>
      </c>
      <c r="B1029" s="122" t="s">
        <v>4568</v>
      </c>
      <c r="C1029" s="123" t="s">
        <v>5601</v>
      </c>
      <c r="D1029" s="120">
        <v>4741</v>
      </c>
      <c r="E1029" s="60" t="str">
        <f>[1]!'4741.TW-Price'</f>
        <v>--</v>
      </c>
    </row>
    <row r="1030" spans="1:5">
      <c r="A1030" s="120">
        <v>4754</v>
      </c>
      <c r="B1030" s="122" t="s">
        <v>4569</v>
      </c>
      <c r="C1030" s="123" t="s">
        <v>5601</v>
      </c>
      <c r="D1030" s="120">
        <v>4754</v>
      </c>
      <c r="E1030" s="60" t="str">
        <f>[1]!'4754.TW-Price'</f>
        <v>--</v>
      </c>
    </row>
    <row r="1031" spans="1:5">
      <c r="A1031" s="120">
        <v>4767</v>
      </c>
      <c r="B1031" s="122" t="s">
        <v>4570</v>
      </c>
      <c r="C1031" s="123" t="s">
        <v>5601</v>
      </c>
      <c r="D1031" s="120">
        <v>4767</v>
      </c>
      <c r="E1031" s="60" t="str">
        <f>[1]!'4767.TW-Price'</f>
        <v>--</v>
      </c>
    </row>
    <row r="1032" spans="1:5">
      <c r="A1032" s="120">
        <v>6509</v>
      </c>
      <c r="B1032" s="122" t="s">
        <v>4572</v>
      </c>
      <c r="C1032" s="123" t="s">
        <v>5601</v>
      </c>
      <c r="D1032" s="120">
        <v>6509</v>
      </c>
      <c r="E1032" s="60">
        <f>[1]!'6509.TW-Price'</f>
        <v>70.2</v>
      </c>
    </row>
    <row r="1033" spans="1:5">
      <c r="A1033" s="120">
        <v>1565</v>
      </c>
      <c r="B1033" s="122" t="s">
        <v>4573</v>
      </c>
      <c r="C1033" s="123" t="s">
        <v>5602</v>
      </c>
      <c r="D1033" s="120">
        <v>1565</v>
      </c>
      <c r="E1033" s="60" t="str">
        <f>[1]!'1565.TW-Price'</f>
        <v>--</v>
      </c>
    </row>
    <row r="1034" spans="1:5">
      <c r="A1034" s="120">
        <v>1593</v>
      </c>
      <c r="B1034" s="122" t="s">
        <v>4574</v>
      </c>
      <c r="C1034" s="123" t="s">
        <v>5602</v>
      </c>
      <c r="D1034" s="120">
        <v>1593</v>
      </c>
      <c r="E1034" s="60" t="str">
        <f>[1]!'1593.TW-Price'</f>
        <v>--</v>
      </c>
    </row>
    <row r="1035" spans="1:5">
      <c r="A1035" s="120">
        <v>1752</v>
      </c>
      <c r="B1035" s="122" t="s">
        <v>4575</v>
      </c>
      <c r="C1035" s="123" t="s">
        <v>5602</v>
      </c>
      <c r="D1035" s="120">
        <v>1752</v>
      </c>
      <c r="E1035" s="60" t="str">
        <f>[1]!'1752.TW-Price'</f>
        <v>--</v>
      </c>
    </row>
    <row r="1036" spans="1:5">
      <c r="A1036" s="120">
        <v>1777</v>
      </c>
      <c r="B1036" s="122" t="s">
        <v>4576</v>
      </c>
      <c r="C1036" s="123" t="s">
        <v>5602</v>
      </c>
      <c r="D1036" s="120">
        <v>1777</v>
      </c>
      <c r="E1036" s="60" t="str">
        <f>[1]!'1777.TW-Price'</f>
        <v>--</v>
      </c>
    </row>
    <row r="1037" spans="1:5">
      <c r="A1037" s="120">
        <v>1781</v>
      </c>
      <c r="B1037" s="122" t="s">
        <v>3521</v>
      </c>
      <c r="C1037" s="123" t="s">
        <v>5602</v>
      </c>
      <c r="D1037" s="120">
        <v>1781</v>
      </c>
      <c r="E1037" s="60" t="str">
        <f>[1]!'1781.TW-Price'</f>
        <v>--</v>
      </c>
    </row>
    <row r="1038" spans="1:5">
      <c r="A1038" s="120">
        <v>1784</v>
      </c>
      <c r="B1038" s="122" t="s">
        <v>4577</v>
      </c>
      <c r="C1038" s="123" t="s">
        <v>5602</v>
      </c>
      <c r="D1038" s="120">
        <v>1784</v>
      </c>
      <c r="E1038" s="60" t="str">
        <f>[1]!'1784.TW-Price'</f>
        <v>--</v>
      </c>
    </row>
    <row r="1039" spans="1:5">
      <c r="A1039" s="120">
        <v>1788</v>
      </c>
      <c r="B1039" s="122" t="s">
        <v>4578</v>
      </c>
      <c r="C1039" s="123" t="s">
        <v>5602</v>
      </c>
      <c r="D1039" s="120">
        <v>1788</v>
      </c>
      <c r="E1039" s="60" t="str">
        <f>[1]!'1788.TW-Price'</f>
        <v>--</v>
      </c>
    </row>
    <row r="1040" spans="1:5">
      <c r="A1040" s="120">
        <v>1799</v>
      </c>
      <c r="B1040" s="122" t="s">
        <v>3526</v>
      </c>
      <c r="C1040" s="123" t="s">
        <v>5602</v>
      </c>
      <c r="D1040" s="120">
        <v>1799</v>
      </c>
      <c r="E1040" s="60" t="str">
        <f>[1]!'1799.TW-Price'</f>
        <v>--</v>
      </c>
    </row>
    <row r="1041" spans="1:5">
      <c r="A1041" s="120">
        <v>1813</v>
      </c>
      <c r="B1041" s="122" t="s">
        <v>4579</v>
      </c>
      <c r="C1041" s="123" t="s">
        <v>5602</v>
      </c>
      <c r="D1041" s="120">
        <v>1813</v>
      </c>
      <c r="E1041" s="60" t="str">
        <f>[1]!'1813.TW-Price'</f>
        <v>--</v>
      </c>
    </row>
    <row r="1042" spans="1:5">
      <c r="A1042" s="120">
        <v>3118</v>
      </c>
      <c r="B1042" s="122" t="s">
        <v>4580</v>
      </c>
      <c r="C1042" s="123" t="s">
        <v>5602</v>
      </c>
      <c r="D1042" s="120">
        <v>3118</v>
      </c>
      <c r="E1042" s="60" t="str">
        <f>[1]!'3118.TW-Price'</f>
        <v>--</v>
      </c>
    </row>
    <row r="1043" spans="1:5">
      <c r="A1043" s="120">
        <v>3176</v>
      </c>
      <c r="B1043" s="122" t="s">
        <v>4581</v>
      </c>
      <c r="C1043" s="123" t="s">
        <v>5602</v>
      </c>
      <c r="D1043" s="120">
        <v>3176</v>
      </c>
      <c r="E1043" s="60">
        <f>[1]!'3176.TW-Price'</f>
        <v>52.4</v>
      </c>
    </row>
    <row r="1044" spans="1:5">
      <c r="A1044" s="120">
        <v>3205</v>
      </c>
      <c r="B1044" s="122" t="s">
        <v>4582</v>
      </c>
      <c r="C1044" s="123" t="s">
        <v>5602</v>
      </c>
      <c r="D1044" s="120">
        <v>3205</v>
      </c>
      <c r="E1044" s="60" t="str">
        <f>[1]!'3205.TW-Price'</f>
        <v>--</v>
      </c>
    </row>
    <row r="1045" spans="1:5">
      <c r="A1045" s="120">
        <v>3218</v>
      </c>
      <c r="B1045" s="122" t="s">
        <v>3647</v>
      </c>
      <c r="C1045" s="123" t="s">
        <v>5602</v>
      </c>
      <c r="D1045" s="120">
        <v>3218</v>
      </c>
      <c r="E1045" s="60" t="str">
        <f>[1]!'3218.TW-Price'</f>
        <v>--</v>
      </c>
    </row>
    <row r="1046" spans="1:5">
      <c r="A1046" s="120">
        <v>4102</v>
      </c>
      <c r="B1046" s="122" t="s">
        <v>3522</v>
      </c>
      <c r="C1046" s="123" t="s">
        <v>5602</v>
      </c>
      <c r="D1046" s="120">
        <v>4102</v>
      </c>
      <c r="E1046" s="60" t="str">
        <f>[1]!'4102.TW-Price'</f>
        <v>--</v>
      </c>
    </row>
    <row r="1047" spans="1:5">
      <c r="A1047" s="120">
        <v>4105</v>
      </c>
      <c r="B1047" s="122" t="s">
        <v>3587</v>
      </c>
      <c r="C1047" s="123" t="s">
        <v>5602</v>
      </c>
      <c r="D1047" s="120">
        <v>4105</v>
      </c>
      <c r="E1047" s="60" t="str">
        <f>[1]!'4105.TW-Price'</f>
        <v>--</v>
      </c>
    </row>
    <row r="1048" spans="1:5">
      <c r="A1048" s="120">
        <v>4107</v>
      </c>
      <c r="B1048" s="122" t="s">
        <v>4583</v>
      </c>
      <c r="C1048" s="123" t="s">
        <v>5602</v>
      </c>
      <c r="D1048" s="120">
        <v>4107</v>
      </c>
      <c r="E1048" s="60" t="str">
        <f>[1]!'4107.TW-Price'</f>
        <v>--</v>
      </c>
    </row>
    <row r="1049" spans="1:5">
      <c r="A1049" s="120">
        <v>4109</v>
      </c>
      <c r="B1049" s="122" t="s">
        <v>4584</v>
      </c>
      <c r="C1049" s="123" t="s">
        <v>5602</v>
      </c>
      <c r="D1049" s="120">
        <v>4109</v>
      </c>
      <c r="E1049" s="60" t="str">
        <f>[1]!'4109.TW-Price'</f>
        <v>--</v>
      </c>
    </row>
    <row r="1050" spans="1:5">
      <c r="A1050" s="120">
        <v>4111</v>
      </c>
      <c r="B1050" s="122" t="s">
        <v>4585</v>
      </c>
      <c r="C1050" s="123" t="s">
        <v>5602</v>
      </c>
      <c r="D1050" s="120">
        <v>4111</v>
      </c>
      <c r="E1050" s="60" t="str">
        <f>[1]!'4111.TW-Price'</f>
        <v>--</v>
      </c>
    </row>
    <row r="1051" spans="1:5">
      <c r="A1051" s="120">
        <v>4114</v>
      </c>
      <c r="B1051" s="122" t="s">
        <v>4586</v>
      </c>
      <c r="C1051" s="123" t="s">
        <v>5602</v>
      </c>
      <c r="D1051" s="120">
        <v>4114</v>
      </c>
      <c r="E1051" s="60" t="str">
        <f>[1]!'4114.TW-Price'</f>
        <v>--</v>
      </c>
    </row>
    <row r="1052" spans="1:5">
      <c r="A1052" s="120">
        <v>4116</v>
      </c>
      <c r="B1052" s="122" t="s">
        <v>4587</v>
      </c>
      <c r="C1052" s="123" t="s">
        <v>5602</v>
      </c>
      <c r="D1052" s="120">
        <v>4116</v>
      </c>
      <c r="E1052" s="60" t="str">
        <f>[1]!'4116.TW-Price'</f>
        <v>--</v>
      </c>
    </row>
    <row r="1053" spans="1:5">
      <c r="A1053" s="120">
        <v>4120</v>
      </c>
      <c r="B1053" s="122" t="s">
        <v>4588</v>
      </c>
      <c r="C1053" s="123" t="s">
        <v>5602</v>
      </c>
      <c r="D1053" s="120">
        <v>4120</v>
      </c>
      <c r="E1053" s="60" t="str">
        <f>[1]!'4120.TW-Price'</f>
        <v>--</v>
      </c>
    </row>
    <row r="1054" spans="1:5">
      <c r="A1054" s="120">
        <v>4121</v>
      </c>
      <c r="B1054" s="122" t="s">
        <v>42</v>
      </c>
      <c r="C1054" s="123" t="s">
        <v>5602</v>
      </c>
      <c r="D1054" s="120">
        <v>4121</v>
      </c>
      <c r="E1054" s="60" t="str">
        <f>[1]!'4121.TW-Price'</f>
        <v>--</v>
      </c>
    </row>
    <row r="1055" spans="1:5">
      <c r="A1055" s="120">
        <v>4123</v>
      </c>
      <c r="B1055" s="122" t="s">
        <v>4589</v>
      </c>
      <c r="C1055" s="123" t="s">
        <v>5602</v>
      </c>
      <c r="D1055" s="120">
        <v>4123</v>
      </c>
      <c r="E1055" s="60" t="str">
        <f>[1]!'4123.TW-Price'</f>
        <v>--</v>
      </c>
    </row>
    <row r="1056" spans="1:5">
      <c r="A1056" s="120">
        <v>4126</v>
      </c>
      <c r="B1056" s="122" t="s">
        <v>4590</v>
      </c>
      <c r="C1056" s="123" t="s">
        <v>5602</v>
      </c>
      <c r="D1056" s="120">
        <v>4126</v>
      </c>
      <c r="E1056" s="60" t="str">
        <f>[1]!'4126.TW-Price'</f>
        <v>--</v>
      </c>
    </row>
    <row r="1057" spans="1:5">
      <c r="A1057" s="120">
        <v>4127</v>
      </c>
      <c r="B1057" s="122" t="s">
        <v>3599</v>
      </c>
      <c r="C1057" s="123" t="s">
        <v>5602</v>
      </c>
      <c r="D1057" s="120">
        <v>4127</v>
      </c>
      <c r="E1057" s="60" t="str">
        <f>[1]!'4127.TW-Price'</f>
        <v>--</v>
      </c>
    </row>
    <row r="1058" spans="1:5">
      <c r="A1058" s="120">
        <v>4128</v>
      </c>
      <c r="B1058" s="122" t="s">
        <v>4591</v>
      </c>
      <c r="C1058" s="123" t="s">
        <v>5602</v>
      </c>
      <c r="D1058" s="120">
        <v>4128</v>
      </c>
      <c r="E1058" s="60">
        <f>[1]!'4128.TW-Price'</f>
        <v>66.099999999999994</v>
      </c>
    </row>
    <row r="1059" spans="1:5">
      <c r="A1059" s="120">
        <v>4129</v>
      </c>
      <c r="B1059" s="122" t="s">
        <v>4592</v>
      </c>
      <c r="C1059" s="123" t="s">
        <v>5602</v>
      </c>
      <c r="D1059" s="120">
        <v>4129</v>
      </c>
      <c r="E1059" s="60" t="str">
        <f>[1]!'4129.TW-Price'</f>
        <v>--</v>
      </c>
    </row>
    <row r="1060" spans="1:5">
      <c r="A1060" s="120">
        <v>4130</v>
      </c>
      <c r="B1060" s="122" t="s">
        <v>4593</v>
      </c>
      <c r="C1060" s="123" t="s">
        <v>5602</v>
      </c>
      <c r="D1060" s="120">
        <v>4130</v>
      </c>
      <c r="E1060" s="60" t="str">
        <f>[1]!'4130.TW-Price'</f>
        <v>--</v>
      </c>
    </row>
    <row r="1061" spans="1:5">
      <c r="A1061" s="120">
        <v>4131</v>
      </c>
      <c r="B1061" s="122" t="s">
        <v>4594</v>
      </c>
      <c r="C1061" s="123" t="s">
        <v>5602</v>
      </c>
      <c r="D1061" s="120">
        <v>4131</v>
      </c>
      <c r="E1061" s="60" t="str">
        <f>[1]!'4131.TW-Price'</f>
        <v>--</v>
      </c>
    </row>
    <row r="1062" spans="1:5">
      <c r="A1062" s="120">
        <v>4138</v>
      </c>
      <c r="B1062" s="122" t="s">
        <v>4595</v>
      </c>
      <c r="C1062" s="123" t="s">
        <v>5602</v>
      </c>
      <c r="D1062" s="120">
        <v>4138</v>
      </c>
      <c r="E1062" s="60" t="str">
        <f>[1]!'4138.TW-Price'</f>
        <v>--</v>
      </c>
    </row>
    <row r="1063" spans="1:5">
      <c r="A1063" s="120">
        <v>4139</v>
      </c>
      <c r="B1063" s="122" t="s">
        <v>4596</v>
      </c>
      <c r="C1063" s="123" t="s">
        <v>5603</v>
      </c>
      <c r="D1063" s="120">
        <v>4139</v>
      </c>
      <c r="E1063" s="60" t="str">
        <f>[1]!'4139.TW-Price'</f>
        <v>--</v>
      </c>
    </row>
    <row r="1064" spans="1:5">
      <c r="A1064" s="120">
        <v>4147</v>
      </c>
      <c r="B1064" s="122" t="s">
        <v>4597</v>
      </c>
      <c r="C1064" s="123" t="s">
        <v>5602</v>
      </c>
      <c r="D1064" s="120">
        <v>4147</v>
      </c>
      <c r="E1064" s="60" t="str">
        <f>[1]!'4147.TW-Price'</f>
        <v>--</v>
      </c>
    </row>
    <row r="1065" spans="1:5">
      <c r="A1065" s="120">
        <v>4153</v>
      </c>
      <c r="B1065" s="122" t="s">
        <v>4598</v>
      </c>
      <c r="C1065" s="123" t="s">
        <v>5602</v>
      </c>
      <c r="D1065" s="120">
        <v>4153</v>
      </c>
      <c r="E1065" s="60" t="str">
        <f>[1]!'4153.TW-Price'</f>
        <v>--</v>
      </c>
    </row>
    <row r="1066" spans="1:5">
      <c r="A1066" s="120">
        <v>4154</v>
      </c>
      <c r="B1066" s="122" t="s">
        <v>4599</v>
      </c>
      <c r="C1066" s="123" t="s">
        <v>5603</v>
      </c>
      <c r="D1066" s="120">
        <v>4154</v>
      </c>
      <c r="E1066" s="60" t="str">
        <f>[1]!'4154.TW-Price'</f>
        <v>--</v>
      </c>
    </row>
    <row r="1067" spans="1:5">
      <c r="A1067" s="120">
        <v>4157</v>
      </c>
      <c r="B1067" s="122" t="s">
        <v>4600</v>
      </c>
      <c r="C1067" s="123" t="s">
        <v>5603</v>
      </c>
      <c r="D1067" s="120">
        <v>4157</v>
      </c>
      <c r="E1067" s="60" t="str">
        <f>[1]!'4157.TW-Price'</f>
        <v>--</v>
      </c>
    </row>
    <row r="1068" spans="1:5">
      <c r="A1068" s="120">
        <v>4160</v>
      </c>
      <c r="B1068" s="122" t="s">
        <v>4601</v>
      </c>
      <c r="C1068" s="123" t="s">
        <v>5602</v>
      </c>
      <c r="D1068" s="120">
        <v>4160</v>
      </c>
      <c r="E1068" s="60" t="str">
        <f>[1]!'4160.TW-Price'</f>
        <v>--</v>
      </c>
    </row>
    <row r="1069" spans="1:5">
      <c r="A1069" s="120">
        <v>4161</v>
      </c>
      <c r="B1069" s="122" t="s">
        <v>4602</v>
      </c>
      <c r="C1069" s="123" t="s">
        <v>5602</v>
      </c>
      <c r="D1069" s="120">
        <v>4161</v>
      </c>
      <c r="E1069" s="60" t="str">
        <f>[1]!'4161.TW-Price'</f>
        <v>--</v>
      </c>
    </row>
    <row r="1070" spans="1:5">
      <c r="A1070" s="120">
        <v>4162</v>
      </c>
      <c r="B1070" s="122" t="s">
        <v>4603</v>
      </c>
      <c r="C1070" s="123" t="s">
        <v>5602</v>
      </c>
      <c r="D1070" s="120">
        <v>4162</v>
      </c>
      <c r="E1070" s="60" t="str">
        <f>[1]!'4162.TW-Price'</f>
        <v>--</v>
      </c>
    </row>
    <row r="1071" spans="1:5">
      <c r="A1071" s="120">
        <v>4163</v>
      </c>
      <c r="B1071" s="122" t="s">
        <v>4604</v>
      </c>
      <c r="C1071" s="123" t="s">
        <v>5602</v>
      </c>
      <c r="D1071" s="120">
        <v>4163</v>
      </c>
      <c r="E1071" s="60" t="str">
        <f>[1]!'4163.TW-Price'</f>
        <v>--</v>
      </c>
    </row>
    <row r="1072" spans="1:5">
      <c r="A1072" s="120">
        <v>4167</v>
      </c>
      <c r="B1072" s="122" t="s">
        <v>3684</v>
      </c>
      <c r="C1072" s="123" t="s">
        <v>5602</v>
      </c>
      <c r="D1072" s="120">
        <v>4167</v>
      </c>
      <c r="E1072" s="60" t="str">
        <f>[1]!'4167.TW-Price'</f>
        <v>--</v>
      </c>
    </row>
    <row r="1073" spans="1:5">
      <c r="A1073" s="120">
        <v>4168</v>
      </c>
      <c r="B1073" s="122" t="s">
        <v>4605</v>
      </c>
      <c r="C1073" s="123" t="s">
        <v>5602</v>
      </c>
      <c r="D1073" s="120">
        <v>4168</v>
      </c>
      <c r="E1073" s="60" t="str">
        <f>[1]!'4168.TW-Price'</f>
        <v>--</v>
      </c>
    </row>
    <row r="1074" spans="1:5">
      <c r="A1074" s="120">
        <v>4173</v>
      </c>
      <c r="B1074" s="122" t="s">
        <v>32</v>
      </c>
      <c r="C1074" s="123" t="s">
        <v>5602</v>
      </c>
      <c r="D1074" s="120">
        <v>4173</v>
      </c>
      <c r="E1074" s="60" t="str">
        <f>[1]!'4173.TW-Price'</f>
        <v>--</v>
      </c>
    </row>
    <row r="1075" spans="1:5">
      <c r="A1075" s="120">
        <v>4174</v>
      </c>
      <c r="B1075" s="122" t="s">
        <v>4606</v>
      </c>
      <c r="C1075" s="123" t="s">
        <v>5602</v>
      </c>
      <c r="D1075" s="120">
        <v>4174</v>
      </c>
      <c r="E1075" s="60" t="str">
        <f>[1]!'4174.TW-Price'</f>
        <v>--</v>
      </c>
    </row>
    <row r="1076" spans="1:5">
      <c r="A1076" s="120">
        <v>4175</v>
      </c>
      <c r="B1076" s="122" t="s">
        <v>4607</v>
      </c>
      <c r="C1076" s="123" t="s">
        <v>5602</v>
      </c>
      <c r="D1076" s="120">
        <v>4175</v>
      </c>
      <c r="E1076" s="60" t="str">
        <f>[1]!'4175.TW-Price'</f>
        <v>--</v>
      </c>
    </row>
    <row r="1077" spans="1:5">
      <c r="A1077" s="120">
        <v>4183</v>
      </c>
      <c r="B1077" s="122" t="s">
        <v>4608</v>
      </c>
      <c r="C1077" s="123" t="s">
        <v>5602</v>
      </c>
      <c r="D1077" s="120">
        <v>4183</v>
      </c>
      <c r="E1077" s="60" t="str">
        <f>[1]!'4183.TW-Price'</f>
        <v>--</v>
      </c>
    </row>
    <row r="1078" spans="1:5">
      <c r="A1078" s="120">
        <v>4188</v>
      </c>
      <c r="B1078" s="122" t="s">
        <v>4609</v>
      </c>
      <c r="C1078" s="123" t="s">
        <v>5602</v>
      </c>
      <c r="D1078" s="120">
        <v>4188</v>
      </c>
      <c r="E1078" s="60" t="str">
        <f>[1]!'4188.TW-Price'</f>
        <v>--</v>
      </c>
    </row>
    <row r="1079" spans="1:5">
      <c r="A1079" s="120">
        <v>4192</v>
      </c>
      <c r="B1079" s="122" t="s">
        <v>3600</v>
      </c>
      <c r="C1079" s="123" t="s">
        <v>5602</v>
      </c>
      <c r="D1079" s="120">
        <v>4192</v>
      </c>
      <c r="E1079" s="60" t="str">
        <f>[1]!'4192.TW-Price'</f>
        <v>--</v>
      </c>
    </row>
    <row r="1080" spans="1:5">
      <c r="A1080" s="120">
        <v>4198</v>
      </c>
      <c r="B1080" s="122" t="s">
        <v>4610</v>
      </c>
      <c r="C1080" s="123" t="s">
        <v>5602</v>
      </c>
      <c r="D1080" s="120">
        <v>4198</v>
      </c>
      <c r="E1080" s="60" t="str">
        <f>[1]!'4198.TW-Price'</f>
        <v>--</v>
      </c>
    </row>
    <row r="1081" spans="1:5">
      <c r="A1081" s="120">
        <v>4726</v>
      </c>
      <c r="B1081" s="122" t="s">
        <v>37</v>
      </c>
      <c r="C1081" s="123" t="s">
        <v>5602</v>
      </c>
      <c r="D1081" s="120">
        <v>4726</v>
      </c>
      <c r="E1081" s="60" t="str">
        <f>[1]!'4726.TW-Price'</f>
        <v>--</v>
      </c>
    </row>
    <row r="1082" spans="1:5">
      <c r="A1082" s="120">
        <v>4728</v>
      </c>
      <c r="B1082" s="122" t="s">
        <v>4611</v>
      </c>
      <c r="C1082" s="123" t="s">
        <v>5602</v>
      </c>
      <c r="D1082" s="120">
        <v>4728</v>
      </c>
      <c r="E1082" s="60" t="str">
        <f>[1]!'4728.TW-Price'</f>
        <v>--</v>
      </c>
    </row>
    <row r="1083" spans="1:5">
      <c r="A1083" s="120">
        <v>4735</v>
      </c>
      <c r="B1083" s="122" t="s">
        <v>3622</v>
      </c>
      <c r="C1083" s="123" t="s">
        <v>5602</v>
      </c>
      <c r="D1083" s="120">
        <v>4735</v>
      </c>
      <c r="E1083" s="60" t="str">
        <f>[1]!'4735.TW-Price'</f>
        <v>--</v>
      </c>
    </row>
    <row r="1084" spans="1:5">
      <c r="A1084" s="120">
        <v>4736</v>
      </c>
      <c r="B1084" s="122" t="s">
        <v>4612</v>
      </c>
      <c r="C1084" s="123" t="s">
        <v>5602</v>
      </c>
      <c r="D1084" s="120">
        <v>4736</v>
      </c>
      <c r="E1084" s="60" t="str">
        <f>[1]!'4736.TW-Price'</f>
        <v>--</v>
      </c>
    </row>
    <row r="1085" spans="1:5">
      <c r="A1085" s="120">
        <v>4743</v>
      </c>
      <c r="B1085" s="122" t="s">
        <v>4613</v>
      </c>
      <c r="C1085" s="123" t="s">
        <v>5602</v>
      </c>
      <c r="D1085" s="120">
        <v>4743</v>
      </c>
      <c r="E1085" s="60">
        <f>[1]!'4743.TW-Price'</f>
        <v>300</v>
      </c>
    </row>
    <row r="1086" spans="1:5">
      <c r="A1086" s="120">
        <v>4744</v>
      </c>
      <c r="B1086" s="122" t="s">
        <v>4614</v>
      </c>
      <c r="C1086" s="123" t="s">
        <v>5602</v>
      </c>
      <c r="D1086" s="120">
        <v>4744</v>
      </c>
      <c r="E1086" s="60" t="str">
        <f>[1]!'4744.TW-Price'</f>
        <v>--</v>
      </c>
    </row>
    <row r="1087" spans="1:5">
      <c r="A1087" s="120">
        <v>4745</v>
      </c>
      <c r="B1087" s="122" t="s">
        <v>4615</v>
      </c>
      <c r="C1087" s="123" t="s">
        <v>5603</v>
      </c>
      <c r="D1087" s="120">
        <v>4745</v>
      </c>
      <c r="E1087" s="60" t="str">
        <f>[1]!'4745.TW-Price'</f>
        <v>--</v>
      </c>
    </row>
    <row r="1088" spans="1:5">
      <c r="A1088" s="120">
        <v>4747</v>
      </c>
      <c r="B1088" s="122" t="s">
        <v>4616</v>
      </c>
      <c r="C1088" s="123" t="s">
        <v>5602</v>
      </c>
      <c r="D1088" s="120">
        <v>4747</v>
      </c>
      <c r="E1088" s="60" t="str">
        <f>[1]!'4747.TW-Price'</f>
        <v>--</v>
      </c>
    </row>
    <row r="1089" spans="1:5">
      <c r="A1089" s="120">
        <v>4911</v>
      </c>
      <c r="B1089" s="122" t="s">
        <v>4617</v>
      </c>
      <c r="C1089" s="123" t="s">
        <v>5602</v>
      </c>
      <c r="D1089" s="120">
        <v>4911</v>
      </c>
      <c r="E1089" s="60" t="str">
        <f>[1]!'4911.TW-Price'</f>
        <v>--</v>
      </c>
    </row>
    <row r="1090" spans="1:5">
      <c r="A1090" s="120">
        <v>5312</v>
      </c>
      <c r="B1090" s="122" t="s">
        <v>4618</v>
      </c>
      <c r="C1090" s="123" t="s">
        <v>5602</v>
      </c>
      <c r="D1090" s="120">
        <v>5312</v>
      </c>
      <c r="E1090" s="60" t="str">
        <f>[1]!'5312.TW-Price'</f>
        <v>--</v>
      </c>
    </row>
    <row r="1091" spans="1:5">
      <c r="A1091" s="120">
        <v>6130</v>
      </c>
      <c r="B1091" s="122" t="s">
        <v>4619</v>
      </c>
      <c r="C1091" s="123" t="s">
        <v>5602</v>
      </c>
      <c r="D1091" s="120">
        <v>6130</v>
      </c>
      <c r="E1091" s="60" t="str">
        <f>[1]!'6130.TW-Price'</f>
        <v>--</v>
      </c>
    </row>
    <row r="1092" spans="1:5">
      <c r="A1092" s="120">
        <v>6242</v>
      </c>
      <c r="B1092" s="122" t="s">
        <v>4620</v>
      </c>
      <c r="C1092" s="123" t="s">
        <v>5602</v>
      </c>
      <c r="D1092" s="120">
        <v>6242</v>
      </c>
      <c r="E1092" s="60" t="str">
        <f>[1]!'6242.TW-Price'</f>
        <v>--</v>
      </c>
    </row>
    <row r="1093" spans="1:5">
      <c r="A1093" s="120">
        <v>6446</v>
      </c>
      <c r="B1093" s="122" t="s">
        <v>4621</v>
      </c>
      <c r="C1093" s="123" t="s">
        <v>5602</v>
      </c>
      <c r="D1093" s="120">
        <v>6446</v>
      </c>
      <c r="E1093" s="60" t="str">
        <f>[1]!'6446.TW-Price'</f>
        <v>--</v>
      </c>
    </row>
    <row r="1094" spans="1:5">
      <c r="A1094" s="120">
        <v>6461</v>
      </c>
      <c r="B1094" s="122" t="s">
        <v>4622</v>
      </c>
      <c r="C1094" s="123" t="s">
        <v>5602</v>
      </c>
      <c r="D1094" s="120">
        <v>6461</v>
      </c>
      <c r="E1094" s="60" t="str">
        <f>[1]!'6461.TW-Price'</f>
        <v>--</v>
      </c>
    </row>
    <row r="1095" spans="1:5">
      <c r="A1095" s="120">
        <v>6469</v>
      </c>
      <c r="B1095" s="122" t="s">
        <v>4623</v>
      </c>
      <c r="C1095" s="123" t="s">
        <v>5602</v>
      </c>
      <c r="D1095" s="120">
        <v>6469</v>
      </c>
      <c r="E1095" s="60" t="str">
        <f>[1]!'6469.TW-Price'</f>
        <v>--</v>
      </c>
    </row>
    <row r="1096" spans="1:5">
      <c r="A1096" s="120">
        <v>6472</v>
      </c>
      <c r="B1096" s="122" t="s">
        <v>53</v>
      </c>
      <c r="C1096" s="123" t="s">
        <v>5602</v>
      </c>
      <c r="D1096" s="120">
        <v>6472</v>
      </c>
      <c r="E1096" s="60" t="str">
        <f>[1]!'6472.TW-Price'</f>
        <v>--</v>
      </c>
    </row>
    <row r="1097" spans="1:5">
      <c r="A1097" s="120">
        <v>6492</v>
      </c>
      <c r="B1097" s="122" t="s">
        <v>47</v>
      </c>
      <c r="C1097" s="123" t="s">
        <v>5602</v>
      </c>
      <c r="D1097" s="120">
        <v>6492</v>
      </c>
      <c r="E1097" s="60" t="str">
        <f>[1]!'6492.TW-Price'</f>
        <v>--</v>
      </c>
    </row>
    <row r="1098" spans="1:5">
      <c r="A1098" s="120">
        <v>6496</v>
      </c>
      <c r="B1098" s="122" t="s">
        <v>4624</v>
      </c>
      <c r="C1098" s="123" t="s">
        <v>5602</v>
      </c>
      <c r="D1098" s="120">
        <v>6496</v>
      </c>
      <c r="E1098" s="60" t="str">
        <f>[1]!'6496.TW-Price'</f>
        <v>--</v>
      </c>
    </row>
    <row r="1099" spans="1:5">
      <c r="A1099" s="120">
        <v>6499</v>
      </c>
      <c r="B1099" s="122" t="s">
        <v>4625</v>
      </c>
      <c r="C1099" s="123" t="s">
        <v>5602</v>
      </c>
      <c r="D1099" s="120">
        <v>6499</v>
      </c>
      <c r="E1099" s="60" t="str">
        <f>[1]!'6499.TW-Price'</f>
        <v>--</v>
      </c>
    </row>
    <row r="1100" spans="1:5">
      <c r="A1100" s="120">
        <v>6523</v>
      </c>
      <c r="B1100" s="122" t="s">
        <v>4626</v>
      </c>
      <c r="C1100" s="123" t="s">
        <v>5602</v>
      </c>
      <c r="D1100" s="120">
        <v>6523</v>
      </c>
      <c r="E1100" s="60" t="str">
        <f>[1]!'6523.TW-Price'</f>
        <v>--</v>
      </c>
    </row>
    <row r="1101" spans="1:5">
      <c r="A1101" s="120">
        <v>6527</v>
      </c>
      <c r="B1101" s="122" t="s">
        <v>4627</v>
      </c>
      <c r="C1101" s="123" t="s">
        <v>5602</v>
      </c>
      <c r="D1101" s="120">
        <v>6527</v>
      </c>
      <c r="E1101" s="60" t="str">
        <f>[1]!'6527.TW-Price'</f>
        <v>--</v>
      </c>
    </row>
    <row r="1102" spans="1:5">
      <c r="A1102" s="120">
        <v>6535</v>
      </c>
      <c r="B1102" s="122" t="s">
        <v>4628</v>
      </c>
      <c r="C1102" s="123" t="s">
        <v>5602</v>
      </c>
      <c r="D1102" s="120">
        <v>6535</v>
      </c>
      <c r="E1102" s="60" t="str">
        <f>[1]!'6535.TW-Price'</f>
        <v>--</v>
      </c>
    </row>
    <row r="1103" spans="1:5">
      <c r="A1103" s="120">
        <v>6547</v>
      </c>
      <c r="B1103" s="122" t="s">
        <v>45</v>
      </c>
      <c r="C1103" s="123" t="s">
        <v>5602</v>
      </c>
      <c r="D1103" s="120">
        <v>6547</v>
      </c>
      <c r="E1103" s="60" t="str">
        <f>[1]!'6547.TW-Price'</f>
        <v>--</v>
      </c>
    </row>
    <row r="1104" spans="1:5">
      <c r="A1104" s="120">
        <v>6569</v>
      </c>
      <c r="B1104" s="122" t="s">
        <v>4629</v>
      </c>
      <c r="C1104" s="123" t="s">
        <v>5602</v>
      </c>
      <c r="D1104" s="120">
        <v>6569</v>
      </c>
      <c r="E1104" s="60" t="str">
        <f>[1]!'6569.TW-Price'</f>
        <v>--</v>
      </c>
    </row>
    <row r="1105" spans="1:5">
      <c r="A1105" s="120">
        <v>6574</v>
      </c>
      <c r="B1105" s="122" t="s">
        <v>3513</v>
      </c>
      <c r="C1105" s="123" t="s">
        <v>5602</v>
      </c>
      <c r="D1105" s="120">
        <v>6574</v>
      </c>
      <c r="E1105" s="60" t="str">
        <f>[1]!'6574.TW-Price'</f>
        <v>--</v>
      </c>
    </row>
    <row r="1106" spans="1:5">
      <c r="A1106" s="120">
        <v>6576</v>
      </c>
      <c r="B1106" s="122" t="s">
        <v>4630</v>
      </c>
      <c r="C1106" s="123" t="s">
        <v>5602</v>
      </c>
      <c r="D1106" s="120">
        <v>6576</v>
      </c>
      <c r="E1106" s="60" t="str">
        <f>[1]!'6576.TW-Price'</f>
        <v>--</v>
      </c>
    </row>
    <row r="1107" spans="1:5">
      <c r="A1107" s="120">
        <v>6589</v>
      </c>
      <c r="B1107" s="122" t="s">
        <v>4631</v>
      </c>
      <c r="C1107" s="123" t="s">
        <v>5602</v>
      </c>
      <c r="D1107" s="120">
        <v>6589</v>
      </c>
      <c r="E1107" s="60" t="str">
        <f>[1]!'6589.TW-Price'</f>
        <v>--</v>
      </c>
    </row>
    <row r="1108" spans="1:5">
      <c r="A1108" s="120">
        <v>6612</v>
      </c>
      <c r="B1108" s="122" t="s">
        <v>4632</v>
      </c>
      <c r="C1108" s="123" t="s">
        <v>5602</v>
      </c>
      <c r="D1108" s="120">
        <v>6612</v>
      </c>
      <c r="E1108" s="60" t="str">
        <f>[1]!'6612.TW-Price'</f>
        <v>--</v>
      </c>
    </row>
    <row r="1109" spans="1:5">
      <c r="A1109" s="120">
        <v>6615</v>
      </c>
      <c r="B1109" s="122" t="s">
        <v>4633</v>
      </c>
      <c r="C1109" s="123" t="s">
        <v>5602</v>
      </c>
      <c r="D1109" s="120">
        <v>6615</v>
      </c>
      <c r="E1109" s="60" t="str">
        <f>[1]!'6615.TW-Price'</f>
        <v>--</v>
      </c>
    </row>
    <row r="1110" spans="1:5">
      <c r="A1110" s="120">
        <v>6649</v>
      </c>
      <c r="B1110" s="122" t="s">
        <v>4634</v>
      </c>
      <c r="C1110" s="123" t="s">
        <v>5602</v>
      </c>
      <c r="D1110" s="120">
        <v>6649</v>
      </c>
      <c r="E1110" s="60" t="str">
        <f>[1]!'6649.TW-Price'</f>
        <v>--</v>
      </c>
    </row>
    <row r="1111" spans="1:5">
      <c r="A1111" s="120">
        <v>6661</v>
      </c>
      <c r="B1111" s="122" t="s">
        <v>4635</v>
      </c>
      <c r="C1111" s="123" t="s">
        <v>5602</v>
      </c>
      <c r="D1111" s="120">
        <v>6661</v>
      </c>
      <c r="E1111" s="60" t="str">
        <f>[1]!'6661.TW-Price'</f>
        <v>--</v>
      </c>
    </row>
    <row r="1112" spans="1:5">
      <c r="A1112" s="120">
        <v>6662</v>
      </c>
      <c r="B1112" s="122" t="s">
        <v>4636</v>
      </c>
      <c r="C1112" s="123" t="s">
        <v>5602</v>
      </c>
      <c r="D1112" s="120">
        <v>6662</v>
      </c>
      <c r="E1112" s="60" t="str">
        <f>[1]!'6662.TW-Price'</f>
        <v>--</v>
      </c>
    </row>
    <row r="1113" spans="1:5">
      <c r="A1113" s="120">
        <v>6703</v>
      </c>
      <c r="B1113" s="122" t="s">
        <v>4637</v>
      </c>
      <c r="C1113" s="123" t="s">
        <v>5602</v>
      </c>
      <c r="D1113" s="120">
        <v>6703</v>
      </c>
      <c r="E1113" s="60" t="str">
        <f>[1]!'6703.TW-Price'</f>
        <v>--</v>
      </c>
    </row>
    <row r="1114" spans="1:5">
      <c r="A1114" s="120">
        <v>6712</v>
      </c>
      <c r="B1114" s="122" t="s">
        <v>4638</v>
      </c>
      <c r="C1114" s="123" t="s">
        <v>5602</v>
      </c>
      <c r="D1114" s="120">
        <v>6712</v>
      </c>
      <c r="E1114" s="60" t="str">
        <f>[1]!'6712.TW-Price'</f>
        <v>--</v>
      </c>
    </row>
    <row r="1115" spans="1:5">
      <c r="A1115" s="120">
        <v>6733</v>
      </c>
      <c r="B1115" s="122" t="s">
        <v>4639</v>
      </c>
      <c r="C1115" s="123" t="s">
        <v>5602</v>
      </c>
      <c r="D1115" s="120">
        <v>6733</v>
      </c>
      <c r="E1115" s="60" t="str">
        <f>[1]!'6733.TW-Price'</f>
        <v>--</v>
      </c>
    </row>
    <row r="1116" spans="1:5">
      <c r="A1116" s="120">
        <v>6747</v>
      </c>
      <c r="B1116" s="122" t="s">
        <v>4640</v>
      </c>
      <c r="C1116" s="123" t="s">
        <v>5602</v>
      </c>
      <c r="D1116" s="120">
        <v>6747</v>
      </c>
      <c r="E1116" s="60" t="str">
        <f>[1]!'6747.TW-Price'</f>
        <v>--</v>
      </c>
    </row>
    <row r="1117" spans="1:5">
      <c r="A1117" s="120">
        <v>6762</v>
      </c>
      <c r="B1117" s="122" t="s">
        <v>4641</v>
      </c>
      <c r="C1117" s="123" t="s">
        <v>5602</v>
      </c>
      <c r="D1117" s="120">
        <v>6762</v>
      </c>
      <c r="E1117" s="60" t="str">
        <f>[1]!'6762.TW-Price'</f>
        <v>--</v>
      </c>
    </row>
    <row r="1118" spans="1:5">
      <c r="A1118" s="120">
        <v>6767</v>
      </c>
      <c r="B1118" s="122" t="s">
        <v>4642</v>
      </c>
      <c r="C1118" s="123" t="s">
        <v>5602</v>
      </c>
      <c r="D1118" s="120">
        <v>6767</v>
      </c>
      <c r="E1118" s="60" t="str">
        <f>[1]!'6767.TW-Price'</f>
        <v>--</v>
      </c>
    </row>
    <row r="1119" spans="1:5">
      <c r="A1119" s="120">
        <v>6857</v>
      </c>
      <c r="B1119" s="122" t="s">
        <v>5536</v>
      </c>
      <c r="C1119" s="123" t="s">
        <v>5602</v>
      </c>
      <c r="D1119" s="120">
        <v>6857</v>
      </c>
      <c r="E1119" s="60" t="str">
        <f>[1]!'6857.TW-Price'</f>
        <v>--</v>
      </c>
    </row>
    <row r="1120" spans="1:5">
      <c r="A1120" s="120">
        <v>8279</v>
      </c>
      <c r="B1120" s="122" t="s">
        <v>4643</v>
      </c>
      <c r="C1120" s="123" t="s">
        <v>5602</v>
      </c>
      <c r="D1120" s="120">
        <v>8279</v>
      </c>
      <c r="E1120" s="60" t="str">
        <f>[1]!'8279.TW-Price'</f>
        <v>--</v>
      </c>
    </row>
    <row r="1121" spans="1:5">
      <c r="A1121" s="120">
        <v>8403</v>
      </c>
      <c r="B1121" s="122" t="s">
        <v>4644</v>
      </c>
      <c r="C1121" s="123" t="s">
        <v>5602</v>
      </c>
      <c r="D1121" s="120">
        <v>8403</v>
      </c>
      <c r="E1121" s="60" t="str">
        <f>[1]!'8403.TW-Price'</f>
        <v>--</v>
      </c>
    </row>
    <row r="1122" spans="1:5">
      <c r="A1122" s="120">
        <v>8406</v>
      </c>
      <c r="B1122" s="122" t="s">
        <v>4645</v>
      </c>
      <c r="C1122" s="123" t="s">
        <v>5603</v>
      </c>
      <c r="D1122" s="120">
        <v>8406</v>
      </c>
      <c r="E1122" s="60">
        <f>[1]!'8406.TW-Price'</f>
        <v>197.5</v>
      </c>
    </row>
    <row r="1123" spans="1:5">
      <c r="A1123" s="120">
        <v>8409</v>
      </c>
      <c r="B1123" s="122" t="s">
        <v>4646</v>
      </c>
      <c r="C1123" s="123" t="s">
        <v>5602</v>
      </c>
      <c r="D1123" s="120">
        <v>8409</v>
      </c>
      <c r="E1123" s="60" t="str">
        <f>[1]!'8409.TW-Price'</f>
        <v>--</v>
      </c>
    </row>
    <row r="1124" spans="1:5">
      <c r="A1124" s="120">
        <v>8432</v>
      </c>
      <c r="B1124" s="122" t="s">
        <v>4647</v>
      </c>
      <c r="C1124" s="123" t="s">
        <v>5602</v>
      </c>
      <c r="D1124" s="120">
        <v>8432</v>
      </c>
      <c r="E1124" s="60" t="str">
        <f>[1]!'8432.TW-Price'</f>
        <v>--</v>
      </c>
    </row>
    <row r="1125" spans="1:5">
      <c r="A1125" s="120">
        <v>8436</v>
      </c>
      <c r="B1125" s="122" t="s">
        <v>3677</v>
      </c>
      <c r="C1125" s="123" t="s">
        <v>5602</v>
      </c>
      <c r="D1125" s="120">
        <v>8436</v>
      </c>
      <c r="E1125" s="60" t="str">
        <f>[1]!'8436.TW-Price'</f>
        <v>--</v>
      </c>
    </row>
    <row r="1126" spans="1:5">
      <c r="A1126" s="120">
        <v>2035</v>
      </c>
      <c r="B1126" s="122" t="s">
        <v>4648</v>
      </c>
      <c r="C1126" s="123" t="s">
        <v>5604</v>
      </c>
      <c r="D1126" s="120">
        <v>2035</v>
      </c>
      <c r="E1126" s="60" t="str">
        <f>[1]!'2035.TW-Price'</f>
        <v>--</v>
      </c>
    </row>
    <row r="1127" spans="1:5">
      <c r="A1127" s="120">
        <v>2063</v>
      </c>
      <c r="B1127" s="122" t="s">
        <v>4649</v>
      </c>
      <c r="C1127" s="123" t="s">
        <v>5604</v>
      </c>
      <c r="D1127" s="120">
        <v>2063</v>
      </c>
      <c r="E1127" s="60" t="str">
        <f>[1]!'2063.TW-Price'</f>
        <v>--</v>
      </c>
    </row>
    <row r="1128" spans="1:5">
      <c r="A1128" s="120">
        <v>2064</v>
      </c>
      <c r="B1128" s="122" t="s">
        <v>4650</v>
      </c>
      <c r="C1128" s="123" t="s">
        <v>5604</v>
      </c>
      <c r="D1128" s="120">
        <v>2064</v>
      </c>
      <c r="E1128" s="60" t="str">
        <f>[1]!'2064.TW-Price'</f>
        <v>--</v>
      </c>
    </row>
    <row r="1129" spans="1:5">
      <c r="A1129" s="120">
        <v>2065</v>
      </c>
      <c r="B1129" s="122" t="s">
        <v>4651</v>
      </c>
      <c r="C1129" s="123" t="s">
        <v>5604</v>
      </c>
      <c r="D1129" s="120">
        <v>2065</v>
      </c>
      <c r="E1129" s="60" t="str">
        <f>[1]!'2065.TW-Price'</f>
        <v>--</v>
      </c>
    </row>
    <row r="1130" spans="1:5">
      <c r="A1130" s="120">
        <v>5009</v>
      </c>
      <c r="B1130" s="122" t="s">
        <v>3627</v>
      </c>
      <c r="C1130" s="123" t="s">
        <v>5604</v>
      </c>
      <c r="D1130" s="120">
        <v>5009</v>
      </c>
      <c r="E1130" s="60" t="str">
        <f>[1]!'5009.TW-Price'</f>
        <v>--</v>
      </c>
    </row>
    <row r="1131" spans="1:5">
      <c r="A1131" s="120">
        <v>5011</v>
      </c>
      <c r="B1131" s="122" t="s">
        <v>4652</v>
      </c>
      <c r="C1131" s="123" t="s">
        <v>5604</v>
      </c>
      <c r="D1131" s="120">
        <v>5011</v>
      </c>
      <c r="E1131" s="60" t="str">
        <f>[1]!'5011.TW-Price'</f>
        <v>--</v>
      </c>
    </row>
    <row r="1132" spans="1:5">
      <c r="A1132" s="120">
        <v>5013</v>
      </c>
      <c r="B1132" s="122" t="s">
        <v>4653</v>
      </c>
      <c r="C1132" s="123" t="s">
        <v>5604</v>
      </c>
      <c r="D1132" s="120">
        <v>5013</v>
      </c>
      <c r="E1132" s="60" t="str">
        <f>[1]!'5013.TW-Price'</f>
        <v>--</v>
      </c>
    </row>
    <row r="1133" spans="1:5">
      <c r="A1133" s="120">
        <v>5014</v>
      </c>
      <c r="B1133" s="122" t="s">
        <v>3581</v>
      </c>
      <c r="C1133" s="123" t="s">
        <v>5604</v>
      </c>
      <c r="D1133" s="120">
        <v>5014</v>
      </c>
      <c r="E1133" s="60">
        <f>[1]!'5014.TW-Price'</f>
        <v>22</v>
      </c>
    </row>
    <row r="1134" spans="1:5">
      <c r="A1134" s="120">
        <v>5015</v>
      </c>
      <c r="B1134" s="122" t="s">
        <v>4654</v>
      </c>
      <c r="C1134" s="123" t="s">
        <v>5604</v>
      </c>
      <c r="D1134" s="120">
        <v>5015</v>
      </c>
      <c r="E1134" s="60" t="str">
        <f>[1]!'5015.TW-Price'</f>
        <v>--</v>
      </c>
    </row>
    <row r="1135" spans="1:5">
      <c r="A1135" s="120">
        <v>5016</v>
      </c>
      <c r="B1135" s="122" t="s">
        <v>4655</v>
      </c>
      <c r="C1135" s="123" t="s">
        <v>5604</v>
      </c>
      <c r="D1135" s="120">
        <v>5016</v>
      </c>
      <c r="E1135" s="60" t="str">
        <f>[1]!'5016.TW-Price'</f>
        <v>--</v>
      </c>
    </row>
    <row r="1136" spans="1:5">
      <c r="A1136" s="120">
        <v>6248</v>
      </c>
      <c r="B1136" s="122" t="s">
        <v>4656</v>
      </c>
      <c r="C1136" s="123" t="s">
        <v>5604</v>
      </c>
      <c r="D1136" s="120">
        <v>6248</v>
      </c>
      <c r="E1136" s="60" t="str">
        <f>[1]!'6248.TW-Price'</f>
        <v>--</v>
      </c>
    </row>
    <row r="1137" spans="1:5">
      <c r="A1137" s="120">
        <v>8349</v>
      </c>
      <c r="B1137" s="122" t="s">
        <v>4657</v>
      </c>
      <c r="C1137" s="123" t="s">
        <v>5604</v>
      </c>
      <c r="D1137" s="120">
        <v>8349</v>
      </c>
      <c r="E1137" s="60" t="str">
        <f>[1]!'8349.TW-Price'</f>
        <v>--</v>
      </c>
    </row>
    <row r="1138" spans="1:5">
      <c r="A1138" s="120">
        <v>8415</v>
      </c>
      <c r="B1138" s="122" t="s">
        <v>3656</v>
      </c>
      <c r="C1138" s="123" t="s">
        <v>5604</v>
      </c>
      <c r="D1138" s="120">
        <v>8415</v>
      </c>
      <c r="E1138" s="60" t="str">
        <f>[1]!'8415.TW-Price'</f>
        <v>--</v>
      </c>
    </row>
    <row r="1139" spans="1:5">
      <c r="A1139" s="120">
        <v>8930</v>
      </c>
      <c r="B1139" s="122" t="s">
        <v>4658</v>
      </c>
      <c r="C1139" s="123" t="s">
        <v>5604</v>
      </c>
      <c r="D1139" s="120">
        <v>8930</v>
      </c>
      <c r="E1139" s="60" t="str">
        <f>[1]!'8930.TW-Price'</f>
        <v>--</v>
      </c>
    </row>
    <row r="1140" spans="1:5">
      <c r="A1140" s="120">
        <v>9962</v>
      </c>
      <c r="B1140" s="122" t="s">
        <v>4659</v>
      </c>
      <c r="C1140" s="123" t="s">
        <v>5604</v>
      </c>
      <c r="D1140" s="120">
        <v>9962</v>
      </c>
      <c r="E1140" s="60" t="str">
        <f>[1]!'9962.TW-Price'</f>
        <v>--</v>
      </c>
    </row>
    <row r="1141" spans="1:5">
      <c r="A1141" s="120">
        <v>5102</v>
      </c>
      <c r="B1141" s="122" t="s">
        <v>4660</v>
      </c>
      <c r="C1141" s="123" t="s">
        <v>5605</v>
      </c>
      <c r="D1141" s="120">
        <v>5102</v>
      </c>
      <c r="E1141" s="60" t="str">
        <f>[1]!'5102.TW-Price'</f>
        <v>--</v>
      </c>
    </row>
    <row r="1142" spans="1:5">
      <c r="A1142" s="120">
        <v>3073</v>
      </c>
      <c r="B1142" s="122" t="s">
        <v>4661</v>
      </c>
      <c r="C1142" s="123" t="s">
        <v>5606</v>
      </c>
      <c r="D1142" s="120">
        <v>3073</v>
      </c>
      <c r="E1142" s="60" t="str">
        <f>[1]!'3073.TW-Price'</f>
        <v>--</v>
      </c>
    </row>
    <row r="1143" spans="1:5">
      <c r="A1143" s="120">
        <v>3105</v>
      </c>
      <c r="B1143" s="122" t="s">
        <v>3618</v>
      </c>
      <c r="C1143" s="123" t="s">
        <v>5606</v>
      </c>
      <c r="D1143" s="120">
        <v>3105</v>
      </c>
      <c r="E1143" s="60" t="str">
        <f>[1]!'3105.TW-Price'</f>
        <v>--</v>
      </c>
    </row>
    <row r="1144" spans="1:5">
      <c r="A1144" s="120">
        <v>3122</v>
      </c>
      <c r="B1144" s="122" t="s">
        <v>3607</v>
      </c>
      <c r="C1144" s="123" t="s">
        <v>5606</v>
      </c>
      <c r="D1144" s="120">
        <v>3122</v>
      </c>
      <c r="E1144" s="60" t="str">
        <f>[1]!'3122.TW-Price'</f>
        <v>--</v>
      </c>
    </row>
    <row r="1145" spans="1:5">
      <c r="A1145" s="120">
        <v>3141</v>
      </c>
      <c r="B1145" s="122" t="s">
        <v>4662</v>
      </c>
      <c r="C1145" s="123" t="s">
        <v>5606</v>
      </c>
      <c r="D1145" s="120">
        <v>3141</v>
      </c>
      <c r="E1145" s="60">
        <f>[1]!'3141.TW-Price'</f>
        <v>259.5</v>
      </c>
    </row>
    <row r="1146" spans="1:5">
      <c r="A1146" s="120">
        <v>3169</v>
      </c>
      <c r="B1146" s="122" t="s">
        <v>3609</v>
      </c>
      <c r="C1146" s="123" t="s">
        <v>5606</v>
      </c>
      <c r="D1146" s="120">
        <v>3169</v>
      </c>
      <c r="E1146" s="60" t="str">
        <f>[1]!'3169.TW-Price'</f>
        <v>--</v>
      </c>
    </row>
    <row r="1147" spans="1:5">
      <c r="A1147" s="120">
        <v>3227</v>
      </c>
      <c r="B1147" s="122" t="s">
        <v>4663</v>
      </c>
      <c r="C1147" s="123" t="s">
        <v>5606</v>
      </c>
      <c r="D1147" s="120">
        <v>3227</v>
      </c>
      <c r="E1147" s="60" t="str">
        <f>[1]!'3227.TW-Price'</f>
        <v>--</v>
      </c>
    </row>
    <row r="1148" spans="1:5">
      <c r="A1148" s="120">
        <v>3228</v>
      </c>
      <c r="B1148" s="122" t="s">
        <v>3518</v>
      </c>
      <c r="C1148" s="123" t="s">
        <v>5606</v>
      </c>
      <c r="D1148" s="120">
        <v>3228</v>
      </c>
      <c r="E1148" s="60" t="str">
        <f>[1]!'3228.TW-Price'</f>
        <v>--</v>
      </c>
    </row>
    <row r="1149" spans="1:5">
      <c r="A1149" s="120">
        <v>3259</v>
      </c>
      <c r="B1149" s="122" t="s">
        <v>4664</v>
      </c>
      <c r="C1149" s="123" t="s">
        <v>5606</v>
      </c>
      <c r="D1149" s="120">
        <v>3259</v>
      </c>
      <c r="E1149" s="60" t="str">
        <f>[1]!'3259.TW-Price'</f>
        <v>--</v>
      </c>
    </row>
    <row r="1150" spans="1:5">
      <c r="A1150" s="120">
        <v>3260</v>
      </c>
      <c r="B1150" s="122" t="s">
        <v>4665</v>
      </c>
      <c r="C1150" s="123" t="s">
        <v>5606</v>
      </c>
      <c r="D1150" s="120">
        <v>3260</v>
      </c>
      <c r="E1150" s="60">
        <f>[1]!'3260.TW-Price'</f>
        <v>92.7</v>
      </c>
    </row>
    <row r="1151" spans="1:5">
      <c r="A1151" s="120">
        <v>3264</v>
      </c>
      <c r="B1151" s="122" t="s">
        <v>4666</v>
      </c>
      <c r="C1151" s="123" t="s">
        <v>5606</v>
      </c>
      <c r="D1151" s="120">
        <v>3264</v>
      </c>
      <c r="E1151" s="60" t="str">
        <f>[1]!'3264.TW-Price'</f>
        <v>--</v>
      </c>
    </row>
    <row r="1152" spans="1:5">
      <c r="A1152" s="120">
        <v>3265</v>
      </c>
      <c r="B1152" s="122" t="s">
        <v>4667</v>
      </c>
      <c r="C1152" s="123" t="s">
        <v>5606</v>
      </c>
      <c r="D1152" s="120">
        <v>3265</v>
      </c>
      <c r="E1152" s="60" t="str">
        <f>[1]!'3265.TW-Price'</f>
        <v>--</v>
      </c>
    </row>
    <row r="1153" spans="1:5">
      <c r="A1153" s="120">
        <v>3268</v>
      </c>
      <c r="B1153" s="122" t="s">
        <v>4668</v>
      </c>
      <c r="C1153" s="123" t="s">
        <v>5606</v>
      </c>
      <c r="D1153" s="120">
        <v>3268</v>
      </c>
      <c r="E1153" s="60" t="str">
        <f>[1]!'3268.TW-Price'</f>
        <v>--</v>
      </c>
    </row>
    <row r="1154" spans="1:5">
      <c r="A1154" s="120">
        <v>3317</v>
      </c>
      <c r="B1154" s="122" t="s">
        <v>4669</v>
      </c>
      <c r="C1154" s="123" t="s">
        <v>5606</v>
      </c>
      <c r="D1154" s="120">
        <v>3317</v>
      </c>
      <c r="E1154" s="60" t="str">
        <f>[1]!'3317.TW-Price'</f>
        <v>--</v>
      </c>
    </row>
    <row r="1155" spans="1:5">
      <c r="A1155" s="120">
        <v>3372</v>
      </c>
      <c r="B1155" s="122" t="s">
        <v>4670</v>
      </c>
      <c r="C1155" s="123" t="s">
        <v>5606</v>
      </c>
      <c r="D1155" s="120">
        <v>3372</v>
      </c>
      <c r="E1155" s="60" t="str">
        <f>[1]!'3372.TW-Price'</f>
        <v>--</v>
      </c>
    </row>
    <row r="1156" spans="1:5">
      <c r="A1156" s="120">
        <v>3374</v>
      </c>
      <c r="B1156" s="122" t="s">
        <v>4671</v>
      </c>
      <c r="C1156" s="123" t="s">
        <v>5606</v>
      </c>
      <c r="D1156" s="120">
        <v>3374</v>
      </c>
      <c r="E1156" s="60">
        <f>[1]!'3374.TW-Price'</f>
        <v>138.5</v>
      </c>
    </row>
    <row r="1157" spans="1:5">
      <c r="A1157" s="120">
        <v>3438</v>
      </c>
      <c r="B1157" s="122" t="s">
        <v>4672</v>
      </c>
      <c r="C1157" s="123" t="s">
        <v>5606</v>
      </c>
      <c r="D1157" s="120">
        <v>3438</v>
      </c>
      <c r="E1157" s="60" t="str">
        <f>[1]!'3438.TW-Price'</f>
        <v>--</v>
      </c>
    </row>
    <row r="1158" spans="1:5">
      <c r="A1158" s="120">
        <v>3527</v>
      </c>
      <c r="B1158" s="122" t="s">
        <v>4673</v>
      </c>
      <c r="C1158" s="123" t="s">
        <v>5606</v>
      </c>
      <c r="D1158" s="120">
        <v>3527</v>
      </c>
      <c r="E1158" s="60" t="str">
        <f>[1]!'3527.TW-Price'</f>
        <v>--</v>
      </c>
    </row>
    <row r="1159" spans="1:5">
      <c r="A1159" s="120">
        <v>3529</v>
      </c>
      <c r="B1159" s="122" t="s">
        <v>4674</v>
      </c>
      <c r="C1159" s="123" t="s">
        <v>5606</v>
      </c>
      <c r="D1159" s="120">
        <v>3529</v>
      </c>
      <c r="E1159" s="60" t="str">
        <f>[1]!'3529.TW-Price'</f>
        <v>--</v>
      </c>
    </row>
    <row r="1160" spans="1:5">
      <c r="A1160" s="120">
        <v>3555</v>
      </c>
      <c r="B1160" s="122" t="s">
        <v>4675</v>
      </c>
      <c r="C1160" s="123" t="s">
        <v>5606</v>
      </c>
      <c r="D1160" s="120">
        <v>3555</v>
      </c>
      <c r="E1160" s="60" t="str">
        <f>[1]!'3555.TW-Price'</f>
        <v>--</v>
      </c>
    </row>
    <row r="1161" spans="1:5">
      <c r="A1161" s="120">
        <v>3556</v>
      </c>
      <c r="B1161" s="122" t="s">
        <v>4676</v>
      </c>
      <c r="C1161" s="123" t="s">
        <v>5606</v>
      </c>
      <c r="D1161" s="120">
        <v>3556</v>
      </c>
      <c r="E1161" s="60" t="str">
        <f>[1]!'3556.TW-Price'</f>
        <v>--</v>
      </c>
    </row>
    <row r="1162" spans="1:5">
      <c r="A1162" s="120">
        <v>3567</v>
      </c>
      <c r="B1162" s="122" t="s">
        <v>4677</v>
      </c>
      <c r="C1162" s="123" t="s">
        <v>5606</v>
      </c>
      <c r="D1162" s="120">
        <v>3567</v>
      </c>
      <c r="E1162" s="60" t="str">
        <f>[1]!'3567.TW-Price'</f>
        <v>--</v>
      </c>
    </row>
    <row r="1163" spans="1:5">
      <c r="A1163" s="120">
        <v>3581</v>
      </c>
      <c r="B1163" s="122" t="s">
        <v>4678</v>
      </c>
      <c r="C1163" s="123" t="s">
        <v>5606</v>
      </c>
      <c r="D1163" s="120">
        <v>3581</v>
      </c>
      <c r="E1163" s="60">
        <f>[1]!'3581.TW-Price'</f>
        <v>27.7</v>
      </c>
    </row>
    <row r="1164" spans="1:5">
      <c r="A1164" s="120">
        <v>3675</v>
      </c>
      <c r="B1164" s="122" t="s">
        <v>4679</v>
      </c>
      <c r="C1164" s="123" t="s">
        <v>5606</v>
      </c>
      <c r="D1164" s="120">
        <v>3675</v>
      </c>
      <c r="E1164" s="60" t="str">
        <f>[1]!'3675.TW-Price'</f>
        <v>--</v>
      </c>
    </row>
    <row r="1165" spans="1:5">
      <c r="A1165" s="120">
        <v>3680</v>
      </c>
      <c r="B1165" s="122" t="s">
        <v>4680</v>
      </c>
      <c r="C1165" s="123" t="s">
        <v>5606</v>
      </c>
      <c r="D1165" s="120">
        <v>3680</v>
      </c>
      <c r="E1165" s="60" t="str">
        <f>[1]!'3680.TW-Price'</f>
        <v>--</v>
      </c>
    </row>
    <row r="1166" spans="1:5">
      <c r="A1166" s="120">
        <v>3707</v>
      </c>
      <c r="B1166" s="122" t="s">
        <v>3626</v>
      </c>
      <c r="C1166" s="123" t="s">
        <v>5606</v>
      </c>
      <c r="D1166" s="120">
        <v>3707</v>
      </c>
      <c r="E1166" s="60" t="str">
        <f>[1]!'3707.TW-Price'</f>
        <v>--</v>
      </c>
    </row>
    <row r="1167" spans="1:5">
      <c r="A1167" s="120">
        <v>4945</v>
      </c>
      <c r="B1167" s="122" t="s">
        <v>4681</v>
      </c>
      <c r="C1167" s="123" t="s">
        <v>5606</v>
      </c>
      <c r="D1167" s="120">
        <v>4945</v>
      </c>
      <c r="E1167" s="60" t="str">
        <f>[1]!'4945.TW-Price'</f>
        <v>--</v>
      </c>
    </row>
    <row r="1168" spans="1:5">
      <c r="A1168" s="120">
        <v>4966</v>
      </c>
      <c r="B1168" s="122" t="s">
        <v>4682</v>
      </c>
      <c r="C1168" s="123" t="s">
        <v>5607</v>
      </c>
      <c r="D1168" s="120">
        <v>4966</v>
      </c>
      <c r="E1168" s="60" t="str">
        <f>[1]!'4966.TW-Price'</f>
        <v>--</v>
      </c>
    </row>
    <row r="1169" spans="1:5">
      <c r="A1169" s="120">
        <v>4971</v>
      </c>
      <c r="B1169" s="122" t="s">
        <v>2169</v>
      </c>
      <c r="C1169" s="123" t="s">
        <v>5607</v>
      </c>
      <c r="D1169" s="120">
        <v>4971</v>
      </c>
      <c r="E1169" s="60" t="str">
        <f>[1]!'4971.TW-Price'</f>
        <v>--</v>
      </c>
    </row>
    <row r="1170" spans="1:5">
      <c r="A1170" s="120">
        <v>4973</v>
      </c>
      <c r="B1170" s="122" t="s">
        <v>4683</v>
      </c>
      <c r="C1170" s="123" t="s">
        <v>5606</v>
      </c>
      <c r="D1170" s="120">
        <v>4973</v>
      </c>
      <c r="E1170" s="60" t="str">
        <f>[1]!'4973.TW-Price'</f>
        <v>--</v>
      </c>
    </row>
    <row r="1171" spans="1:5">
      <c r="A1171" s="120">
        <v>4991</v>
      </c>
      <c r="B1171" s="122" t="s">
        <v>4684</v>
      </c>
      <c r="C1171" s="123" t="s">
        <v>5607</v>
      </c>
      <c r="D1171" s="120">
        <v>4991</v>
      </c>
      <c r="E1171" s="60" t="str">
        <f>[1]!'4991.TW-Price'</f>
        <v>--</v>
      </c>
    </row>
    <row r="1172" spans="1:5">
      <c r="A1172" s="120">
        <v>5236</v>
      </c>
      <c r="B1172" s="122" t="s">
        <v>5304</v>
      </c>
      <c r="C1172" s="123" t="s">
        <v>5606</v>
      </c>
      <c r="D1172" s="120">
        <v>5236</v>
      </c>
      <c r="E1172" s="60" t="str">
        <f>[1]!'5236.TW-Price'</f>
        <v>--</v>
      </c>
    </row>
    <row r="1173" spans="1:5">
      <c r="A1173" s="120">
        <v>5272</v>
      </c>
      <c r="B1173" s="122" t="s">
        <v>3601</v>
      </c>
      <c r="C1173" s="123" t="s">
        <v>5606</v>
      </c>
      <c r="D1173" s="120">
        <v>5272</v>
      </c>
      <c r="E1173" s="60" t="str">
        <f>[1]!'5272.TW-Price'</f>
        <v>--</v>
      </c>
    </row>
    <row r="1174" spans="1:5">
      <c r="A1174" s="120">
        <v>5274</v>
      </c>
      <c r="B1174" s="122" t="s">
        <v>4685</v>
      </c>
      <c r="C1174" s="123" t="s">
        <v>5606</v>
      </c>
      <c r="D1174" s="120">
        <v>5274</v>
      </c>
      <c r="E1174" s="60" t="str">
        <f>[1]!'5274.TW-Price'</f>
        <v>--</v>
      </c>
    </row>
    <row r="1175" spans="1:5">
      <c r="A1175" s="120">
        <v>5299</v>
      </c>
      <c r="B1175" s="122" t="s">
        <v>3511</v>
      </c>
      <c r="C1175" s="123" t="s">
        <v>5606</v>
      </c>
      <c r="D1175" s="120">
        <v>5299</v>
      </c>
      <c r="E1175" s="60" t="str">
        <f>[1]!'5299.TW-Price'</f>
        <v>--</v>
      </c>
    </row>
    <row r="1176" spans="1:5">
      <c r="A1176" s="120">
        <v>5302</v>
      </c>
      <c r="B1176" s="122" t="s">
        <v>4686</v>
      </c>
      <c r="C1176" s="123" t="s">
        <v>5606</v>
      </c>
      <c r="D1176" s="120">
        <v>5302</v>
      </c>
      <c r="E1176" s="60" t="str">
        <f>[1]!'5302.TW-Price'</f>
        <v>--</v>
      </c>
    </row>
    <row r="1177" spans="1:5">
      <c r="A1177" s="120">
        <v>5314</v>
      </c>
      <c r="B1177" s="122" t="s">
        <v>4687</v>
      </c>
      <c r="C1177" s="123" t="s">
        <v>5606</v>
      </c>
      <c r="D1177" s="120">
        <v>5314</v>
      </c>
      <c r="E1177" s="60" t="str">
        <f>[1]!'5314.TW-Price'</f>
        <v>--</v>
      </c>
    </row>
    <row r="1178" spans="1:5">
      <c r="A1178" s="120">
        <v>5344</v>
      </c>
      <c r="B1178" s="122" t="s">
        <v>4688</v>
      </c>
      <c r="C1178" s="123" t="s">
        <v>5606</v>
      </c>
      <c r="D1178" s="120">
        <v>5344</v>
      </c>
      <c r="E1178" s="60" t="str">
        <f>[1]!'5344.TW-Price'</f>
        <v>--</v>
      </c>
    </row>
    <row r="1179" spans="1:5">
      <c r="A1179" s="120">
        <v>5347</v>
      </c>
      <c r="B1179" s="122" t="s">
        <v>4689</v>
      </c>
      <c r="C1179" s="123" t="s">
        <v>5606</v>
      </c>
      <c r="D1179" s="120">
        <v>5347</v>
      </c>
      <c r="E1179" s="60" t="str">
        <f>[1]!'5347.TW-Price'</f>
        <v>--</v>
      </c>
    </row>
    <row r="1180" spans="1:5">
      <c r="A1180" s="120">
        <v>5351</v>
      </c>
      <c r="B1180" s="122" t="s">
        <v>4690</v>
      </c>
      <c r="C1180" s="123" t="s">
        <v>5606</v>
      </c>
      <c r="D1180" s="120">
        <v>5351</v>
      </c>
      <c r="E1180" s="60">
        <f>[1]!'5351.TW-Price'</f>
        <v>88.8</v>
      </c>
    </row>
    <row r="1181" spans="1:5">
      <c r="A1181" s="120">
        <v>5425</v>
      </c>
      <c r="B1181" s="122" t="s">
        <v>4691</v>
      </c>
      <c r="C1181" s="123" t="s">
        <v>5606</v>
      </c>
      <c r="D1181" s="120">
        <v>5425</v>
      </c>
      <c r="E1181" s="60" t="str">
        <f>[1]!'5425.TW-Price'</f>
        <v>--</v>
      </c>
    </row>
    <row r="1182" spans="1:5">
      <c r="A1182" s="120">
        <v>5468</v>
      </c>
      <c r="B1182" s="122" t="s">
        <v>4692</v>
      </c>
      <c r="C1182" s="123" t="s">
        <v>5606</v>
      </c>
      <c r="D1182" s="120">
        <v>5468</v>
      </c>
      <c r="E1182" s="60" t="str">
        <f>[1]!'5468.TW-Price'</f>
        <v>--</v>
      </c>
    </row>
    <row r="1183" spans="1:5">
      <c r="A1183" s="120">
        <v>5483</v>
      </c>
      <c r="B1183" s="122" t="s">
        <v>4693</v>
      </c>
      <c r="C1183" s="123" t="s">
        <v>5606</v>
      </c>
      <c r="D1183" s="120">
        <v>5483</v>
      </c>
      <c r="E1183" s="60" t="str">
        <f>[1]!'5483.TW-Price'</f>
        <v>--</v>
      </c>
    </row>
    <row r="1184" spans="1:5">
      <c r="A1184" s="120">
        <v>5487</v>
      </c>
      <c r="B1184" s="122" t="s">
        <v>4694</v>
      </c>
      <c r="C1184" s="123" t="s">
        <v>5606</v>
      </c>
      <c r="D1184" s="120">
        <v>5487</v>
      </c>
      <c r="E1184" s="60" t="str">
        <f>[1]!'5487.TW-Price'</f>
        <v>--</v>
      </c>
    </row>
    <row r="1185" spans="1:5">
      <c r="A1185" s="120">
        <v>6103</v>
      </c>
      <c r="B1185" s="122" t="s">
        <v>4695</v>
      </c>
      <c r="C1185" s="123" t="s">
        <v>5606</v>
      </c>
      <c r="D1185" s="120">
        <v>6103</v>
      </c>
      <c r="E1185" s="60" t="str">
        <f>[1]!'6103.TW-Price'</f>
        <v>--</v>
      </c>
    </row>
    <row r="1186" spans="1:5">
      <c r="A1186" s="120">
        <v>6104</v>
      </c>
      <c r="B1186" s="122" t="s">
        <v>3630</v>
      </c>
      <c r="C1186" s="123" t="s">
        <v>5606</v>
      </c>
      <c r="D1186" s="120">
        <v>6104</v>
      </c>
      <c r="E1186" s="60">
        <f>[1]!'6104.TW-Price'</f>
        <v>189.5</v>
      </c>
    </row>
    <row r="1187" spans="1:5">
      <c r="A1187" s="120">
        <v>6129</v>
      </c>
      <c r="B1187" s="122" t="s">
        <v>4696</v>
      </c>
      <c r="C1187" s="123" t="s">
        <v>5606</v>
      </c>
      <c r="D1187" s="120">
        <v>6129</v>
      </c>
      <c r="E1187" s="60" t="str">
        <f>[1]!'6129.TW-Price'</f>
        <v>--</v>
      </c>
    </row>
    <row r="1188" spans="1:5">
      <c r="A1188" s="120">
        <v>6138</v>
      </c>
      <c r="B1188" s="122" t="s">
        <v>4697</v>
      </c>
      <c r="C1188" s="123" t="s">
        <v>5606</v>
      </c>
      <c r="D1188" s="120">
        <v>6138</v>
      </c>
      <c r="E1188" s="60" t="str">
        <f>[1]!'6138.TW-Price'</f>
        <v>--</v>
      </c>
    </row>
    <row r="1189" spans="1:5">
      <c r="A1189" s="120">
        <v>6147</v>
      </c>
      <c r="B1189" s="122" t="s">
        <v>4698</v>
      </c>
      <c r="C1189" s="123" t="s">
        <v>5606</v>
      </c>
      <c r="D1189" s="120">
        <v>6147</v>
      </c>
      <c r="E1189" s="60" t="str">
        <f>[1]!'6147.TW-Price'</f>
        <v>--</v>
      </c>
    </row>
    <row r="1190" spans="1:5">
      <c r="A1190" s="120">
        <v>6182</v>
      </c>
      <c r="B1190" s="122" t="s">
        <v>4699</v>
      </c>
      <c r="C1190" s="123" t="s">
        <v>5606</v>
      </c>
      <c r="D1190" s="120">
        <v>6182</v>
      </c>
      <c r="E1190" s="60">
        <f>[1]!'6182.TW-Price'</f>
        <v>76.400000000000006</v>
      </c>
    </row>
    <row r="1191" spans="1:5">
      <c r="A1191" s="120">
        <v>6198</v>
      </c>
      <c r="B1191" s="122" t="s">
        <v>4700</v>
      </c>
      <c r="C1191" s="123" t="s">
        <v>5606</v>
      </c>
      <c r="D1191" s="120">
        <v>6198</v>
      </c>
      <c r="E1191" s="60" t="str">
        <f>[1]!'6198.TW-Price'</f>
        <v>--</v>
      </c>
    </row>
    <row r="1192" spans="1:5">
      <c r="A1192" s="120">
        <v>6223</v>
      </c>
      <c r="B1192" s="122" t="s">
        <v>4701</v>
      </c>
      <c r="C1192" s="123" t="s">
        <v>5606</v>
      </c>
      <c r="D1192" s="120">
        <v>6223</v>
      </c>
      <c r="E1192" s="60" t="str">
        <f>[1]!'6223.TW-Price'</f>
        <v>--</v>
      </c>
    </row>
    <row r="1193" spans="1:5">
      <c r="A1193" s="120">
        <v>6229</v>
      </c>
      <c r="B1193" s="122" t="s">
        <v>3565</v>
      </c>
      <c r="C1193" s="123" t="s">
        <v>5606</v>
      </c>
      <c r="D1193" s="120">
        <v>6229</v>
      </c>
      <c r="E1193" s="60" t="str">
        <f>[1]!'6229.TW-Price'</f>
        <v>--</v>
      </c>
    </row>
    <row r="1194" spans="1:5">
      <c r="A1194" s="120">
        <v>6233</v>
      </c>
      <c r="B1194" s="122" t="s">
        <v>4702</v>
      </c>
      <c r="C1194" s="123" t="s">
        <v>5606</v>
      </c>
      <c r="D1194" s="120">
        <v>6233</v>
      </c>
      <c r="E1194" s="60" t="str">
        <f>[1]!'6233.TW-Price'</f>
        <v>--</v>
      </c>
    </row>
    <row r="1195" spans="1:5">
      <c r="A1195" s="120">
        <v>6237</v>
      </c>
      <c r="B1195" s="122" t="s">
        <v>3672</v>
      </c>
      <c r="C1195" s="123" t="s">
        <v>5606</v>
      </c>
      <c r="D1195" s="120">
        <v>6237</v>
      </c>
      <c r="E1195" s="60">
        <f>[1]!'6237.TW-Price'</f>
        <v>110</v>
      </c>
    </row>
    <row r="1196" spans="1:5">
      <c r="A1196" s="120">
        <v>6261</v>
      </c>
      <c r="B1196" s="122" t="s">
        <v>4703</v>
      </c>
      <c r="C1196" s="123" t="s">
        <v>5606</v>
      </c>
      <c r="D1196" s="120">
        <v>6261</v>
      </c>
      <c r="E1196" s="60">
        <f>[1]!'6261.TW-Price'</f>
        <v>93.6</v>
      </c>
    </row>
    <row r="1197" spans="1:5">
      <c r="A1197" s="120">
        <v>6287</v>
      </c>
      <c r="B1197" s="122" t="s">
        <v>4704</v>
      </c>
      <c r="C1197" s="123" t="s">
        <v>5606</v>
      </c>
      <c r="D1197" s="120">
        <v>6287</v>
      </c>
      <c r="E1197" s="60" t="str">
        <f>[1]!'6287.TW-Price'</f>
        <v>--</v>
      </c>
    </row>
    <row r="1198" spans="1:5">
      <c r="A1198" s="120">
        <v>6291</v>
      </c>
      <c r="B1198" s="122" t="s">
        <v>4705</v>
      </c>
      <c r="C1198" s="123" t="s">
        <v>5606</v>
      </c>
      <c r="D1198" s="120">
        <v>6291</v>
      </c>
      <c r="E1198" s="60" t="str">
        <f>[1]!'6291.TW-Price'</f>
        <v>--</v>
      </c>
    </row>
    <row r="1199" spans="1:5">
      <c r="A1199" s="120">
        <v>6411</v>
      </c>
      <c r="B1199" s="122" t="s">
        <v>4706</v>
      </c>
      <c r="C1199" s="123" t="s">
        <v>5606</v>
      </c>
      <c r="D1199" s="120">
        <v>6411</v>
      </c>
      <c r="E1199" s="60">
        <f>[1]!'6411.TW-Price'</f>
        <v>263</v>
      </c>
    </row>
    <row r="1200" spans="1:5">
      <c r="A1200" s="120">
        <v>6435</v>
      </c>
      <c r="B1200" s="122" t="s">
        <v>4707</v>
      </c>
      <c r="C1200" s="123" t="s">
        <v>5606</v>
      </c>
      <c r="D1200" s="120">
        <v>6435</v>
      </c>
      <c r="E1200" s="60" t="str">
        <f>[1]!'6435.TW-Price'</f>
        <v>--</v>
      </c>
    </row>
    <row r="1201" spans="1:5">
      <c r="A1201" s="120">
        <v>6457</v>
      </c>
      <c r="B1201" s="122" t="s">
        <v>4708</v>
      </c>
      <c r="C1201" s="123" t="s">
        <v>5606</v>
      </c>
      <c r="D1201" s="120">
        <v>6457</v>
      </c>
      <c r="E1201" s="60" t="str">
        <f>[1]!'6457.TW-Price'</f>
        <v>--</v>
      </c>
    </row>
    <row r="1202" spans="1:5">
      <c r="A1202" s="120">
        <v>6462</v>
      </c>
      <c r="B1202" s="122" t="s">
        <v>4709</v>
      </c>
      <c r="C1202" s="123" t="s">
        <v>5606</v>
      </c>
      <c r="D1202" s="120">
        <v>6462</v>
      </c>
      <c r="E1202" s="60" t="str">
        <f>[1]!'6462.TW-Price'</f>
        <v>--</v>
      </c>
    </row>
    <row r="1203" spans="1:5">
      <c r="A1203" s="120">
        <v>6485</v>
      </c>
      <c r="B1203" s="122" t="s">
        <v>4710</v>
      </c>
      <c r="C1203" s="123" t="s">
        <v>5606</v>
      </c>
      <c r="D1203" s="120">
        <v>6485</v>
      </c>
      <c r="E1203" s="60" t="str">
        <f>[1]!'6485.TW-Price'</f>
        <v>--</v>
      </c>
    </row>
    <row r="1204" spans="1:5">
      <c r="A1204" s="120">
        <v>6488</v>
      </c>
      <c r="B1204" s="122" t="s">
        <v>3520</v>
      </c>
      <c r="C1204" s="123" t="s">
        <v>5606</v>
      </c>
      <c r="D1204" s="120">
        <v>6488</v>
      </c>
      <c r="E1204" s="60" t="str">
        <f>[1]!'6488.TW-Price'</f>
        <v>--</v>
      </c>
    </row>
    <row r="1205" spans="1:5">
      <c r="A1205" s="120">
        <v>6494</v>
      </c>
      <c r="B1205" s="122" t="s">
        <v>4711</v>
      </c>
      <c r="C1205" s="123" t="s">
        <v>5606</v>
      </c>
      <c r="D1205" s="120">
        <v>6494</v>
      </c>
      <c r="E1205" s="60" t="str">
        <f>[1]!'6494.TW-Price'</f>
        <v>--</v>
      </c>
    </row>
    <row r="1206" spans="1:5">
      <c r="A1206" s="120">
        <v>6510</v>
      </c>
      <c r="B1206" s="122" t="s">
        <v>4712</v>
      </c>
      <c r="C1206" s="123" t="s">
        <v>5606</v>
      </c>
      <c r="D1206" s="120">
        <v>6510</v>
      </c>
      <c r="E1206" s="60" t="str">
        <f>[1]!'6510.TW-Price'</f>
        <v>--</v>
      </c>
    </row>
    <row r="1207" spans="1:5">
      <c r="A1207" s="120">
        <v>6532</v>
      </c>
      <c r="B1207" s="122" t="s">
        <v>4713</v>
      </c>
      <c r="C1207" s="123" t="s">
        <v>5606</v>
      </c>
      <c r="D1207" s="120">
        <v>6532</v>
      </c>
      <c r="E1207" s="60" t="str">
        <f>[1]!'6532.TW-Price'</f>
        <v>--</v>
      </c>
    </row>
    <row r="1208" spans="1:5">
      <c r="A1208" s="120">
        <v>6548</v>
      </c>
      <c r="B1208" s="122" t="s">
        <v>4714</v>
      </c>
      <c r="C1208" s="123" t="s">
        <v>5606</v>
      </c>
      <c r="D1208" s="120">
        <v>6548</v>
      </c>
      <c r="E1208" s="60" t="str">
        <f>[1]!'6548.TW-Price'</f>
        <v>--</v>
      </c>
    </row>
    <row r="1209" spans="1:5">
      <c r="A1209" s="120">
        <v>6568</v>
      </c>
      <c r="B1209" s="122" t="s">
        <v>4715</v>
      </c>
      <c r="C1209" s="123" t="s">
        <v>5606</v>
      </c>
      <c r="D1209" s="120">
        <v>6568</v>
      </c>
      <c r="E1209" s="60" t="str">
        <f>[1]!'6568.TW-Price'</f>
        <v>--</v>
      </c>
    </row>
    <row r="1210" spans="1:5">
      <c r="A1210" s="120">
        <v>6594</v>
      </c>
      <c r="B1210" s="122" t="s">
        <v>4716</v>
      </c>
      <c r="C1210" s="123" t="s">
        <v>5606</v>
      </c>
      <c r="D1210" s="120">
        <v>6594</v>
      </c>
      <c r="E1210" s="60" t="str">
        <f>[1]!'6594.TW-Price'</f>
        <v>--</v>
      </c>
    </row>
    <row r="1211" spans="1:5">
      <c r="A1211" s="120">
        <v>6640</v>
      </c>
      <c r="B1211" s="122" t="s">
        <v>4717</v>
      </c>
      <c r="C1211" s="123" t="s">
        <v>5606</v>
      </c>
      <c r="D1211" s="120">
        <v>6640</v>
      </c>
      <c r="E1211" s="60" t="str">
        <f>[1]!'6640.TW-Price'</f>
        <v>--</v>
      </c>
    </row>
    <row r="1212" spans="1:5">
      <c r="A1212" s="120">
        <v>6643</v>
      </c>
      <c r="B1212" s="122" t="s">
        <v>2877</v>
      </c>
      <c r="C1212" s="123" t="s">
        <v>5606</v>
      </c>
      <c r="D1212" s="120">
        <v>6643</v>
      </c>
      <c r="E1212" s="60" t="str">
        <f>[1]!'6643.TW-Price'</f>
        <v>--</v>
      </c>
    </row>
    <row r="1213" spans="1:5">
      <c r="A1213" s="120">
        <v>6651</v>
      </c>
      <c r="B1213" s="122" t="s">
        <v>4718</v>
      </c>
      <c r="C1213" s="123" t="s">
        <v>5606</v>
      </c>
      <c r="D1213" s="120">
        <v>6651</v>
      </c>
      <c r="E1213" s="60" t="str">
        <f>[1]!'6651.TW-Price'</f>
        <v>--</v>
      </c>
    </row>
    <row r="1214" spans="1:5">
      <c r="A1214" s="120">
        <v>6679</v>
      </c>
      <c r="B1214" s="122" t="s">
        <v>3606</v>
      </c>
      <c r="C1214" s="123" t="s">
        <v>5606</v>
      </c>
      <c r="D1214" s="120">
        <v>6679</v>
      </c>
      <c r="E1214" s="60" t="str">
        <f>[1]!'6679.TW-Price'</f>
        <v>--</v>
      </c>
    </row>
    <row r="1215" spans="1:5">
      <c r="A1215" s="120">
        <v>6683</v>
      </c>
      <c r="B1215" s="122" t="s">
        <v>4719</v>
      </c>
      <c r="C1215" s="123" t="s">
        <v>5606</v>
      </c>
      <c r="D1215" s="120">
        <v>6683</v>
      </c>
      <c r="E1215" s="60" t="str">
        <f>[1]!'6683.TW-Price'</f>
        <v>--</v>
      </c>
    </row>
    <row r="1216" spans="1:5">
      <c r="A1216" s="120">
        <v>6684</v>
      </c>
      <c r="B1216" s="122" t="s">
        <v>5309</v>
      </c>
      <c r="C1216" s="123" t="s">
        <v>5606</v>
      </c>
      <c r="D1216" s="120">
        <v>6684</v>
      </c>
      <c r="E1216" s="60" t="str">
        <f>[1]!'6684.TW-Price'</f>
        <v>--</v>
      </c>
    </row>
    <row r="1217" spans="1:5">
      <c r="A1217" s="120">
        <v>6716</v>
      </c>
      <c r="B1217" s="122" t="s">
        <v>4720</v>
      </c>
      <c r="C1217" s="123" t="s">
        <v>5606</v>
      </c>
      <c r="D1217" s="120">
        <v>6716</v>
      </c>
      <c r="E1217" s="60" t="str">
        <f>[1]!'6716.TW-Price'</f>
        <v>--</v>
      </c>
    </row>
    <row r="1218" spans="1:5">
      <c r="A1218" s="120">
        <v>6732</v>
      </c>
      <c r="B1218" s="122" t="s">
        <v>4721</v>
      </c>
      <c r="C1218" s="123" t="s">
        <v>5606</v>
      </c>
      <c r="D1218" s="120">
        <v>6732</v>
      </c>
      <c r="E1218" s="60" t="str">
        <f>[1]!'6732.TW-Price'</f>
        <v>--</v>
      </c>
    </row>
    <row r="1219" spans="1:5">
      <c r="A1219" s="120">
        <v>6788</v>
      </c>
      <c r="B1219" s="122" t="s">
        <v>5318</v>
      </c>
      <c r="C1219" s="123" t="s">
        <v>5606</v>
      </c>
      <c r="D1219" s="120">
        <v>6788</v>
      </c>
      <c r="E1219" s="60">
        <f>[1]!'6788.TW-Price'</f>
        <v>235</v>
      </c>
    </row>
    <row r="1220" spans="1:5">
      <c r="A1220" s="120">
        <v>7556</v>
      </c>
      <c r="B1220" s="122" t="s">
        <v>4722</v>
      </c>
      <c r="C1220" s="123" t="s">
        <v>5606</v>
      </c>
      <c r="D1220" s="120">
        <v>7556</v>
      </c>
      <c r="E1220" s="60" t="str">
        <f>[1]!'7556.TW-Price'</f>
        <v>--</v>
      </c>
    </row>
    <row r="1221" spans="1:5">
      <c r="A1221" s="120">
        <v>8024</v>
      </c>
      <c r="B1221" s="122" t="s">
        <v>4723</v>
      </c>
      <c r="C1221" s="123" t="s">
        <v>5606</v>
      </c>
      <c r="D1221" s="120">
        <v>8024</v>
      </c>
      <c r="E1221" s="60">
        <f>[1]!'8024.TW-Price'</f>
        <v>27.5</v>
      </c>
    </row>
    <row r="1222" spans="1:5">
      <c r="A1222" s="120">
        <v>8040</v>
      </c>
      <c r="B1222" s="122" t="s">
        <v>4724</v>
      </c>
      <c r="C1222" s="123" t="s">
        <v>5606</v>
      </c>
      <c r="D1222" s="120">
        <v>8040</v>
      </c>
      <c r="E1222" s="60" t="str">
        <f>[1]!'8040.TW-Price'</f>
        <v>--</v>
      </c>
    </row>
    <row r="1223" spans="1:5">
      <c r="A1223" s="120">
        <v>8054</v>
      </c>
      <c r="B1223" s="122" t="s">
        <v>4725</v>
      </c>
      <c r="C1223" s="123" t="s">
        <v>5606</v>
      </c>
      <c r="D1223" s="120">
        <v>8054</v>
      </c>
      <c r="E1223" s="60" t="str">
        <f>[1]!'8054.TW-Price'</f>
        <v>--</v>
      </c>
    </row>
    <row r="1224" spans="1:5">
      <c r="A1224" s="120">
        <v>8086</v>
      </c>
      <c r="B1224" s="122" t="s">
        <v>4726</v>
      </c>
      <c r="C1224" s="123" t="s">
        <v>5606</v>
      </c>
      <c r="D1224" s="120">
        <v>8086</v>
      </c>
      <c r="E1224" s="60">
        <f>[1]!'8086.TW-Price'</f>
        <v>150.5</v>
      </c>
    </row>
    <row r="1225" spans="1:5">
      <c r="A1225" s="120">
        <v>8088</v>
      </c>
      <c r="B1225" s="122" t="s">
        <v>4727</v>
      </c>
      <c r="C1225" s="123" t="s">
        <v>5606</v>
      </c>
      <c r="D1225" s="120">
        <v>8088</v>
      </c>
      <c r="E1225" s="60">
        <f>[1]!'8088.TW-Price'</f>
        <v>26</v>
      </c>
    </row>
    <row r="1226" spans="1:5">
      <c r="A1226" s="120">
        <v>8277</v>
      </c>
      <c r="B1226" s="122" t="s">
        <v>3617</v>
      </c>
      <c r="C1226" s="123" t="s">
        <v>5606</v>
      </c>
      <c r="D1226" s="120">
        <v>8277</v>
      </c>
      <c r="E1226" s="60">
        <f>[1]!'8277.TW-Price'</f>
        <v>12.75</v>
      </c>
    </row>
    <row r="1227" spans="1:5">
      <c r="A1227" s="120">
        <v>8299</v>
      </c>
      <c r="B1227" s="122" t="s">
        <v>4728</v>
      </c>
      <c r="C1227" s="123" t="s">
        <v>5606</v>
      </c>
      <c r="D1227" s="120">
        <v>8299</v>
      </c>
      <c r="E1227" s="60" t="str">
        <f>[1]!'8299.TW-Price'</f>
        <v>--</v>
      </c>
    </row>
    <row r="1228" spans="1:5">
      <c r="A1228" s="120">
        <v>1569</v>
      </c>
      <c r="B1228" s="122" t="s">
        <v>4729</v>
      </c>
      <c r="C1228" s="123" t="s">
        <v>5608</v>
      </c>
      <c r="D1228" s="120">
        <v>1569</v>
      </c>
      <c r="E1228" s="60" t="str">
        <f>[1]!'1569.TW-Price'</f>
        <v>--</v>
      </c>
    </row>
    <row r="1229" spans="1:5">
      <c r="A1229" s="120">
        <v>3071</v>
      </c>
      <c r="B1229" s="122" t="s">
        <v>4730</v>
      </c>
      <c r="C1229" s="123" t="s">
        <v>5608</v>
      </c>
      <c r="D1229" s="120">
        <v>3071</v>
      </c>
      <c r="E1229" s="60" t="str">
        <f>[1]!'3071.TW-Price'</f>
        <v>--</v>
      </c>
    </row>
    <row r="1230" spans="1:5">
      <c r="A1230" s="120">
        <v>3088</v>
      </c>
      <c r="B1230" s="122" t="s">
        <v>4731</v>
      </c>
      <c r="C1230" s="123" t="s">
        <v>5608</v>
      </c>
      <c r="D1230" s="120">
        <v>3088</v>
      </c>
      <c r="E1230" s="60" t="str">
        <f>[1]!'3088.TW-Price'</f>
        <v>--</v>
      </c>
    </row>
    <row r="1231" spans="1:5">
      <c r="A1231" s="120">
        <v>3211</v>
      </c>
      <c r="B1231" s="122" t="s">
        <v>4732</v>
      </c>
      <c r="C1231" s="123" t="s">
        <v>5608</v>
      </c>
      <c r="D1231" s="120">
        <v>3211</v>
      </c>
      <c r="E1231" s="60">
        <f>[1]!'3211.TW-Price'</f>
        <v>98.1</v>
      </c>
    </row>
    <row r="1232" spans="1:5">
      <c r="A1232" s="120">
        <v>3213</v>
      </c>
      <c r="B1232" s="122" t="s">
        <v>4733</v>
      </c>
      <c r="C1232" s="123" t="s">
        <v>5608</v>
      </c>
      <c r="D1232" s="120">
        <v>3213</v>
      </c>
      <c r="E1232" s="60" t="str">
        <f>[1]!'3213.TW-Price'</f>
        <v>--</v>
      </c>
    </row>
    <row r="1233" spans="1:5">
      <c r="A1233" s="120">
        <v>3272</v>
      </c>
      <c r="B1233" s="122" t="s">
        <v>4734</v>
      </c>
      <c r="C1233" s="123" t="s">
        <v>5608</v>
      </c>
      <c r="D1233" s="120">
        <v>3272</v>
      </c>
      <c r="E1233" s="60" t="str">
        <f>[1]!'3272.TW-Price'</f>
        <v>--</v>
      </c>
    </row>
    <row r="1234" spans="1:5">
      <c r="A1234" s="120">
        <v>3287</v>
      </c>
      <c r="B1234" s="122" t="s">
        <v>4735</v>
      </c>
      <c r="C1234" s="123" t="s">
        <v>5608</v>
      </c>
      <c r="D1234" s="120">
        <v>3287</v>
      </c>
      <c r="E1234" s="60" t="str">
        <f>[1]!'3287.TW-Price'</f>
        <v>--</v>
      </c>
    </row>
    <row r="1235" spans="1:5">
      <c r="A1235" s="120">
        <v>3323</v>
      </c>
      <c r="B1235" s="122" t="s">
        <v>4736</v>
      </c>
      <c r="C1235" s="123" t="s">
        <v>5608</v>
      </c>
      <c r="D1235" s="120">
        <v>3323</v>
      </c>
      <c r="E1235" s="60" t="str">
        <f>[1]!'3323.TW-Price'</f>
        <v>--</v>
      </c>
    </row>
    <row r="1236" spans="1:5">
      <c r="A1236" s="120">
        <v>3325</v>
      </c>
      <c r="B1236" s="122" t="s">
        <v>4737</v>
      </c>
      <c r="C1236" s="123" t="s">
        <v>5608</v>
      </c>
      <c r="D1236" s="120">
        <v>3325</v>
      </c>
      <c r="E1236" s="60" t="str">
        <f>[1]!'3325.TW-Price'</f>
        <v>--</v>
      </c>
    </row>
    <row r="1237" spans="1:5">
      <c r="A1237" s="120">
        <v>3479</v>
      </c>
      <c r="B1237" s="122" t="s">
        <v>4738</v>
      </c>
      <c r="C1237" s="123" t="s">
        <v>5608</v>
      </c>
      <c r="D1237" s="120">
        <v>3479</v>
      </c>
      <c r="E1237" s="60" t="str">
        <f>[1]!'3479.TW-Price'</f>
        <v>--</v>
      </c>
    </row>
    <row r="1238" spans="1:5">
      <c r="A1238" s="120">
        <v>3483</v>
      </c>
      <c r="B1238" s="122" t="s">
        <v>4739</v>
      </c>
      <c r="C1238" s="123" t="s">
        <v>5608</v>
      </c>
      <c r="D1238" s="120">
        <v>3483</v>
      </c>
      <c r="E1238" s="60">
        <f>[1]!'3483.TW-Price'</f>
        <v>97.6</v>
      </c>
    </row>
    <row r="1239" spans="1:5">
      <c r="A1239" s="120">
        <v>3521</v>
      </c>
      <c r="B1239" s="122" t="s">
        <v>4740</v>
      </c>
      <c r="C1239" s="123" t="s">
        <v>5608</v>
      </c>
      <c r="D1239" s="120">
        <v>3521</v>
      </c>
      <c r="E1239" s="60" t="str">
        <f>[1]!'3521.TW-Price'</f>
        <v>--</v>
      </c>
    </row>
    <row r="1240" spans="1:5">
      <c r="A1240" s="120">
        <v>3540</v>
      </c>
      <c r="B1240" s="122" t="s">
        <v>4741</v>
      </c>
      <c r="C1240" s="123" t="s">
        <v>5608</v>
      </c>
      <c r="D1240" s="120">
        <v>3540</v>
      </c>
      <c r="E1240" s="60" t="str">
        <f>[1]!'3540.TW-Price'</f>
        <v>--</v>
      </c>
    </row>
    <row r="1241" spans="1:5">
      <c r="A1241" s="120">
        <v>3577</v>
      </c>
      <c r="B1241" s="122" t="s">
        <v>4742</v>
      </c>
      <c r="C1241" s="123" t="s">
        <v>5608</v>
      </c>
      <c r="D1241" s="120">
        <v>3577</v>
      </c>
      <c r="E1241" s="60" t="str">
        <f>[1]!'3577.TW-Price'</f>
        <v>--</v>
      </c>
    </row>
    <row r="1242" spans="1:5">
      <c r="A1242" s="120">
        <v>3594</v>
      </c>
      <c r="B1242" s="122" t="s">
        <v>4743</v>
      </c>
      <c r="C1242" s="123" t="s">
        <v>5608</v>
      </c>
      <c r="D1242" s="120">
        <v>3594</v>
      </c>
      <c r="E1242" s="60" t="str">
        <f>[1]!'3594.TW-Price'</f>
        <v>--</v>
      </c>
    </row>
    <row r="1243" spans="1:5">
      <c r="A1243" s="120">
        <v>3611</v>
      </c>
      <c r="B1243" s="122" t="s">
        <v>4744</v>
      </c>
      <c r="C1243" s="123" t="s">
        <v>5608</v>
      </c>
      <c r="D1243" s="120">
        <v>3611</v>
      </c>
      <c r="E1243" s="60" t="str">
        <f>[1]!'3611.TW-Price'</f>
        <v>--</v>
      </c>
    </row>
    <row r="1244" spans="1:5">
      <c r="A1244" s="120">
        <v>3625</v>
      </c>
      <c r="B1244" s="122" t="s">
        <v>4745</v>
      </c>
      <c r="C1244" s="123" t="s">
        <v>5608</v>
      </c>
      <c r="D1244" s="120">
        <v>3625</v>
      </c>
      <c r="E1244" s="60">
        <f>[1]!'3625.TW-Price'</f>
        <v>23.35</v>
      </c>
    </row>
    <row r="1245" spans="1:5">
      <c r="A1245" s="120">
        <v>3652</v>
      </c>
      <c r="B1245" s="122" t="s">
        <v>4746</v>
      </c>
      <c r="C1245" s="123" t="s">
        <v>5608</v>
      </c>
      <c r="D1245" s="120">
        <v>3652</v>
      </c>
      <c r="E1245" s="60" t="str">
        <f>[1]!'3652.TW-Price'</f>
        <v>--</v>
      </c>
    </row>
    <row r="1246" spans="1:5">
      <c r="A1246" s="120">
        <v>3693</v>
      </c>
      <c r="B1246" s="122" t="s">
        <v>4747</v>
      </c>
      <c r="C1246" s="123" t="s">
        <v>5608</v>
      </c>
      <c r="D1246" s="120">
        <v>3693</v>
      </c>
      <c r="E1246" s="60" t="str">
        <f>[1]!'3693.TW-Price'</f>
        <v>--</v>
      </c>
    </row>
    <row r="1247" spans="1:5">
      <c r="A1247" s="120">
        <v>3709</v>
      </c>
      <c r="B1247" s="122" t="s">
        <v>4748</v>
      </c>
      <c r="C1247" s="123" t="s">
        <v>5608</v>
      </c>
      <c r="D1247" s="120">
        <v>3709</v>
      </c>
      <c r="E1247" s="60" t="str">
        <f>[1]!'3709.TW-Price'</f>
        <v>--</v>
      </c>
    </row>
    <row r="1248" spans="1:5">
      <c r="A1248" s="120">
        <v>4924</v>
      </c>
      <c r="B1248" s="122" t="s">
        <v>4749</v>
      </c>
      <c r="C1248" s="123" t="s">
        <v>5609</v>
      </c>
      <c r="D1248" s="120">
        <v>4924</v>
      </c>
      <c r="E1248" s="60" t="str">
        <f>[1]!'4924.TW-Price'</f>
        <v>--</v>
      </c>
    </row>
    <row r="1249" spans="1:5">
      <c r="A1249" s="120">
        <v>4931</v>
      </c>
      <c r="B1249" s="122" t="s">
        <v>4750</v>
      </c>
      <c r="C1249" s="123" t="s">
        <v>5608</v>
      </c>
      <c r="D1249" s="120">
        <v>4931</v>
      </c>
      <c r="E1249" s="60">
        <f>[1]!'4931.TW-Price'</f>
        <v>19.100000000000001</v>
      </c>
    </row>
    <row r="1250" spans="1:5">
      <c r="A1250" s="120">
        <v>4987</v>
      </c>
      <c r="B1250" s="122" t="s">
        <v>4751</v>
      </c>
      <c r="C1250" s="123" t="s">
        <v>5608</v>
      </c>
      <c r="D1250" s="120">
        <v>4987</v>
      </c>
      <c r="E1250" s="60" t="str">
        <f>[1]!'4987.TW-Price'</f>
        <v>--</v>
      </c>
    </row>
    <row r="1251" spans="1:5">
      <c r="A1251" s="120">
        <v>5223</v>
      </c>
      <c r="B1251" s="122" t="s">
        <v>4752</v>
      </c>
      <c r="C1251" s="123" t="s">
        <v>5609</v>
      </c>
      <c r="D1251" s="120">
        <v>5223</v>
      </c>
      <c r="E1251" s="60" t="str">
        <f>[1]!'5223.TW-Price'</f>
        <v>--</v>
      </c>
    </row>
    <row r="1252" spans="1:5">
      <c r="A1252" s="120">
        <v>5289</v>
      </c>
      <c r="B1252" s="122" t="s">
        <v>4753</v>
      </c>
      <c r="C1252" s="123" t="s">
        <v>5608</v>
      </c>
      <c r="D1252" s="120">
        <v>5289</v>
      </c>
      <c r="E1252" s="60" t="str">
        <f>[1]!'5289.TW-Price'</f>
        <v>--</v>
      </c>
    </row>
    <row r="1253" spans="1:5">
      <c r="A1253" s="120">
        <v>5356</v>
      </c>
      <c r="B1253" s="122" t="s">
        <v>4754</v>
      </c>
      <c r="C1253" s="123" t="s">
        <v>5608</v>
      </c>
      <c r="D1253" s="120">
        <v>5356</v>
      </c>
      <c r="E1253" s="60" t="str">
        <f>[1]!'5356.TW-Price'</f>
        <v>--</v>
      </c>
    </row>
    <row r="1254" spans="1:5">
      <c r="A1254" s="120">
        <v>5386</v>
      </c>
      <c r="B1254" s="122" t="s">
        <v>3616</v>
      </c>
      <c r="C1254" s="123" t="s">
        <v>5608</v>
      </c>
      <c r="D1254" s="120">
        <v>5386</v>
      </c>
      <c r="E1254" s="60" t="str">
        <f>[1]!'5386.TW-Price'</f>
        <v>--</v>
      </c>
    </row>
    <row r="1255" spans="1:5">
      <c r="A1255" s="120">
        <v>5426</v>
      </c>
      <c r="B1255" s="122" t="s">
        <v>4755</v>
      </c>
      <c r="C1255" s="123" t="s">
        <v>5608</v>
      </c>
      <c r="D1255" s="120">
        <v>5426</v>
      </c>
      <c r="E1255" s="60" t="str">
        <f>[1]!'5426.TW-Price'</f>
        <v>--</v>
      </c>
    </row>
    <row r="1256" spans="1:5">
      <c r="A1256" s="120">
        <v>5438</v>
      </c>
      <c r="B1256" s="122" t="s">
        <v>4756</v>
      </c>
      <c r="C1256" s="123" t="s">
        <v>5608</v>
      </c>
      <c r="D1256" s="120">
        <v>5438</v>
      </c>
      <c r="E1256" s="60" t="str">
        <f>[1]!'5438.TW-Price'</f>
        <v>--</v>
      </c>
    </row>
    <row r="1257" spans="1:5">
      <c r="A1257" s="120">
        <v>5465</v>
      </c>
      <c r="B1257" s="122" t="s">
        <v>4757</v>
      </c>
      <c r="C1257" s="123" t="s">
        <v>5608</v>
      </c>
      <c r="D1257" s="120">
        <v>5465</v>
      </c>
      <c r="E1257" s="60" t="str">
        <f>[1]!'5465.TW-Price'</f>
        <v>--</v>
      </c>
    </row>
    <row r="1258" spans="1:5">
      <c r="A1258" s="120">
        <v>5474</v>
      </c>
      <c r="B1258" s="122" t="s">
        <v>4758</v>
      </c>
      <c r="C1258" s="123" t="s">
        <v>5608</v>
      </c>
      <c r="D1258" s="120">
        <v>5474</v>
      </c>
      <c r="E1258" s="60" t="str">
        <f>[1]!'5474.TW-Price'</f>
        <v>--</v>
      </c>
    </row>
    <row r="1259" spans="1:5">
      <c r="A1259" s="120">
        <v>5490</v>
      </c>
      <c r="B1259" s="122" t="s">
        <v>4759</v>
      </c>
      <c r="C1259" s="123" t="s">
        <v>5608</v>
      </c>
      <c r="D1259" s="120">
        <v>5490</v>
      </c>
      <c r="E1259" s="60" t="str">
        <f>[1]!'5490.TW-Price'</f>
        <v>--</v>
      </c>
    </row>
    <row r="1260" spans="1:5">
      <c r="A1260" s="120">
        <v>6121</v>
      </c>
      <c r="B1260" s="122" t="s">
        <v>4760</v>
      </c>
      <c r="C1260" s="123" t="s">
        <v>5608</v>
      </c>
      <c r="D1260" s="120">
        <v>6121</v>
      </c>
      <c r="E1260" s="60" t="str">
        <f>[1]!'6121.TW-Price'</f>
        <v>--</v>
      </c>
    </row>
    <row r="1261" spans="1:5">
      <c r="A1261" s="120">
        <v>6123</v>
      </c>
      <c r="B1261" s="122" t="s">
        <v>4761</v>
      </c>
      <c r="C1261" s="123" t="s">
        <v>5608</v>
      </c>
      <c r="D1261" s="120">
        <v>6123</v>
      </c>
      <c r="E1261" s="60" t="str">
        <f>[1]!'6123.TW-Price'</f>
        <v>--</v>
      </c>
    </row>
    <row r="1262" spans="1:5">
      <c r="A1262" s="120">
        <v>6150</v>
      </c>
      <c r="B1262" s="122" t="s">
        <v>3531</v>
      </c>
      <c r="C1262" s="123" t="s">
        <v>5608</v>
      </c>
      <c r="D1262" s="120">
        <v>6150</v>
      </c>
      <c r="E1262" s="60" t="str">
        <f>[1]!'6150.TW-Price'</f>
        <v>--</v>
      </c>
    </row>
    <row r="1263" spans="1:5">
      <c r="A1263" s="120">
        <v>6160</v>
      </c>
      <c r="B1263" s="122" t="s">
        <v>4762</v>
      </c>
      <c r="C1263" s="123" t="s">
        <v>5608</v>
      </c>
      <c r="D1263" s="120">
        <v>6160</v>
      </c>
      <c r="E1263" s="60">
        <f>[1]!'6160.TW-Price'</f>
        <v>17.45</v>
      </c>
    </row>
    <row r="1264" spans="1:5">
      <c r="A1264" s="120">
        <v>6161</v>
      </c>
      <c r="B1264" s="122" t="s">
        <v>4763</v>
      </c>
      <c r="C1264" s="123" t="s">
        <v>5608</v>
      </c>
      <c r="D1264" s="120">
        <v>6161</v>
      </c>
      <c r="E1264" s="60" t="str">
        <f>[1]!'6161.TW-Price'</f>
        <v>--</v>
      </c>
    </row>
    <row r="1265" spans="1:5">
      <c r="A1265" s="120">
        <v>6188</v>
      </c>
      <c r="B1265" s="122" t="s">
        <v>4764</v>
      </c>
      <c r="C1265" s="123" t="s">
        <v>5608</v>
      </c>
      <c r="D1265" s="120">
        <v>6188</v>
      </c>
      <c r="E1265" s="60" t="str">
        <f>[1]!'6188.TW-Price'</f>
        <v>--</v>
      </c>
    </row>
    <row r="1266" spans="1:5">
      <c r="A1266" s="120">
        <v>6228</v>
      </c>
      <c r="B1266" s="122" t="s">
        <v>4765</v>
      </c>
      <c r="C1266" s="123" t="s">
        <v>5608</v>
      </c>
      <c r="D1266" s="120">
        <v>6228</v>
      </c>
      <c r="E1266" s="60" t="str">
        <f>[1]!'6228.TW-Price'</f>
        <v>--</v>
      </c>
    </row>
    <row r="1267" spans="1:5">
      <c r="A1267" s="120">
        <v>6276</v>
      </c>
      <c r="B1267" s="122" t="s">
        <v>4766</v>
      </c>
      <c r="C1267" s="123" t="s">
        <v>5608</v>
      </c>
      <c r="D1267" s="120">
        <v>6276</v>
      </c>
      <c r="E1267" s="60" t="str">
        <f>[1]!'6276.TW-Price'</f>
        <v>--</v>
      </c>
    </row>
    <row r="1268" spans="1:5">
      <c r="A1268" s="120">
        <v>6441</v>
      </c>
      <c r="B1268" s="122" t="s">
        <v>4767</v>
      </c>
      <c r="C1268" s="123" t="s">
        <v>5608</v>
      </c>
      <c r="D1268" s="120">
        <v>6441</v>
      </c>
      <c r="E1268" s="60" t="str">
        <f>[1]!'6441.TW-Price'</f>
        <v>--</v>
      </c>
    </row>
    <row r="1269" spans="1:5">
      <c r="A1269" s="120">
        <v>6570</v>
      </c>
      <c r="B1269" s="122" t="s">
        <v>4768</v>
      </c>
      <c r="C1269" s="123" t="s">
        <v>5608</v>
      </c>
      <c r="D1269" s="120">
        <v>6570</v>
      </c>
      <c r="E1269" s="60" t="str">
        <f>[1]!'6570.TW-Price'</f>
        <v>--</v>
      </c>
    </row>
    <row r="1270" spans="1:5">
      <c r="A1270" s="120">
        <v>6577</v>
      </c>
      <c r="B1270" s="122" t="s">
        <v>4769</v>
      </c>
      <c r="C1270" s="123" t="s">
        <v>5608</v>
      </c>
      <c r="D1270" s="120">
        <v>6577</v>
      </c>
      <c r="E1270" s="60" t="str">
        <f>[1]!'6577.TW-Price'</f>
        <v>--</v>
      </c>
    </row>
    <row r="1271" spans="1:5">
      <c r="A1271" s="120">
        <v>6680</v>
      </c>
      <c r="B1271" s="122" t="s">
        <v>4770</v>
      </c>
      <c r="C1271" s="123" t="s">
        <v>5608</v>
      </c>
      <c r="D1271" s="120">
        <v>6680</v>
      </c>
      <c r="E1271" s="60" t="str">
        <f>[1]!'6680.TW-Price'</f>
        <v>--</v>
      </c>
    </row>
    <row r="1272" spans="1:5">
      <c r="A1272" s="120">
        <v>8050</v>
      </c>
      <c r="B1272" s="122" t="s">
        <v>4771</v>
      </c>
      <c r="C1272" s="123" t="s">
        <v>5608</v>
      </c>
      <c r="D1272" s="120">
        <v>8050</v>
      </c>
      <c r="E1272" s="60" t="str">
        <f>[1]!'8050.TW-Price'</f>
        <v>--</v>
      </c>
    </row>
    <row r="1273" spans="1:5">
      <c r="A1273" s="120">
        <v>8076</v>
      </c>
      <c r="B1273" s="122" t="s">
        <v>4772</v>
      </c>
      <c r="C1273" s="123" t="s">
        <v>5608</v>
      </c>
      <c r="D1273" s="120">
        <v>8076</v>
      </c>
      <c r="E1273" s="60" t="str">
        <f>[1]!'8076.TW-Price'</f>
        <v>--</v>
      </c>
    </row>
    <row r="1274" spans="1:5">
      <c r="A1274" s="120">
        <v>8234</v>
      </c>
      <c r="B1274" s="122" t="s">
        <v>4773</v>
      </c>
      <c r="C1274" s="123" t="s">
        <v>5608</v>
      </c>
      <c r="D1274" s="120">
        <v>8234</v>
      </c>
      <c r="E1274" s="60" t="str">
        <f>[1]!'8234.TW-Price'</f>
        <v>--</v>
      </c>
    </row>
    <row r="1275" spans="1:5">
      <c r="A1275" s="120">
        <v>8410</v>
      </c>
      <c r="B1275" s="122" t="s">
        <v>4774</v>
      </c>
      <c r="C1275" s="123" t="s">
        <v>5608</v>
      </c>
      <c r="D1275" s="120">
        <v>8410</v>
      </c>
      <c r="E1275" s="60" t="str">
        <f>[1]!'8410.TW-Price'</f>
        <v>--</v>
      </c>
    </row>
    <row r="1276" spans="1:5">
      <c r="A1276" s="120">
        <v>3066</v>
      </c>
      <c r="B1276" s="122" t="s">
        <v>4775</v>
      </c>
      <c r="C1276" s="123" t="s">
        <v>5610</v>
      </c>
      <c r="D1276" s="120">
        <v>3066</v>
      </c>
      <c r="E1276" s="60">
        <f>[1]!'3066.TW-Price'</f>
        <v>17.75</v>
      </c>
    </row>
    <row r="1277" spans="1:5">
      <c r="A1277" s="120">
        <v>3128</v>
      </c>
      <c r="B1277" s="122" t="s">
        <v>3653</v>
      </c>
      <c r="C1277" s="123" t="s">
        <v>5610</v>
      </c>
      <c r="D1277" s="120">
        <v>3128</v>
      </c>
      <c r="E1277" s="60" t="str">
        <f>[1]!'3128.TW-Price'</f>
        <v>--</v>
      </c>
    </row>
    <row r="1278" spans="1:5">
      <c r="A1278" s="120">
        <v>3230</v>
      </c>
      <c r="B1278" s="122" t="s">
        <v>4776</v>
      </c>
      <c r="C1278" s="123" t="s">
        <v>5610</v>
      </c>
      <c r="D1278" s="120">
        <v>3230</v>
      </c>
      <c r="E1278" s="60" t="str">
        <f>[1]!'3230.TW-Price'</f>
        <v>--</v>
      </c>
    </row>
    <row r="1279" spans="1:5">
      <c r="A1279" s="120">
        <v>3297</v>
      </c>
      <c r="B1279" s="122" t="s">
        <v>4777</v>
      </c>
      <c r="C1279" s="123" t="s">
        <v>5610</v>
      </c>
      <c r="D1279" s="120">
        <v>3297</v>
      </c>
      <c r="E1279" s="60" t="str">
        <f>[1]!'3297.TW-Price'</f>
        <v>--</v>
      </c>
    </row>
    <row r="1280" spans="1:5">
      <c r="A1280" s="120">
        <v>3339</v>
      </c>
      <c r="B1280" s="122" t="s">
        <v>4778</v>
      </c>
      <c r="C1280" s="123" t="s">
        <v>5610</v>
      </c>
      <c r="D1280" s="120">
        <v>3339</v>
      </c>
      <c r="E1280" s="60" t="str">
        <f>[1]!'3339.TW-Price'</f>
        <v>--</v>
      </c>
    </row>
    <row r="1281" spans="1:5">
      <c r="A1281" s="120">
        <v>3362</v>
      </c>
      <c r="B1281" s="122" t="s">
        <v>3598</v>
      </c>
      <c r="C1281" s="123" t="s">
        <v>5610</v>
      </c>
      <c r="D1281" s="120">
        <v>3362</v>
      </c>
      <c r="E1281" s="60" t="str">
        <f>[1]!'3362.TW-Price'</f>
        <v>--</v>
      </c>
    </row>
    <row r="1282" spans="1:5">
      <c r="A1282" s="120">
        <v>3434</v>
      </c>
      <c r="B1282" s="122" t="s">
        <v>4779</v>
      </c>
      <c r="C1282" s="123" t="s">
        <v>5610</v>
      </c>
      <c r="D1282" s="120">
        <v>3434</v>
      </c>
      <c r="E1282" s="60" t="str">
        <f>[1]!'3434.TW-Price'</f>
        <v>--</v>
      </c>
    </row>
    <row r="1283" spans="1:5">
      <c r="A1283" s="120">
        <v>3441</v>
      </c>
      <c r="B1283" s="122" t="s">
        <v>4780</v>
      </c>
      <c r="C1283" s="123" t="s">
        <v>5610</v>
      </c>
      <c r="D1283" s="120">
        <v>3441</v>
      </c>
      <c r="E1283" s="60" t="str">
        <f>[1]!'3441.TW-Price'</f>
        <v>--</v>
      </c>
    </row>
    <row r="1284" spans="1:5">
      <c r="A1284" s="120">
        <v>3455</v>
      </c>
      <c r="B1284" s="122" t="s">
        <v>4781</v>
      </c>
      <c r="C1284" s="123" t="s">
        <v>5610</v>
      </c>
      <c r="D1284" s="120">
        <v>3455</v>
      </c>
      <c r="E1284" s="60" t="str">
        <f>[1]!'3455.TW-Price'</f>
        <v>--</v>
      </c>
    </row>
    <row r="1285" spans="1:5">
      <c r="A1285" s="120">
        <v>3490</v>
      </c>
      <c r="B1285" s="122" t="s">
        <v>4782</v>
      </c>
      <c r="C1285" s="123" t="s">
        <v>5610</v>
      </c>
      <c r="D1285" s="120">
        <v>3490</v>
      </c>
      <c r="E1285" s="60" t="str">
        <f>[1]!'3490.TW-Price'</f>
        <v>--</v>
      </c>
    </row>
    <row r="1286" spans="1:5">
      <c r="A1286" s="120">
        <v>3516</v>
      </c>
      <c r="B1286" s="122" t="s">
        <v>4783</v>
      </c>
      <c r="C1286" s="123" t="s">
        <v>5610</v>
      </c>
      <c r="D1286" s="120">
        <v>3516</v>
      </c>
      <c r="E1286" s="60" t="str">
        <f>[1]!'3516.TW-Price'</f>
        <v>--</v>
      </c>
    </row>
    <row r="1287" spans="1:5">
      <c r="A1287" s="120">
        <v>3523</v>
      </c>
      <c r="B1287" s="122" t="s">
        <v>4784</v>
      </c>
      <c r="C1287" s="123" t="s">
        <v>5610</v>
      </c>
      <c r="D1287" s="120">
        <v>3523</v>
      </c>
      <c r="E1287" s="60" t="str">
        <f>[1]!'3523.TW-Price'</f>
        <v>--</v>
      </c>
    </row>
    <row r="1288" spans="1:5">
      <c r="A1288" s="120">
        <v>3531</v>
      </c>
      <c r="B1288" s="122" t="s">
        <v>4785</v>
      </c>
      <c r="C1288" s="123" t="s">
        <v>5610</v>
      </c>
      <c r="D1288" s="120">
        <v>3531</v>
      </c>
      <c r="E1288" s="60" t="str">
        <f>[1]!'3531.TW-Price'</f>
        <v>--</v>
      </c>
    </row>
    <row r="1289" spans="1:5">
      <c r="A1289" s="120">
        <v>3615</v>
      </c>
      <c r="B1289" s="122" t="s">
        <v>4786</v>
      </c>
      <c r="C1289" s="123" t="s">
        <v>5610</v>
      </c>
      <c r="D1289" s="120">
        <v>3615</v>
      </c>
      <c r="E1289" s="60" t="str">
        <f>[1]!'3615.TW-Price'</f>
        <v>--</v>
      </c>
    </row>
    <row r="1290" spans="1:5">
      <c r="A1290" s="120">
        <v>3623</v>
      </c>
      <c r="B1290" s="122" t="s">
        <v>4787</v>
      </c>
      <c r="C1290" s="123" t="s">
        <v>5610</v>
      </c>
      <c r="D1290" s="120">
        <v>3623</v>
      </c>
      <c r="E1290" s="60" t="str">
        <f>[1]!'3623.TW-Price'</f>
        <v>--</v>
      </c>
    </row>
    <row r="1291" spans="1:5">
      <c r="A1291" s="120">
        <v>3630</v>
      </c>
      <c r="B1291" s="122" t="s">
        <v>4788</v>
      </c>
      <c r="C1291" s="123" t="s">
        <v>5610</v>
      </c>
      <c r="D1291" s="120">
        <v>3630</v>
      </c>
      <c r="E1291" s="60" t="str">
        <f>[1]!'3630.TW-Price'</f>
        <v>--</v>
      </c>
    </row>
    <row r="1292" spans="1:5">
      <c r="A1292" s="120">
        <v>3666</v>
      </c>
      <c r="B1292" s="122" t="s">
        <v>39</v>
      </c>
      <c r="C1292" s="123" t="s">
        <v>5610</v>
      </c>
      <c r="D1292" s="120">
        <v>3666</v>
      </c>
      <c r="E1292" s="60" t="str">
        <f>[1]!'3666.TW-Price'</f>
        <v>--</v>
      </c>
    </row>
    <row r="1293" spans="1:5">
      <c r="A1293" s="120">
        <v>3691</v>
      </c>
      <c r="B1293" s="122" t="s">
        <v>4790</v>
      </c>
      <c r="C1293" s="123" t="s">
        <v>5610</v>
      </c>
      <c r="D1293" s="120">
        <v>3691</v>
      </c>
      <c r="E1293" s="60">
        <f>[1]!'3691.TW-Price'</f>
        <v>186</v>
      </c>
    </row>
    <row r="1294" spans="1:5">
      <c r="A1294" s="120">
        <v>3713</v>
      </c>
      <c r="B1294" s="122" t="s">
        <v>4791</v>
      </c>
      <c r="C1294" s="123" t="s">
        <v>5610</v>
      </c>
      <c r="D1294" s="120">
        <v>3713</v>
      </c>
      <c r="E1294" s="60" t="str">
        <f>[1]!'3713.TW-Price'</f>
        <v>--</v>
      </c>
    </row>
    <row r="1295" spans="1:5">
      <c r="A1295" s="120">
        <v>4729</v>
      </c>
      <c r="B1295" s="122" t="s">
        <v>4792</v>
      </c>
      <c r="C1295" s="123" t="s">
        <v>5610</v>
      </c>
      <c r="D1295" s="120">
        <v>4729</v>
      </c>
      <c r="E1295" s="60" t="str">
        <f>[1]!'4729.TW-Price'</f>
        <v>--</v>
      </c>
    </row>
    <row r="1296" spans="1:5">
      <c r="A1296" s="120">
        <v>4933</v>
      </c>
      <c r="B1296" s="122" t="s">
        <v>4793</v>
      </c>
      <c r="C1296" s="123" t="s">
        <v>5610</v>
      </c>
      <c r="D1296" s="120">
        <v>4933</v>
      </c>
      <c r="E1296" s="60" t="str">
        <f>[1]!'4933.TW-Price'</f>
        <v>--</v>
      </c>
    </row>
    <row r="1297" spans="1:5">
      <c r="A1297" s="120">
        <v>4944</v>
      </c>
      <c r="B1297" s="122" t="s">
        <v>4794</v>
      </c>
      <c r="C1297" s="123" t="s">
        <v>5610</v>
      </c>
      <c r="D1297" s="120">
        <v>4944</v>
      </c>
      <c r="E1297" s="60" t="str">
        <f>[1]!'4944.TW-Price'</f>
        <v>--</v>
      </c>
    </row>
    <row r="1298" spans="1:5">
      <c r="A1298" s="120">
        <v>4972</v>
      </c>
      <c r="B1298" s="122" t="s">
        <v>4795</v>
      </c>
      <c r="C1298" s="123" t="s">
        <v>5610</v>
      </c>
      <c r="D1298" s="120">
        <v>4972</v>
      </c>
      <c r="E1298" s="60" t="str">
        <f>[1]!'4972.TW-Price'</f>
        <v>--</v>
      </c>
    </row>
    <row r="1299" spans="1:5">
      <c r="A1299" s="120">
        <v>4995</v>
      </c>
      <c r="B1299" s="122" t="s">
        <v>4796</v>
      </c>
      <c r="C1299" s="123" t="s">
        <v>5610</v>
      </c>
      <c r="D1299" s="120">
        <v>4995</v>
      </c>
      <c r="E1299" s="60" t="str">
        <f>[1]!'4995.TW-Price'</f>
        <v>--</v>
      </c>
    </row>
    <row r="1300" spans="1:5">
      <c r="A1300" s="120">
        <v>5220</v>
      </c>
      <c r="B1300" s="122" t="s">
        <v>4797</v>
      </c>
      <c r="C1300" s="123" t="s">
        <v>5610</v>
      </c>
      <c r="D1300" s="120">
        <v>5220</v>
      </c>
      <c r="E1300" s="60" t="str">
        <f>[1]!'5220.TW-Price'</f>
        <v>--</v>
      </c>
    </row>
    <row r="1301" spans="1:5">
      <c r="A1301" s="120">
        <v>5230</v>
      </c>
      <c r="B1301" s="122" t="s">
        <v>4798</v>
      </c>
      <c r="C1301" s="123" t="s">
        <v>5610</v>
      </c>
      <c r="D1301" s="120">
        <v>5230</v>
      </c>
      <c r="E1301" s="60" t="str">
        <f>[1]!'5230.TW-Price'</f>
        <v>--</v>
      </c>
    </row>
    <row r="1302" spans="1:5">
      <c r="A1302" s="120">
        <v>5245</v>
      </c>
      <c r="B1302" s="122" t="s">
        <v>4799</v>
      </c>
      <c r="C1302" s="123" t="s">
        <v>5610</v>
      </c>
      <c r="D1302" s="120">
        <v>5245</v>
      </c>
      <c r="E1302" s="60" t="str">
        <f>[1]!'5245.TW-Price'</f>
        <v>--</v>
      </c>
    </row>
    <row r="1303" spans="1:5">
      <c r="A1303" s="120">
        <v>5251</v>
      </c>
      <c r="B1303" s="122" t="s">
        <v>4800</v>
      </c>
      <c r="C1303" s="123" t="s">
        <v>5610</v>
      </c>
      <c r="D1303" s="120">
        <v>5251</v>
      </c>
      <c r="E1303" s="60" t="str">
        <f>[1]!'5251.TW-Price'</f>
        <v>--</v>
      </c>
    </row>
    <row r="1304" spans="1:5">
      <c r="A1304" s="120">
        <v>5281</v>
      </c>
      <c r="B1304" s="122" t="s">
        <v>4801</v>
      </c>
      <c r="C1304" s="123" t="s">
        <v>5611</v>
      </c>
      <c r="D1304" s="120">
        <v>5281</v>
      </c>
      <c r="E1304" s="60" t="str">
        <f>[1]!'5281.TW-Price'</f>
        <v>--</v>
      </c>
    </row>
    <row r="1305" spans="1:5">
      <c r="A1305" s="120">
        <v>5315</v>
      </c>
      <c r="B1305" s="122" t="s">
        <v>3666</v>
      </c>
      <c r="C1305" s="123" t="s">
        <v>5610</v>
      </c>
      <c r="D1305" s="120">
        <v>5315</v>
      </c>
      <c r="E1305" s="60" t="str">
        <f>[1]!'5315.TW-Price'</f>
        <v>--</v>
      </c>
    </row>
    <row r="1306" spans="1:5">
      <c r="A1306" s="120">
        <v>5371</v>
      </c>
      <c r="B1306" s="122" t="s">
        <v>4802</v>
      </c>
      <c r="C1306" s="123" t="s">
        <v>5610</v>
      </c>
      <c r="D1306" s="120">
        <v>5371</v>
      </c>
      <c r="E1306" s="60" t="str">
        <f>[1]!'5371.TW-Price'</f>
        <v>--</v>
      </c>
    </row>
    <row r="1307" spans="1:5">
      <c r="A1307" s="120">
        <v>5392</v>
      </c>
      <c r="B1307" s="122" t="s">
        <v>5510</v>
      </c>
      <c r="C1307" s="123" t="s">
        <v>5610</v>
      </c>
      <c r="D1307" s="120">
        <v>5392</v>
      </c>
      <c r="E1307" s="60" t="str">
        <f>[1]!'5392.TW-Price'</f>
        <v>--</v>
      </c>
    </row>
    <row r="1308" spans="1:5">
      <c r="A1308" s="120">
        <v>5432</v>
      </c>
      <c r="B1308" s="122" t="s">
        <v>5511</v>
      </c>
      <c r="C1308" s="123" t="s">
        <v>5610</v>
      </c>
      <c r="D1308" s="120">
        <v>5432</v>
      </c>
      <c r="E1308" s="60" t="str">
        <f>[1]!'5432.TW-Price'</f>
        <v>--</v>
      </c>
    </row>
    <row r="1309" spans="1:5">
      <c r="A1309" s="120">
        <v>5443</v>
      </c>
      <c r="B1309" s="122" t="s">
        <v>4803</v>
      </c>
      <c r="C1309" s="123" t="s">
        <v>5610</v>
      </c>
      <c r="D1309" s="120">
        <v>5443</v>
      </c>
      <c r="E1309" s="60" t="str">
        <f>[1]!'5443.TW-Price'</f>
        <v>--</v>
      </c>
    </row>
    <row r="1310" spans="1:5">
      <c r="A1310" s="120">
        <v>6125</v>
      </c>
      <c r="B1310" s="122" t="s">
        <v>4804</v>
      </c>
      <c r="C1310" s="123" t="s">
        <v>5610</v>
      </c>
      <c r="D1310" s="120">
        <v>6125</v>
      </c>
      <c r="E1310" s="60" t="str">
        <f>[1]!'6125.TW-Price'</f>
        <v>--</v>
      </c>
    </row>
    <row r="1311" spans="1:5">
      <c r="A1311" s="120">
        <v>6167</v>
      </c>
      <c r="B1311" s="122" t="s">
        <v>4805</v>
      </c>
      <c r="C1311" s="123" t="s">
        <v>5610</v>
      </c>
      <c r="D1311" s="120">
        <v>6167</v>
      </c>
      <c r="E1311" s="60" t="str">
        <f>[1]!'6167.TW-Price'</f>
        <v>--</v>
      </c>
    </row>
    <row r="1312" spans="1:5">
      <c r="A1312" s="120">
        <v>6222</v>
      </c>
      <c r="B1312" s="122" t="s">
        <v>4806</v>
      </c>
      <c r="C1312" s="123" t="s">
        <v>5610</v>
      </c>
      <c r="D1312" s="120">
        <v>6222</v>
      </c>
      <c r="E1312" s="60" t="str">
        <f>[1]!'6222.TW-Price'</f>
        <v>--</v>
      </c>
    </row>
    <row r="1313" spans="1:5">
      <c r="A1313" s="120">
        <v>6234</v>
      </c>
      <c r="B1313" s="122" t="s">
        <v>4807</v>
      </c>
      <c r="C1313" s="123" t="s">
        <v>5610</v>
      </c>
      <c r="D1313" s="120">
        <v>6234</v>
      </c>
      <c r="E1313" s="60" t="str">
        <f>[1]!'6234.TW-Price'</f>
        <v>--</v>
      </c>
    </row>
    <row r="1314" spans="1:5">
      <c r="A1314" s="120">
        <v>6244</v>
      </c>
      <c r="B1314" s="122" t="s">
        <v>3659</v>
      </c>
      <c r="C1314" s="123" t="s">
        <v>5610</v>
      </c>
      <c r="D1314" s="120">
        <v>6244</v>
      </c>
      <c r="E1314" s="60">
        <f>[1]!'6244.TW-Price'</f>
        <v>33.9</v>
      </c>
    </row>
    <row r="1315" spans="1:5">
      <c r="A1315" s="120">
        <v>6246</v>
      </c>
      <c r="B1315" s="122" t="s">
        <v>4808</v>
      </c>
      <c r="C1315" s="123" t="s">
        <v>5610</v>
      </c>
      <c r="D1315" s="120">
        <v>6246</v>
      </c>
      <c r="E1315" s="60" t="str">
        <f>[1]!'6246.TW-Price'</f>
        <v>--</v>
      </c>
    </row>
    <row r="1316" spans="1:5">
      <c r="A1316" s="120">
        <v>6419</v>
      </c>
      <c r="B1316" s="122" t="s">
        <v>4809</v>
      </c>
      <c r="C1316" s="123" t="s">
        <v>5610</v>
      </c>
      <c r="D1316" s="120">
        <v>6419</v>
      </c>
      <c r="E1316" s="60" t="str">
        <f>[1]!'6419.TW-Price'</f>
        <v>--</v>
      </c>
    </row>
    <row r="1317" spans="1:5">
      <c r="A1317" s="120">
        <v>6556</v>
      </c>
      <c r="B1317" s="122" t="s">
        <v>4810</v>
      </c>
      <c r="C1317" s="123" t="s">
        <v>5610</v>
      </c>
      <c r="D1317" s="120">
        <v>6556</v>
      </c>
      <c r="E1317" s="60" t="str">
        <f>[1]!'6556.TW-Price'</f>
        <v>--</v>
      </c>
    </row>
    <row r="1318" spans="1:5">
      <c r="A1318" s="120">
        <v>6560</v>
      </c>
      <c r="B1318" s="122" t="s">
        <v>4811</v>
      </c>
      <c r="C1318" s="123" t="s">
        <v>5610</v>
      </c>
      <c r="D1318" s="120">
        <v>6560</v>
      </c>
      <c r="E1318" s="60" t="str">
        <f>[1]!'6560.TW-Price'</f>
        <v>--</v>
      </c>
    </row>
    <row r="1319" spans="1:5">
      <c r="A1319" s="120">
        <v>7402</v>
      </c>
      <c r="B1319" s="122" t="s">
        <v>4812</v>
      </c>
      <c r="C1319" s="123" t="s">
        <v>5610</v>
      </c>
      <c r="D1319" s="120">
        <v>7402</v>
      </c>
      <c r="E1319" s="60" t="str">
        <f>[1]!'7402.TW-Price'</f>
        <v>--</v>
      </c>
    </row>
    <row r="1320" spans="1:5">
      <c r="A1320" s="120">
        <v>8049</v>
      </c>
      <c r="B1320" s="122" t="s">
        <v>4813</v>
      </c>
      <c r="C1320" s="123" t="s">
        <v>5610</v>
      </c>
      <c r="D1320" s="120">
        <v>8049</v>
      </c>
      <c r="E1320" s="60" t="str">
        <f>[1]!'8049.TW-Price'</f>
        <v>--</v>
      </c>
    </row>
    <row r="1321" spans="1:5">
      <c r="A1321" s="120">
        <v>8064</v>
      </c>
      <c r="B1321" s="122" t="s">
        <v>4814</v>
      </c>
      <c r="C1321" s="123" t="s">
        <v>5610</v>
      </c>
      <c r="D1321" s="120">
        <v>8064</v>
      </c>
      <c r="E1321" s="60">
        <f>[1]!'8064.TW-Price'</f>
        <v>23.65</v>
      </c>
    </row>
    <row r="1322" spans="1:5">
      <c r="A1322" s="120">
        <v>8069</v>
      </c>
      <c r="B1322" s="122" t="s">
        <v>3688</v>
      </c>
      <c r="C1322" s="123" t="s">
        <v>5610</v>
      </c>
      <c r="D1322" s="120">
        <v>8069</v>
      </c>
      <c r="E1322" s="60">
        <f>[1]!'8069.TW-Price'</f>
        <v>127</v>
      </c>
    </row>
    <row r="1323" spans="1:5">
      <c r="A1323" s="120">
        <v>8087</v>
      </c>
      <c r="B1323" s="122" t="s">
        <v>4815</v>
      </c>
      <c r="C1323" s="123" t="s">
        <v>5610</v>
      </c>
      <c r="D1323" s="120">
        <v>8087</v>
      </c>
      <c r="E1323" s="60" t="str">
        <f>[1]!'8087.TW-Price'</f>
        <v>--</v>
      </c>
    </row>
    <row r="1324" spans="1:5">
      <c r="A1324" s="120">
        <v>8111</v>
      </c>
      <c r="B1324" s="122" t="s">
        <v>4816</v>
      </c>
      <c r="C1324" s="123" t="s">
        <v>5610</v>
      </c>
      <c r="D1324" s="120">
        <v>8111</v>
      </c>
      <c r="E1324" s="60" t="str">
        <f>[1]!'8111.TW-Price'</f>
        <v>--</v>
      </c>
    </row>
    <row r="1325" spans="1:5">
      <c r="A1325" s="120">
        <v>8240</v>
      </c>
      <c r="B1325" s="122" t="s">
        <v>4817</v>
      </c>
      <c r="C1325" s="123" t="s">
        <v>5610</v>
      </c>
      <c r="D1325" s="120">
        <v>8240</v>
      </c>
      <c r="E1325" s="60" t="str">
        <f>[1]!'8240.TW-Price'</f>
        <v>--</v>
      </c>
    </row>
    <row r="1326" spans="1:5">
      <c r="A1326" s="120">
        <v>3081</v>
      </c>
      <c r="B1326" s="122" t="s">
        <v>4818</v>
      </c>
      <c r="C1326" s="123" t="s">
        <v>5612</v>
      </c>
      <c r="D1326" s="120">
        <v>3081</v>
      </c>
      <c r="E1326" s="60" t="str">
        <f>[1]!'3081.TW-Price'</f>
        <v>--</v>
      </c>
    </row>
    <row r="1327" spans="1:5">
      <c r="A1327" s="120">
        <v>3095</v>
      </c>
      <c r="B1327" s="122" t="s">
        <v>4819</v>
      </c>
      <c r="C1327" s="123" t="s">
        <v>5612</v>
      </c>
      <c r="D1327" s="120">
        <v>3095</v>
      </c>
      <c r="E1327" s="60" t="str">
        <f>[1]!'3095.TW-Price'</f>
        <v>--</v>
      </c>
    </row>
    <row r="1328" spans="1:5">
      <c r="A1328" s="120">
        <v>3152</v>
      </c>
      <c r="B1328" s="122" t="s">
        <v>3610</v>
      </c>
      <c r="C1328" s="123" t="s">
        <v>5612</v>
      </c>
      <c r="D1328" s="120">
        <v>3152</v>
      </c>
      <c r="E1328" s="60" t="str">
        <f>[1]!'3152.TW-Price'</f>
        <v>--</v>
      </c>
    </row>
    <row r="1329" spans="1:5">
      <c r="A1329" s="120">
        <v>3163</v>
      </c>
      <c r="B1329" s="122" t="s">
        <v>4820</v>
      </c>
      <c r="C1329" s="123" t="s">
        <v>5612</v>
      </c>
      <c r="D1329" s="120">
        <v>3163</v>
      </c>
      <c r="E1329" s="60" t="str">
        <f>[1]!'3163.TW-Price'</f>
        <v>--</v>
      </c>
    </row>
    <row r="1330" spans="1:5">
      <c r="A1330" s="120">
        <v>3221</v>
      </c>
      <c r="B1330" s="122" t="s">
        <v>4821</v>
      </c>
      <c r="C1330" s="123" t="s">
        <v>5612</v>
      </c>
      <c r="D1330" s="120">
        <v>3221</v>
      </c>
      <c r="E1330" s="60" t="str">
        <f>[1]!'3221.TW-Price'</f>
        <v>--</v>
      </c>
    </row>
    <row r="1331" spans="1:5">
      <c r="A1331" s="120">
        <v>3234</v>
      </c>
      <c r="B1331" s="122" t="s">
        <v>4822</v>
      </c>
      <c r="C1331" s="123" t="s">
        <v>5612</v>
      </c>
      <c r="D1331" s="120">
        <v>3234</v>
      </c>
      <c r="E1331" s="60" t="str">
        <f>[1]!'3234.TW-Price'</f>
        <v>--</v>
      </c>
    </row>
    <row r="1332" spans="1:5">
      <c r="A1332" s="120">
        <v>3306</v>
      </c>
      <c r="B1332" s="122" t="s">
        <v>4823</v>
      </c>
      <c r="C1332" s="123" t="s">
        <v>5612</v>
      </c>
      <c r="D1332" s="120">
        <v>3306</v>
      </c>
      <c r="E1332" s="60" t="str">
        <f>[1]!'3306.TW-Price'</f>
        <v>--</v>
      </c>
    </row>
    <row r="1333" spans="1:5">
      <c r="A1333" s="120">
        <v>3363</v>
      </c>
      <c r="B1333" s="122" t="s">
        <v>4824</v>
      </c>
      <c r="C1333" s="123" t="s">
        <v>5612</v>
      </c>
      <c r="D1333" s="120">
        <v>3363</v>
      </c>
      <c r="E1333" s="60" t="str">
        <f>[1]!'3363.TW-Price'</f>
        <v>--</v>
      </c>
    </row>
    <row r="1334" spans="1:5">
      <c r="A1334" s="120">
        <v>3466</v>
      </c>
      <c r="B1334" s="122" t="s">
        <v>4825</v>
      </c>
      <c r="C1334" s="123" t="s">
        <v>5612</v>
      </c>
      <c r="D1334" s="120">
        <v>3466</v>
      </c>
      <c r="E1334" s="60" t="str">
        <f>[1]!'3466.TW-Price'</f>
        <v>--</v>
      </c>
    </row>
    <row r="1335" spans="1:5">
      <c r="A1335" s="120">
        <v>3491</v>
      </c>
      <c r="B1335" s="122" t="s">
        <v>4826</v>
      </c>
      <c r="C1335" s="123" t="s">
        <v>5612</v>
      </c>
      <c r="D1335" s="120">
        <v>3491</v>
      </c>
      <c r="E1335" s="60" t="str">
        <f>[1]!'3491.TW-Price'</f>
        <v>--</v>
      </c>
    </row>
    <row r="1336" spans="1:5">
      <c r="A1336" s="120">
        <v>3499</v>
      </c>
      <c r="B1336" s="122" t="s">
        <v>4827</v>
      </c>
      <c r="C1336" s="123" t="s">
        <v>5612</v>
      </c>
      <c r="D1336" s="120">
        <v>3499</v>
      </c>
      <c r="E1336" s="60" t="str">
        <f>[1]!'3499.TW-Price'</f>
        <v>--</v>
      </c>
    </row>
    <row r="1337" spans="1:5">
      <c r="A1337" s="120">
        <v>3558</v>
      </c>
      <c r="B1337" s="122" t="s">
        <v>4828</v>
      </c>
      <c r="C1337" s="123" t="s">
        <v>5612</v>
      </c>
      <c r="D1337" s="120">
        <v>3558</v>
      </c>
      <c r="E1337" s="60" t="str">
        <f>[1]!'3558.TW-Price'</f>
        <v>--</v>
      </c>
    </row>
    <row r="1338" spans="1:5">
      <c r="A1338" s="120">
        <v>3564</v>
      </c>
      <c r="B1338" s="122" t="s">
        <v>4829</v>
      </c>
      <c r="C1338" s="123" t="s">
        <v>5612</v>
      </c>
      <c r="D1338" s="120">
        <v>3564</v>
      </c>
      <c r="E1338" s="60" t="str">
        <f>[1]!'3564.TW-Price'</f>
        <v>--</v>
      </c>
    </row>
    <row r="1339" spans="1:5">
      <c r="A1339" s="120">
        <v>3632</v>
      </c>
      <c r="B1339" s="122" t="s">
        <v>4830</v>
      </c>
      <c r="C1339" s="123" t="s">
        <v>5612</v>
      </c>
      <c r="D1339" s="120">
        <v>3632</v>
      </c>
      <c r="E1339" s="60" t="str">
        <f>[1]!'3632.TW-Price'</f>
        <v>--</v>
      </c>
    </row>
    <row r="1340" spans="1:5">
      <c r="A1340" s="120">
        <v>3664</v>
      </c>
      <c r="B1340" s="122" t="s">
        <v>4831</v>
      </c>
      <c r="C1340" s="123" t="s">
        <v>5613</v>
      </c>
      <c r="D1340" s="120">
        <v>3664</v>
      </c>
      <c r="E1340" s="60" t="str">
        <f>[1]!'3664.TW-Price'</f>
        <v>--</v>
      </c>
    </row>
    <row r="1341" spans="1:5">
      <c r="A1341" s="120">
        <v>3672</v>
      </c>
      <c r="B1341" s="122" t="s">
        <v>4832</v>
      </c>
      <c r="C1341" s="123" t="s">
        <v>5612</v>
      </c>
      <c r="D1341" s="120">
        <v>3672</v>
      </c>
      <c r="E1341" s="60">
        <f>[1]!'3672.TW-Price'</f>
        <v>29.9</v>
      </c>
    </row>
    <row r="1342" spans="1:5">
      <c r="A1342" s="120">
        <v>3684</v>
      </c>
      <c r="B1342" s="122" t="s">
        <v>4833</v>
      </c>
      <c r="C1342" s="123" t="s">
        <v>5612</v>
      </c>
      <c r="D1342" s="120">
        <v>3684</v>
      </c>
      <c r="E1342" s="60" t="str">
        <f>[1]!'3684.TW-Price'</f>
        <v>--</v>
      </c>
    </row>
    <row r="1343" spans="1:5">
      <c r="A1343" s="120">
        <v>4903</v>
      </c>
      <c r="B1343" s="122" t="s">
        <v>4834</v>
      </c>
      <c r="C1343" s="123" t="s">
        <v>5612</v>
      </c>
      <c r="D1343" s="120">
        <v>4903</v>
      </c>
      <c r="E1343" s="60" t="str">
        <f>[1]!'4903.TW-Price'</f>
        <v>--</v>
      </c>
    </row>
    <row r="1344" spans="1:5">
      <c r="A1344" s="120">
        <v>4905</v>
      </c>
      <c r="B1344" s="122" t="s">
        <v>4835</v>
      </c>
      <c r="C1344" s="123" t="s">
        <v>5612</v>
      </c>
      <c r="D1344" s="120">
        <v>4905</v>
      </c>
      <c r="E1344" s="60" t="str">
        <f>[1]!'4905.TW-Price'</f>
        <v>--</v>
      </c>
    </row>
    <row r="1345" spans="1:5">
      <c r="A1345" s="120">
        <v>4908</v>
      </c>
      <c r="B1345" s="122" t="s">
        <v>4836</v>
      </c>
      <c r="C1345" s="123" t="s">
        <v>5612</v>
      </c>
      <c r="D1345" s="120">
        <v>4908</v>
      </c>
      <c r="E1345" s="60" t="str">
        <f>[1]!'4908.TW-Price'</f>
        <v>--</v>
      </c>
    </row>
    <row r="1346" spans="1:5">
      <c r="A1346" s="120">
        <v>4909</v>
      </c>
      <c r="B1346" s="122" t="s">
        <v>4837</v>
      </c>
      <c r="C1346" s="123" t="s">
        <v>5612</v>
      </c>
      <c r="D1346" s="120">
        <v>4909</v>
      </c>
      <c r="E1346" s="60" t="str">
        <f>[1]!'4909.TW-Price'</f>
        <v>--</v>
      </c>
    </row>
    <row r="1347" spans="1:5">
      <c r="A1347" s="120">
        <v>4979</v>
      </c>
      <c r="B1347" s="122" t="s">
        <v>4838</v>
      </c>
      <c r="C1347" s="123" t="s">
        <v>5612</v>
      </c>
      <c r="D1347" s="120">
        <v>4979</v>
      </c>
      <c r="E1347" s="60" t="str">
        <f>[1]!'4979.TW-Price'</f>
        <v>--</v>
      </c>
    </row>
    <row r="1348" spans="1:5">
      <c r="A1348" s="120">
        <v>5348</v>
      </c>
      <c r="B1348" s="122" t="s">
        <v>4839</v>
      </c>
      <c r="C1348" s="123" t="s">
        <v>5612</v>
      </c>
      <c r="D1348" s="120">
        <v>5348</v>
      </c>
      <c r="E1348" s="60" t="str">
        <f>[1]!'5348.TW-Price'</f>
        <v>--</v>
      </c>
    </row>
    <row r="1349" spans="1:5">
      <c r="A1349" s="120">
        <v>5353</v>
      </c>
      <c r="B1349" s="122" t="s">
        <v>4840</v>
      </c>
      <c r="C1349" s="123" t="s">
        <v>5612</v>
      </c>
      <c r="D1349" s="120">
        <v>5353</v>
      </c>
      <c r="E1349" s="60" t="str">
        <f>[1]!'5353.TW-Price'</f>
        <v>--</v>
      </c>
    </row>
    <row r="1350" spans="1:5">
      <c r="A1350" s="120">
        <v>6109</v>
      </c>
      <c r="B1350" s="122" t="s">
        <v>4841</v>
      </c>
      <c r="C1350" s="123" t="s">
        <v>5612</v>
      </c>
      <c r="D1350" s="120">
        <v>6109</v>
      </c>
      <c r="E1350" s="60" t="str">
        <f>[1]!'6109.TW-Price'</f>
        <v>--</v>
      </c>
    </row>
    <row r="1351" spans="1:5">
      <c r="A1351" s="120">
        <v>6143</v>
      </c>
      <c r="B1351" s="122" t="s">
        <v>4842</v>
      </c>
      <c r="C1351" s="123" t="s">
        <v>5612</v>
      </c>
      <c r="D1351" s="120">
        <v>6143</v>
      </c>
      <c r="E1351" s="60" t="str">
        <f>[1]!'6143.TW-Price'</f>
        <v>--</v>
      </c>
    </row>
    <row r="1352" spans="1:5">
      <c r="A1352" s="120">
        <v>6163</v>
      </c>
      <c r="B1352" s="122" t="s">
        <v>4843</v>
      </c>
      <c r="C1352" s="123" t="s">
        <v>5612</v>
      </c>
      <c r="D1352" s="120">
        <v>6163</v>
      </c>
      <c r="E1352" s="60" t="str">
        <f>[1]!'6163.TW-Price'</f>
        <v>--</v>
      </c>
    </row>
    <row r="1353" spans="1:5">
      <c r="A1353" s="120">
        <v>6170</v>
      </c>
      <c r="B1353" s="122" t="s">
        <v>4844</v>
      </c>
      <c r="C1353" s="123" t="s">
        <v>5612</v>
      </c>
      <c r="D1353" s="120">
        <v>6170</v>
      </c>
      <c r="E1353" s="60" t="str">
        <f>[1]!'6170.TW-Price'</f>
        <v>--</v>
      </c>
    </row>
    <row r="1354" spans="1:5">
      <c r="A1354" s="120">
        <v>6190</v>
      </c>
      <c r="B1354" s="122" t="s">
        <v>4845</v>
      </c>
      <c r="C1354" s="123" t="s">
        <v>5612</v>
      </c>
      <c r="D1354" s="120">
        <v>6190</v>
      </c>
      <c r="E1354" s="60" t="str">
        <f>[1]!'6190.TW-Price'</f>
        <v>--</v>
      </c>
    </row>
    <row r="1355" spans="1:5">
      <c r="A1355" s="120">
        <v>6218</v>
      </c>
      <c r="B1355" s="122" t="s">
        <v>4846</v>
      </c>
      <c r="C1355" s="123" t="s">
        <v>5612</v>
      </c>
      <c r="D1355" s="120">
        <v>6218</v>
      </c>
      <c r="E1355" s="60" t="str">
        <f>[1]!'6218.TW-Price'</f>
        <v>--</v>
      </c>
    </row>
    <row r="1356" spans="1:5">
      <c r="A1356" s="120">
        <v>6241</v>
      </c>
      <c r="B1356" s="122" t="s">
        <v>4847</v>
      </c>
      <c r="C1356" s="123" t="s">
        <v>5612</v>
      </c>
      <c r="D1356" s="120">
        <v>6241</v>
      </c>
      <c r="E1356" s="60" t="str">
        <f>[1]!'6241.TW-Price'</f>
        <v>--</v>
      </c>
    </row>
    <row r="1357" spans="1:5">
      <c r="A1357" s="120">
        <v>6245</v>
      </c>
      <c r="B1357" s="122" t="s">
        <v>4848</v>
      </c>
      <c r="C1357" s="123" t="s">
        <v>5612</v>
      </c>
      <c r="D1357" s="120">
        <v>6245</v>
      </c>
      <c r="E1357" s="60" t="str">
        <f>[1]!'6245.TW-Price'</f>
        <v>--</v>
      </c>
    </row>
    <row r="1358" spans="1:5">
      <c r="A1358" s="120">
        <v>6263</v>
      </c>
      <c r="B1358" s="122" t="s">
        <v>4849</v>
      </c>
      <c r="C1358" s="123" t="s">
        <v>5612</v>
      </c>
      <c r="D1358" s="120">
        <v>6263</v>
      </c>
      <c r="E1358" s="60" t="str">
        <f>[1]!'6263.TW-Price'</f>
        <v>--</v>
      </c>
    </row>
    <row r="1359" spans="1:5">
      <c r="A1359" s="120">
        <v>6417</v>
      </c>
      <c r="B1359" s="122" t="s">
        <v>4850</v>
      </c>
      <c r="C1359" s="123" t="s">
        <v>5612</v>
      </c>
      <c r="D1359" s="120">
        <v>6417</v>
      </c>
      <c r="E1359" s="60" t="str">
        <f>[1]!'6417.TW-Price'</f>
        <v>--</v>
      </c>
    </row>
    <row r="1360" spans="1:5">
      <c r="A1360" s="120">
        <v>6465</v>
      </c>
      <c r="B1360" s="122" t="s">
        <v>4851</v>
      </c>
      <c r="C1360" s="123" t="s">
        <v>5612</v>
      </c>
      <c r="D1360" s="120">
        <v>6465</v>
      </c>
      <c r="E1360" s="60" t="str">
        <f>[1]!'6465.TW-Price'</f>
        <v>--</v>
      </c>
    </row>
    <row r="1361" spans="1:5">
      <c r="A1361" s="120">
        <v>6470</v>
      </c>
      <c r="B1361" s="122" t="s">
        <v>4852</v>
      </c>
      <c r="C1361" s="123" t="s">
        <v>5612</v>
      </c>
      <c r="D1361" s="120">
        <v>6470</v>
      </c>
      <c r="E1361" s="60" t="str">
        <f>[1]!'6470.TW-Price'</f>
        <v>--</v>
      </c>
    </row>
    <row r="1362" spans="1:5">
      <c r="A1362" s="120">
        <v>6486</v>
      </c>
      <c r="B1362" s="122" t="s">
        <v>4853</v>
      </c>
      <c r="C1362" s="123" t="s">
        <v>5612</v>
      </c>
      <c r="D1362" s="120">
        <v>6486</v>
      </c>
      <c r="E1362" s="60" t="str">
        <f>[1]!'6486.TW-Price'</f>
        <v>--</v>
      </c>
    </row>
    <row r="1363" spans="1:5">
      <c r="A1363" s="120">
        <v>6514</v>
      </c>
      <c r="B1363" s="122" t="s">
        <v>4854</v>
      </c>
      <c r="C1363" s="123" t="s">
        <v>5613</v>
      </c>
      <c r="D1363" s="120">
        <v>6514</v>
      </c>
      <c r="E1363" s="60" t="str">
        <f>[1]!'6514.TW-Price'</f>
        <v>--</v>
      </c>
    </row>
    <row r="1364" spans="1:5">
      <c r="A1364" s="120">
        <v>6530</v>
      </c>
      <c r="B1364" s="122" t="s">
        <v>4855</v>
      </c>
      <c r="C1364" s="123" t="s">
        <v>5612</v>
      </c>
      <c r="D1364" s="120">
        <v>6530</v>
      </c>
      <c r="E1364" s="60" t="str">
        <f>[1]!'6530.TW-Price'</f>
        <v>--</v>
      </c>
    </row>
    <row r="1365" spans="1:5">
      <c r="A1365" s="120">
        <v>6561</v>
      </c>
      <c r="B1365" s="122" t="s">
        <v>4856</v>
      </c>
      <c r="C1365" s="123" t="s">
        <v>5612</v>
      </c>
      <c r="D1365" s="120">
        <v>6561</v>
      </c>
      <c r="E1365" s="60" t="str">
        <f>[1]!'6561.TW-Price'</f>
        <v>--</v>
      </c>
    </row>
    <row r="1366" spans="1:5">
      <c r="A1366" s="120">
        <v>6588</v>
      </c>
      <c r="B1366" s="122" t="s">
        <v>4857</v>
      </c>
      <c r="C1366" s="123" t="s">
        <v>5612</v>
      </c>
      <c r="D1366" s="120">
        <v>6588</v>
      </c>
      <c r="E1366" s="60" t="str">
        <f>[1]!'6588.TW-Price'</f>
        <v>--</v>
      </c>
    </row>
    <row r="1367" spans="1:5">
      <c r="A1367" s="120">
        <v>8034</v>
      </c>
      <c r="B1367" s="122" t="s">
        <v>4858</v>
      </c>
      <c r="C1367" s="123" t="s">
        <v>5612</v>
      </c>
      <c r="D1367" s="120">
        <v>8034</v>
      </c>
      <c r="E1367" s="60" t="str">
        <f>[1]!'8034.TW-Price'</f>
        <v>--</v>
      </c>
    </row>
    <row r="1368" spans="1:5">
      <c r="A1368" s="120">
        <v>8048</v>
      </c>
      <c r="B1368" s="122" t="s">
        <v>4859</v>
      </c>
      <c r="C1368" s="123" t="s">
        <v>5612</v>
      </c>
      <c r="D1368" s="120">
        <v>8048</v>
      </c>
      <c r="E1368" s="60" t="str">
        <f>[1]!'8048.TW-Price'</f>
        <v>--</v>
      </c>
    </row>
    <row r="1369" spans="1:5">
      <c r="A1369" s="120">
        <v>8059</v>
      </c>
      <c r="B1369" s="122" t="s">
        <v>4860</v>
      </c>
      <c r="C1369" s="123" t="s">
        <v>5612</v>
      </c>
      <c r="D1369" s="120">
        <v>8059</v>
      </c>
      <c r="E1369" s="60" t="str">
        <f>[1]!'8059.TW-Price'</f>
        <v>--</v>
      </c>
    </row>
    <row r="1370" spans="1:5">
      <c r="A1370" s="120">
        <v>8089</v>
      </c>
      <c r="B1370" s="122" t="s">
        <v>4861</v>
      </c>
      <c r="C1370" s="123" t="s">
        <v>5612</v>
      </c>
      <c r="D1370" s="120">
        <v>8089</v>
      </c>
      <c r="E1370" s="60" t="str">
        <f>[1]!'8089.TW-Price'</f>
        <v>--</v>
      </c>
    </row>
    <row r="1371" spans="1:5">
      <c r="A1371" s="120">
        <v>8097</v>
      </c>
      <c r="B1371" s="122" t="s">
        <v>4862</v>
      </c>
      <c r="C1371" s="123" t="s">
        <v>5612</v>
      </c>
      <c r="D1371" s="120">
        <v>8097</v>
      </c>
      <c r="E1371" s="60" t="str">
        <f>[1]!'8097.TW-Price'</f>
        <v>--</v>
      </c>
    </row>
    <row r="1372" spans="1:5">
      <c r="A1372" s="120">
        <v>8171</v>
      </c>
      <c r="B1372" s="122" t="s">
        <v>4863</v>
      </c>
      <c r="C1372" s="123" t="s">
        <v>5612</v>
      </c>
      <c r="D1372" s="120">
        <v>8171</v>
      </c>
      <c r="E1372" s="60" t="str">
        <f>[1]!'8171.TW-Price'</f>
        <v>--</v>
      </c>
    </row>
    <row r="1373" spans="1:5">
      <c r="A1373" s="120">
        <v>8176</v>
      </c>
      <c r="B1373" s="122" t="s">
        <v>4864</v>
      </c>
      <c r="C1373" s="123" t="s">
        <v>5612</v>
      </c>
      <c r="D1373" s="120">
        <v>8176</v>
      </c>
      <c r="E1373" s="60" t="str">
        <f>[1]!'8176.TW-Price'</f>
        <v>--</v>
      </c>
    </row>
    <row r="1374" spans="1:5">
      <c r="A1374" s="120">
        <v>1336</v>
      </c>
      <c r="B1374" s="122" t="s">
        <v>4865</v>
      </c>
      <c r="C1374" s="123" t="s">
        <v>5614</v>
      </c>
      <c r="D1374" s="120">
        <v>1336</v>
      </c>
      <c r="E1374" s="60" t="str">
        <f>[1]!'1336.TW-Price'</f>
        <v>--</v>
      </c>
    </row>
    <row r="1375" spans="1:5">
      <c r="A1375" s="120">
        <v>1595</v>
      </c>
      <c r="B1375" s="122" t="s">
        <v>4866</v>
      </c>
      <c r="C1375" s="123" t="s">
        <v>5614</v>
      </c>
      <c r="D1375" s="120">
        <v>1595</v>
      </c>
      <c r="E1375" s="60" t="str">
        <f>[1]!'1595.TW-Price'</f>
        <v>--</v>
      </c>
    </row>
    <row r="1376" spans="1:5">
      <c r="A1376" s="120">
        <v>1815</v>
      </c>
      <c r="B1376" s="122" t="s">
        <v>4867</v>
      </c>
      <c r="C1376" s="123" t="s">
        <v>5614</v>
      </c>
      <c r="D1376" s="120">
        <v>1815</v>
      </c>
      <c r="E1376" s="60" t="str">
        <f>[1]!'1815.TW-Price'</f>
        <v>--</v>
      </c>
    </row>
    <row r="1377" spans="1:5">
      <c r="A1377" s="120">
        <v>3078</v>
      </c>
      <c r="B1377" s="122" t="s">
        <v>4868</v>
      </c>
      <c r="C1377" s="123" t="s">
        <v>5614</v>
      </c>
      <c r="D1377" s="120">
        <v>3078</v>
      </c>
      <c r="E1377" s="60">
        <f>[1]!'3078.TW-Price'</f>
        <v>42</v>
      </c>
    </row>
    <row r="1378" spans="1:5">
      <c r="A1378" s="120">
        <v>3089</v>
      </c>
      <c r="B1378" s="122" t="s">
        <v>5521</v>
      </c>
      <c r="C1378" s="123" t="s">
        <v>5614</v>
      </c>
      <c r="D1378" s="120">
        <v>3089</v>
      </c>
      <c r="E1378" s="60" t="str">
        <f>[1]!'3089.TW-Price'</f>
        <v>--</v>
      </c>
    </row>
    <row r="1379" spans="1:5">
      <c r="A1379" s="120">
        <v>3114</v>
      </c>
      <c r="B1379" s="122" t="s">
        <v>4869</v>
      </c>
      <c r="C1379" s="123" t="s">
        <v>5614</v>
      </c>
      <c r="D1379" s="120">
        <v>3114</v>
      </c>
      <c r="E1379" s="60" t="str">
        <f>[1]!'3114.TW-Price'</f>
        <v>--</v>
      </c>
    </row>
    <row r="1380" spans="1:5">
      <c r="A1380" s="120">
        <v>3115</v>
      </c>
      <c r="B1380" s="122" t="s">
        <v>4870</v>
      </c>
      <c r="C1380" s="123" t="s">
        <v>5614</v>
      </c>
      <c r="D1380" s="120">
        <v>3115</v>
      </c>
      <c r="E1380" s="60" t="str">
        <f>[1]!'3115.TW-Price'</f>
        <v>--</v>
      </c>
    </row>
    <row r="1381" spans="1:5">
      <c r="A1381" s="120">
        <v>3144</v>
      </c>
      <c r="B1381" s="122" t="s">
        <v>4871</v>
      </c>
      <c r="C1381" s="123" t="s">
        <v>5614</v>
      </c>
      <c r="D1381" s="120">
        <v>3144</v>
      </c>
      <c r="E1381" s="60" t="str">
        <f>[1]!'3144.TW-Price'</f>
        <v>--</v>
      </c>
    </row>
    <row r="1382" spans="1:5">
      <c r="A1382" s="120">
        <v>3191</v>
      </c>
      <c r="B1382" s="122" t="s">
        <v>4872</v>
      </c>
      <c r="C1382" s="123" t="s">
        <v>5614</v>
      </c>
      <c r="D1382" s="120">
        <v>3191</v>
      </c>
      <c r="E1382" s="60" t="str">
        <f>[1]!'3191.TW-Price'</f>
        <v>--</v>
      </c>
    </row>
    <row r="1383" spans="1:5">
      <c r="A1383" s="120">
        <v>3202</v>
      </c>
      <c r="B1383" s="122" t="s">
        <v>4873</v>
      </c>
      <c r="C1383" s="123" t="s">
        <v>5614</v>
      </c>
      <c r="D1383" s="120">
        <v>3202</v>
      </c>
      <c r="E1383" s="60" t="str">
        <f>[1]!'3202.TW-Price'</f>
        <v>--</v>
      </c>
    </row>
    <row r="1384" spans="1:5">
      <c r="A1384" s="120">
        <v>3206</v>
      </c>
      <c r="B1384" s="122" t="s">
        <v>4874</v>
      </c>
      <c r="C1384" s="123" t="s">
        <v>5614</v>
      </c>
      <c r="D1384" s="120">
        <v>3206</v>
      </c>
      <c r="E1384" s="60" t="str">
        <f>[1]!'3206.TW-Price'</f>
        <v>--</v>
      </c>
    </row>
    <row r="1385" spans="1:5">
      <c r="A1385" s="120">
        <v>3207</v>
      </c>
      <c r="B1385" s="122" t="s">
        <v>4875</v>
      </c>
      <c r="C1385" s="123" t="s">
        <v>5614</v>
      </c>
      <c r="D1385" s="120">
        <v>3207</v>
      </c>
      <c r="E1385" s="60" t="str">
        <f>[1]!'3207.TW-Price'</f>
        <v>--</v>
      </c>
    </row>
    <row r="1386" spans="1:5">
      <c r="A1386" s="120">
        <v>3217</v>
      </c>
      <c r="B1386" s="122" t="s">
        <v>48</v>
      </c>
      <c r="C1386" s="123" t="s">
        <v>5614</v>
      </c>
      <c r="D1386" s="120">
        <v>3217</v>
      </c>
      <c r="E1386" s="60" t="str">
        <f>[1]!'3217.TW-Price'</f>
        <v>--</v>
      </c>
    </row>
    <row r="1387" spans="1:5">
      <c r="A1387" s="120">
        <v>3236</v>
      </c>
      <c r="B1387" s="122" t="s">
        <v>4876</v>
      </c>
      <c r="C1387" s="123" t="s">
        <v>5614</v>
      </c>
      <c r="D1387" s="120">
        <v>3236</v>
      </c>
      <c r="E1387" s="60" t="str">
        <f>[1]!'3236.TW-Price'</f>
        <v>--</v>
      </c>
    </row>
    <row r="1388" spans="1:5">
      <c r="A1388" s="120">
        <v>3276</v>
      </c>
      <c r="B1388" s="122" t="s">
        <v>4877</v>
      </c>
      <c r="C1388" s="123" t="s">
        <v>5614</v>
      </c>
      <c r="D1388" s="120">
        <v>3276</v>
      </c>
      <c r="E1388" s="60" t="str">
        <f>[1]!'3276.TW-Price'</f>
        <v>--</v>
      </c>
    </row>
    <row r="1389" spans="1:5">
      <c r="A1389" s="120">
        <v>3288</v>
      </c>
      <c r="B1389" s="122" t="s">
        <v>4878</v>
      </c>
      <c r="C1389" s="123" t="s">
        <v>5614</v>
      </c>
      <c r="D1389" s="120">
        <v>3288</v>
      </c>
      <c r="E1389" s="60" t="str">
        <f>[1]!'3288.TW-Price'</f>
        <v>--</v>
      </c>
    </row>
    <row r="1390" spans="1:5">
      <c r="A1390" s="120">
        <v>3290</v>
      </c>
      <c r="B1390" s="122" t="s">
        <v>4879</v>
      </c>
      <c r="C1390" s="123" t="s">
        <v>5614</v>
      </c>
      <c r="D1390" s="120">
        <v>3290</v>
      </c>
      <c r="E1390" s="60">
        <f>[1]!'3290.TW-Price'</f>
        <v>18</v>
      </c>
    </row>
    <row r="1391" spans="1:5">
      <c r="A1391" s="120">
        <v>3294</v>
      </c>
      <c r="B1391" s="122" t="s">
        <v>4880</v>
      </c>
      <c r="C1391" s="123" t="s">
        <v>5614</v>
      </c>
      <c r="D1391" s="120">
        <v>3294</v>
      </c>
      <c r="E1391" s="60" t="str">
        <f>[1]!'3294.TW-Price'</f>
        <v>--</v>
      </c>
    </row>
    <row r="1392" spans="1:5">
      <c r="A1392" s="120">
        <v>3310</v>
      </c>
      <c r="B1392" s="122" t="s">
        <v>4881</v>
      </c>
      <c r="C1392" s="123" t="s">
        <v>5614</v>
      </c>
      <c r="D1392" s="120">
        <v>3310</v>
      </c>
      <c r="E1392" s="60" t="str">
        <f>[1]!'3310.TW-Price'</f>
        <v>--</v>
      </c>
    </row>
    <row r="1393" spans="1:5">
      <c r="A1393" s="120">
        <v>3322</v>
      </c>
      <c r="B1393" s="122" t="s">
        <v>4883</v>
      </c>
      <c r="C1393" s="123" t="s">
        <v>5614</v>
      </c>
      <c r="D1393" s="120">
        <v>3322</v>
      </c>
      <c r="E1393" s="60" t="str">
        <f>[1]!'3322.TW-Price'</f>
        <v>--</v>
      </c>
    </row>
    <row r="1394" spans="1:5">
      <c r="A1394" s="120">
        <v>3332</v>
      </c>
      <c r="B1394" s="122" t="s">
        <v>4884</v>
      </c>
      <c r="C1394" s="123" t="s">
        <v>5614</v>
      </c>
      <c r="D1394" s="120">
        <v>3332</v>
      </c>
      <c r="E1394" s="60" t="str">
        <f>[1]!'3332.TW-Price'</f>
        <v>--</v>
      </c>
    </row>
    <row r="1395" spans="1:5">
      <c r="A1395" s="120">
        <v>3354</v>
      </c>
      <c r="B1395" s="122" t="s">
        <v>4885</v>
      </c>
      <c r="C1395" s="123" t="s">
        <v>5614</v>
      </c>
      <c r="D1395" s="120">
        <v>3354</v>
      </c>
      <c r="E1395" s="60" t="str">
        <f>[1]!'3354.TW-Price'</f>
        <v>--</v>
      </c>
    </row>
    <row r="1396" spans="1:5">
      <c r="A1396" s="120">
        <v>3357</v>
      </c>
      <c r="B1396" s="122" t="s">
        <v>35</v>
      </c>
      <c r="C1396" s="123" t="s">
        <v>5614</v>
      </c>
      <c r="D1396" s="120">
        <v>3357</v>
      </c>
      <c r="E1396" s="60" t="str">
        <f>[1]!'3357.TW-Price'</f>
        <v>--</v>
      </c>
    </row>
    <row r="1397" spans="1:5">
      <c r="A1397" s="120">
        <v>3388</v>
      </c>
      <c r="B1397" s="122" t="s">
        <v>4886</v>
      </c>
      <c r="C1397" s="123" t="s">
        <v>5614</v>
      </c>
      <c r="D1397" s="120">
        <v>3388</v>
      </c>
      <c r="E1397" s="60" t="str">
        <f>[1]!'3388.TW-Price'</f>
        <v>--</v>
      </c>
    </row>
    <row r="1398" spans="1:5">
      <c r="A1398" s="120">
        <v>3390</v>
      </c>
      <c r="B1398" s="122" t="s">
        <v>4887</v>
      </c>
      <c r="C1398" s="123" t="s">
        <v>5614</v>
      </c>
      <c r="D1398" s="120">
        <v>3390</v>
      </c>
      <c r="E1398" s="60" t="str">
        <f>[1]!'3390.TW-Price'</f>
        <v>--</v>
      </c>
    </row>
    <row r="1399" spans="1:5">
      <c r="A1399" s="120">
        <v>3465</v>
      </c>
      <c r="B1399" s="122" t="s">
        <v>4888</v>
      </c>
      <c r="C1399" s="123" t="s">
        <v>5614</v>
      </c>
      <c r="D1399" s="120">
        <v>3465</v>
      </c>
      <c r="E1399" s="60" t="str">
        <f>[1]!'3465.TW-Price'</f>
        <v>--</v>
      </c>
    </row>
    <row r="1400" spans="1:5">
      <c r="A1400" s="120">
        <v>3484</v>
      </c>
      <c r="B1400" s="122" t="s">
        <v>4889</v>
      </c>
      <c r="C1400" s="123" t="s">
        <v>5614</v>
      </c>
      <c r="D1400" s="120">
        <v>3484</v>
      </c>
      <c r="E1400" s="60" t="str">
        <f>[1]!'3484.TW-Price'</f>
        <v>--</v>
      </c>
    </row>
    <row r="1401" spans="1:5">
      <c r="A1401" s="120">
        <v>3492</v>
      </c>
      <c r="B1401" s="122" t="s">
        <v>4890</v>
      </c>
      <c r="C1401" s="123" t="s">
        <v>5614</v>
      </c>
      <c r="D1401" s="120">
        <v>3492</v>
      </c>
      <c r="E1401" s="60" t="str">
        <f>[1]!'3492.TW-Price'</f>
        <v>--</v>
      </c>
    </row>
    <row r="1402" spans="1:5">
      <c r="A1402" s="120">
        <v>3511</v>
      </c>
      <c r="B1402" s="122" t="s">
        <v>4891</v>
      </c>
      <c r="C1402" s="123" t="s">
        <v>5614</v>
      </c>
      <c r="D1402" s="120">
        <v>3511</v>
      </c>
      <c r="E1402" s="60" t="str">
        <f>[1]!'3511.TW-Price'</f>
        <v>--</v>
      </c>
    </row>
    <row r="1403" spans="1:5">
      <c r="A1403" s="120">
        <v>3512</v>
      </c>
      <c r="B1403" s="122" t="s">
        <v>4892</v>
      </c>
      <c r="C1403" s="123" t="s">
        <v>5614</v>
      </c>
      <c r="D1403" s="120">
        <v>3512</v>
      </c>
      <c r="E1403" s="60" t="str">
        <f>[1]!'3512.TW-Price'</f>
        <v>--</v>
      </c>
    </row>
    <row r="1404" spans="1:5">
      <c r="A1404" s="120">
        <v>3520</v>
      </c>
      <c r="B1404" s="122" t="s">
        <v>4893</v>
      </c>
      <c r="C1404" s="123" t="s">
        <v>5614</v>
      </c>
      <c r="D1404" s="120">
        <v>3520</v>
      </c>
      <c r="E1404" s="60" t="str">
        <f>[1]!'3520.TW-Price'</f>
        <v>--</v>
      </c>
    </row>
    <row r="1405" spans="1:5">
      <c r="A1405" s="120">
        <v>3526</v>
      </c>
      <c r="B1405" s="122" t="s">
        <v>4894</v>
      </c>
      <c r="C1405" s="123" t="s">
        <v>5614</v>
      </c>
      <c r="D1405" s="120">
        <v>3526</v>
      </c>
      <c r="E1405" s="60">
        <f>[1]!'3526.TW-Price'</f>
        <v>170.5</v>
      </c>
    </row>
    <row r="1406" spans="1:5">
      <c r="A1406" s="120">
        <v>3537</v>
      </c>
      <c r="B1406" s="122" t="s">
        <v>4895</v>
      </c>
      <c r="C1406" s="123" t="s">
        <v>5614</v>
      </c>
      <c r="D1406" s="120">
        <v>3537</v>
      </c>
      <c r="E1406" s="60" t="str">
        <f>[1]!'3537.TW-Price'</f>
        <v>--</v>
      </c>
    </row>
    <row r="1407" spans="1:5">
      <c r="A1407" s="120">
        <v>3548</v>
      </c>
      <c r="B1407" s="122" t="s">
        <v>4896</v>
      </c>
      <c r="C1407" s="123" t="s">
        <v>5614</v>
      </c>
      <c r="D1407" s="120">
        <v>3548</v>
      </c>
      <c r="E1407" s="60" t="str">
        <f>[1]!'3548.TW-Price'</f>
        <v>--</v>
      </c>
    </row>
    <row r="1408" spans="1:5">
      <c r="A1408" s="120">
        <v>3597</v>
      </c>
      <c r="B1408" s="122" t="s">
        <v>4897</v>
      </c>
      <c r="C1408" s="123" t="s">
        <v>5614</v>
      </c>
      <c r="D1408" s="120">
        <v>3597</v>
      </c>
      <c r="E1408" s="60" t="str">
        <f>[1]!'3597.TW-Price'</f>
        <v>--</v>
      </c>
    </row>
    <row r="1409" spans="1:5">
      <c r="A1409" s="120">
        <v>3609</v>
      </c>
      <c r="B1409" s="122" t="s">
        <v>5508</v>
      </c>
      <c r="C1409" s="123" t="s">
        <v>5614</v>
      </c>
      <c r="D1409" s="120">
        <v>3609</v>
      </c>
      <c r="E1409" s="60" t="str">
        <f>[1]!'3609.TW-Price'</f>
        <v>--</v>
      </c>
    </row>
    <row r="1410" spans="1:5">
      <c r="A1410" s="120">
        <v>3624</v>
      </c>
      <c r="B1410" s="122" t="s">
        <v>4898</v>
      </c>
      <c r="C1410" s="123" t="s">
        <v>5614</v>
      </c>
      <c r="D1410" s="120">
        <v>3624</v>
      </c>
      <c r="E1410" s="60">
        <f>[1]!'3624.TW-Price'</f>
        <v>49.2</v>
      </c>
    </row>
    <row r="1411" spans="1:5">
      <c r="A1411" s="120">
        <v>3631</v>
      </c>
      <c r="B1411" s="122" t="s">
        <v>4899</v>
      </c>
      <c r="C1411" s="123" t="s">
        <v>5614</v>
      </c>
      <c r="D1411" s="120">
        <v>3631</v>
      </c>
      <c r="E1411" s="60" t="str">
        <f>[1]!'3631.TW-Price'</f>
        <v>--</v>
      </c>
    </row>
    <row r="1412" spans="1:5">
      <c r="A1412" s="120">
        <v>3646</v>
      </c>
      <c r="B1412" s="122" t="s">
        <v>4900</v>
      </c>
      <c r="C1412" s="123" t="s">
        <v>5614</v>
      </c>
      <c r="D1412" s="120">
        <v>3646</v>
      </c>
      <c r="E1412" s="60" t="str">
        <f>[1]!'3646.TW-Price'</f>
        <v>--</v>
      </c>
    </row>
    <row r="1413" spans="1:5">
      <c r="A1413" s="120">
        <v>3689</v>
      </c>
      <c r="B1413" s="122" t="s">
        <v>4901</v>
      </c>
      <c r="C1413" s="123" t="s">
        <v>5614</v>
      </c>
      <c r="D1413" s="120">
        <v>3689</v>
      </c>
      <c r="E1413" s="60" t="str">
        <f>[1]!'3689.TW-Price'</f>
        <v>--</v>
      </c>
    </row>
    <row r="1414" spans="1:5">
      <c r="A1414" s="120">
        <v>3710</v>
      </c>
      <c r="B1414" s="122" t="s">
        <v>4902</v>
      </c>
      <c r="C1414" s="123" t="s">
        <v>5614</v>
      </c>
      <c r="D1414" s="120">
        <v>3710</v>
      </c>
      <c r="E1414" s="60" t="str">
        <f>[1]!'3710.TW-Price'</f>
        <v>--</v>
      </c>
    </row>
    <row r="1415" spans="1:5">
      <c r="A1415" s="120">
        <v>4542</v>
      </c>
      <c r="B1415" s="122" t="s">
        <v>4903</v>
      </c>
      <c r="C1415" s="123" t="s">
        <v>5614</v>
      </c>
      <c r="D1415" s="120">
        <v>4542</v>
      </c>
      <c r="E1415" s="60" t="str">
        <f>[1]!'4542.TW-Price'</f>
        <v>--</v>
      </c>
    </row>
    <row r="1416" spans="1:5">
      <c r="A1416" s="120">
        <v>4939</v>
      </c>
      <c r="B1416" s="122" t="s">
        <v>4904</v>
      </c>
      <c r="C1416" s="123" t="s">
        <v>5614</v>
      </c>
      <c r="D1416" s="120">
        <v>4939</v>
      </c>
      <c r="E1416" s="60" t="str">
        <f>[1]!'4939.TW-Price'</f>
        <v>--</v>
      </c>
    </row>
    <row r="1417" spans="1:5">
      <c r="A1417" s="120">
        <v>4974</v>
      </c>
      <c r="B1417" s="122" t="s">
        <v>4905</v>
      </c>
      <c r="C1417" s="123" t="s">
        <v>5614</v>
      </c>
      <c r="D1417" s="120">
        <v>4974</v>
      </c>
      <c r="E1417" s="60" t="str">
        <f>[1]!'4974.TW-Price'</f>
        <v>--</v>
      </c>
    </row>
    <row r="1418" spans="1:5">
      <c r="A1418" s="120">
        <v>5227</v>
      </c>
      <c r="B1418" s="122" t="s">
        <v>4906</v>
      </c>
      <c r="C1418" s="123" t="s">
        <v>5615</v>
      </c>
      <c r="D1418" s="120">
        <v>5227</v>
      </c>
      <c r="E1418" s="60" t="str">
        <f>[1]!'5227.TW-Price'</f>
        <v>--</v>
      </c>
    </row>
    <row r="1419" spans="1:5">
      <c r="A1419" s="120">
        <v>5291</v>
      </c>
      <c r="B1419" s="122" t="s">
        <v>4907</v>
      </c>
      <c r="C1419" s="123" t="s">
        <v>5614</v>
      </c>
      <c r="D1419" s="120">
        <v>5291</v>
      </c>
      <c r="E1419" s="60">
        <f>[1]!'5291.TW-Price'</f>
        <v>38.450000000000003</v>
      </c>
    </row>
    <row r="1420" spans="1:5">
      <c r="A1420" s="120">
        <v>5309</v>
      </c>
      <c r="B1420" s="122" t="s">
        <v>4908</v>
      </c>
      <c r="C1420" s="123" t="s">
        <v>5614</v>
      </c>
      <c r="D1420" s="120">
        <v>5309</v>
      </c>
      <c r="E1420" s="60" t="str">
        <f>[1]!'5309.TW-Price'</f>
        <v>--</v>
      </c>
    </row>
    <row r="1421" spans="1:5">
      <c r="A1421" s="120">
        <v>5321</v>
      </c>
      <c r="B1421" s="122" t="s">
        <v>5509</v>
      </c>
      <c r="C1421" s="123" t="s">
        <v>5614</v>
      </c>
      <c r="D1421" s="120">
        <v>5321</v>
      </c>
      <c r="E1421" s="60" t="str">
        <f>[1]!'5321.TW-Price'</f>
        <v>--</v>
      </c>
    </row>
    <row r="1422" spans="1:5">
      <c r="A1422" s="120">
        <v>5328</v>
      </c>
      <c r="B1422" s="122" t="s">
        <v>4909</v>
      </c>
      <c r="C1422" s="123" t="s">
        <v>5614</v>
      </c>
      <c r="D1422" s="120">
        <v>5328</v>
      </c>
      <c r="E1422" s="60" t="str">
        <f>[1]!'5328.TW-Price'</f>
        <v>--</v>
      </c>
    </row>
    <row r="1423" spans="1:5">
      <c r="A1423" s="120">
        <v>5340</v>
      </c>
      <c r="B1423" s="122" t="s">
        <v>4910</v>
      </c>
      <c r="C1423" s="123" t="s">
        <v>5614</v>
      </c>
      <c r="D1423" s="120">
        <v>5340</v>
      </c>
      <c r="E1423" s="60" t="str">
        <f>[1]!'5340.TW-Price'</f>
        <v>--</v>
      </c>
    </row>
    <row r="1424" spans="1:5">
      <c r="A1424" s="120">
        <v>5355</v>
      </c>
      <c r="B1424" s="122" t="s">
        <v>4912</v>
      </c>
      <c r="C1424" s="123" t="s">
        <v>5614</v>
      </c>
      <c r="D1424" s="120">
        <v>5355</v>
      </c>
      <c r="E1424" s="60" t="str">
        <f>[1]!'5355.TW-Price'</f>
        <v>--</v>
      </c>
    </row>
    <row r="1425" spans="1:5">
      <c r="A1425" s="120">
        <v>5381</v>
      </c>
      <c r="B1425" s="122" t="s">
        <v>4913</v>
      </c>
      <c r="C1425" s="123" t="s">
        <v>5614</v>
      </c>
      <c r="D1425" s="120">
        <v>5381</v>
      </c>
      <c r="E1425" s="60" t="str">
        <f>[1]!'5381.TW-Price'</f>
        <v>--</v>
      </c>
    </row>
    <row r="1426" spans="1:5">
      <c r="A1426" s="120">
        <v>5439</v>
      </c>
      <c r="B1426" s="122" t="s">
        <v>4914</v>
      </c>
      <c r="C1426" s="123" t="s">
        <v>5614</v>
      </c>
      <c r="D1426" s="120">
        <v>5439</v>
      </c>
      <c r="E1426" s="60" t="str">
        <f>[1]!'5439.TW-Price'</f>
        <v>--</v>
      </c>
    </row>
    <row r="1427" spans="1:5">
      <c r="A1427" s="120">
        <v>5457</v>
      </c>
      <c r="B1427" s="122" t="s">
        <v>3525</v>
      </c>
      <c r="C1427" s="123" t="s">
        <v>5614</v>
      </c>
      <c r="D1427" s="120">
        <v>5457</v>
      </c>
      <c r="E1427" s="60" t="str">
        <f>[1]!'5457.TW-Price'</f>
        <v>--</v>
      </c>
    </row>
    <row r="1428" spans="1:5">
      <c r="A1428" s="120">
        <v>5460</v>
      </c>
      <c r="B1428" s="122" t="s">
        <v>4915</v>
      </c>
      <c r="C1428" s="123" t="s">
        <v>5614</v>
      </c>
      <c r="D1428" s="120">
        <v>5460</v>
      </c>
      <c r="E1428" s="60" t="str">
        <f>[1]!'5460.TW-Price'</f>
        <v>--</v>
      </c>
    </row>
    <row r="1429" spans="1:5">
      <c r="A1429" s="120">
        <v>5464</v>
      </c>
      <c r="B1429" s="122" t="s">
        <v>4916</v>
      </c>
      <c r="C1429" s="123" t="s">
        <v>5614</v>
      </c>
      <c r="D1429" s="120">
        <v>5464</v>
      </c>
      <c r="E1429" s="60" t="str">
        <f>[1]!'5464.TW-Price'</f>
        <v>--</v>
      </c>
    </row>
    <row r="1430" spans="1:5">
      <c r="A1430" s="120">
        <v>5475</v>
      </c>
      <c r="B1430" s="122" t="s">
        <v>3620</v>
      </c>
      <c r="C1430" s="123" t="s">
        <v>5614</v>
      </c>
      <c r="D1430" s="120">
        <v>5475</v>
      </c>
      <c r="E1430" s="60" t="str">
        <f>[1]!'5475.TW-Price'</f>
        <v>--</v>
      </c>
    </row>
    <row r="1431" spans="1:5">
      <c r="A1431" s="120">
        <v>5488</v>
      </c>
      <c r="B1431" s="122" t="s">
        <v>4917</v>
      </c>
      <c r="C1431" s="123" t="s">
        <v>5614</v>
      </c>
      <c r="D1431" s="120">
        <v>5488</v>
      </c>
      <c r="E1431" s="60" t="str">
        <f>[1]!'5488.TW-Price'</f>
        <v>--</v>
      </c>
    </row>
    <row r="1432" spans="1:5">
      <c r="A1432" s="120">
        <v>5498</v>
      </c>
      <c r="B1432" s="122" t="s">
        <v>4918</v>
      </c>
      <c r="C1432" s="123" t="s">
        <v>5614</v>
      </c>
      <c r="D1432" s="120">
        <v>5498</v>
      </c>
      <c r="E1432" s="60" t="str">
        <f>[1]!'5498.TW-Price'</f>
        <v>--</v>
      </c>
    </row>
    <row r="1433" spans="1:5">
      <c r="A1433" s="120">
        <v>6114</v>
      </c>
      <c r="B1433" s="122" t="s">
        <v>4919</v>
      </c>
      <c r="C1433" s="123" t="s">
        <v>5614</v>
      </c>
      <c r="D1433" s="120">
        <v>6114</v>
      </c>
      <c r="E1433" s="60" t="str">
        <f>[1]!'6114.TW-Price'</f>
        <v>--</v>
      </c>
    </row>
    <row r="1434" spans="1:5">
      <c r="A1434" s="120">
        <v>6124</v>
      </c>
      <c r="B1434" s="122" t="s">
        <v>4920</v>
      </c>
      <c r="C1434" s="123" t="s">
        <v>5614</v>
      </c>
      <c r="D1434" s="120">
        <v>6124</v>
      </c>
      <c r="E1434" s="60" t="str">
        <f>[1]!'6124.TW-Price'</f>
        <v>--</v>
      </c>
    </row>
    <row r="1435" spans="1:5">
      <c r="A1435" s="120">
        <v>6126</v>
      </c>
      <c r="B1435" s="122" t="s">
        <v>4921</v>
      </c>
      <c r="C1435" s="123" t="s">
        <v>5614</v>
      </c>
      <c r="D1435" s="120">
        <v>6126</v>
      </c>
      <c r="E1435" s="60" t="str">
        <f>[1]!'6126.TW-Price'</f>
        <v>--</v>
      </c>
    </row>
    <row r="1436" spans="1:5">
      <c r="A1436" s="120">
        <v>6127</v>
      </c>
      <c r="B1436" s="122" t="s">
        <v>4922</v>
      </c>
      <c r="C1436" s="123" t="s">
        <v>5614</v>
      </c>
      <c r="D1436" s="120">
        <v>6127</v>
      </c>
      <c r="E1436" s="60" t="str">
        <f>[1]!'6127.TW-Price'</f>
        <v>--</v>
      </c>
    </row>
    <row r="1437" spans="1:5">
      <c r="A1437" s="120">
        <v>6134</v>
      </c>
      <c r="B1437" s="122" t="s">
        <v>4923</v>
      </c>
      <c r="C1437" s="123" t="s">
        <v>5614</v>
      </c>
      <c r="D1437" s="120">
        <v>6134</v>
      </c>
      <c r="E1437" s="60" t="str">
        <f>[1]!'6134.TW-Price'</f>
        <v>--</v>
      </c>
    </row>
    <row r="1438" spans="1:5">
      <c r="A1438" s="120">
        <v>6156</v>
      </c>
      <c r="B1438" s="122" t="s">
        <v>4924</v>
      </c>
      <c r="C1438" s="123" t="s">
        <v>5614</v>
      </c>
      <c r="D1438" s="120">
        <v>6156</v>
      </c>
      <c r="E1438" s="60" t="str">
        <f>[1]!'6156.TW-Price'</f>
        <v>--</v>
      </c>
    </row>
    <row r="1439" spans="1:5">
      <c r="A1439" s="120">
        <v>6158</v>
      </c>
      <c r="B1439" s="122" t="s">
        <v>4925</v>
      </c>
      <c r="C1439" s="123" t="s">
        <v>5614</v>
      </c>
      <c r="D1439" s="120">
        <v>6158</v>
      </c>
      <c r="E1439" s="60" t="str">
        <f>[1]!'6158.TW-Price'</f>
        <v>--</v>
      </c>
    </row>
    <row r="1440" spans="1:5">
      <c r="A1440" s="120">
        <v>6173</v>
      </c>
      <c r="B1440" s="122" t="s">
        <v>4926</v>
      </c>
      <c r="C1440" s="123" t="s">
        <v>5614</v>
      </c>
      <c r="D1440" s="120">
        <v>6173</v>
      </c>
      <c r="E1440" s="60" t="str">
        <f>[1]!'6173.TW-Price'</f>
        <v>--</v>
      </c>
    </row>
    <row r="1441" spans="1:5">
      <c r="A1441" s="120">
        <v>6174</v>
      </c>
      <c r="B1441" s="122" t="s">
        <v>4927</v>
      </c>
      <c r="C1441" s="123" t="s">
        <v>5614</v>
      </c>
      <c r="D1441" s="120">
        <v>6174</v>
      </c>
      <c r="E1441" s="60" t="str">
        <f>[1]!'6174.TW-Price'</f>
        <v>--</v>
      </c>
    </row>
    <row r="1442" spans="1:5">
      <c r="A1442" s="120">
        <v>6175</v>
      </c>
      <c r="B1442" s="122" t="s">
        <v>4928</v>
      </c>
      <c r="C1442" s="123" t="s">
        <v>5614</v>
      </c>
      <c r="D1442" s="120">
        <v>6175</v>
      </c>
      <c r="E1442" s="60" t="str">
        <f>[1]!'6175.TW-Price'</f>
        <v>--</v>
      </c>
    </row>
    <row r="1443" spans="1:5">
      <c r="A1443" s="120">
        <v>6185</v>
      </c>
      <c r="B1443" s="122" t="s">
        <v>4929</v>
      </c>
      <c r="C1443" s="123" t="s">
        <v>5614</v>
      </c>
      <c r="D1443" s="120">
        <v>6185</v>
      </c>
      <c r="E1443" s="60" t="str">
        <f>[1]!'6185.TW-Price'</f>
        <v>--</v>
      </c>
    </row>
    <row r="1444" spans="1:5">
      <c r="A1444" s="120">
        <v>6194</v>
      </c>
      <c r="B1444" s="122" t="s">
        <v>4930</v>
      </c>
      <c r="C1444" s="123" t="s">
        <v>5614</v>
      </c>
      <c r="D1444" s="120">
        <v>6194</v>
      </c>
      <c r="E1444" s="60" t="str">
        <f>[1]!'6194.TW-Price'</f>
        <v>--</v>
      </c>
    </row>
    <row r="1445" spans="1:5">
      <c r="A1445" s="120">
        <v>6203</v>
      </c>
      <c r="B1445" s="122" t="s">
        <v>4931</v>
      </c>
      <c r="C1445" s="123" t="s">
        <v>5614</v>
      </c>
      <c r="D1445" s="120">
        <v>6203</v>
      </c>
      <c r="E1445" s="60" t="str">
        <f>[1]!'6203.TW-Price'</f>
        <v>--</v>
      </c>
    </row>
    <row r="1446" spans="1:5">
      <c r="A1446" s="120">
        <v>6204</v>
      </c>
      <c r="B1446" s="122" t="s">
        <v>4932</v>
      </c>
      <c r="C1446" s="123" t="s">
        <v>5614</v>
      </c>
      <c r="D1446" s="120">
        <v>6204</v>
      </c>
      <c r="E1446" s="60" t="str">
        <f>[1]!'6204.TW-Price'</f>
        <v>--</v>
      </c>
    </row>
    <row r="1447" spans="1:5">
      <c r="A1447" s="120">
        <v>6207</v>
      </c>
      <c r="B1447" s="122" t="s">
        <v>4933</v>
      </c>
      <c r="C1447" s="123" t="s">
        <v>5614</v>
      </c>
      <c r="D1447" s="120">
        <v>6207</v>
      </c>
      <c r="E1447" s="60" t="str">
        <f>[1]!'6207.TW-Price'</f>
        <v>--</v>
      </c>
    </row>
    <row r="1448" spans="1:5">
      <c r="A1448" s="120">
        <v>6208</v>
      </c>
      <c r="B1448" s="122" t="s">
        <v>4934</v>
      </c>
      <c r="C1448" s="123" t="s">
        <v>5614</v>
      </c>
      <c r="D1448" s="120">
        <v>6208</v>
      </c>
      <c r="E1448" s="60">
        <f>[1]!'6208.TW-Price'</f>
        <v>53</v>
      </c>
    </row>
    <row r="1449" spans="1:5">
      <c r="A1449" s="120">
        <v>6210</v>
      </c>
      <c r="B1449" s="122" t="s">
        <v>4935</v>
      </c>
      <c r="C1449" s="123" t="s">
        <v>5614</v>
      </c>
      <c r="D1449" s="120">
        <v>6210</v>
      </c>
      <c r="E1449" s="60" t="str">
        <f>[1]!'6210.TW-Price'</f>
        <v>--</v>
      </c>
    </row>
    <row r="1450" spans="1:5">
      <c r="A1450" s="120">
        <v>6217</v>
      </c>
      <c r="B1450" s="122" t="s">
        <v>4936</v>
      </c>
      <c r="C1450" s="123" t="s">
        <v>5614</v>
      </c>
      <c r="D1450" s="120">
        <v>6217</v>
      </c>
      <c r="E1450" s="60" t="str">
        <f>[1]!'6217.TW-Price'</f>
        <v>--</v>
      </c>
    </row>
    <row r="1451" spans="1:5">
      <c r="A1451" s="120">
        <v>6220</v>
      </c>
      <c r="B1451" s="122" t="s">
        <v>4937</v>
      </c>
      <c r="C1451" s="123" t="s">
        <v>5614</v>
      </c>
      <c r="D1451" s="120">
        <v>6220</v>
      </c>
      <c r="E1451" s="60" t="str">
        <f>[1]!'6220.TW-Price'</f>
        <v>--</v>
      </c>
    </row>
    <row r="1452" spans="1:5">
      <c r="A1452" s="120">
        <v>6259</v>
      </c>
      <c r="B1452" s="122" t="s">
        <v>4938</v>
      </c>
      <c r="C1452" s="123" t="s">
        <v>5614</v>
      </c>
      <c r="D1452" s="120">
        <v>6259</v>
      </c>
      <c r="E1452" s="60" t="str">
        <f>[1]!'6259.TW-Price'</f>
        <v>--</v>
      </c>
    </row>
    <row r="1453" spans="1:5">
      <c r="A1453" s="120">
        <v>6266</v>
      </c>
      <c r="B1453" s="122" t="s">
        <v>4939</v>
      </c>
      <c r="C1453" s="123" t="s">
        <v>5614</v>
      </c>
      <c r="D1453" s="120">
        <v>6266</v>
      </c>
      <c r="E1453" s="60">
        <f>[1]!'6266.TW-Price'</f>
        <v>19.8</v>
      </c>
    </row>
    <row r="1454" spans="1:5">
      <c r="A1454" s="120">
        <v>6274</v>
      </c>
      <c r="B1454" s="122" t="s">
        <v>4940</v>
      </c>
      <c r="C1454" s="123" t="s">
        <v>5614</v>
      </c>
      <c r="D1454" s="120">
        <v>6274</v>
      </c>
      <c r="E1454" s="60" t="str">
        <f>[1]!'6274.TW-Price'</f>
        <v>--</v>
      </c>
    </row>
    <row r="1455" spans="1:5">
      <c r="A1455" s="120">
        <v>6275</v>
      </c>
      <c r="B1455" s="122" t="s">
        <v>5035</v>
      </c>
      <c r="C1455" s="123" t="s">
        <v>5614</v>
      </c>
      <c r="D1455" s="120">
        <v>6275</v>
      </c>
      <c r="E1455" s="60">
        <f>[1]!'6275.TW-Price'</f>
        <v>32</v>
      </c>
    </row>
    <row r="1456" spans="1:5">
      <c r="A1456" s="120">
        <v>6279</v>
      </c>
      <c r="B1456" s="122" t="s">
        <v>4941</v>
      </c>
      <c r="C1456" s="123" t="s">
        <v>5614</v>
      </c>
      <c r="D1456" s="120">
        <v>6279</v>
      </c>
      <c r="E1456" s="60" t="str">
        <f>[1]!'6279.TW-Price'</f>
        <v>--</v>
      </c>
    </row>
    <row r="1457" spans="1:5">
      <c r="A1457" s="120">
        <v>6284</v>
      </c>
      <c r="B1457" s="122" t="s">
        <v>4942</v>
      </c>
      <c r="C1457" s="123" t="s">
        <v>5614</v>
      </c>
      <c r="D1457" s="120">
        <v>6284</v>
      </c>
      <c r="E1457" s="60">
        <f>[1]!'6284.TW-Price'</f>
        <v>64.2</v>
      </c>
    </row>
    <row r="1458" spans="1:5">
      <c r="A1458" s="120">
        <v>6290</v>
      </c>
      <c r="B1458" s="122" t="s">
        <v>4943</v>
      </c>
      <c r="C1458" s="123" t="s">
        <v>5614</v>
      </c>
      <c r="D1458" s="120">
        <v>6290</v>
      </c>
      <c r="E1458" s="60" t="str">
        <f>[1]!'6290.TW-Price'</f>
        <v>--</v>
      </c>
    </row>
    <row r="1459" spans="1:5">
      <c r="A1459" s="120">
        <v>6292</v>
      </c>
      <c r="B1459" s="122" t="s">
        <v>4944</v>
      </c>
      <c r="C1459" s="123" t="s">
        <v>5614</v>
      </c>
      <c r="D1459" s="120">
        <v>6292</v>
      </c>
      <c r="E1459" s="60" t="str">
        <f>[1]!'6292.TW-Price'</f>
        <v>--</v>
      </c>
    </row>
    <row r="1460" spans="1:5">
      <c r="A1460" s="120">
        <v>6418</v>
      </c>
      <c r="B1460" s="122" t="s">
        <v>4945</v>
      </c>
      <c r="C1460" s="123" t="s">
        <v>5614</v>
      </c>
      <c r="D1460" s="120">
        <v>6418</v>
      </c>
      <c r="E1460" s="60" t="str">
        <f>[1]!'6418.TW-Price'</f>
        <v>--</v>
      </c>
    </row>
    <row r="1461" spans="1:5">
      <c r="A1461" s="120">
        <v>6432</v>
      </c>
      <c r="B1461" s="122" t="s">
        <v>4946</v>
      </c>
      <c r="C1461" s="123" t="s">
        <v>5614</v>
      </c>
      <c r="D1461" s="120">
        <v>6432</v>
      </c>
      <c r="E1461" s="60" t="str">
        <f>[1]!'6432.TW-Price'</f>
        <v>--</v>
      </c>
    </row>
    <row r="1462" spans="1:5">
      <c r="A1462" s="120">
        <v>6538</v>
      </c>
      <c r="B1462" s="122" t="s">
        <v>3608</v>
      </c>
      <c r="C1462" s="123" t="s">
        <v>5614</v>
      </c>
      <c r="D1462" s="120">
        <v>6538</v>
      </c>
      <c r="E1462" s="60" t="str">
        <f>[1]!'6538.TW-Price'</f>
        <v>--</v>
      </c>
    </row>
    <row r="1463" spans="1:5">
      <c r="A1463" s="120">
        <v>6642</v>
      </c>
      <c r="B1463" s="122" t="s">
        <v>4947</v>
      </c>
      <c r="C1463" s="123" t="s">
        <v>5614</v>
      </c>
      <c r="D1463" s="120">
        <v>6642</v>
      </c>
      <c r="E1463" s="60" t="str">
        <f>[1]!'6642.TW-Price'</f>
        <v>--</v>
      </c>
    </row>
    <row r="1464" spans="1:5">
      <c r="A1464" s="120">
        <v>6664</v>
      </c>
      <c r="B1464" s="122" t="s">
        <v>4948</v>
      </c>
      <c r="C1464" s="123" t="s">
        <v>5614</v>
      </c>
      <c r="D1464" s="120">
        <v>6664</v>
      </c>
      <c r="E1464" s="60" t="str">
        <f>[1]!'6664.TW-Price'</f>
        <v>--</v>
      </c>
    </row>
    <row r="1465" spans="1:5">
      <c r="A1465" s="120">
        <v>6727</v>
      </c>
      <c r="B1465" s="122" t="s">
        <v>4949</v>
      </c>
      <c r="C1465" s="123" t="s">
        <v>5614</v>
      </c>
      <c r="D1465" s="120">
        <v>6727</v>
      </c>
      <c r="E1465" s="60" t="str">
        <f>[1]!'6727.TW-Price'</f>
        <v>--</v>
      </c>
    </row>
    <row r="1466" spans="1:5">
      <c r="A1466" s="120">
        <v>8038</v>
      </c>
      <c r="B1466" s="122" t="s">
        <v>4950</v>
      </c>
      <c r="C1466" s="123" t="s">
        <v>5614</v>
      </c>
      <c r="D1466" s="120">
        <v>8038</v>
      </c>
      <c r="E1466" s="60" t="str">
        <f>[1]!'8038.TW-Price'</f>
        <v>--</v>
      </c>
    </row>
    <row r="1467" spans="1:5">
      <c r="A1467" s="120">
        <v>8042</v>
      </c>
      <c r="B1467" s="122" t="s">
        <v>4951</v>
      </c>
      <c r="C1467" s="123" t="s">
        <v>5614</v>
      </c>
      <c r="D1467" s="120">
        <v>8042</v>
      </c>
      <c r="E1467" s="60" t="str">
        <f>[1]!'8042.TW-Price'</f>
        <v>--</v>
      </c>
    </row>
    <row r="1468" spans="1:5">
      <c r="A1468" s="120">
        <v>8043</v>
      </c>
      <c r="B1468" s="122" t="s">
        <v>4952</v>
      </c>
      <c r="C1468" s="123" t="s">
        <v>5614</v>
      </c>
      <c r="D1468" s="120">
        <v>8043</v>
      </c>
      <c r="E1468" s="60" t="str">
        <f>[1]!'8043.TW-Price'</f>
        <v>--</v>
      </c>
    </row>
    <row r="1469" spans="1:5">
      <c r="A1469" s="120">
        <v>8071</v>
      </c>
      <c r="B1469" s="122" t="s">
        <v>4953</v>
      </c>
      <c r="C1469" s="123" t="s">
        <v>5614</v>
      </c>
      <c r="D1469" s="120">
        <v>8071</v>
      </c>
      <c r="E1469" s="60" t="str">
        <f>[1]!'8071.TW-Price'</f>
        <v>--</v>
      </c>
    </row>
    <row r="1470" spans="1:5">
      <c r="A1470" s="120">
        <v>8074</v>
      </c>
      <c r="B1470" s="122" t="s">
        <v>4954</v>
      </c>
      <c r="C1470" s="123" t="s">
        <v>5614</v>
      </c>
      <c r="D1470" s="120">
        <v>8074</v>
      </c>
      <c r="E1470" s="60" t="str">
        <f>[1]!'8074.TW-Price'</f>
        <v>--</v>
      </c>
    </row>
    <row r="1471" spans="1:5">
      <c r="A1471" s="120">
        <v>8080</v>
      </c>
      <c r="B1471" s="122" t="s">
        <v>5538</v>
      </c>
      <c r="C1471" s="123" t="s">
        <v>5614</v>
      </c>
      <c r="D1471" s="120">
        <v>8080</v>
      </c>
      <c r="E1471" s="60" t="str">
        <f>[1]!'8080.TW-Price'</f>
        <v>--</v>
      </c>
    </row>
    <row r="1472" spans="1:5">
      <c r="A1472" s="120">
        <v>8091</v>
      </c>
      <c r="B1472" s="122" t="s">
        <v>4955</v>
      </c>
      <c r="C1472" s="123" t="s">
        <v>5614</v>
      </c>
      <c r="D1472" s="120">
        <v>8091</v>
      </c>
      <c r="E1472" s="60" t="str">
        <f>[1]!'8091.TW-Price'</f>
        <v>--</v>
      </c>
    </row>
    <row r="1473" spans="1:5">
      <c r="A1473" s="120">
        <v>8093</v>
      </c>
      <c r="B1473" s="122" t="s">
        <v>4956</v>
      </c>
      <c r="C1473" s="123" t="s">
        <v>5614</v>
      </c>
      <c r="D1473" s="120">
        <v>8093</v>
      </c>
      <c r="E1473" s="60" t="str">
        <f>[1]!'8093.TW-Price'</f>
        <v>--</v>
      </c>
    </row>
    <row r="1474" spans="1:5">
      <c r="A1474" s="120">
        <v>8109</v>
      </c>
      <c r="B1474" s="122" t="s">
        <v>4957</v>
      </c>
      <c r="C1474" s="123" t="s">
        <v>5614</v>
      </c>
      <c r="D1474" s="120">
        <v>8109</v>
      </c>
      <c r="E1474" s="60" t="str">
        <f>[1]!'8109.TW-Price'</f>
        <v>--</v>
      </c>
    </row>
    <row r="1475" spans="1:5">
      <c r="A1475" s="120">
        <v>8121</v>
      </c>
      <c r="B1475" s="122" t="s">
        <v>4958</v>
      </c>
      <c r="C1475" s="123" t="s">
        <v>5614</v>
      </c>
      <c r="D1475" s="120">
        <v>8121</v>
      </c>
      <c r="E1475" s="60" t="str">
        <f>[1]!'8121.TW-Price'</f>
        <v>--</v>
      </c>
    </row>
    <row r="1476" spans="1:5">
      <c r="A1476" s="120">
        <v>8147</v>
      </c>
      <c r="B1476" s="122" t="s">
        <v>4959</v>
      </c>
      <c r="C1476" s="123" t="s">
        <v>5614</v>
      </c>
      <c r="D1476" s="120">
        <v>8147</v>
      </c>
      <c r="E1476" s="60" t="str">
        <f>[1]!'8147.TW-Price'</f>
        <v>--</v>
      </c>
    </row>
    <row r="1477" spans="1:5">
      <c r="A1477" s="120">
        <v>8155</v>
      </c>
      <c r="B1477" s="122" t="s">
        <v>4960</v>
      </c>
      <c r="C1477" s="123" t="s">
        <v>5614</v>
      </c>
      <c r="D1477" s="120">
        <v>8155</v>
      </c>
      <c r="E1477" s="60" t="str">
        <f>[1]!'8155.TW-Price'</f>
        <v>--</v>
      </c>
    </row>
    <row r="1478" spans="1:5">
      <c r="A1478" s="120">
        <v>8182</v>
      </c>
      <c r="B1478" s="122" t="s">
        <v>4961</v>
      </c>
      <c r="C1478" s="123" t="s">
        <v>5614</v>
      </c>
      <c r="D1478" s="120">
        <v>8182</v>
      </c>
      <c r="E1478" s="60" t="str">
        <f>[1]!'8182.TW-Price'</f>
        <v>--</v>
      </c>
    </row>
    <row r="1479" spans="1:5">
      <c r="A1479" s="120">
        <v>8289</v>
      </c>
      <c r="B1479" s="122" t="s">
        <v>4962</v>
      </c>
      <c r="C1479" s="123" t="s">
        <v>5614</v>
      </c>
      <c r="D1479" s="120">
        <v>8289</v>
      </c>
      <c r="E1479" s="60">
        <f>[1]!'8289.TW-Price'</f>
        <v>37.200000000000003</v>
      </c>
    </row>
    <row r="1480" spans="1:5">
      <c r="A1480" s="120">
        <v>8291</v>
      </c>
      <c r="B1480" s="122" t="s">
        <v>4963</v>
      </c>
      <c r="C1480" s="123" t="s">
        <v>5614</v>
      </c>
      <c r="D1480" s="120">
        <v>8291</v>
      </c>
      <c r="E1480" s="60" t="str">
        <f>[1]!'8291.TW-Price'</f>
        <v>--</v>
      </c>
    </row>
    <row r="1481" spans="1:5">
      <c r="A1481" s="120">
        <v>8358</v>
      </c>
      <c r="B1481" s="122" t="s">
        <v>3643</v>
      </c>
      <c r="C1481" s="123" t="s">
        <v>5614</v>
      </c>
      <c r="D1481" s="120">
        <v>8358</v>
      </c>
      <c r="E1481" s="60">
        <f>[1]!'8358.TW-Price'</f>
        <v>78.8</v>
      </c>
    </row>
    <row r="1482" spans="1:5">
      <c r="A1482" s="120">
        <v>3224</v>
      </c>
      <c r="B1482" s="122" t="s">
        <v>4964</v>
      </c>
      <c r="C1482" s="123" t="s">
        <v>5616</v>
      </c>
      <c r="D1482" s="120">
        <v>3224</v>
      </c>
      <c r="E1482" s="60" t="str">
        <f>[1]!'3224.TW-Price'</f>
        <v>--</v>
      </c>
    </row>
    <row r="1483" spans="1:5">
      <c r="A1483" s="120">
        <v>3232</v>
      </c>
      <c r="B1483" s="122" t="s">
        <v>4965</v>
      </c>
      <c r="C1483" s="123" t="s">
        <v>5616</v>
      </c>
      <c r="D1483" s="120">
        <v>3232</v>
      </c>
      <c r="E1483" s="60" t="str">
        <f>[1]!'3232.TW-Price'</f>
        <v>--</v>
      </c>
    </row>
    <row r="1484" spans="1:5">
      <c r="A1484" s="120">
        <v>3360</v>
      </c>
      <c r="B1484" s="122" t="s">
        <v>4966</v>
      </c>
      <c r="C1484" s="123" t="s">
        <v>5616</v>
      </c>
      <c r="D1484" s="120">
        <v>3360</v>
      </c>
      <c r="E1484" s="60" t="str">
        <f>[1]!'3360.TW-Price'</f>
        <v>--</v>
      </c>
    </row>
    <row r="1485" spans="1:5">
      <c r="A1485" s="120">
        <v>3444</v>
      </c>
      <c r="B1485" s="122" t="s">
        <v>4967</v>
      </c>
      <c r="C1485" s="123" t="s">
        <v>5616</v>
      </c>
      <c r="D1485" s="120">
        <v>3444</v>
      </c>
      <c r="E1485" s="60" t="str">
        <f>[1]!'3444.TW-Price'</f>
        <v>--</v>
      </c>
    </row>
    <row r="1486" spans="1:5">
      <c r="A1486" s="120">
        <v>6113</v>
      </c>
      <c r="B1486" s="122" t="s">
        <v>4968</v>
      </c>
      <c r="C1486" s="123" t="s">
        <v>5616</v>
      </c>
      <c r="D1486" s="120">
        <v>6113</v>
      </c>
      <c r="E1486" s="60" t="str">
        <f>[1]!'6113.TW-Price'</f>
        <v>--</v>
      </c>
    </row>
    <row r="1487" spans="1:5">
      <c r="A1487" s="120">
        <v>6118</v>
      </c>
      <c r="B1487" s="122" t="s">
        <v>4969</v>
      </c>
      <c r="C1487" s="123" t="s">
        <v>5616</v>
      </c>
      <c r="D1487" s="120">
        <v>6118</v>
      </c>
      <c r="E1487" s="60" t="str">
        <f>[1]!'6118.TW-Price'</f>
        <v>--</v>
      </c>
    </row>
    <row r="1488" spans="1:5">
      <c r="A1488" s="120">
        <v>6154</v>
      </c>
      <c r="B1488" s="122" t="s">
        <v>4970</v>
      </c>
      <c r="C1488" s="123" t="s">
        <v>5616</v>
      </c>
      <c r="D1488" s="120">
        <v>6154</v>
      </c>
      <c r="E1488" s="60" t="str">
        <f>[1]!'6154.TW-Price'</f>
        <v>--</v>
      </c>
    </row>
    <row r="1489" spans="1:5">
      <c r="A1489" s="120">
        <v>6227</v>
      </c>
      <c r="B1489" s="122" t="s">
        <v>4971</v>
      </c>
      <c r="C1489" s="123" t="s">
        <v>5616</v>
      </c>
      <c r="D1489" s="120">
        <v>6227</v>
      </c>
      <c r="E1489" s="60" t="str">
        <f>[1]!'6227.TW-Price'</f>
        <v>--</v>
      </c>
    </row>
    <row r="1490" spans="1:5">
      <c r="A1490" s="120">
        <v>6265</v>
      </c>
      <c r="B1490" s="122" t="s">
        <v>4972</v>
      </c>
      <c r="C1490" s="123" t="s">
        <v>5616</v>
      </c>
      <c r="D1490" s="120">
        <v>6265</v>
      </c>
      <c r="E1490" s="60">
        <f>[1]!'6265.TW-Price'</f>
        <v>15.5</v>
      </c>
    </row>
    <row r="1491" spans="1:5">
      <c r="A1491" s="120">
        <v>6270</v>
      </c>
      <c r="B1491" s="122" t="s">
        <v>4973</v>
      </c>
      <c r="C1491" s="123" t="s">
        <v>5616</v>
      </c>
      <c r="D1491" s="120">
        <v>6270</v>
      </c>
      <c r="E1491" s="60" t="str">
        <f>[1]!'6270.TW-Price'</f>
        <v>--</v>
      </c>
    </row>
    <row r="1492" spans="1:5">
      <c r="A1492" s="120">
        <v>8032</v>
      </c>
      <c r="B1492" s="122" t="s">
        <v>4974</v>
      </c>
      <c r="C1492" s="123" t="s">
        <v>5616</v>
      </c>
      <c r="D1492" s="120">
        <v>8032</v>
      </c>
      <c r="E1492" s="60" t="str">
        <f>[1]!'8032.TW-Price'</f>
        <v>--</v>
      </c>
    </row>
    <row r="1493" spans="1:5">
      <c r="A1493" s="120">
        <v>8067</v>
      </c>
      <c r="B1493" s="122" t="s">
        <v>4975</v>
      </c>
      <c r="C1493" s="123" t="s">
        <v>5616</v>
      </c>
      <c r="D1493" s="120">
        <v>8067</v>
      </c>
      <c r="E1493" s="60" t="str">
        <f>[1]!'8067.TW-Price'</f>
        <v>--</v>
      </c>
    </row>
    <row r="1494" spans="1:5">
      <c r="A1494" s="120">
        <v>8068</v>
      </c>
      <c r="B1494" s="122" t="s">
        <v>4976</v>
      </c>
      <c r="C1494" s="123" t="s">
        <v>5616</v>
      </c>
      <c r="D1494" s="120">
        <v>8068</v>
      </c>
      <c r="E1494" s="60" t="str">
        <f>[1]!'8068.TW-Price'</f>
        <v>--</v>
      </c>
    </row>
    <row r="1495" spans="1:5">
      <c r="A1495" s="120">
        <v>8084</v>
      </c>
      <c r="B1495" s="122" t="s">
        <v>4977</v>
      </c>
      <c r="C1495" s="123" t="s">
        <v>5616</v>
      </c>
      <c r="D1495" s="120">
        <v>8084</v>
      </c>
      <c r="E1495" s="60" t="str">
        <f>[1]!'8084.TW-Price'</f>
        <v>--</v>
      </c>
    </row>
    <row r="1496" spans="1:5">
      <c r="A1496" s="120">
        <v>8096</v>
      </c>
      <c r="B1496" s="122" t="s">
        <v>4978</v>
      </c>
      <c r="C1496" s="123" t="s">
        <v>5616</v>
      </c>
      <c r="D1496" s="120">
        <v>8096</v>
      </c>
      <c r="E1496" s="60" t="str">
        <f>[1]!'8096.TW-Price'</f>
        <v>--</v>
      </c>
    </row>
    <row r="1497" spans="1:5">
      <c r="A1497" s="120">
        <v>3147</v>
      </c>
      <c r="B1497" s="122" t="s">
        <v>4979</v>
      </c>
      <c r="C1497" s="123" t="s">
        <v>5617</v>
      </c>
      <c r="D1497" s="120">
        <v>3147</v>
      </c>
      <c r="E1497" s="60" t="str">
        <f>[1]!'3147.TW-Price'</f>
        <v>--</v>
      </c>
    </row>
    <row r="1498" spans="1:5">
      <c r="A1498" s="120">
        <v>3570</v>
      </c>
      <c r="B1498" s="122" t="s">
        <v>4980</v>
      </c>
      <c r="C1498" s="123" t="s">
        <v>5617</v>
      </c>
      <c r="D1498" s="120">
        <v>3570</v>
      </c>
      <c r="E1498" s="60" t="str">
        <f>[1]!'3570.TW-Price'</f>
        <v>--</v>
      </c>
    </row>
    <row r="1499" spans="1:5">
      <c r="A1499" s="120">
        <v>4953</v>
      </c>
      <c r="B1499" s="122" t="s">
        <v>4981</v>
      </c>
      <c r="C1499" s="123" t="s">
        <v>5617</v>
      </c>
      <c r="D1499" s="120">
        <v>4953</v>
      </c>
      <c r="E1499" s="60" t="str">
        <f>[1]!'4953.TW-Price'</f>
        <v>--</v>
      </c>
    </row>
    <row r="1500" spans="1:5">
      <c r="A1500" s="120">
        <v>5201</v>
      </c>
      <c r="B1500" s="122" t="s">
        <v>4982</v>
      </c>
      <c r="C1500" s="123" t="s">
        <v>5617</v>
      </c>
      <c r="D1500" s="120">
        <v>5201</v>
      </c>
      <c r="E1500" s="60" t="str">
        <f>[1]!'5201.TW-Price'</f>
        <v>--</v>
      </c>
    </row>
    <row r="1501" spans="1:5">
      <c r="A1501" s="120">
        <v>5202</v>
      </c>
      <c r="B1501" s="122" t="s">
        <v>4983</v>
      </c>
      <c r="C1501" s="123" t="s">
        <v>5617</v>
      </c>
      <c r="D1501" s="120">
        <v>5202</v>
      </c>
      <c r="E1501" s="60" t="str">
        <f>[1]!'5202.TW-Price'</f>
        <v>--</v>
      </c>
    </row>
    <row r="1502" spans="1:5">
      <c r="A1502" s="120">
        <v>5209</v>
      </c>
      <c r="B1502" s="122" t="s">
        <v>4984</v>
      </c>
      <c r="C1502" s="123" t="s">
        <v>5617</v>
      </c>
      <c r="D1502" s="120">
        <v>5209</v>
      </c>
      <c r="E1502" s="60" t="str">
        <f>[1]!'5209.TW-Price'</f>
        <v>--</v>
      </c>
    </row>
    <row r="1503" spans="1:5">
      <c r="A1503" s="120">
        <v>5210</v>
      </c>
      <c r="B1503" s="122" t="s">
        <v>4985</v>
      </c>
      <c r="C1503" s="123" t="s">
        <v>5617</v>
      </c>
      <c r="D1503" s="120">
        <v>5210</v>
      </c>
      <c r="E1503" s="60" t="str">
        <f>[1]!'5210.TW-Price'</f>
        <v>--</v>
      </c>
    </row>
    <row r="1504" spans="1:5">
      <c r="A1504" s="120">
        <v>5211</v>
      </c>
      <c r="B1504" s="122" t="s">
        <v>4986</v>
      </c>
      <c r="C1504" s="123" t="s">
        <v>5617</v>
      </c>
      <c r="D1504" s="120">
        <v>5211</v>
      </c>
      <c r="E1504" s="60" t="str">
        <f>[1]!'5211.TW-Price'</f>
        <v>--</v>
      </c>
    </row>
    <row r="1505" spans="1:5">
      <c r="A1505" s="120">
        <v>5212</v>
      </c>
      <c r="B1505" s="122" t="s">
        <v>4987</v>
      </c>
      <c r="C1505" s="123" t="s">
        <v>5617</v>
      </c>
      <c r="D1505" s="120">
        <v>5212</v>
      </c>
      <c r="E1505" s="60" t="str">
        <f>[1]!'5212.TW-Price'</f>
        <v>--</v>
      </c>
    </row>
    <row r="1506" spans="1:5">
      <c r="A1506" s="120">
        <v>5310</v>
      </c>
      <c r="B1506" s="122" t="s">
        <v>4988</v>
      </c>
      <c r="C1506" s="123" t="s">
        <v>5617</v>
      </c>
      <c r="D1506" s="120">
        <v>5310</v>
      </c>
      <c r="E1506" s="60" t="str">
        <f>[1]!'5310.TW-Price'</f>
        <v>--</v>
      </c>
    </row>
    <row r="1507" spans="1:5">
      <c r="A1507" s="120">
        <v>5403</v>
      </c>
      <c r="B1507" s="122" t="s">
        <v>4989</v>
      </c>
      <c r="C1507" s="123" t="s">
        <v>5617</v>
      </c>
      <c r="D1507" s="120">
        <v>5403</v>
      </c>
      <c r="E1507" s="60" t="str">
        <f>[1]!'5403.TW-Price'</f>
        <v>--</v>
      </c>
    </row>
    <row r="1508" spans="1:5">
      <c r="A1508" s="120">
        <v>5410</v>
      </c>
      <c r="B1508" s="122" t="s">
        <v>4990</v>
      </c>
      <c r="C1508" s="123" t="s">
        <v>5617</v>
      </c>
      <c r="D1508" s="120">
        <v>5410</v>
      </c>
      <c r="E1508" s="60" t="str">
        <f>[1]!'5410.TW-Price'</f>
        <v>--</v>
      </c>
    </row>
    <row r="1509" spans="1:5">
      <c r="A1509" s="120">
        <v>6140</v>
      </c>
      <c r="B1509" s="122" t="s">
        <v>4991</v>
      </c>
      <c r="C1509" s="123" t="s">
        <v>5617</v>
      </c>
      <c r="D1509" s="120">
        <v>6140</v>
      </c>
      <c r="E1509" s="60" t="str">
        <f>[1]!'6140.TW-Price'</f>
        <v>--</v>
      </c>
    </row>
    <row r="1510" spans="1:5">
      <c r="A1510" s="120">
        <v>6148</v>
      </c>
      <c r="B1510" s="122" t="s">
        <v>4992</v>
      </c>
      <c r="C1510" s="123" t="s">
        <v>5617</v>
      </c>
      <c r="D1510" s="120">
        <v>6148</v>
      </c>
      <c r="E1510" s="60" t="str">
        <f>[1]!'6148.TW-Price'</f>
        <v>--</v>
      </c>
    </row>
    <row r="1511" spans="1:5">
      <c r="A1511" s="120">
        <v>6221</v>
      </c>
      <c r="B1511" s="122" t="s">
        <v>4993</v>
      </c>
      <c r="C1511" s="123" t="s">
        <v>5617</v>
      </c>
      <c r="D1511" s="120">
        <v>6221</v>
      </c>
      <c r="E1511" s="60" t="str">
        <f>[1]!'6221.TW-Price'</f>
        <v>--</v>
      </c>
    </row>
    <row r="1512" spans="1:5">
      <c r="A1512" s="120">
        <v>6231</v>
      </c>
      <c r="B1512" s="122" t="s">
        <v>3644</v>
      </c>
      <c r="C1512" s="123" t="s">
        <v>5617</v>
      </c>
      <c r="D1512" s="120">
        <v>6231</v>
      </c>
      <c r="E1512" s="60" t="str">
        <f>[1]!'6231.TW-Price'</f>
        <v>--</v>
      </c>
    </row>
    <row r="1513" spans="1:5">
      <c r="A1513" s="120">
        <v>6404</v>
      </c>
      <c r="B1513" s="122" t="s">
        <v>4995</v>
      </c>
      <c r="C1513" s="123" t="s">
        <v>5618</v>
      </c>
      <c r="D1513" s="120">
        <v>6404</v>
      </c>
      <c r="E1513" s="60" t="str">
        <f>[1]!'6404.TW-Price'</f>
        <v>--</v>
      </c>
    </row>
    <row r="1514" spans="1:5">
      <c r="A1514" s="120">
        <v>6516</v>
      </c>
      <c r="B1514" s="122" t="s">
        <v>4996</v>
      </c>
      <c r="C1514" s="123" t="s">
        <v>5617</v>
      </c>
      <c r="D1514" s="120">
        <v>6516</v>
      </c>
      <c r="E1514" s="60" t="str">
        <f>[1]!'6516.TW-Price'</f>
        <v>--</v>
      </c>
    </row>
    <row r="1515" spans="1:5">
      <c r="A1515" s="120">
        <v>6590</v>
      </c>
      <c r="B1515" s="122" t="s">
        <v>4997</v>
      </c>
      <c r="C1515" s="123" t="s">
        <v>5617</v>
      </c>
      <c r="D1515" s="120">
        <v>6590</v>
      </c>
      <c r="E1515" s="60" t="str">
        <f>[1]!'6590.TW-Price'</f>
        <v>--</v>
      </c>
    </row>
    <row r="1516" spans="1:5">
      <c r="A1516" s="120">
        <v>6593</v>
      </c>
      <c r="B1516" s="122" t="s">
        <v>4998</v>
      </c>
      <c r="C1516" s="123" t="s">
        <v>5617</v>
      </c>
      <c r="D1516" s="120">
        <v>6593</v>
      </c>
      <c r="E1516" s="60" t="str">
        <f>[1]!'6593.TW-Price'</f>
        <v>--</v>
      </c>
    </row>
    <row r="1517" spans="1:5">
      <c r="A1517" s="120">
        <v>6690</v>
      </c>
      <c r="B1517" s="122" t="s">
        <v>4999</v>
      </c>
      <c r="C1517" s="123" t="s">
        <v>5617</v>
      </c>
      <c r="D1517" s="120">
        <v>6690</v>
      </c>
      <c r="E1517" s="60" t="str">
        <f>[1]!'6690.TW-Price'</f>
        <v>--</v>
      </c>
    </row>
    <row r="1518" spans="1:5">
      <c r="A1518" s="120">
        <v>6697</v>
      </c>
      <c r="B1518" s="122" t="s">
        <v>5000</v>
      </c>
      <c r="C1518" s="123" t="s">
        <v>5617</v>
      </c>
      <c r="D1518" s="120">
        <v>6697</v>
      </c>
      <c r="E1518" s="60" t="str">
        <f>[1]!'6697.TW-Price'</f>
        <v>--</v>
      </c>
    </row>
    <row r="1519" spans="1:5">
      <c r="A1519" s="120">
        <v>6751</v>
      </c>
      <c r="B1519" s="122" t="s">
        <v>5001</v>
      </c>
      <c r="C1519" s="123" t="s">
        <v>5617</v>
      </c>
      <c r="D1519" s="120">
        <v>6751</v>
      </c>
      <c r="E1519" s="60" t="str">
        <f>[1]!'6751.TW-Price'</f>
        <v>--</v>
      </c>
    </row>
    <row r="1520" spans="1:5">
      <c r="A1520" s="120">
        <v>6752</v>
      </c>
      <c r="B1520" s="122" t="s">
        <v>5002</v>
      </c>
      <c r="C1520" s="123" t="s">
        <v>5617</v>
      </c>
      <c r="D1520" s="120">
        <v>6752</v>
      </c>
      <c r="E1520" s="60" t="str">
        <f>[1]!'6752.TW-Price'</f>
        <v>--</v>
      </c>
    </row>
    <row r="1521" spans="1:5">
      <c r="A1521" s="120">
        <v>8099</v>
      </c>
      <c r="B1521" s="122" t="s">
        <v>3603</v>
      </c>
      <c r="C1521" s="123" t="s">
        <v>5617</v>
      </c>
      <c r="D1521" s="120">
        <v>8099</v>
      </c>
      <c r="E1521" s="60" t="str">
        <f>[1]!'8099.TW-Price'</f>
        <v>--</v>
      </c>
    </row>
    <row r="1522" spans="1:5">
      <c r="A1522" s="120">
        <v>8284</v>
      </c>
      <c r="B1522" s="122" t="s">
        <v>5003</v>
      </c>
      <c r="C1522" s="123" t="s">
        <v>5617</v>
      </c>
      <c r="D1522" s="120">
        <v>8284</v>
      </c>
      <c r="E1522" s="60" t="str">
        <f>[1]!'8284.TW-Price'</f>
        <v>--</v>
      </c>
    </row>
    <row r="1523" spans="1:5">
      <c r="A1523" s="120">
        <v>8416</v>
      </c>
      <c r="B1523" s="122" t="s">
        <v>5004</v>
      </c>
      <c r="C1523" s="123" t="s">
        <v>5617</v>
      </c>
      <c r="D1523" s="120">
        <v>8416</v>
      </c>
      <c r="E1523" s="60" t="str">
        <f>[1]!'8416.TW-Price'</f>
        <v>--</v>
      </c>
    </row>
    <row r="1524" spans="1:5">
      <c r="A1524" s="120">
        <v>1785</v>
      </c>
      <c r="B1524" s="122" t="s">
        <v>5005</v>
      </c>
      <c r="C1524" s="123" t="s">
        <v>5619</v>
      </c>
      <c r="D1524" s="120">
        <v>1785</v>
      </c>
      <c r="E1524" s="60" t="str">
        <f>[1]!'1785.TW-Price'</f>
        <v>--</v>
      </c>
    </row>
    <row r="1525" spans="1:5">
      <c r="A1525" s="120">
        <v>3067</v>
      </c>
      <c r="B1525" s="122" t="s">
        <v>5006</v>
      </c>
      <c r="C1525" s="123" t="s">
        <v>5619</v>
      </c>
      <c r="D1525" s="120">
        <v>3067</v>
      </c>
      <c r="E1525" s="60" t="str">
        <f>[1]!'3067.TW-Price'</f>
        <v>--</v>
      </c>
    </row>
    <row r="1526" spans="1:5">
      <c r="A1526" s="120">
        <v>3093</v>
      </c>
      <c r="B1526" s="122" t="s">
        <v>5007</v>
      </c>
      <c r="C1526" s="123" t="s">
        <v>5619</v>
      </c>
      <c r="D1526" s="120">
        <v>3093</v>
      </c>
      <c r="E1526" s="60" t="str">
        <f>[1]!'3093.TW-Price'</f>
        <v>--</v>
      </c>
    </row>
    <row r="1527" spans="1:5">
      <c r="A1527" s="120">
        <v>3131</v>
      </c>
      <c r="B1527" s="122" t="s">
        <v>5008</v>
      </c>
      <c r="C1527" s="123" t="s">
        <v>5619</v>
      </c>
      <c r="D1527" s="120">
        <v>3131</v>
      </c>
      <c r="E1527" s="60" t="str">
        <f>[1]!'3131.TW-Price'</f>
        <v>--</v>
      </c>
    </row>
    <row r="1528" spans="1:5">
      <c r="A1528" s="120">
        <v>3219</v>
      </c>
      <c r="B1528" s="122" t="s">
        <v>5507</v>
      </c>
      <c r="C1528" s="123" t="s">
        <v>5619</v>
      </c>
      <c r="D1528" s="120">
        <v>3219</v>
      </c>
      <c r="E1528" s="60" t="str">
        <f>[1]!'3219.TW-Price'</f>
        <v>--</v>
      </c>
    </row>
    <row r="1529" spans="1:5">
      <c r="A1529" s="120">
        <v>3285</v>
      </c>
      <c r="B1529" s="122" t="s">
        <v>5009</v>
      </c>
      <c r="C1529" s="123" t="s">
        <v>5619</v>
      </c>
      <c r="D1529" s="120">
        <v>3285</v>
      </c>
      <c r="E1529" s="60" t="str">
        <f>[1]!'3285.TW-Price'</f>
        <v>--</v>
      </c>
    </row>
    <row r="1530" spans="1:5">
      <c r="A1530" s="120">
        <v>3289</v>
      </c>
      <c r="B1530" s="122" t="s">
        <v>5010</v>
      </c>
      <c r="C1530" s="123" t="s">
        <v>5619</v>
      </c>
      <c r="D1530" s="120">
        <v>3289</v>
      </c>
      <c r="E1530" s="60" t="str">
        <f>[1]!'3289.TW-Price'</f>
        <v>--</v>
      </c>
    </row>
    <row r="1531" spans="1:5">
      <c r="A1531" s="120">
        <v>3303</v>
      </c>
      <c r="B1531" s="122" t="s">
        <v>5011</v>
      </c>
      <c r="C1531" s="123" t="s">
        <v>5619</v>
      </c>
      <c r="D1531" s="120">
        <v>3303</v>
      </c>
      <c r="E1531" s="60" t="str">
        <f>[1]!'3303.TW-Price'</f>
        <v>--</v>
      </c>
    </row>
    <row r="1532" spans="1:5">
      <c r="A1532" s="120">
        <v>3324</v>
      </c>
      <c r="B1532" s="122" t="s">
        <v>5012</v>
      </c>
      <c r="C1532" s="123" t="s">
        <v>5619</v>
      </c>
      <c r="D1532" s="120">
        <v>3324</v>
      </c>
      <c r="E1532" s="60" t="str">
        <f>[1]!'3324.TW-Price'</f>
        <v>--</v>
      </c>
    </row>
    <row r="1533" spans="1:5">
      <c r="A1533" s="120">
        <v>3373</v>
      </c>
      <c r="B1533" s="122" t="s">
        <v>31</v>
      </c>
      <c r="C1533" s="123" t="s">
        <v>5619</v>
      </c>
      <c r="D1533" s="120">
        <v>3373</v>
      </c>
      <c r="E1533" s="60" t="str">
        <f>[1]!'3373.TW-Price'</f>
        <v>--</v>
      </c>
    </row>
    <row r="1534" spans="1:5">
      <c r="A1534" s="120">
        <v>3402</v>
      </c>
      <c r="B1534" s="122" t="s">
        <v>5013</v>
      </c>
      <c r="C1534" s="123" t="s">
        <v>5619</v>
      </c>
      <c r="D1534" s="120">
        <v>3402</v>
      </c>
      <c r="E1534" s="60" t="str">
        <f>[1]!'3402.TW-Price'</f>
        <v>--</v>
      </c>
    </row>
    <row r="1535" spans="1:5">
      <c r="A1535" s="120">
        <v>3498</v>
      </c>
      <c r="B1535" s="122" t="s">
        <v>5014</v>
      </c>
      <c r="C1535" s="123" t="s">
        <v>5619</v>
      </c>
      <c r="D1535" s="120">
        <v>3498</v>
      </c>
      <c r="E1535" s="60" t="str">
        <f>[1]!'3498.TW-Price'</f>
        <v>--</v>
      </c>
    </row>
    <row r="1536" spans="1:5">
      <c r="A1536" s="120">
        <v>3508</v>
      </c>
      <c r="B1536" s="122" t="s">
        <v>5015</v>
      </c>
      <c r="C1536" s="123" t="s">
        <v>5619</v>
      </c>
      <c r="D1536" s="120">
        <v>3508</v>
      </c>
      <c r="E1536" s="60" t="str">
        <f>[1]!'3508.TW-Price'</f>
        <v>--</v>
      </c>
    </row>
    <row r="1537" spans="1:5">
      <c r="A1537" s="120">
        <v>3541</v>
      </c>
      <c r="B1537" s="122" t="s">
        <v>5016</v>
      </c>
      <c r="C1537" s="123" t="s">
        <v>5619</v>
      </c>
      <c r="D1537" s="120">
        <v>3541</v>
      </c>
      <c r="E1537" s="60" t="str">
        <f>[1]!'3541.TW-Price'</f>
        <v>--</v>
      </c>
    </row>
    <row r="1538" spans="1:5">
      <c r="A1538" s="120">
        <v>3551</v>
      </c>
      <c r="B1538" s="122" t="s">
        <v>5017</v>
      </c>
      <c r="C1538" s="123" t="s">
        <v>5619</v>
      </c>
      <c r="D1538" s="120">
        <v>3551</v>
      </c>
      <c r="E1538" s="60" t="str">
        <f>[1]!'3551.TW-Price'</f>
        <v>--</v>
      </c>
    </row>
    <row r="1539" spans="1:5">
      <c r="A1539" s="120">
        <v>3552</v>
      </c>
      <c r="B1539" s="122" t="s">
        <v>5018</v>
      </c>
      <c r="C1539" s="123" t="s">
        <v>5619</v>
      </c>
      <c r="D1539" s="120">
        <v>3552</v>
      </c>
      <c r="E1539" s="60" t="str">
        <f>[1]!'3552.TW-Price'</f>
        <v>--</v>
      </c>
    </row>
    <row r="1540" spans="1:5">
      <c r="A1540" s="120">
        <v>3580</v>
      </c>
      <c r="B1540" s="122" t="s">
        <v>5019</v>
      </c>
      <c r="C1540" s="123" t="s">
        <v>5619</v>
      </c>
      <c r="D1540" s="120">
        <v>3580</v>
      </c>
      <c r="E1540" s="60" t="str">
        <f>[1]!'3580.TW-Price'</f>
        <v>--</v>
      </c>
    </row>
    <row r="1541" spans="1:5">
      <c r="A1541" s="120">
        <v>3587</v>
      </c>
      <c r="B1541" s="122" t="s">
        <v>5020</v>
      </c>
      <c r="C1541" s="123" t="s">
        <v>5619</v>
      </c>
      <c r="D1541" s="120">
        <v>3587</v>
      </c>
      <c r="E1541" s="60" t="str">
        <f>[1]!'3587.TW-Price'</f>
        <v>--</v>
      </c>
    </row>
    <row r="1542" spans="1:5">
      <c r="A1542" s="120">
        <v>3628</v>
      </c>
      <c r="B1542" s="122" t="s">
        <v>5021</v>
      </c>
      <c r="C1542" s="123" t="s">
        <v>5619</v>
      </c>
      <c r="D1542" s="120">
        <v>3628</v>
      </c>
      <c r="E1542" s="60" t="str">
        <f>[1]!'3628.TW-Price'</f>
        <v>--</v>
      </c>
    </row>
    <row r="1543" spans="1:5">
      <c r="A1543" s="120">
        <v>3642</v>
      </c>
      <c r="B1543" s="122" t="s">
        <v>5022</v>
      </c>
      <c r="C1543" s="123" t="s">
        <v>5619</v>
      </c>
      <c r="D1543" s="120">
        <v>3642</v>
      </c>
      <c r="E1543" s="60" t="str">
        <f>[1]!'3642.TW-Price'</f>
        <v>--</v>
      </c>
    </row>
    <row r="1544" spans="1:5">
      <c r="A1544" s="120">
        <v>3663</v>
      </c>
      <c r="B1544" s="122" t="s">
        <v>5023</v>
      </c>
      <c r="C1544" s="123" t="s">
        <v>5619</v>
      </c>
      <c r="D1544" s="120">
        <v>3663</v>
      </c>
      <c r="E1544" s="60">
        <f>[1]!'3663.TW-Price'</f>
        <v>38.299999999999997</v>
      </c>
    </row>
    <row r="1545" spans="1:5">
      <c r="A1545" s="120">
        <v>4554</v>
      </c>
      <c r="B1545" s="122" t="s">
        <v>5024</v>
      </c>
      <c r="C1545" s="123" t="s">
        <v>5619</v>
      </c>
      <c r="D1545" s="120">
        <v>4554</v>
      </c>
      <c r="E1545" s="60" t="str">
        <f>[1]!'4554.TW-Price'</f>
        <v>--</v>
      </c>
    </row>
    <row r="1546" spans="1:5">
      <c r="A1546" s="120">
        <v>4760</v>
      </c>
      <c r="B1546" s="122" t="s">
        <v>3679</v>
      </c>
      <c r="C1546" s="123" t="s">
        <v>5619</v>
      </c>
      <c r="D1546" s="120">
        <v>4760</v>
      </c>
      <c r="E1546" s="60" t="str">
        <f>[1]!'4760.TW-Price'</f>
        <v>--</v>
      </c>
    </row>
    <row r="1547" spans="1:5">
      <c r="A1547" s="120">
        <v>5205</v>
      </c>
      <c r="B1547" s="122" t="s">
        <v>5025</v>
      </c>
      <c r="C1547" s="123" t="s">
        <v>5619</v>
      </c>
      <c r="D1547" s="120">
        <v>5205</v>
      </c>
      <c r="E1547" s="60" t="str">
        <f>[1]!'5205.TW-Price'</f>
        <v>--</v>
      </c>
    </row>
    <row r="1548" spans="1:5">
      <c r="A1548" s="120">
        <v>5383</v>
      </c>
      <c r="B1548" s="122" t="s">
        <v>5026</v>
      </c>
      <c r="C1548" s="123" t="s">
        <v>5619</v>
      </c>
      <c r="D1548" s="120">
        <v>5383</v>
      </c>
      <c r="E1548" s="60" t="str">
        <f>[1]!'5383.TW-Price'</f>
        <v>--</v>
      </c>
    </row>
    <row r="1549" spans="1:5">
      <c r="A1549" s="120">
        <v>5452</v>
      </c>
      <c r="B1549" s="122" t="s">
        <v>5027</v>
      </c>
      <c r="C1549" s="123" t="s">
        <v>5619</v>
      </c>
      <c r="D1549" s="120">
        <v>5452</v>
      </c>
      <c r="E1549" s="60" t="str">
        <f>[1]!'5452.TW-Price'</f>
        <v>--</v>
      </c>
    </row>
    <row r="1550" spans="1:5">
      <c r="A1550" s="120">
        <v>5489</v>
      </c>
      <c r="B1550" s="122" t="s">
        <v>5028</v>
      </c>
      <c r="C1550" s="123" t="s">
        <v>5619</v>
      </c>
      <c r="D1550" s="120">
        <v>5489</v>
      </c>
      <c r="E1550" s="60" t="str">
        <f>[1]!'5489.TW-Price'</f>
        <v>--</v>
      </c>
    </row>
    <row r="1551" spans="1:5">
      <c r="A1551" s="120">
        <v>5493</v>
      </c>
      <c r="B1551" s="122" t="s">
        <v>5029</v>
      </c>
      <c r="C1551" s="123" t="s">
        <v>5619</v>
      </c>
      <c r="D1551" s="120">
        <v>5493</v>
      </c>
      <c r="E1551" s="60" t="str">
        <f>[1]!'5493.TW-Price'</f>
        <v>--</v>
      </c>
    </row>
    <row r="1552" spans="1:5">
      <c r="A1552" s="120">
        <v>5536</v>
      </c>
      <c r="B1552" s="122" t="s">
        <v>5030</v>
      </c>
      <c r="C1552" s="123" t="s">
        <v>5619</v>
      </c>
      <c r="D1552" s="120">
        <v>5536</v>
      </c>
      <c r="E1552" s="60" t="str">
        <f>[1]!'5536.TW-Price'</f>
        <v>--</v>
      </c>
    </row>
    <row r="1553" spans="1:5">
      <c r="A1553" s="120">
        <v>6146</v>
      </c>
      <c r="B1553" s="122" t="s">
        <v>5031</v>
      </c>
      <c r="C1553" s="123" t="s">
        <v>5619</v>
      </c>
      <c r="D1553" s="120">
        <v>6146</v>
      </c>
      <c r="E1553" s="60" t="str">
        <f>[1]!'6146.TW-Price'</f>
        <v>--</v>
      </c>
    </row>
    <row r="1554" spans="1:5">
      <c r="A1554" s="120">
        <v>6151</v>
      </c>
      <c r="B1554" s="122" t="s">
        <v>5032</v>
      </c>
      <c r="C1554" s="123" t="s">
        <v>5619</v>
      </c>
      <c r="D1554" s="120">
        <v>6151</v>
      </c>
      <c r="E1554" s="60" t="str">
        <f>[1]!'6151.TW-Price'</f>
        <v>--</v>
      </c>
    </row>
    <row r="1555" spans="1:5">
      <c r="A1555" s="120">
        <v>6187</v>
      </c>
      <c r="B1555" s="122" t="s">
        <v>5033</v>
      </c>
      <c r="C1555" s="123" t="s">
        <v>5619</v>
      </c>
      <c r="D1555" s="120">
        <v>6187</v>
      </c>
      <c r="E1555" s="60" t="str">
        <f>[1]!'6187.TW-Price'</f>
        <v>--</v>
      </c>
    </row>
    <row r="1556" spans="1:5">
      <c r="A1556" s="120">
        <v>6247</v>
      </c>
      <c r="B1556" s="122" t="s">
        <v>5034</v>
      </c>
      <c r="C1556" s="123" t="s">
        <v>5619</v>
      </c>
      <c r="D1556" s="120">
        <v>6247</v>
      </c>
      <c r="E1556" s="60" t="str">
        <f>[1]!'6247.TW-Price'</f>
        <v>--</v>
      </c>
    </row>
    <row r="1557" spans="1:5">
      <c r="A1557" s="120">
        <v>6512</v>
      </c>
      <c r="B1557" s="122" t="s">
        <v>5036</v>
      </c>
      <c r="C1557" s="123" t="s">
        <v>5619</v>
      </c>
      <c r="D1557" s="120">
        <v>6512</v>
      </c>
      <c r="E1557" s="60" t="str">
        <f>[1]!'6512.TW-Price'</f>
        <v>--</v>
      </c>
    </row>
    <row r="1558" spans="1:5">
      <c r="A1558" s="120">
        <v>6613</v>
      </c>
      <c r="B1558" s="122" t="s">
        <v>5037</v>
      </c>
      <c r="C1558" s="123" t="s">
        <v>5619</v>
      </c>
      <c r="D1558" s="120">
        <v>6613</v>
      </c>
      <c r="E1558" s="60" t="str">
        <f>[1]!'6613.TW-Price'</f>
        <v>--</v>
      </c>
    </row>
    <row r="1559" spans="1:5">
      <c r="A1559" s="120">
        <v>6654</v>
      </c>
      <c r="B1559" s="122" t="s">
        <v>5038</v>
      </c>
      <c r="C1559" s="123" t="s">
        <v>5619</v>
      </c>
      <c r="D1559" s="120">
        <v>6654</v>
      </c>
      <c r="E1559" s="60" t="str">
        <f>[1]!'6654.TW-Price'</f>
        <v>--</v>
      </c>
    </row>
    <row r="1560" spans="1:5">
      <c r="A1560" s="120">
        <v>6667</v>
      </c>
      <c r="B1560" s="122" t="s">
        <v>5039</v>
      </c>
      <c r="C1560" s="123" t="s">
        <v>5619</v>
      </c>
      <c r="D1560" s="120">
        <v>6667</v>
      </c>
      <c r="E1560" s="60" t="str">
        <f>[1]!'6667.TW-Price'</f>
        <v>--</v>
      </c>
    </row>
    <row r="1561" spans="1:5">
      <c r="A1561" s="120">
        <v>6840</v>
      </c>
      <c r="B1561" s="122" t="s">
        <v>5532</v>
      </c>
      <c r="C1561" s="123" t="s">
        <v>5619</v>
      </c>
      <c r="D1561" s="120">
        <v>6840</v>
      </c>
      <c r="E1561" s="60" t="str">
        <f>[1]!'6840.TW-Price'</f>
        <v>--</v>
      </c>
    </row>
    <row r="1562" spans="1:5">
      <c r="A1562" s="120">
        <v>6855</v>
      </c>
      <c r="B1562" s="122" t="s">
        <v>5534</v>
      </c>
      <c r="C1562" s="123" t="s">
        <v>5619</v>
      </c>
      <c r="D1562" s="120">
        <v>6855</v>
      </c>
      <c r="E1562" s="60" t="str">
        <f>[1]!'6855.TW-Price'</f>
        <v>--</v>
      </c>
    </row>
    <row r="1563" spans="1:5">
      <c r="A1563" s="120">
        <v>8047</v>
      </c>
      <c r="B1563" s="122" t="s">
        <v>5040</v>
      </c>
      <c r="C1563" s="123" t="s">
        <v>5619</v>
      </c>
      <c r="D1563" s="120">
        <v>8047</v>
      </c>
      <c r="E1563" s="60" t="str">
        <f>[1]!'8047.TW-Price'</f>
        <v>--</v>
      </c>
    </row>
    <row r="1564" spans="1:5">
      <c r="A1564" s="120">
        <v>8085</v>
      </c>
      <c r="B1564" s="122" t="s">
        <v>5041</v>
      </c>
      <c r="C1564" s="123" t="s">
        <v>5619</v>
      </c>
      <c r="D1564" s="120">
        <v>8085</v>
      </c>
      <c r="E1564" s="60" t="str">
        <f>[1]!'8085.TW-Price'</f>
        <v>--</v>
      </c>
    </row>
    <row r="1565" spans="1:5">
      <c r="A1565" s="120">
        <v>8092</v>
      </c>
      <c r="B1565" s="122" t="s">
        <v>5042</v>
      </c>
      <c r="C1565" s="123" t="s">
        <v>5619</v>
      </c>
      <c r="D1565" s="120">
        <v>8092</v>
      </c>
      <c r="E1565" s="60" t="str">
        <f>[1]!'8092.TW-Price'</f>
        <v>--</v>
      </c>
    </row>
    <row r="1566" spans="1:5">
      <c r="A1566" s="120">
        <v>8183</v>
      </c>
      <c r="B1566" s="122" t="s">
        <v>3611</v>
      </c>
      <c r="C1566" s="123" t="s">
        <v>5619</v>
      </c>
      <c r="D1566" s="120">
        <v>8183</v>
      </c>
      <c r="E1566" s="60">
        <f>[1]!'8183.TW-Price'</f>
        <v>64.099999999999994</v>
      </c>
    </row>
    <row r="1567" spans="1:5">
      <c r="A1567" s="120">
        <v>8383</v>
      </c>
      <c r="B1567" s="122" t="s">
        <v>5043</v>
      </c>
      <c r="C1567" s="123" t="s">
        <v>5619</v>
      </c>
      <c r="D1567" s="120">
        <v>8383</v>
      </c>
      <c r="E1567" s="60" t="str">
        <f>[1]!'8383.TW-Price'</f>
        <v>--</v>
      </c>
    </row>
    <row r="1568" spans="1:5">
      <c r="A1568" s="120">
        <v>8431</v>
      </c>
      <c r="B1568" s="122" t="s">
        <v>5044</v>
      </c>
      <c r="C1568" s="123" t="s">
        <v>5619</v>
      </c>
      <c r="D1568" s="120">
        <v>8431</v>
      </c>
      <c r="E1568" s="60" t="str">
        <f>[1]!'8431.TW-Price'</f>
        <v>--</v>
      </c>
    </row>
    <row r="1569" spans="1:5">
      <c r="A1569" s="120">
        <v>8455</v>
      </c>
      <c r="B1569" s="122" t="s">
        <v>5045</v>
      </c>
      <c r="C1569" s="123" t="s">
        <v>5620</v>
      </c>
      <c r="D1569" s="120">
        <v>8455</v>
      </c>
      <c r="E1569" s="60" t="str">
        <f>[1]!'8455.TW-Price'</f>
        <v>--</v>
      </c>
    </row>
    <row r="1570" spans="1:5">
      <c r="A1570" s="120">
        <v>2596</v>
      </c>
      <c r="B1570" s="122" t="s">
        <v>5046</v>
      </c>
      <c r="C1570" s="123" t="s">
        <v>5621</v>
      </c>
      <c r="D1570" s="120">
        <v>2596</v>
      </c>
      <c r="E1570" s="60" t="str">
        <f>[1]!'2596.TW-Price'</f>
        <v>--</v>
      </c>
    </row>
    <row r="1571" spans="1:5">
      <c r="A1571" s="120">
        <v>3188</v>
      </c>
      <c r="B1571" s="122" t="s">
        <v>5048</v>
      </c>
      <c r="C1571" s="123" t="s">
        <v>5621</v>
      </c>
      <c r="D1571" s="120">
        <v>3188</v>
      </c>
      <c r="E1571" s="60" t="str">
        <f>[1]!'3188.TW-Price'</f>
        <v>--</v>
      </c>
    </row>
    <row r="1572" spans="1:5">
      <c r="A1572" s="120">
        <v>3489</v>
      </c>
      <c r="B1572" s="122" t="s">
        <v>5049</v>
      </c>
      <c r="C1572" s="123" t="s">
        <v>5621</v>
      </c>
      <c r="D1572" s="120">
        <v>3489</v>
      </c>
      <c r="E1572" s="60" t="str">
        <f>[1]!'3489.TW-Price'</f>
        <v>--</v>
      </c>
    </row>
    <row r="1573" spans="1:5">
      <c r="A1573" s="120">
        <v>4113</v>
      </c>
      <c r="B1573" s="122" t="s">
        <v>5050</v>
      </c>
      <c r="C1573" s="123" t="s">
        <v>5621</v>
      </c>
      <c r="D1573" s="120">
        <v>4113</v>
      </c>
      <c r="E1573" s="60" t="str">
        <f>[1]!'4113.TW-Price'</f>
        <v>--</v>
      </c>
    </row>
    <row r="1574" spans="1:5">
      <c r="A1574" s="120">
        <v>4416</v>
      </c>
      <c r="B1574" s="122" t="s">
        <v>5051</v>
      </c>
      <c r="C1574" s="123" t="s">
        <v>5621</v>
      </c>
      <c r="D1574" s="120">
        <v>4416</v>
      </c>
      <c r="E1574" s="60" t="str">
        <f>[1]!'4416.TW-Price'</f>
        <v>--</v>
      </c>
    </row>
    <row r="1575" spans="1:5">
      <c r="A1575" s="120">
        <v>4907</v>
      </c>
      <c r="B1575" s="122" t="s">
        <v>5052</v>
      </c>
      <c r="C1575" s="123" t="s">
        <v>5621</v>
      </c>
      <c r="D1575" s="120">
        <v>4907</v>
      </c>
      <c r="E1575" s="60" t="str">
        <f>[1]!'4907.TW-Price'</f>
        <v>--</v>
      </c>
    </row>
    <row r="1576" spans="1:5">
      <c r="A1576" s="120">
        <v>5206</v>
      </c>
      <c r="B1576" s="122" t="s">
        <v>5053</v>
      </c>
      <c r="C1576" s="123" t="s">
        <v>5621</v>
      </c>
      <c r="D1576" s="120">
        <v>5206</v>
      </c>
      <c r="E1576" s="60" t="str">
        <f>[1]!'5206.TW-Price'</f>
        <v>--</v>
      </c>
    </row>
    <row r="1577" spans="1:5">
      <c r="A1577" s="120">
        <v>5213</v>
      </c>
      <c r="B1577" s="122" t="s">
        <v>5054</v>
      </c>
      <c r="C1577" s="123" t="s">
        <v>5621</v>
      </c>
      <c r="D1577" s="120">
        <v>5213</v>
      </c>
      <c r="E1577" s="60" t="str">
        <f>[1]!'5213.TW-Price'</f>
        <v>--</v>
      </c>
    </row>
    <row r="1578" spans="1:5">
      <c r="A1578" s="120">
        <v>5324</v>
      </c>
      <c r="B1578" s="122" t="s">
        <v>5055</v>
      </c>
      <c r="C1578" s="123" t="s">
        <v>5621</v>
      </c>
      <c r="D1578" s="120">
        <v>5324</v>
      </c>
      <c r="E1578" s="60" t="str">
        <f>[1]!'5324.TW-Price'</f>
        <v>--</v>
      </c>
    </row>
    <row r="1579" spans="1:5">
      <c r="A1579" s="120">
        <v>5455</v>
      </c>
      <c r="B1579" s="122" t="s">
        <v>5056</v>
      </c>
      <c r="C1579" s="123" t="s">
        <v>5621</v>
      </c>
      <c r="D1579" s="120">
        <v>5455</v>
      </c>
      <c r="E1579" s="60" t="str">
        <f>[1]!'5455.TW-Price'</f>
        <v>--</v>
      </c>
    </row>
    <row r="1580" spans="1:5">
      <c r="A1580" s="120">
        <v>5508</v>
      </c>
      <c r="B1580" s="122" t="s">
        <v>5057</v>
      </c>
      <c r="C1580" s="123" t="s">
        <v>5621</v>
      </c>
      <c r="D1580" s="120">
        <v>5508</v>
      </c>
      <c r="E1580" s="60" t="str">
        <f>[1]!'5508.TW-Price'</f>
        <v>--</v>
      </c>
    </row>
    <row r="1581" spans="1:5">
      <c r="A1581" s="120">
        <v>5511</v>
      </c>
      <c r="B1581" s="122" t="s">
        <v>5058</v>
      </c>
      <c r="C1581" s="123" t="s">
        <v>5621</v>
      </c>
      <c r="D1581" s="120">
        <v>5511</v>
      </c>
      <c r="E1581" s="60" t="str">
        <f>[1]!'5511.TW-Price'</f>
        <v>--</v>
      </c>
    </row>
    <row r="1582" spans="1:5">
      <c r="A1582" s="120">
        <v>5512</v>
      </c>
      <c r="B1582" s="122" t="s">
        <v>5059</v>
      </c>
      <c r="C1582" s="123" t="s">
        <v>5621</v>
      </c>
      <c r="D1582" s="120">
        <v>5512</v>
      </c>
      <c r="E1582" s="60">
        <f>[1]!'5512.TW-Price'</f>
        <v>9.4700000000000006</v>
      </c>
    </row>
    <row r="1583" spans="1:5">
      <c r="A1583" s="120">
        <v>5514</v>
      </c>
      <c r="B1583" s="122" t="s">
        <v>5060</v>
      </c>
      <c r="C1583" s="123" t="s">
        <v>5621</v>
      </c>
      <c r="D1583" s="120">
        <v>5514</v>
      </c>
      <c r="E1583" s="60" t="str">
        <f>[1]!'5514.TW-Price'</f>
        <v>--</v>
      </c>
    </row>
    <row r="1584" spans="1:5">
      <c r="A1584" s="120">
        <v>5516</v>
      </c>
      <c r="B1584" s="122" t="s">
        <v>5061</v>
      </c>
      <c r="C1584" s="123" t="s">
        <v>5621</v>
      </c>
      <c r="D1584" s="120">
        <v>5516</v>
      </c>
      <c r="E1584" s="60" t="str">
        <f>[1]!'5516.TW-Price'</f>
        <v>--</v>
      </c>
    </row>
    <row r="1585" spans="1:5">
      <c r="A1585" s="120">
        <v>5520</v>
      </c>
      <c r="B1585" s="122" t="s">
        <v>5062</v>
      </c>
      <c r="C1585" s="123" t="s">
        <v>5621</v>
      </c>
      <c r="D1585" s="120">
        <v>5520</v>
      </c>
      <c r="E1585" s="60" t="str">
        <f>[1]!'5520.TW-Price'</f>
        <v>--</v>
      </c>
    </row>
    <row r="1586" spans="1:5">
      <c r="A1586" s="120">
        <v>5523</v>
      </c>
      <c r="B1586" s="122" t="s">
        <v>5063</v>
      </c>
      <c r="C1586" s="123" t="s">
        <v>5621</v>
      </c>
      <c r="D1586" s="120">
        <v>5523</v>
      </c>
      <c r="E1586" s="60" t="str">
        <f>[1]!'5523.TW-Price'</f>
        <v>--</v>
      </c>
    </row>
    <row r="1587" spans="1:5">
      <c r="A1587" s="120">
        <v>5529</v>
      </c>
      <c r="B1587" s="122" t="s">
        <v>5525</v>
      </c>
      <c r="C1587" s="123" t="s">
        <v>5621</v>
      </c>
      <c r="D1587" s="120">
        <v>5529</v>
      </c>
      <c r="E1587" s="60" t="str">
        <f>[1]!'5529.TW-Price'</f>
        <v>--</v>
      </c>
    </row>
    <row r="1588" spans="1:5">
      <c r="A1588" s="120">
        <v>5543</v>
      </c>
      <c r="B1588" s="122" t="s">
        <v>5064</v>
      </c>
      <c r="C1588" s="123" t="s">
        <v>5047</v>
      </c>
      <c r="D1588" s="120">
        <v>5543</v>
      </c>
      <c r="E1588" s="60" t="str">
        <f>[1]!'5543.TW-Price'</f>
        <v>--</v>
      </c>
    </row>
    <row r="1589" spans="1:5">
      <c r="A1589" s="120">
        <v>6171</v>
      </c>
      <c r="B1589" s="122" t="s">
        <v>5512</v>
      </c>
      <c r="C1589" s="123" t="s">
        <v>5621</v>
      </c>
      <c r="D1589" s="120">
        <v>6171</v>
      </c>
      <c r="E1589" s="60" t="str">
        <f>[1]!'6171.TW-Price'</f>
        <v>--</v>
      </c>
    </row>
    <row r="1590" spans="1:5">
      <c r="A1590" s="120">
        <v>6186</v>
      </c>
      <c r="B1590" s="122" t="s">
        <v>5065</v>
      </c>
      <c r="C1590" s="123" t="s">
        <v>5621</v>
      </c>
      <c r="D1590" s="120">
        <v>6186</v>
      </c>
      <c r="E1590" s="60">
        <f>[1]!'6186.TW-Price'</f>
        <v>27.1</v>
      </c>
    </row>
    <row r="1591" spans="1:5">
      <c r="A1591" s="120">
        <v>6212</v>
      </c>
      <c r="B1591" s="122" t="s">
        <v>5066</v>
      </c>
      <c r="C1591" s="123" t="s">
        <v>5621</v>
      </c>
      <c r="D1591" s="120">
        <v>6212</v>
      </c>
      <c r="E1591" s="60" t="str">
        <f>[1]!'6212.TW-Price'</f>
        <v>--</v>
      </c>
    </row>
    <row r="1592" spans="1:5">
      <c r="A1592" s="120">
        <v>6219</v>
      </c>
      <c r="B1592" s="122" t="s">
        <v>5067</v>
      </c>
      <c r="C1592" s="123" t="s">
        <v>5621</v>
      </c>
      <c r="D1592" s="120">
        <v>6219</v>
      </c>
      <c r="E1592" s="60" t="str">
        <f>[1]!'6219.TW-Price'</f>
        <v>--</v>
      </c>
    </row>
    <row r="1593" spans="1:5">
      <c r="A1593" s="120">
        <v>6264</v>
      </c>
      <c r="B1593" s="122" t="s">
        <v>5068</v>
      </c>
      <c r="C1593" s="123" t="s">
        <v>5621</v>
      </c>
      <c r="D1593" s="120">
        <v>6264</v>
      </c>
      <c r="E1593" s="60" t="str">
        <f>[1]!'6264.TW-Price'</f>
        <v>--</v>
      </c>
    </row>
    <row r="1594" spans="1:5">
      <c r="A1594" s="120">
        <v>8424</v>
      </c>
      <c r="B1594" s="122" t="s">
        <v>5069</v>
      </c>
      <c r="C1594" s="123" t="s">
        <v>5621</v>
      </c>
      <c r="D1594" s="120">
        <v>8424</v>
      </c>
      <c r="E1594" s="60" t="str">
        <f>[1]!'8424.TW-Price'</f>
        <v>--</v>
      </c>
    </row>
    <row r="1595" spans="1:5">
      <c r="A1595" s="120">
        <v>2641</v>
      </c>
      <c r="B1595" s="122" t="s">
        <v>3579</v>
      </c>
      <c r="C1595" s="123" t="s">
        <v>5622</v>
      </c>
      <c r="D1595" s="120">
        <v>2641</v>
      </c>
      <c r="E1595" s="60" t="str">
        <f>[1]!'2641.TW-Price'</f>
        <v>--</v>
      </c>
    </row>
    <row r="1596" spans="1:5">
      <c r="A1596" s="120">
        <v>2643</v>
      </c>
      <c r="B1596" s="122" t="s">
        <v>5070</v>
      </c>
      <c r="C1596" s="123" t="s">
        <v>5622</v>
      </c>
      <c r="D1596" s="120">
        <v>2643</v>
      </c>
      <c r="E1596" s="60" t="str">
        <f>[1]!'2643.TW-Price'</f>
        <v>--</v>
      </c>
    </row>
    <row r="1597" spans="1:5">
      <c r="A1597" s="120">
        <v>5601</v>
      </c>
      <c r="B1597" s="122" t="s">
        <v>5071</v>
      </c>
      <c r="C1597" s="123" t="s">
        <v>5622</v>
      </c>
      <c r="D1597" s="120">
        <v>5601</v>
      </c>
      <c r="E1597" s="60" t="str">
        <f>[1]!'5601.TW-Price'</f>
        <v>--</v>
      </c>
    </row>
    <row r="1598" spans="1:5">
      <c r="A1598" s="120">
        <v>5603</v>
      </c>
      <c r="B1598" s="122" t="s">
        <v>5072</v>
      </c>
      <c r="C1598" s="123" t="s">
        <v>5622</v>
      </c>
      <c r="D1598" s="120">
        <v>5603</v>
      </c>
      <c r="E1598" s="60" t="str">
        <f>[1]!'5603.TW-Price'</f>
        <v>--</v>
      </c>
    </row>
    <row r="1599" spans="1:5">
      <c r="A1599" s="120">
        <v>5609</v>
      </c>
      <c r="B1599" s="122" t="s">
        <v>5074</v>
      </c>
      <c r="C1599" s="123" t="s">
        <v>5622</v>
      </c>
      <c r="D1599" s="120">
        <v>5609</v>
      </c>
      <c r="E1599" s="60" t="str">
        <f>[1]!'5609.TW-Price'</f>
        <v>--</v>
      </c>
    </row>
    <row r="1600" spans="1:5">
      <c r="A1600" s="120">
        <v>1259</v>
      </c>
      <c r="B1600" s="122" t="s">
        <v>5075</v>
      </c>
      <c r="C1600" s="123" t="s">
        <v>5623</v>
      </c>
      <c r="D1600" s="120">
        <v>1259</v>
      </c>
      <c r="E1600" s="60" t="str">
        <f>[1]!'1259.TW-Price'</f>
        <v>--</v>
      </c>
    </row>
    <row r="1601" spans="1:5">
      <c r="A1601" s="120">
        <v>1268</v>
      </c>
      <c r="B1601" s="122" t="s">
        <v>5076</v>
      </c>
      <c r="C1601" s="123" t="s">
        <v>5623</v>
      </c>
      <c r="D1601" s="120">
        <v>1268</v>
      </c>
      <c r="E1601" s="60">
        <f>[1]!'1268.TW-Price'</f>
        <v>119.5</v>
      </c>
    </row>
    <row r="1602" spans="1:5">
      <c r="A1602" s="120">
        <v>2718</v>
      </c>
      <c r="B1602" s="122" t="s">
        <v>5077</v>
      </c>
      <c r="C1602" s="123" t="s">
        <v>5623</v>
      </c>
      <c r="D1602" s="120">
        <v>2718</v>
      </c>
      <c r="E1602" s="60" t="str">
        <f>[1]!'2718.TW-Price'</f>
        <v>--</v>
      </c>
    </row>
    <row r="1603" spans="1:5">
      <c r="A1603" s="120">
        <v>2719</v>
      </c>
      <c r="B1603" s="122" t="s">
        <v>5078</v>
      </c>
      <c r="C1603" s="123" t="s">
        <v>5623</v>
      </c>
      <c r="D1603" s="120">
        <v>2719</v>
      </c>
      <c r="E1603" s="60" t="str">
        <f>[1]!'2719.TW-Price'</f>
        <v>--</v>
      </c>
    </row>
    <row r="1604" spans="1:5">
      <c r="A1604" s="120">
        <v>2724</v>
      </c>
      <c r="B1604" s="122" t="s">
        <v>5079</v>
      </c>
      <c r="C1604" s="123" t="s">
        <v>5624</v>
      </c>
      <c r="D1604" s="120">
        <v>2724</v>
      </c>
      <c r="E1604" s="60" t="str">
        <f>[1]!'2724.TW-Price'</f>
        <v>--</v>
      </c>
    </row>
    <row r="1605" spans="1:5">
      <c r="A1605" s="120">
        <v>2726</v>
      </c>
      <c r="B1605" s="122" t="s">
        <v>5080</v>
      </c>
      <c r="C1605" s="123" t="s">
        <v>5624</v>
      </c>
      <c r="D1605" s="120">
        <v>2726</v>
      </c>
      <c r="E1605" s="60" t="str">
        <f>[1]!'2726.TW-Price'</f>
        <v>--</v>
      </c>
    </row>
    <row r="1606" spans="1:5">
      <c r="A1606" s="120">
        <v>2729</v>
      </c>
      <c r="B1606" s="122" t="s">
        <v>5081</v>
      </c>
      <c r="C1606" s="123" t="s">
        <v>5623</v>
      </c>
      <c r="D1606" s="120">
        <v>2729</v>
      </c>
      <c r="E1606" s="60" t="str">
        <f>[1]!'2729.TW-Price'</f>
        <v>--</v>
      </c>
    </row>
    <row r="1607" spans="1:5">
      <c r="A1607" s="120">
        <v>2732</v>
      </c>
      <c r="B1607" s="122" t="s">
        <v>5082</v>
      </c>
      <c r="C1607" s="123" t="s">
        <v>5623</v>
      </c>
      <c r="D1607" s="120">
        <v>2732</v>
      </c>
      <c r="E1607" s="60" t="str">
        <f>[1]!'2732.TW-Price'</f>
        <v>--</v>
      </c>
    </row>
    <row r="1608" spans="1:5">
      <c r="A1608" s="120">
        <v>2734</v>
      </c>
      <c r="B1608" s="122" t="s">
        <v>5083</v>
      </c>
      <c r="C1608" s="123" t="s">
        <v>5623</v>
      </c>
      <c r="D1608" s="120">
        <v>2734</v>
      </c>
      <c r="E1608" s="60" t="str">
        <f>[1]!'2734.TW-Price'</f>
        <v>--</v>
      </c>
    </row>
    <row r="1609" spans="1:5">
      <c r="A1609" s="120">
        <v>2736</v>
      </c>
      <c r="B1609" s="122" t="s">
        <v>5084</v>
      </c>
      <c r="C1609" s="123" t="s">
        <v>5623</v>
      </c>
      <c r="D1609" s="120">
        <v>2736</v>
      </c>
      <c r="E1609" s="60" t="str">
        <f>[1]!'2736.TW-Price'</f>
        <v>--</v>
      </c>
    </row>
    <row r="1610" spans="1:5">
      <c r="A1610" s="120">
        <v>2740</v>
      </c>
      <c r="B1610" s="122" t="s">
        <v>5085</v>
      </c>
      <c r="C1610" s="123" t="s">
        <v>5623</v>
      </c>
      <c r="D1610" s="120">
        <v>2740</v>
      </c>
      <c r="E1610" s="60" t="str">
        <f>[1]!'2740.TW-Price'</f>
        <v>--</v>
      </c>
    </row>
    <row r="1611" spans="1:5">
      <c r="A1611" s="120">
        <v>2743</v>
      </c>
      <c r="B1611" s="122" t="s">
        <v>5086</v>
      </c>
      <c r="C1611" s="123" t="s">
        <v>5623</v>
      </c>
      <c r="D1611" s="120">
        <v>2743</v>
      </c>
      <c r="E1611" s="60" t="str">
        <f>[1]!'2743.TW-Price'</f>
        <v>--</v>
      </c>
    </row>
    <row r="1612" spans="1:5">
      <c r="A1612" s="120">
        <v>2745</v>
      </c>
      <c r="B1612" s="122" t="s">
        <v>5087</v>
      </c>
      <c r="C1612" s="123" t="s">
        <v>5623</v>
      </c>
      <c r="D1612" s="120">
        <v>2745</v>
      </c>
      <c r="E1612" s="60" t="str">
        <f>[1]!'2745.TW-Price'</f>
        <v>--</v>
      </c>
    </row>
    <row r="1613" spans="1:5">
      <c r="A1613" s="120">
        <v>2752</v>
      </c>
      <c r="B1613" s="122" t="s">
        <v>5088</v>
      </c>
      <c r="C1613" s="123" t="s">
        <v>5623</v>
      </c>
      <c r="D1613" s="120">
        <v>2752</v>
      </c>
      <c r="E1613" s="60" t="str">
        <f>[1]!'2752.TW-Price'</f>
        <v>--</v>
      </c>
    </row>
    <row r="1614" spans="1:5">
      <c r="A1614" s="120">
        <v>2754</v>
      </c>
      <c r="B1614" s="122" t="s">
        <v>5089</v>
      </c>
      <c r="C1614" s="123" t="s">
        <v>5623</v>
      </c>
      <c r="D1614" s="120">
        <v>2754</v>
      </c>
      <c r="E1614" s="60" t="str">
        <f>[1]!'2754.TW-Price'</f>
        <v>--</v>
      </c>
    </row>
    <row r="1615" spans="1:5">
      <c r="A1615" s="120">
        <v>2755</v>
      </c>
      <c r="B1615" s="122" t="s">
        <v>5090</v>
      </c>
      <c r="C1615" s="123" t="s">
        <v>5623</v>
      </c>
      <c r="D1615" s="120">
        <v>2755</v>
      </c>
      <c r="E1615" s="60" t="str">
        <f>[1]!'2755.TW-Price'</f>
        <v>--</v>
      </c>
    </row>
    <row r="1616" spans="1:5">
      <c r="A1616" s="120">
        <v>3252</v>
      </c>
      <c r="B1616" s="122" t="s">
        <v>5091</v>
      </c>
      <c r="C1616" s="123" t="s">
        <v>5623</v>
      </c>
      <c r="D1616" s="120">
        <v>3252</v>
      </c>
      <c r="E1616" s="60" t="str">
        <f>[1]!'3252.TW-Price'</f>
        <v>--</v>
      </c>
    </row>
    <row r="1617" spans="1:5">
      <c r="A1617" s="120">
        <v>3522</v>
      </c>
      <c r="B1617" s="122" t="s">
        <v>5092</v>
      </c>
      <c r="C1617" s="123" t="s">
        <v>5623</v>
      </c>
      <c r="D1617" s="120">
        <v>3522</v>
      </c>
      <c r="E1617" s="60" t="str">
        <f>[1]!'3522.TW-Price'</f>
        <v>--</v>
      </c>
    </row>
    <row r="1618" spans="1:5">
      <c r="A1618" s="120">
        <v>4804</v>
      </c>
      <c r="B1618" s="122" t="s">
        <v>5093</v>
      </c>
      <c r="C1618" s="123" t="s">
        <v>5624</v>
      </c>
      <c r="D1618" s="120">
        <v>4804</v>
      </c>
      <c r="E1618" s="60" t="str">
        <f>[1]!'4804.TW-Price'</f>
        <v>--</v>
      </c>
    </row>
    <row r="1619" spans="1:5">
      <c r="A1619" s="120">
        <v>5301</v>
      </c>
      <c r="B1619" s="122" t="s">
        <v>5094</v>
      </c>
      <c r="C1619" s="123" t="s">
        <v>5623</v>
      </c>
      <c r="D1619" s="120">
        <v>5301</v>
      </c>
      <c r="E1619" s="60" t="str">
        <f>[1]!'5301.TW-Price'</f>
        <v>--</v>
      </c>
    </row>
    <row r="1620" spans="1:5">
      <c r="A1620" s="120">
        <v>5364</v>
      </c>
      <c r="B1620" s="122" t="s">
        <v>5095</v>
      </c>
      <c r="C1620" s="123" t="s">
        <v>5623</v>
      </c>
      <c r="D1620" s="120">
        <v>5364</v>
      </c>
      <c r="E1620" s="60" t="str">
        <f>[1]!'5364.TW-Price'</f>
        <v>--</v>
      </c>
    </row>
    <row r="1621" spans="1:5">
      <c r="A1621" s="120">
        <v>5701</v>
      </c>
      <c r="B1621" s="122" t="s">
        <v>5096</v>
      </c>
      <c r="C1621" s="123" t="s">
        <v>5623</v>
      </c>
      <c r="D1621" s="120">
        <v>5701</v>
      </c>
      <c r="E1621" s="60" t="str">
        <f>[1]!'5701.TW-Price'</f>
        <v>--</v>
      </c>
    </row>
    <row r="1622" spans="1:5">
      <c r="A1622" s="120">
        <v>5703</v>
      </c>
      <c r="B1622" s="122" t="s">
        <v>5097</v>
      </c>
      <c r="C1622" s="123" t="s">
        <v>5623</v>
      </c>
      <c r="D1622" s="120">
        <v>5703</v>
      </c>
      <c r="E1622" s="60" t="str">
        <f>[1]!'5703.TW-Price'</f>
        <v>--</v>
      </c>
    </row>
    <row r="1623" spans="1:5">
      <c r="A1623" s="120">
        <v>5704</v>
      </c>
      <c r="B1623" s="122" t="s">
        <v>5098</v>
      </c>
      <c r="C1623" s="123" t="s">
        <v>5623</v>
      </c>
      <c r="D1623" s="120">
        <v>5704</v>
      </c>
      <c r="E1623" s="60" t="str">
        <f>[1]!'5704.TW-Price'</f>
        <v>--</v>
      </c>
    </row>
    <row r="1624" spans="1:5">
      <c r="A1624" s="120">
        <v>8077</v>
      </c>
      <c r="B1624" s="122" t="s">
        <v>5099</v>
      </c>
      <c r="C1624" s="123" t="s">
        <v>5623</v>
      </c>
      <c r="D1624" s="120">
        <v>8077</v>
      </c>
      <c r="E1624" s="60" t="str">
        <f>[1]!'8077.TW-Price'</f>
        <v>--</v>
      </c>
    </row>
    <row r="1625" spans="1:5">
      <c r="A1625" s="120">
        <v>5820</v>
      </c>
      <c r="B1625" s="122" t="s">
        <v>5100</v>
      </c>
      <c r="C1625" s="123" t="s">
        <v>5625</v>
      </c>
      <c r="D1625" s="120">
        <v>5820</v>
      </c>
      <c r="E1625" s="60" t="str">
        <f>[1]!'5820.TW-Price'</f>
        <v>--</v>
      </c>
    </row>
    <row r="1626" spans="1:5">
      <c r="A1626" s="120">
        <v>5864</v>
      </c>
      <c r="B1626" s="122" t="s">
        <v>5101</v>
      </c>
      <c r="C1626" s="123" t="s">
        <v>5625</v>
      </c>
      <c r="D1626" s="120">
        <v>5864</v>
      </c>
      <c r="E1626" s="60" t="str">
        <f>[1]!'5864.TW-Price'</f>
        <v>--</v>
      </c>
    </row>
    <row r="1627" spans="1:5">
      <c r="A1627" s="120">
        <v>5878</v>
      </c>
      <c r="B1627" s="122" t="s">
        <v>5102</v>
      </c>
      <c r="C1627" s="123" t="s">
        <v>5625</v>
      </c>
      <c r="D1627" s="120">
        <v>5878</v>
      </c>
      <c r="E1627" s="60" t="str">
        <f>[1]!'5878.TW-Price'</f>
        <v>--</v>
      </c>
    </row>
    <row r="1628" spans="1:5">
      <c r="A1628" s="120">
        <v>6015</v>
      </c>
      <c r="B1628" s="122" t="s">
        <v>5103</v>
      </c>
      <c r="C1628" s="123" t="s">
        <v>5625</v>
      </c>
      <c r="D1628" s="120">
        <v>6015</v>
      </c>
      <c r="E1628" s="60">
        <f>[1]!'6015.TW-Price'</f>
        <v>16.850000000000001</v>
      </c>
    </row>
    <row r="1629" spans="1:5">
      <c r="A1629" s="120">
        <v>6016</v>
      </c>
      <c r="B1629" s="122" t="s">
        <v>5104</v>
      </c>
      <c r="C1629" s="123" t="s">
        <v>5625</v>
      </c>
      <c r="D1629" s="120">
        <v>6016</v>
      </c>
      <c r="E1629" s="60" t="str">
        <f>[1]!'6016.TW-Price'</f>
        <v>--</v>
      </c>
    </row>
    <row r="1630" spans="1:5">
      <c r="A1630" s="120">
        <v>6020</v>
      </c>
      <c r="B1630" s="122" t="s">
        <v>5105</v>
      </c>
      <c r="C1630" s="123" t="s">
        <v>5625</v>
      </c>
      <c r="D1630" s="120">
        <v>6020</v>
      </c>
      <c r="E1630" s="60" t="str">
        <f>[1]!'6020.TW-Price'</f>
        <v>--</v>
      </c>
    </row>
    <row r="1631" spans="1:5">
      <c r="A1631" s="120">
        <v>6021</v>
      </c>
      <c r="B1631" s="122" t="s">
        <v>5106</v>
      </c>
      <c r="C1631" s="123" t="s">
        <v>5625</v>
      </c>
      <c r="D1631" s="120">
        <v>6021</v>
      </c>
      <c r="E1631" s="60" t="str">
        <f>[1]!'6021.TW-Price'</f>
        <v>--</v>
      </c>
    </row>
    <row r="1632" spans="1:5">
      <c r="A1632" s="120">
        <v>6023</v>
      </c>
      <c r="B1632" s="122" t="s">
        <v>5107</v>
      </c>
      <c r="C1632" s="123" t="s">
        <v>5625</v>
      </c>
      <c r="D1632" s="120">
        <v>6023</v>
      </c>
      <c r="E1632" s="60" t="str">
        <f>[1]!'6023.TW-Price'</f>
        <v>--</v>
      </c>
    </row>
    <row r="1633" spans="1:5">
      <c r="A1633" s="120">
        <v>6026</v>
      </c>
      <c r="B1633" s="122" t="s">
        <v>5108</v>
      </c>
      <c r="C1633" s="123" t="s">
        <v>5625</v>
      </c>
      <c r="D1633" s="120">
        <v>6026</v>
      </c>
      <c r="E1633" s="60" t="str">
        <f>[1]!'6026.TW-Price'</f>
        <v>--</v>
      </c>
    </row>
    <row r="1634" spans="1:5">
      <c r="A1634" s="120">
        <v>2916</v>
      </c>
      <c r="B1634" s="122" t="s">
        <v>5109</v>
      </c>
      <c r="C1634" s="123" t="s">
        <v>5626</v>
      </c>
      <c r="D1634" s="120">
        <v>2916</v>
      </c>
      <c r="E1634" s="60" t="str">
        <f>[1]!'2916.TW-Price'</f>
        <v>--</v>
      </c>
    </row>
    <row r="1635" spans="1:5">
      <c r="A1635" s="120">
        <v>2924</v>
      </c>
      <c r="B1635" s="122" t="s">
        <v>5110</v>
      </c>
      <c r="C1635" s="123" t="s">
        <v>5627</v>
      </c>
      <c r="D1635" s="120">
        <v>2924</v>
      </c>
      <c r="E1635" s="60" t="str">
        <f>[1]!'2924.TW-Price'</f>
        <v>--</v>
      </c>
    </row>
    <row r="1636" spans="1:5">
      <c r="A1636" s="120">
        <v>2937</v>
      </c>
      <c r="B1636" s="122" t="s">
        <v>5111</v>
      </c>
      <c r="C1636" s="123" t="s">
        <v>5626</v>
      </c>
      <c r="D1636" s="120">
        <v>2937</v>
      </c>
      <c r="E1636" s="60" t="str">
        <f>[1]!'2937.TW-Price'</f>
        <v>--</v>
      </c>
    </row>
    <row r="1637" spans="1:5">
      <c r="A1637" s="120">
        <v>2947</v>
      </c>
      <c r="B1637" s="122" t="s">
        <v>5425</v>
      </c>
      <c r="C1637" s="123" t="s">
        <v>5626</v>
      </c>
      <c r="D1637" s="120">
        <v>2947</v>
      </c>
      <c r="E1637" s="60" t="str">
        <f>[1]!'2947.TW-Price'</f>
        <v>--</v>
      </c>
    </row>
    <row r="1638" spans="1:5">
      <c r="A1638" s="120">
        <v>3171</v>
      </c>
      <c r="B1638" s="122" t="s">
        <v>5112</v>
      </c>
      <c r="C1638" s="123" t="s">
        <v>5626</v>
      </c>
      <c r="D1638" s="120">
        <v>3171</v>
      </c>
      <c r="E1638" s="60" t="str">
        <f>[1]!'3171.TW-Price'</f>
        <v>--</v>
      </c>
    </row>
    <row r="1639" spans="1:5">
      <c r="A1639" s="120">
        <v>5902</v>
      </c>
      <c r="B1639" s="122" t="s">
        <v>5113</v>
      </c>
      <c r="C1639" s="123" t="s">
        <v>5626</v>
      </c>
      <c r="D1639" s="120">
        <v>5902</v>
      </c>
      <c r="E1639" s="60" t="str">
        <f>[1]!'5902.TW-Price'</f>
        <v>--</v>
      </c>
    </row>
    <row r="1640" spans="1:5">
      <c r="A1640" s="120">
        <v>5903</v>
      </c>
      <c r="B1640" s="122" t="s">
        <v>5114</v>
      </c>
      <c r="C1640" s="123" t="s">
        <v>5626</v>
      </c>
      <c r="D1640" s="120">
        <v>5903</v>
      </c>
      <c r="E1640" s="60" t="str">
        <f>[1]!'5903.TW-Price'</f>
        <v>--</v>
      </c>
    </row>
    <row r="1641" spans="1:5">
      <c r="A1641" s="120">
        <v>5904</v>
      </c>
      <c r="B1641" s="122" t="s">
        <v>5115</v>
      </c>
      <c r="C1641" s="123" t="s">
        <v>5626</v>
      </c>
      <c r="D1641" s="120">
        <v>5904</v>
      </c>
      <c r="E1641" s="60" t="str">
        <f>[1]!'5904.TW-Price'</f>
        <v>--</v>
      </c>
    </row>
    <row r="1642" spans="1:5">
      <c r="A1642" s="120">
        <v>5905</v>
      </c>
      <c r="B1642" s="122" t="s">
        <v>5116</v>
      </c>
      <c r="C1642" s="123" t="s">
        <v>5626</v>
      </c>
      <c r="D1642" s="120">
        <v>5905</v>
      </c>
      <c r="E1642" s="60" t="str">
        <f>[1]!'5905.TW-Price'</f>
        <v>--</v>
      </c>
    </row>
    <row r="1643" spans="1:5">
      <c r="A1643" s="120">
        <v>6195</v>
      </c>
      <c r="B1643" s="122" t="s">
        <v>5117</v>
      </c>
      <c r="C1643" s="123" t="s">
        <v>5626</v>
      </c>
      <c r="D1643" s="120">
        <v>6195</v>
      </c>
      <c r="E1643" s="60" t="str">
        <f>[1]!'6195.TW-Price'</f>
        <v>--</v>
      </c>
    </row>
    <row r="1644" spans="1:5">
      <c r="A1644" s="120">
        <v>6728</v>
      </c>
      <c r="B1644" s="122" t="s">
        <v>5118</v>
      </c>
      <c r="C1644" s="123" t="s">
        <v>5626</v>
      </c>
      <c r="D1644" s="120">
        <v>6728</v>
      </c>
      <c r="E1644" s="60" t="str">
        <f>[1]!'6728.TW-Price'</f>
        <v>--</v>
      </c>
    </row>
    <row r="1645" spans="1:5">
      <c r="A1645" s="120">
        <v>8066</v>
      </c>
      <c r="B1645" s="122" t="s">
        <v>5119</v>
      </c>
      <c r="C1645" s="123" t="s">
        <v>5626</v>
      </c>
      <c r="D1645" s="120">
        <v>8066</v>
      </c>
      <c r="E1645" s="60" t="str">
        <f>[1]!'8066.TW-Price'</f>
        <v>--</v>
      </c>
    </row>
    <row r="1646" spans="1:5">
      <c r="A1646" s="120">
        <v>8433</v>
      </c>
      <c r="B1646" s="122" t="s">
        <v>5120</v>
      </c>
      <c r="C1646" s="123" t="s">
        <v>5626</v>
      </c>
      <c r="D1646" s="120">
        <v>8433</v>
      </c>
      <c r="E1646" s="60" t="str">
        <f>[1]!'8433.TW-Price'</f>
        <v>--</v>
      </c>
    </row>
    <row r="1647" spans="1:5">
      <c r="A1647" s="120">
        <v>8941</v>
      </c>
      <c r="B1647" s="122" t="s">
        <v>5121</v>
      </c>
      <c r="C1647" s="123" t="s">
        <v>5626</v>
      </c>
      <c r="D1647" s="120">
        <v>8941</v>
      </c>
      <c r="E1647" s="60" t="str">
        <f>[1]!'8941.TW-Price'</f>
        <v>--</v>
      </c>
    </row>
    <row r="1648" spans="1:5">
      <c r="A1648" s="120">
        <v>9960</v>
      </c>
      <c r="B1648" s="122" t="s">
        <v>5122</v>
      </c>
      <c r="C1648" s="123" t="s">
        <v>5626</v>
      </c>
      <c r="D1648" s="120">
        <v>9960</v>
      </c>
      <c r="E1648" s="60" t="str">
        <f>[1]!'9960.TW-Price'</f>
        <v>--</v>
      </c>
    </row>
    <row r="1649" spans="1:5">
      <c r="A1649" s="120">
        <v>8908</v>
      </c>
      <c r="B1649" s="122" t="s">
        <v>5123</v>
      </c>
      <c r="C1649" s="123" t="s">
        <v>5628</v>
      </c>
      <c r="D1649" s="120">
        <v>8908</v>
      </c>
      <c r="E1649" s="60" t="str">
        <f>[1]!'8908.TW-Price'</f>
        <v>--</v>
      </c>
    </row>
    <row r="1650" spans="1:5">
      <c r="A1650" s="120">
        <v>8917</v>
      </c>
      <c r="B1650" s="122" t="s">
        <v>5124</v>
      </c>
      <c r="C1650" s="123" t="s">
        <v>5628</v>
      </c>
      <c r="D1650" s="120">
        <v>8917</v>
      </c>
      <c r="E1650" s="60" t="str">
        <f>[1]!'8917.TW-Price'</f>
        <v>--</v>
      </c>
    </row>
    <row r="1651" spans="1:5">
      <c r="A1651" s="120">
        <v>8927</v>
      </c>
      <c r="B1651" s="122" t="s">
        <v>5125</v>
      </c>
      <c r="C1651" s="123" t="s">
        <v>5628</v>
      </c>
      <c r="D1651" s="120">
        <v>8927</v>
      </c>
      <c r="E1651" s="60" t="str">
        <f>[1]!'8927.TW-Price'</f>
        <v>--</v>
      </c>
    </row>
    <row r="1652" spans="1:5">
      <c r="A1652" s="120">
        <v>8931</v>
      </c>
      <c r="B1652" s="122" t="s">
        <v>5126</v>
      </c>
      <c r="C1652" s="123" t="s">
        <v>5628</v>
      </c>
      <c r="D1652" s="120">
        <v>8931</v>
      </c>
      <c r="E1652" s="60" t="str">
        <f>[1]!'8931.TW-Price'</f>
        <v>--</v>
      </c>
    </row>
    <row r="1653" spans="1:5">
      <c r="A1653" s="120">
        <v>1584</v>
      </c>
      <c r="B1653" s="122" t="s">
        <v>3589</v>
      </c>
      <c r="C1653" s="123" t="s">
        <v>5629</v>
      </c>
      <c r="D1653" s="120">
        <v>1584</v>
      </c>
      <c r="E1653" s="60" t="str">
        <f>[1]!'1584.TW-Price'</f>
        <v>--</v>
      </c>
    </row>
    <row r="1654" spans="1:5">
      <c r="A1654" s="120">
        <v>2221</v>
      </c>
      <c r="B1654" s="122" t="s">
        <v>5127</v>
      </c>
      <c r="C1654" s="123" t="s">
        <v>5629</v>
      </c>
      <c r="D1654" s="120">
        <v>2221</v>
      </c>
      <c r="E1654" s="60" t="str">
        <f>[1]!'2221.TW-Price'</f>
        <v>--</v>
      </c>
    </row>
    <row r="1655" spans="1:5">
      <c r="A1655" s="120">
        <v>2640</v>
      </c>
      <c r="B1655" s="122" t="s">
        <v>5128</v>
      </c>
      <c r="C1655" s="123" t="s">
        <v>5629</v>
      </c>
      <c r="D1655" s="120">
        <v>2640</v>
      </c>
      <c r="E1655" s="60" t="str">
        <f>[1]!'2640.TW-Price'</f>
        <v>--</v>
      </c>
    </row>
    <row r="1656" spans="1:5">
      <c r="A1656" s="120">
        <v>3284</v>
      </c>
      <c r="B1656" s="122" t="s">
        <v>5129</v>
      </c>
      <c r="C1656" s="123" t="s">
        <v>5629</v>
      </c>
      <c r="D1656" s="120">
        <v>3284</v>
      </c>
      <c r="E1656" s="60" t="str">
        <f>[1]!'3284.TW-Price'</f>
        <v>--</v>
      </c>
    </row>
    <row r="1657" spans="1:5">
      <c r="A1657" s="120">
        <v>3313</v>
      </c>
      <c r="B1657" s="122" t="s">
        <v>4882</v>
      </c>
      <c r="C1657" s="123" t="s">
        <v>5629</v>
      </c>
      <c r="D1657" s="120">
        <v>3313</v>
      </c>
      <c r="E1657" s="60" t="str">
        <f>[1]!'3313.TW-Price'</f>
        <v>--</v>
      </c>
    </row>
    <row r="1658" spans="1:5">
      <c r="A1658" s="120">
        <v>4430</v>
      </c>
      <c r="B1658" s="122" t="s">
        <v>5130</v>
      </c>
      <c r="C1658" s="123" t="s">
        <v>5629</v>
      </c>
      <c r="D1658" s="120">
        <v>4430</v>
      </c>
      <c r="E1658" s="60" t="str">
        <f>[1]!'4430.TW-Price'</f>
        <v>--</v>
      </c>
    </row>
    <row r="1659" spans="1:5">
      <c r="A1659" s="120">
        <v>4529</v>
      </c>
      <c r="B1659" s="122" t="s">
        <v>5131</v>
      </c>
      <c r="C1659" s="123" t="s">
        <v>5629</v>
      </c>
      <c r="D1659" s="120">
        <v>4529</v>
      </c>
      <c r="E1659" s="60" t="str">
        <f>[1]!'4529.TW-Price'</f>
        <v>--</v>
      </c>
    </row>
    <row r="1660" spans="1:5">
      <c r="A1660" s="120">
        <v>4541</v>
      </c>
      <c r="B1660" s="122" t="s">
        <v>5132</v>
      </c>
      <c r="C1660" s="123" t="s">
        <v>5629</v>
      </c>
      <c r="D1660" s="120">
        <v>4541</v>
      </c>
      <c r="E1660" s="60" t="str">
        <f>[1]!'4541.TW-Price'</f>
        <v>--</v>
      </c>
    </row>
    <row r="1661" spans="1:5">
      <c r="A1661" s="120">
        <v>4556</v>
      </c>
      <c r="B1661" s="122" t="s">
        <v>5133</v>
      </c>
      <c r="C1661" s="123" t="s">
        <v>5629</v>
      </c>
      <c r="D1661" s="120">
        <v>4556</v>
      </c>
      <c r="E1661" s="60" t="str">
        <f>[1]!'4556.TW-Price'</f>
        <v>--</v>
      </c>
    </row>
    <row r="1662" spans="1:5">
      <c r="A1662" s="120">
        <v>4950</v>
      </c>
      <c r="B1662" s="122" t="s">
        <v>5134</v>
      </c>
      <c r="C1662" s="123" t="s">
        <v>5629</v>
      </c>
      <c r="D1662" s="120">
        <v>4950</v>
      </c>
      <c r="E1662" s="60" t="str">
        <f>[1]!'4950.TW-Price'</f>
        <v>--</v>
      </c>
    </row>
    <row r="1663" spans="1:5">
      <c r="A1663" s="120">
        <v>5276</v>
      </c>
      <c r="B1663" s="122" t="s">
        <v>5135</v>
      </c>
      <c r="C1663" s="123" t="s">
        <v>5630</v>
      </c>
      <c r="D1663" s="120">
        <v>5276</v>
      </c>
      <c r="E1663" s="60" t="str">
        <f>[1]!'5276.TW-Price'</f>
        <v>--</v>
      </c>
    </row>
    <row r="1664" spans="1:5">
      <c r="A1664" s="120">
        <v>5306</v>
      </c>
      <c r="B1664" s="122" t="s">
        <v>3648</v>
      </c>
      <c r="C1664" s="123" t="s">
        <v>5629</v>
      </c>
      <c r="D1664" s="120">
        <v>5306</v>
      </c>
      <c r="E1664" s="60" t="str">
        <f>[1]!'5306.TW-Price'</f>
        <v>--</v>
      </c>
    </row>
    <row r="1665" spans="1:5">
      <c r="A1665" s="120">
        <v>5345</v>
      </c>
      <c r="B1665" s="122" t="s">
        <v>4911</v>
      </c>
      <c r="C1665" s="123" t="s">
        <v>5629</v>
      </c>
      <c r="D1665" s="120">
        <v>5345</v>
      </c>
      <c r="E1665" s="60" t="str">
        <f>[1]!'5345.TW-Price'</f>
        <v>--</v>
      </c>
    </row>
    <row r="1666" spans="1:5">
      <c r="A1666" s="120">
        <v>5398</v>
      </c>
      <c r="B1666" s="122" t="s">
        <v>5136</v>
      </c>
      <c r="C1666" s="123" t="s">
        <v>5629</v>
      </c>
      <c r="D1666" s="120">
        <v>5398</v>
      </c>
      <c r="E1666" s="60" t="str">
        <f>[1]!'5398.TW-Price'</f>
        <v>--</v>
      </c>
    </row>
    <row r="1667" spans="1:5">
      <c r="A1667" s="120">
        <v>5450</v>
      </c>
      <c r="B1667" s="122" t="s">
        <v>5137</v>
      </c>
      <c r="C1667" s="123" t="s">
        <v>5629</v>
      </c>
      <c r="D1667" s="120">
        <v>5450</v>
      </c>
      <c r="E1667" s="60" t="str">
        <f>[1]!'5450.TW-Price'</f>
        <v>--</v>
      </c>
    </row>
    <row r="1668" spans="1:5">
      <c r="A1668" s="120">
        <v>5481</v>
      </c>
      <c r="B1668" s="122" t="s">
        <v>5138</v>
      </c>
      <c r="C1668" s="123" t="s">
        <v>5629</v>
      </c>
      <c r="D1668" s="120">
        <v>5481</v>
      </c>
      <c r="E1668" s="60" t="str">
        <f>[1]!'5481.TW-Price'</f>
        <v>--</v>
      </c>
    </row>
    <row r="1669" spans="1:5">
      <c r="A1669" s="120">
        <v>5530</v>
      </c>
      <c r="B1669" s="122" t="s">
        <v>5139</v>
      </c>
      <c r="C1669" s="123" t="s">
        <v>5629</v>
      </c>
      <c r="D1669" s="120">
        <v>5530</v>
      </c>
      <c r="E1669" s="60" t="str">
        <f>[1]!'5530.TW-Price'</f>
        <v>--</v>
      </c>
    </row>
    <row r="1670" spans="1:5">
      <c r="A1670" s="120">
        <v>5604</v>
      </c>
      <c r="B1670" s="122" t="s">
        <v>5073</v>
      </c>
      <c r="C1670" s="123" t="s">
        <v>5629</v>
      </c>
      <c r="D1670" s="120">
        <v>5604</v>
      </c>
      <c r="E1670" s="60" t="str">
        <f>[1]!'5604.TW-Price'</f>
        <v>--</v>
      </c>
    </row>
    <row r="1671" spans="1:5">
      <c r="A1671" s="120">
        <v>6179</v>
      </c>
      <c r="B1671" s="122" t="s">
        <v>5140</v>
      </c>
      <c r="C1671" s="123" t="s">
        <v>5629</v>
      </c>
      <c r="D1671" s="120">
        <v>6179</v>
      </c>
      <c r="E1671" s="60" t="str">
        <f>[1]!'6179.TW-Price'</f>
        <v>--</v>
      </c>
    </row>
    <row r="1672" spans="1:5">
      <c r="A1672" s="120">
        <v>6199</v>
      </c>
      <c r="B1672" s="122" t="s">
        <v>5141</v>
      </c>
      <c r="C1672" s="123" t="s">
        <v>5629</v>
      </c>
      <c r="D1672" s="120">
        <v>6199</v>
      </c>
      <c r="E1672" s="60" t="str">
        <f>[1]!'6199.TW-Price'</f>
        <v>--</v>
      </c>
    </row>
    <row r="1673" spans="1:5">
      <c r="A1673" s="120">
        <v>6236</v>
      </c>
      <c r="B1673" s="122" t="s">
        <v>5142</v>
      </c>
      <c r="C1673" s="123" t="s">
        <v>5629</v>
      </c>
      <c r="D1673" s="120">
        <v>6236</v>
      </c>
      <c r="E1673" s="60" t="str">
        <f>[1]!'6236.TW-Price'</f>
        <v>--</v>
      </c>
    </row>
    <row r="1674" spans="1:5">
      <c r="A1674" s="120">
        <v>6240</v>
      </c>
      <c r="B1674" s="122" t="s">
        <v>4994</v>
      </c>
      <c r="C1674" s="123" t="s">
        <v>5629</v>
      </c>
      <c r="D1674" s="120">
        <v>6240</v>
      </c>
      <c r="E1674" s="60" t="str">
        <f>[1]!'6240.TW-Price'</f>
        <v>--</v>
      </c>
    </row>
    <row r="1675" spans="1:5">
      <c r="A1675" s="120">
        <v>6616</v>
      </c>
      <c r="B1675" s="122" t="s">
        <v>5143</v>
      </c>
      <c r="C1675" s="123" t="s">
        <v>5630</v>
      </c>
      <c r="D1675" s="120">
        <v>6616</v>
      </c>
      <c r="E1675" s="60" t="str">
        <f>[1]!'6616.TW-Price'</f>
        <v>--</v>
      </c>
    </row>
    <row r="1676" spans="1:5">
      <c r="A1676" s="120">
        <v>6624</v>
      </c>
      <c r="B1676" s="122" t="s">
        <v>5144</v>
      </c>
      <c r="C1676" s="123" t="s">
        <v>5629</v>
      </c>
      <c r="D1676" s="120">
        <v>6624</v>
      </c>
      <c r="E1676" s="60" t="str">
        <f>[1]!'6624.TW-Price'</f>
        <v>--</v>
      </c>
    </row>
    <row r="1677" spans="1:5">
      <c r="A1677" s="120">
        <v>6629</v>
      </c>
      <c r="B1677" s="122" t="s">
        <v>5145</v>
      </c>
      <c r="C1677" s="123" t="s">
        <v>5630</v>
      </c>
      <c r="D1677" s="120">
        <v>6629</v>
      </c>
      <c r="E1677" s="60" t="str">
        <f>[1]!'6629.TW-Price'</f>
        <v>--</v>
      </c>
    </row>
    <row r="1678" spans="1:5">
      <c r="A1678" s="120">
        <v>6803</v>
      </c>
      <c r="B1678" s="122" t="s">
        <v>5146</v>
      </c>
      <c r="C1678" s="123" t="s">
        <v>5629</v>
      </c>
      <c r="D1678" s="120">
        <v>6803</v>
      </c>
      <c r="E1678" s="60" t="str">
        <f>[1]!'6803.TW-Price'</f>
        <v>--</v>
      </c>
    </row>
    <row r="1679" spans="1:5">
      <c r="A1679" s="120">
        <v>8342</v>
      </c>
      <c r="B1679" s="122" t="s">
        <v>5147</v>
      </c>
      <c r="C1679" s="123" t="s">
        <v>5629</v>
      </c>
      <c r="D1679" s="120">
        <v>8342</v>
      </c>
      <c r="E1679" s="60" t="str">
        <f>[1]!'8342.TW-Price'</f>
        <v>--</v>
      </c>
    </row>
    <row r="1680" spans="1:5">
      <c r="A1680" s="120">
        <v>8354</v>
      </c>
      <c r="B1680" s="122" t="s">
        <v>4508</v>
      </c>
      <c r="C1680" s="123" t="s">
        <v>5629</v>
      </c>
      <c r="D1680" s="120">
        <v>8354</v>
      </c>
      <c r="E1680" s="60" t="str">
        <f>[1]!'8354.TW-Price'</f>
        <v>--</v>
      </c>
    </row>
    <row r="1681" spans="1:5">
      <c r="A1681" s="120">
        <v>8390</v>
      </c>
      <c r="B1681" s="122" t="s">
        <v>5148</v>
      </c>
      <c r="C1681" s="123" t="s">
        <v>5629</v>
      </c>
      <c r="D1681" s="120">
        <v>8390</v>
      </c>
      <c r="E1681" s="60" t="str">
        <f>[1]!'8390.TW-Price'</f>
        <v>--</v>
      </c>
    </row>
    <row r="1682" spans="1:5">
      <c r="A1682" s="120">
        <v>8401</v>
      </c>
      <c r="B1682" s="122" t="s">
        <v>5149</v>
      </c>
      <c r="C1682" s="123" t="s">
        <v>5629</v>
      </c>
      <c r="D1682" s="120">
        <v>8401</v>
      </c>
      <c r="E1682" s="60" t="str">
        <f>[1]!'8401.TW-Price'</f>
        <v>--</v>
      </c>
    </row>
    <row r="1683" spans="1:5">
      <c r="A1683" s="120">
        <v>8418</v>
      </c>
      <c r="B1683" s="122" t="s">
        <v>5150</v>
      </c>
      <c r="C1683" s="123" t="s">
        <v>5630</v>
      </c>
      <c r="D1683" s="120">
        <v>8418</v>
      </c>
      <c r="E1683" s="60" t="str">
        <f>[1]!'8418.TW-Price'</f>
        <v>--</v>
      </c>
    </row>
    <row r="1684" spans="1:5">
      <c r="A1684" s="120">
        <v>8420</v>
      </c>
      <c r="B1684" s="122" t="s">
        <v>5151</v>
      </c>
      <c r="C1684" s="123" t="s">
        <v>5629</v>
      </c>
      <c r="D1684" s="120">
        <v>8420</v>
      </c>
      <c r="E1684" s="60" t="str">
        <f>[1]!'8420.TW-Price'</f>
        <v>--</v>
      </c>
    </row>
    <row r="1685" spans="1:5">
      <c r="A1685" s="120">
        <v>8421</v>
      </c>
      <c r="B1685" s="122" t="s">
        <v>5152</v>
      </c>
      <c r="C1685" s="123" t="s">
        <v>5629</v>
      </c>
      <c r="D1685" s="120">
        <v>8421</v>
      </c>
      <c r="E1685" s="60" t="str">
        <f>[1]!'8421.TW-Price'</f>
        <v>--</v>
      </c>
    </row>
    <row r="1686" spans="1:5">
      <c r="A1686" s="120">
        <v>8423</v>
      </c>
      <c r="B1686" s="122" t="s">
        <v>5153</v>
      </c>
      <c r="C1686" s="123" t="s">
        <v>5630</v>
      </c>
      <c r="D1686" s="120">
        <v>8423</v>
      </c>
      <c r="E1686" s="60" t="str">
        <f>[1]!'8423.TW-Price'</f>
        <v>--</v>
      </c>
    </row>
    <row r="1687" spans="1:5">
      <c r="A1687" s="120">
        <v>8426</v>
      </c>
      <c r="B1687" s="122" t="s">
        <v>5154</v>
      </c>
      <c r="C1687" s="123" t="s">
        <v>5630</v>
      </c>
      <c r="D1687" s="120">
        <v>8426</v>
      </c>
      <c r="E1687" s="60" t="str">
        <f>[1]!'8426.TW-Price'</f>
        <v>--</v>
      </c>
    </row>
    <row r="1688" spans="1:5">
      <c r="A1688" s="120">
        <v>8435</v>
      </c>
      <c r="B1688" s="122" t="s">
        <v>5155</v>
      </c>
      <c r="C1688" s="123" t="s">
        <v>5629</v>
      </c>
      <c r="D1688" s="120">
        <v>8435</v>
      </c>
      <c r="E1688" s="60" t="str">
        <f>[1]!'8435.TW-Price'</f>
        <v>--</v>
      </c>
    </row>
    <row r="1689" spans="1:5">
      <c r="A1689" s="120">
        <v>8437</v>
      </c>
      <c r="B1689" s="122" t="s">
        <v>5156</v>
      </c>
      <c r="C1689" s="123" t="s">
        <v>5630</v>
      </c>
      <c r="D1689" s="120">
        <v>8437</v>
      </c>
      <c r="E1689" s="60" t="str">
        <f>[1]!'8437.TW-Price'</f>
        <v>--</v>
      </c>
    </row>
    <row r="1690" spans="1:5">
      <c r="A1690" s="120">
        <v>8440</v>
      </c>
      <c r="B1690" s="122" t="s">
        <v>5157</v>
      </c>
      <c r="C1690" s="123" t="s">
        <v>5629</v>
      </c>
      <c r="D1690" s="120">
        <v>8440</v>
      </c>
      <c r="E1690" s="60" t="str">
        <f>[1]!'8440.TW-Price'</f>
        <v>--</v>
      </c>
    </row>
    <row r="1691" spans="1:5">
      <c r="A1691" s="120">
        <v>8444</v>
      </c>
      <c r="B1691" s="122" t="s">
        <v>5158</v>
      </c>
      <c r="C1691" s="123" t="s">
        <v>5630</v>
      </c>
      <c r="D1691" s="120">
        <v>8444</v>
      </c>
      <c r="E1691" s="60" t="str">
        <f>[1]!'8444.TW-Price'</f>
        <v>--</v>
      </c>
    </row>
    <row r="1692" spans="1:5">
      <c r="A1692" s="120">
        <v>8476</v>
      </c>
      <c r="B1692" s="122" t="s">
        <v>5159</v>
      </c>
      <c r="C1692" s="123" t="s">
        <v>5629</v>
      </c>
      <c r="D1692" s="120">
        <v>8476</v>
      </c>
      <c r="E1692" s="60" t="str">
        <f>[1]!'8476.TW-Price'</f>
        <v>--</v>
      </c>
    </row>
    <row r="1693" spans="1:5">
      <c r="A1693" s="120">
        <v>8489</v>
      </c>
      <c r="B1693" s="122" t="s">
        <v>5195</v>
      </c>
      <c r="C1693" s="123" t="s">
        <v>5629</v>
      </c>
      <c r="D1693" s="120">
        <v>8489</v>
      </c>
      <c r="E1693" s="60" t="str">
        <f>[1]!'8489.TW-Price'</f>
        <v>--</v>
      </c>
    </row>
    <row r="1694" spans="1:5">
      <c r="A1694" s="120">
        <v>8905</v>
      </c>
      <c r="B1694" s="122" t="s">
        <v>5160</v>
      </c>
      <c r="C1694" s="123" t="s">
        <v>5629</v>
      </c>
      <c r="D1694" s="120">
        <v>8905</v>
      </c>
      <c r="E1694" s="60" t="str">
        <f>[1]!'8905.TW-Price'</f>
        <v>--</v>
      </c>
    </row>
    <row r="1695" spans="1:5">
      <c r="A1695" s="120">
        <v>8906</v>
      </c>
      <c r="B1695" s="122" t="s">
        <v>5161</v>
      </c>
      <c r="C1695" s="123" t="s">
        <v>5629</v>
      </c>
      <c r="D1695" s="120">
        <v>8906</v>
      </c>
      <c r="E1695" s="60" t="str">
        <f>[1]!'8906.TW-Price'</f>
        <v>--</v>
      </c>
    </row>
    <row r="1696" spans="1:5">
      <c r="A1696" s="120">
        <v>8916</v>
      </c>
      <c r="B1696" s="122" t="s">
        <v>5162</v>
      </c>
      <c r="C1696" s="123" t="s">
        <v>5629</v>
      </c>
      <c r="D1696" s="120">
        <v>8916</v>
      </c>
      <c r="E1696" s="60" t="str">
        <f>[1]!'8916.TW-Price'</f>
        <v>--</v>
      </c>
    </row>
    <row r="1697" spans="1:5">
      <c r="A1697" s="120">
        <v>8921</v>
      </c>
      <c r="B1697" s="122" t="s">
        <v>5163</v>
      </c>
      <c r="C1697" s="123" t="s">
        <v>5629</v>
      </c>
      <c r="D1697" s="120">
        <v>8921</v>
      </c>
      <c r="E1697" s="60" t="str">
        <f>[1]!'8921.TW-Price'</f>
        <v>--</v>
      </c>
    </row>
    <row r="1698" spans="1:5">
      <c r="A1698" s="120">
        <v>8924</v>
      </c>
      <c r="B1698" s="122" t="s">
        <v>5164</v>
      </c>
      <c r="C1698" s="123" t="s">
        <v>5629</v>
      </c>
      <c r="D1698" s="120">
        <v>8924</v>
      </c>
      <c r="E1698" s="60">
        <f>[1]!'8924.TW-Price'</f>
        <v>157</v>
      </c>
    </row>
    <row r="1699" spans="1:5">
      <c r="A1699" s="120">
        <v>8928</v>
      </c>
      <c r="B1699" s="122" t="s">
        <v>5165</v>
      </c>
      <c r="C1699" s="123" t="s">
        <v>5629</v>
      </c>
      <c r="D1699" s="120">
        <v>8928</v>
      </c>
      <c r="E1699" s="60" t="str">
        <f>[1]!'8928.TW-Price'</f>
        <v>--</v>
      </c>
    </row>
    <row r="1700" spans="1:5">
      <c r="A1700" s="120">
        <v>8929</v>
      </c>
      <c r="B1700" s="122" t="s">
        <v>5166</v>
      </c>
      <c r="C1700" s="123" t="s">
        <v>5629</v>
      </c>
      <c r="D1700" s="120">
        <v>8929</v>
      </c>
      <c r="E1700" s="60" t="str">
        <f>[1]!'8929.TW-Price'</f>
        <v>--</v>
      </c>
    </row>
    <row r="1701" spans="1:5">
      <c r="A1701" s="120">
        <v>8932</v>
      </c>
      <c r="B1701" s="122" t="s">
        <v>5167</v>
      </c>
      <c r="C1701" s="123" t="s">
        <v>5629</v>
      </c>
      <c r="D1701" s="120">
        <v>8932</v>
      </c>
      <c r="E1701" s="60" t="str">
        <f>[1]!'8932.TW-Price'</f>
        <v>--</v>
      </c>
    </row>
    <row r="1702" spans="1:5">
      <c r="A1702" s="120">
        <v>8933</v>
      </c>
      <c r="B1702" s="122" t="s">
        <v>34</v>
      </c>
      <c r="C1702" s="123" t="s">
        <v>5629</v>
      </c>
      <c r="D1702" s="120">
        <v>8933</v>
      </c>
      <c r="E1702" s="60" t="str">
        <f>[1]!'8933.TW-Price'</f>
        <v>--</v>
      </c>
    </row>
    <row r="1703" spans="1:5">
      <c r="A1703" s="120">
        <v>8935</v>
      </c>
      <c r="B1703" s="122" t="s">
        <v>5168</v>
      </c>
      <c r="C1703" s="123" t="s">
        <v>5629</v>
      </c>
      <c r="D1703" s="120">
        <v>8935</v>
      </c>
      <c r="E1703" s="60" t="str">
        <f>[1]!'8935.TW-Price'</f>
        <v>--</v>
      </c>
    </row>
    <row r="1704" spans="1:5">
      <c r="A1704" s="120">
        <v>8936</v>
      </c>
      <c r="B1704" s="122" t="s">
        <v>5169</v>
      </c>
      <c r="C1704" s="123" t="s">
        <v>5629</v>
      </c>
      <c r="D1704" s="120">
        <v>8936</v>
      </c>
      <c r="E1704" s="60" t="str">
        <f>[1]!'8936.TW-Price'</f>
        <v>--</v>
      </c>
    </row>
    <row r="1705" spans="1:5">
      <c r="A1705" s="120">
        <v>8937</v>
      </c>
      <c r="B1705" s="122" t="s">
        <v>5170</v>
      </c>
      <c r="C1705" s="123" t="s">
        <v>5629</v>
      </c>
      <c r="D1705" s="120">
        <v>8937</v>
      </c>
      <c r="E1705" s="60" t="str">
        <f>[1]!'8937.TW-Price'</f>
        <v>--</v>
      </c>
    </row>
    <row r="1706" spans="1:5">
      <c r="A1706" s="120">
        <v>8938</v>
      </c>
      <c r="B1706" s="122" t="s">
        <v>5171</v>
      </c>
      <c r="C1706" s="123" t="s">
        <v>5629</v>
      </c>
      <c r="D1706" s="120">
        <v>8938</v>
      </c>
      <c r="E1706" s="60" t="str">
        <f>[1]!'8938.TW-Price'</f>
        <v>--</v>
      </c>
    </row>
    <row r="1707" spans="1:5">
      <c r="A1707" s="120">
        <v>8942</v>
      </c>
      <c r="B1707" s="122" t="s">
        <v>5172</v>
      </c>
      <c r="C1707" s="123" t="s">
        <v>5629</v>
      </c>
      <c r="D1707" s="120">
        <v>8942</v>
      </c>
      <c r="E1707" s="60" t="str">
        <f>[1]!'8942.TW-Price'</f>
        <v>--</v>
      </c>
    </row>
    <row r="1708" spans="1:5">
      <c r="A1708" s="120">
        <v>2926</v>
      </c>
      <c r="B1708" s="122" t="s">
        <v>5173</v>
      </c>
      <c r="C1708" s="123" t="s">
        <v>5631</v>
      </c>
      <c r="D1708" s="120">
        <v>2926</v>
      </c>
      <c r="E1708" s="60" t="str">
        <f>[1]!'2926.TW-Price'</f>
        <v>--</v>
      </c>
    </row>
    <row r="1709" spans="1:5">
      <c r="A1709" s="120">
        <v>3064</v>
      </c>
      <c r="B1709" s="122" t="s">
        <v>5174</v>
      </c>
      <c r="C1709" s="123" t="s">
        <v>5631</v>
      </c>
      <c r="D1709" s="120">
        <v>3064</v>
      </c>
      <c r="E1709" s="60" t="str">
        <f>[1]!'3064.TW-Price'</f>
        <v>--</v>
      </c>
    </row>
    <row r="1710" spans="1:5">
      <c r="A1710" s="120">
        <v>3083</v>
      </c>
      <c r="B1710" s="122" t="s">
        <v>5175</v>
      </c>
      <c r="C1710" s="123" t="s">
        <v>5631</v>
      </c>
      <c r="D1710" s="120">
        <v>3083</v>
      </c>
      <c r="E1710" s="60" t="str">
        <f>[1]!'3083.TW-Price'</f>
        <v>--</v>
      </c>
    </row>
    <row r="1711" spans="1:5">
      <c r="A1711" s="120">
        <v>3086</v>
      </c>
      <c r="B1711" s="122" t="s">
        <v>5176</v>
      </c>
      <c r="C1711" s="123" t="s">
        <v>5631</v>
      </c>
      <c r="D1711" s="120">
        <v>3086</v>
      </c>
      <c r="E1711" s="60" t="str">
        <f>[1]!'3086.TW-Price'</f>
        <v>--</v>
      </c>
    </row>
    <row r="1712" spans="1:5">
      <c r="A1712" s="120">
        <v>3293</v>
      </c>
      <c r="B1712" s="122" t="s">
        <v>5177</v>
      </c>
      <c r="C1712" s="123" t="s">
        <v>5631</v>
      </c>
      <c r="D1712" s="120">
        <v>3293</v>
      </c>
      <c r="E1712" s="60" t="str">
        <f>[1]!'3293.TW-Price'</f>
        <v>--</v>
      </c>
    </row>
    <row r="1713" spans="1:5">
      <c r="A1713" s="120">
        <v>3546</v>
      </c>
      <c r="B1713" s="122" t="s">
        <v>5178</v>
      </c>
      <c r="C1713" s="123" t="s">
        <v>5631</v>
      </c>
      <c r="D1713" s="120">
        <v>3546</v>
      </c>
      <c r="E1713" s="60" t="str">
        <f>[1]!'3546.TW-Price'</f>
        <v>--</v>
      </c>
    </row>
    <row r="1714" spans="1:5">
      <c r="A1714" s="120">
        <v>3629</v>
      </c>
      <c r="B1714" s="122" t="s">
        <v>5179</v>
      </c>
      <c r="C1714" s="123" t="s">
        <v>5631</v>
      </c>
      <c r="D1714" s="120">
        <v>3629</v>
      </c>
      <c r="E1714" s="60" t="str">
        <f>[1]!'3629.TW-Price'</f>
        <v>--</v>
      </c>
    </row>
    <row r="1715" spans="1:5">
      <c r="A1715" s="120">
        <v>4803</v>
      </c>
      <c r="B1715" s="122" t="s">
        <v>2101</v>
      </c>
      <c r="C1715" s="123" t="s">
        <v>5632</v>
      </c>
      <c r="D1715" s="120">
        <v>4803</v>
      </c>
      <c r="E1715" s="60" t="str">
        <f>[1]!'4803.TW-Price'</f>
        <v>--</v>
      </c>
    </row>
    <row r="1716" spans="1:5">
      <c r="A1716" s="120">
        <v>4806</v>
      </c>
      <c r="B1716" s="122" t="s">
        <v>5180</v>
      </c>
      <c r="C1716" s="123" t="s">
        <v>5631</v>
      </c>
      <c r="D1716" s="120">
        <v>4806</v>
      </c>
      <c r="E1716" s="60" t="str">
        <f>[1]!'4806.TW-Price'</f>
        <v>--</v>
      </c>
    </row>
    <row r="1717" spans="1:5">
      <c r="A1717" s="120">
        <v>4946</v>
      </c>
      <c r="B1717" s="122" t="s">
        <v>5181</v>
      </c>
      <c r="C1717" s="123" t="s">
        <v>5631</v>
      </c>
      <c r="D1717" s="120">
        <v>4946</v>
      </c>
      <c r="E1717" s="60" t="str">
        <f>[1]!'4946.TW-Price'</f>
        <v>--</v>
      </c>
    </row>
    <row r="1718" spans="1:5">
      <c r="A1718" s="120">
        <v>5263</v>
      </c>
      <c r="B1718" s="122" t="s">
        <v>5182</v>
      </c>
      <c r="C1718" s="123" t="s">
        <v>5631</v>
      </c>
      <c r="D1718" s="120">
        <v>5263</v>
      </c>
      <c r="E1718" s="60" t="str">
        <f>[1]!'5263.TW-Price'</f>
        <v>--</v>
      </c>
    </row>
    <row r="1719" spans="1:5">
      <c r="A1719" s="120">
        <v>5478</v>
      </c>
      <c r="B1719" s="122" t="s">
        <v>5183</v>
      </c>
      <c r="C1719" s="123" t="s">
        <v>5631</v>
      </c>
      <c r="D1719" s="120">
        <v>5478</v>
      </c>
      <c r="E1719" s="60" t="str">
        <f>[1]!'5478.TW-Price'</f>
        <v>--</v>
      </c>
    </row>
    <row r="1720" spans="1:5">
      <c r="A1720" s="120">
        <v>6101</v>
      </c>
      <c r="B1720" s="122" t="s">
        <v>5184</v>
      </c>
      <c r="C1720" s="123" t="s">
        <v>5631</v>
      </c>
      <c r="D1720" s="120">
        <v>6101</v>
      </c>
      <c r="E1720" s="60" t="str">
        <f>[1]!'6101.TW-Price'</f>
        <v>--</v>
      </c>
    </row>
    <row r="1721" spans="1:5">
      <c r="A1721" s="120">
        <v>6111</v>
      </c>
      <c r="B1721" s="122" t="s">
        <v>5185</v>
      </c>
      <c r="C1721" s="123" t="s">
        <v>5631</v>
      </c>
      <c r="D1721" s="120">
        <v>6111</v>
      </c>
      <c r="E1721" s="60" t="str">
        <f>[1]!'6111.TW-Price'</f>
        <v>--</v>
      </c>
    </row>
    <row r="1722" spans="1:5">
      <c r="A1722" s="120">
        <v>6144</v>
      </c>
      <c r="B1722" s="122" t="s">
        <v>5186</v>
      </c>
      <c r="C1722" s="123" t="s">
        <v>5631</v>
      </c>
      <c r="D1722" s="120">
        <v>6144</v>
      </c>
      <c r="E1722" s="60" t="str">
        <f>[1]!'6144.TW-Price'</f>
        <v>--</v>
      </c>
    </row>
    <row r="1723" spans="1:5">
      <c r="A1723" s="120">
        <v>6169</v>
      </c>
      <c r="B1723" s="122" t="s">
        <v>5187</v>
      </c>
      <c r="C1723" s="123" t="s">
        <v>5631</v>
      </c>
      <c r="D1723" s="120">
        <v>6169</v>
      </c>
      <c r="E1723" s="60" t="str">
        <f>[1]!'6169.TW-Price'</f>
        <v>--</v>
      </c>
    </row>
    <row r="1724" spans="1:5">
      <c r="A1724" s="120">
        <v>6180</v>
      </c>
      <c r="B1724" s="122" t="s">
        <v>5188</v>
      </c>
      <c r="C1724" s="123" t="s">
        <v>5631</v>
      </c>
      <c r="D1724" s="120">
        <v>6180</v>
      </c>
      <c r="E1724" s="60" t="str">
        <f>[1]!'6180.TW-Price'</f>
        <v>--</v>
      </c>
    </row>
    <row r="1725" spans="1:5">
      <c r="A1725" s="120">
        <v>6294</v>
      </c>
      <c r="B1725" s="122" t="s">
        <v>5189</v>
      </c>
      <c r="C1725" s="123" t="s">
        <v>5631</v>
      </c>
      <c r="D1725" s="120">
        <v>6294</v>
      </c>
      <c r="E1725" s="60" t="str">
        <f>[1]!'6294.TW-Price'</f>
        <v>--</v>
      </c>
    </row>
    <row r="1726" spans="1:5">
      <c r="A1726" s="120">
        <v>6482</v>
      </c>
      <c r="B1726" s="122" t="s">
        <v>5190</v>
      </c>
      <c r="C1726" s="123" t="s">
        <v>5631</v>
      </c>
      <c r="D1726" s="120">
        <v>6482</v>
      </c>
      <c r="E1726" s="60" t="str">
        <f>[1]!'6482.TW-Price'</f>
        <v>--</v>
      </c>
    </row>
    <row r="1727" spans="1:5">
      <c r="A1727" s="120">
        <v>6542</v>
      </c>
      <c r="B1727" s="122" t="s">
        <v>5191</v>
      </c>
      <c r="C1727" s="123" t="s">
        <v>5631</v>
      </c>
      <c r="D1727" s="120">
        <v>6542</v>
      </c>
      <c r="E1727" s="60" t="str">
        <f>[1]!'6542.TW-Price'</f>
        <v>--</v>
      </c>
    </row>
    <row r="1728" spans="1:5">
      <c r="A1728" s="120">
        <v>6596</v>
      </c>
      <c r="B1728" s="122" t="s">
        <v>5192</v>
      </c>
      <c r="C1728" s="123" t="s">
        <v>5631</v>
      </c>
      <c r="D1728" s="120">
        <v>6596</v>
      </c>
      <c r="E1728" s="60" t="str">
        <f>[1]!'6596.TW-Price'</f>
        <v>--</v>
      </c>
    </row>
    <row r="1729" spans="1:5">
      <c r="A1729" s="120">
        <v>8446</v>
      </c>
      <c r="B1729" s="122" t="s">
        <v>5193</v>
      </c>
      <c r="C1729" s="123" t="s">
        <v>5631</v>
      </c>
      <c r="D1729" s="120">
        <v>8446</v>
      </c>
      <c r="E1729" s="60" t="str">
        <f>[1]!'8446.TW-Price'</f>
        <v>--</v>
      </c>
    </row>
    <row r="1730" spans="1:5">
      <c r="A1730" s="120">
        <v>8450</v>
      </c>
      <c r="B1730" s="122" t="s">
        <v>5194</v>
      </c>
      <c r="C1730" s="123" t="s">
        <v>5631</v>
      </c>
      <c r="D1730" s="120">
        <v>8450</v>
      </c>
      <c r="E1730" s="60" t="str">
        <f>[1]!'8450.TW-Price'</f>
        <v>--</v>
      </c>
    </row>
    <row r="1731" spans="1:5">
      <c r="A1731" s="120">
        <v>8923</v>
      </c>
      <c r="B1731" s="122" t="s">
        <v>5196</v>
      </c>
      <c r="C1731" s="123" t="s">
        <v>5631</v>
      </c>
      <c r="D1731" s="120">
        <v>8923</v>
      </c>
      <c r="E1731" s="60" t="str">
        <f>[1]!'8923.TW-Price'</f>
        <v>--</v>
      </c>
    </row>
    <row r="1732" spans="1:5">
      <c r="A1732" s="120">
        <v>9949</v>
      </c>
      <c r="B1732" s="122" t="s">
        <v>5197</v>
      </c>
      <c r="C1732" s="123" t="s">
        <v>5631</v>
      </c>
      <c r="D1732" s="120">
        <v>9949</v>
      </c>
      <c r="E1732" s="60" t="str">
        <f>[1]!'9949.TW-Price'</f>
        <v>--</v>
      </c>
    </row>
    <row r="1733" spans="1:5">
      <c r="A1733" s="120">
        <v>1240</v>
      </c>
      <c r="B1733" s="122" t="s">
        <v>5198</v>
      </c>
      <c r="C1733" s="123" t="s">
        <v>5633</v>
      </c>
      <c r="D1733" s="120">
        <v>1240</v>
      </c>
      <c r="E1733" s="60" t="str">
        <f>[1]!'1240.TW-Price'</f>
        <v>--</v>
      </c>
    </row>
    <row r="1734" spans="1:5">
      <c r="A1734" s="120">
        <v>4171</v>
      </c>
      <c r="B1734" s="122" t="s">
        <v>3523</v>
      </c>
      <c r="C1734" s="123" t="s">
        <v>5633</v>
      </c>
      <c r="D1734" s="120">
        <v>4171</v>
      </c>
      <c r="E1734" s="60" t="str">
        <f>[1]!'4171.TW-Price'</f>
        <v>--</v>
      </c>
    </row>
    <row r="1735" spans="1:5">
      <c r="A1735" s="120">
        <v>6508</v>
      </c>
      <c r="B1735" s="122" t="s">
        <v>5199</v>
      </c>
      <c r="C1735" s="123" t="s">
        <v>5633</v>
      </c>
      <c r="D1735" s="120">
        <v>6508</v>
      </c>
      <c r="E1735" s="60" t="str">
        <f>[1]!'6508.TW-Price'</f>
        <v>--</v>
      </c>
    </row>
    <row r="1736" spans="1:5">
      <c r="A1736" s="120">
        <v>6578</v>
      </c>
      <c r="B1736" s="122" t="s">
        <v>5200</v>
      </c>
      <c r="C1736" s="123" t="s">
        <v>5633</v>
      </c>
      <c r="D1736" s="120">
        <v>6578</v>
      </c>
      <c r="E1736" s="60" t="str">
        <f>[1]!'6578.TW-Price'</f>
        <v>--</v>
      </c>
    </row>
    <row r="1737" spans="1:5">
      <c r="A1737" s="120">
        <v>3085</v>
      </c>
      <c r="B1737" s="122" t="s">
        <v>5201</v>
      </c>
      <c r="C1737" s="123" t="s">
        <v>5634</v>
      </c>
      <c r="D1737" s="120">
        <v>3085</v>
      </c>
      <c r="E1737" s="60" t="str">
        <f>[1]!'3085.TW-Price'</f>
        <v>--</v>
      </c>
    </row>
    <row r="1738" spans="1:5">
      <c r="A1738" s="120">
        <v>3687</v>
      </c>
      <c r="B1738" s="122" t="s">
        <v>3529</v>
      </c>
      <c r="C1738" s="123" t="s">
        <v>5634</v>
      </c>
      <c r="D1738" s="120">
        <v>3687</v>
      </c>
      <c r="E1738" s="60">
        <f>[1]!'3687.TW-Price'</f>
        <v>105.5</v>
      </c>
    </row>
    <row r="1739" spans="1:5">
      <c r="A1739" s="120">
        <v>5278</v>
      </c>
      <c r="B1739" s="122" t="s">
        <v>5202</v>
      </c>
      <c r="C1739" s="123" t="s">
        <v>5634</v>
      </c>
      <c r="D1739" s="120">
        <v>5278</v>
      </c>
      <c r="E1739" s="60" t="str">
        <f>[1]!'5278.TW-Price'</f>
        <v>--</v>
      </c>
    </row>
    <row r="1740" spans="1:5">
      <c r="A1740" s="120">
        <v>5287</v>
      </c>
      <c r="B1740" s="122" t="s">
        <v>5203</v>
      </c>
      <c r="C1740" s="123" t="s">
        <v>5634</v>
      </c>
      <c r="D1740" s="120">
        <v>5287</v>
      </c>
      <c r="E1740" s="60" t="str">
        <f>[1]!'5287.TW-Price'</f>
        <v>--</v>
      </c>
    </row>
    <row r="1741" spans="1:5">
      <c r="A1741" s="120">
        <v>6741</v>
      </c>
      <c r="B1741" s="122" t="s">
        <v>5528</v>
      </c>
      <c r="C1741" s="123" t="s">
        <v>5635</v>
      </c>
      <c r="D1741" s="120">
        <v>6741</v>
      </c>
      <c r="E1741" s="60" t="str">
        <f>[1]!'6741.TW-Price'</f>
        <v>--</v>
      </c>
    </row>
    <row r="1742" spans="1:5">
      <c r="A1742" s="120">
        <v>8044</v>
      </c>
      <c r="B1742" s="122" t="s">
        <v>3547</v>
      </c>
      <c r="C1742" s="123" t="s">
        <v>5634</v>
      </c>
      <c r="D1742" s="120">
        <v>8044</v>
      </c>
      <c r="E1742" s="60" t="str">
        <f>[1]!'8044.TW-Price'</f>
        <v>--</v>
      </c>
    </row>
    <row r="1743" spans="1:5">
      <c r="A1743" s="120">
        <v>8472</v>
      </c>
      <c r="B1743" s="122" t="s">
        <v>5204</v>
      </c>
      <c r="C1743" s="123" t="s">
        <v>5634</v>
      </c>
      <c r="D1743" s="120">
        <v>8472</v>
      </c>
      <c r="E1743" s="60" t="str">
        <f>[1]!'8472.TW-Price'</f>
        <v>--</v>
      </c>
    </row>
    <row r="1744" spans="1:5">
      <c r="A1744" s="120">
        <v>8477</v>
      </c>
      <c r="B1744" s="122" t="s">
        <v>5205</v>
      </c>
      <c r="C1744" s="123" t="s">
        <v>5634</v>
      </c>
      <c r="D1744" s="120">
        <v>8477</v>
      </c>
      <c r="E1744" s="60" t="str">
        <f>[1]!'8477.TW-Price'</f>
        <v>--</v>
      </c>
    </row>
    <row r="1745" spans="1:5">
      <c r="A1745" s="120">
        <v>1260</v>
      </c>
      <c r="B1745" s="124" t="s">
        <v>5206</v>
      </c>
      <c r="C1745" s="125" t="s">
        <v>5207</v>
      </c>
      <c r="D1745" s="120">
        <v>1260</v>
      </c>
      <c r="E1745" s="60"/>
    </row>
    <row r="1746" spans="1:5">
      <c r="A1746" s="120">
        <v>1293</v>
      </c>
      <c r="B1746" s="124" t="s">
        <v>5636</v>
      </c>
      <c r="C1746" s="125" t="s">
        <v>5207</v>
      </c>
      <c r="D1746" s="120">
        <v>1293</v>
      </c>
      <c r="E1746" s="60"/>
    </row>
    <row r="1747" spans="1:5">
      <c r="A1747" s="120">
        <v>1343</v>
      </c>
      <c r="B1747" s="124" t="s">
        <v>5210</v>
      </c>
      <c r="C1747" s="125" t="s">
        <v>5207</v>
      </c>
      <c r="D1747" s="120">
        <v>1343</v>
      </c>
      <c r="E1747" s="60"/>
    </row>
    <row r="1748" spans="1:5">
      <c r="A1748" s="120">
        <v>1563</v>
      </c>
      <c r="B1748" s="124" t="s">
        <v>5212</v>
      </c>
      <c r="C1748" s="125" t="s">
        <v>5207</v>
      </c>
      <c r="D1748" s="120">
        <v>1563</v>
      </c>
      <c r="E1748" s="60"/>
    </row>
    <row r="1749" spans="1:5">
      <c r="A1749" s="120">
        <v>1594</v>
      </c>
      <c r="B1749" s="124" t="s">
        <v>5213</v>
      </c>
      <c r="C1749" s="125" t="s">
        <v>5207</v>
      </c>
      <c r="D1749" s="120">
        <v>1594</v>
      </c>
      <c r="E1749" s="60"/>
    </row>
    <row r="1750" spans="1:5">
      <c r="A1750" s="120">
        <v>2237</v>
      </c>
      <c r="B1750" s="124" t="s">
        <v>5214</v>
      </c>
      <c r="C1750" s="125" t="s">
        <v>5207</v>
      </c>
      <c r="D1750" s="120">
        <v>2237</v>
      </c>
      <c r="E1750" s="60"/>
    </row>
    <row r="1751" spans="1:5">
      <c r="A1751" s="120">
        <v>2245</v>
      </c>
      <c r="B1751" s="124" t="s">
        <v>5215</v>
      </c>
      <c r="C1751" s="125" t="s">
        <v>5207</v>
      </c>
      <c r="D1751" s="120">
        <v>2245</v>
      </c>
      <c r="E1751" s="60"/>
    </row>
    <row r="1752" spans="1:5">
      <c r="A1752" s="120">
        <v>2246</v>
      </c>
      <c r="B1752" s="124" t="s">
        <v>5216</v>
      </c>
      <c r="C1752" s="125" t="s">
        <v>5207</v>
      </c>
      <c r="D1752" s="120">
        <v>2246</v>
      </c>
      <c r="E1752" s="60"/>
    </row>
    <row r="1753" spans="1:5">
      <c r="A1753" s="120">
        <v>2248</v>
      </c>
      <c r="B1753" s="124" t="s">
        <v>5217</v>
      </c>
      <c r="C1753" s="125" t="s">
        <v>5207</v>
      </c>
      <c r="D1753" s="120">
        <v>2248</v>
      </c>
      <c r="E1753" s="60"/>
    </row>
    <row r="1754" spans="1:5">
      <c r="A1754" s="120">
        <v>2249</v>
      </c>
      <c r="B1754" s="124" t="s">
        <v>5218</v>
      </c>
      <c r="C1754" s="125" t="s">
        <v>5207</v>
      </c>
      <c r="D1754" s="120">
        <v>2249</v>
      </c>
      <c r="E1754" s="60"/>
    </row>
    <row r="1755" spans="1:5">
      <c r="A1755" s="120">
        <v>4544</v>
      </c>
      <c r="B1755" s="124" t="s">
        <v>5219</v>
      </c>
      <c r="C1755" s="125" t="s">
        <v>5207</v>
      </c>
      <c r="D1755" s="120">
        <v>4544</v>
      </c>
      <c r="E1755" s="60"/>
    </row>
    <row r="1756" spans="1:5">
      <c r="A1756" s="120">
        <v>4546</v>
      </c>
      <c r="B1756" s="124" t="s">
        <v>5220</v>
      </c>
      <c r="C1756" s="125" t="s">
        <v>5207</v>
      </c>
      <c r="D1756" s="120">
        <v>4546</v>
      </c>
      <c r="E1756" s="60"/>
    </row>
    <row r="1757" spans="1:5">
      <c r="A1757" s="120">
        <v>4553</v>
      </c>
      <c r="B1757" s="124" t="s">
        <v>5221</v>
      </c>
      <c r="C1757" s="125" t="s">
        <v>5207</v>
      </c>
      <c r="D1757" s="120">
        <v>4553</v>
      </c>
      <c r="E1757" s="60"/>
    </row>
    <row r="1758" spans="1:5">
      <c r="A1758" s="120">
        <v>4558</v>
      </c>
      <c r="B1758" s="124" t="s">
        <v>5222</v>
      </c>
      <c r="C1758" s="125" t="s">
        <v>5207</v>
      </c>
      <c r="D1758" s="120">
        <v>4558</v>
      </c>
      <c r="E1758" s="60"/>
    </row>
    <row r="1759" spans="1:5">
      <c r="A1759" s="120">
        <v>4559</v>
      </c>
      <c r="B1759" s="124" t="s">
        <v>5223</v>
      </c>
      <c r="C1759" s="125" t="s">
        <v>5207</v>
      </c>
      <c r="D1759" s="120">
        <v>4559</v>
      </c>
      <c r="E1759" s="60"/>
    </row>
    <row r="1760" spans="1:5">
      <c r="A1760" s="120">
        <v>4565</v>
      </c>
      <c r="B1760" s="124" t="s">
        <v>5224</v>
      </c>
      <c r="C1760" s="125" t="s">
        <v>5207</v>
      </c>
      <c r="D1760" s="120">
        <v>4565</v>
      </c>
      <c r="E1760" s="60"/>
    </row>
    <row r="1761" spans="1:5">
      <c r="A1761" s="120">
        <v>4573</v>
      </c>
      <c r="B1761" s="124" t="s">
        <v>5225</v>
      </c>
      <c r="C1761" s="125" t="s">
        <v>5207</v>
      </c>
      <c r="D1761" s="120">
        <v>4573</v>
      </c>
      <c r="E1761" s="60"/>
    </row>
    <row r="1762" spans="1:5">
      <c r="A1762" s="120">
        <v>4575</v>
      </c>
      <c r="B1762" s="124" t="s">
        <v>5226</v>
      </c>
      <c r="C1762" s="125" t="s">
        <v>5207</v>
      </c>
      <c r="D1762" s="120">
        <v>4575</v>
      </c>
      <c r="E1762" s="60"/>
    </row>
    <row r="1763" spans="1:5">
      <c r="A1763" s="120">
        <v>4578</v>
      </c>
      <c r="B1763" s="124" t="s">
        <v>5227</v>
      </c>
      <c r="C1763" s="125" t="s">
        <v>5207</v>
      </c>
      <c r="D1763" s="120">
        <v>4578</v>
      </c>
      <c r="E1763" s="60"/>
    </row>
    <row r="1764" spans="1:5">
      <c r="A1764" s="120">
        <v>4583</v>
      </c>
      <c r="B1764" s="124" t="s">
        <v>5228</v>
      </c>
      <c r="C1764" s="125" t="s">
        <v>5207</v>
      </c>
      <c r="D1764" s="120">
        <v>4583</v>
      </c>
      <c r="E1764" s="60"/>
    </row>
    <row r="1765" spans="1:5">
      <c r="A1765" s="120">
        <v>4584</v>
      </c>
      <c r="B1765" s="124" t="s">
        <v>5637</v>
      </c>
      <c r="C1765" s="125" t="s">
        <v>5207</v>
      </c>
      <c r="D1765" s="120">
        <v>4584</v>
      </c>
      <c r="E1765" s="60"/>
    </row>
    <row r="1766" spans="1:5">
      <c r="A1766" s="120">
        <v>6606</v>
      </c>
      <c r="B1766" s="124" t="s">
        <v>5229</v>
      </c>
      <c r="C1766" s="125" t="s">
        <v>5207</v>
      </c>
      <c r="D1766" s="120">
        <v>6606</v>
      </c>
      <c r="E1766" s="60"/>
    </row>
    <row r="1767" spans="1:5">
      <c r="A1767" s="120">
        <v>6705</v>
      </c>
      <c r="B1767" s="124" t="s">
        <v>5230</v>
      </c>
      <c r="C1767" s="125" t="s">
        <v>5207</v>
      </c>
      <c r="D1767" s="120">
        <v>6705</v>
      </c>
      <c r="E1767" s="60"/>
    </row>
    <row r="1768" spans="1:5">
      <c r="A1768" s="120">
        <v>6829</v>
      </c>
      <c r="B1768" s="124" t="s">
        <v>5638</v>
      </c>
      <c r="C1768" s="125" t="s">
        <v>5207</v>
      </c>
      <c r="D1768" s="120">
        <v>6829</v>
      </c>
      <c r="E1768" s="60"/>
    </row>
    <row r="1769" spans="1:5">
      <c r="A1769" s="120">
        <v>3430</v>
      </c>
      <c r="B1769" s="124" t="s">
        <v>5231</v>
      </c>
      <c r="C1769" s="125" t="s">
        <v>5207</v>
      </c>
      <c r="D1769" s="120">
        <v>3430</v>
      </c>
      <c r="E1769" s="60"/>
    </row>
    <row r="1770" spans="1:5">
      <c r="A1770" s="120">
        <v>4738</v>
      </c>
      <c r="B1770" s="124" t="s">
        <v>5232</v>
      </c>
      <c r="C1770" s="125" t="s">
        <v>5207</v>
      </c>
      <c r="D1770" s="120">
        <v>4738</v>
      </c>
      <c r="E1770" s="60"/>
    </row>
    <row r="1771" spans="1:5">
      <c r="A1771" s="120">
        <v>4765</v>
      </c>
      <c r="B1771" s="124" t="s">
        <v>5233</v>
      </c>
      <c r="C1771" s="125" t="s">
        <v>5207</v>
      </c>
      <c r="D1771" s="120">
        <v>4765</v>
      </c>
      <c r="E1771" s="60"/>
    </row>
    <row r="1772" spans="1:5">
      <c r="A1772" s="120">
        <v>4768</v>
      </c>
      <c r="B1772" s="124" t="s">
        <v>5234</v>
      </c>
      <c r="C1772" s="125" t="s">
        <v>5207</v>
      </c>
      <c r="D1772" s="120">
        <v>4768</v>
      </c>
      <c r="E1772" s="60"/>
    </row>
    <row r="1773" spans="1:5">
      <c r="A1773" s="120">
        <v>4770</v>
      </c>
      <c r="B1773" s="124" t="s">
        <v>5235</v>
      </c>
      <c r="C1773" s="125" t="s">
        <v>5207</v>
      </c>
      <c r="D1773" s="120">
        <v>4770</v>
      </c>
      <c r="E1773" s="60"/>
    </row>
    <row r="1774" spans="1:5">
      <c r="A1774" s="120">
        <v>6495</v>
      </c>
      <c r="B1774" s="124" t="s">
        <v>5236</v>
      </c>
      <c r="C1774" s="125" t="s">
        <v>5207</v>
      </c>
      <c r="D1774" s="120">
        <v>6495</v>
      </c>
      <c r="E1774" s="60"/>
    </row>
    <row r="1775" spans="1:5">
      <c r="A1775" s="120">
        <v>6618</v>
      </c>
      <c r="B1775" s="124" t="s">
        <v>5237</v>
      </c>
      <c r="C1775" s="125" t="s">
        <v>5207</v>
      </c>
      <c r="D1775" s="120">
        <v>6618</v>
      </c>
      <c r="E1775" s="60"/>
    </row>
    <row r="1776" spans="1:5">
      <c r="A1776" s="120">
        <v>1271</v>
      </c>
      <c r="B1776" s="124" t="s">
        <v>5208</v>
      </c>
      <c r="C1776" s="125" t="s">
        <v>5207</v>
      </c>
      <c r="D1776" s="120">
        <v>1271</v>
      </c>
      <c r="E1776" s="60"/>
    </row>
    <row r="1777" spans="1:5">
      <c r="A1777" s="120">
        <v>1780</v>
      </c>
      <c r="B1777" s="124" t="s">
        <v>5238</v>
      </c>
      <c r="C1777" s="125" t="s">
        <v>5207</v>
      </c>
      <c r="D1777" s="120">
        <v>1780</v>
      </c>
      <c r="E1777" s="60"/>
    </row>
    <row r="1778" spans="1:5">
      <c r="A1778" s="120">
        <v>3184</v>
      </c>
      <c r="B1778" s="124" t="s">
        <v>5239</v>
      </c>
      <c r="C1778" s="125" t="s">
        <v>5207</v>
      </c>
      <c r="D1778" s="120">
        <v>3184</v>
      </c>
      <c r="E1778" s="60"/>
    </row>
    <row r="1779" spans="1:5">
      <c r="A1779" s="120">
        <v>4117</v>
      </c>
      <c r="B1779" s="124" t="s">
        <v>5240</v>
      </c>
      <c r="C1779" s="125" t="s">
        <v>5207</v>
      </c>
      <c r="D1779" s="120">
        <v>4117</v>
      </c>
      <c r="E1779" s="60"/>
    </row>
    <row r="1780" spans="1:5">
      <c r="A1780" s="120">
        <v>4132</v>
      </c>
      <c r="B1780" s="124" t="s">
        <v>5241</v>
      </c>
      <c r="C1780" s="125" t="s">
        <v>5207</v>
      </c>
      <c r="D1780" s="120">
        <v>4132</v>
      </c>
      <c r="E1780" s="60"/>
    </row>
    <row r="1781" spans="1:5">
      <c r="A1781" s="120">
        <v>4136</v>
      </c>
      <c r="B1781" s="124" t="s">
        <v>5242</v>
      </c>
      <c r="C1781" s="125" t="s">
        <v>5207</v>
      </c>
      <c r="D1781" s="120">
        <v>4136</v>
      </c>
      <c r="E1781" s="60"/>
    </row>
    <row r="1782" spans="1:5">
      <c r="A1782" s="120">
        <v>4150</v>
      </c>
      <c r="B1782" s="124" t="s">
        <v>5243</v>
      </c>
      <c r="C1782" s="125" t="s">
        <v>5207</v>
      </c>
      <c r="D1782" s="120">
        <v>4150</v>
      </c>
      <c r="E1782" s="60"/>
    </row>
    <row r="1783" spans="1:5">
      <c r="A1783" s="120">
        <v>4151</v>
      </c>
      <c r="B1783" s="124" t="s">
        <v>5244</v>
      </c>
      <c r="C1783" s="125" t="s">
        <v>5207</v>
      </c>
      <c r="D1783" s="120">
        <v>4151</v>
      </c>
      <c r="E1783" s="60"/>
    </row>
    <row r="1784" spans="1:5">
      <c r="A1784" s="120">
        <v>4166</v>
      </c>
      <c r="B1784" s="124" t="s">
        <v>5245</v>
      </c>
      <c r="C1784" s="125" t="s">
        <v>5207</v>
      </c>
      <c r="D1784" s="120">
        <v>4166</v>
      </c>
      <c r="E1784" s="60"/>
    </row>
    <row r="1785" spans="1:5">
      <c r="A1785" s="120">
        <v>4169</v>
      </c>
      <c r="B1785" s="124" t="s">
        <v>5246</v>
      </c>
      <c r="C1785" s="125" t="s">
        <v>5207</v>
      </c>
      <c r="D1785" s="120">
        <v>4169</v>
      </c>
      <c r="E1785" s="60"/>
    </row>
    <row r="1786" spans="1:5">
      <c r="A1786" s="120">
        <v>4172</v>
      </c>
      <c r="B1786" s="124" t="s">
        <v>5247</v>
      </c>
      <c r="C1786" s="125" t="s">
        <v>5207</v>
      </c>
      <c r="D1786" s="120">
        <v>4172</v>
      </c>
      <c r="E1786" s="60"/>
    </row>
    <row r="1787" spans="1:5">
      <c r="A1787" s="120">
        <v>4186</v>
      </c>
      <c r="B1787" s="124" t="s">
        <v>5248</v>
      </c>
      <c r="C1787" s="125" t="s">
        <v>5207</v>
      </c>
      <c r="D1787" s="120">
        <v>4186</v>
      </c>
      <c r="E1787" s="60"/>
    </row>
    <row r="1788" spans="1:5">
      <c r="A1788" s="120">
        <v>4191</v>
      </c>
      <c r="B1788" s="124" t="s">
        <v>5249</v>
      </c>
      <c r="C1788" s="125" t="s">
        <v>5207</v>
      </c>
      <c r="D1788" s="120">
        <v>4191</v>
      </c>
      <c r="E1788" s="60"/>
    </row>
    <row r="1789" spans="1:5">
      <c r="A1789" s="120">
        <v>4194</v>
      </c>
      <c r="B1789" s="124" t="s">
        <v>5250</v>
      </c>
      <c r="C1789" s="125" t="s">
        <v>5207</v>
      </c>
      <c r="D1789" s="120">
        <v>4194</v>
      </c>
      <c r="E1789" s="60"/>
    </row>
    <row r="1790" spans="1:5">
      <c r="A1790" s="120">
        <v>4195</v>
      </c>
      <c r="B1790" s="124" t="s">
        <v>5251</v>
      </c>
      <c r="C1790" s="125" t="s">
        <v>5207</v>
      </c>
      <c r="D1790" s="120">
        <v>4195</v>
      </c>
      <c r="E1790" s="60"/>
    </row>
    <row r="1791" spans="1:5">
      <c r="A1791" s="120">
        <v>4197</v>
      </c>
      <c r="B1791" s="124" t="s">
        <v>5252</v>
      </c>
      <c r="C1791" s="125" t="s">
        <v>5207</v>
      </c>
      <c r="D1791" s="120">
        <v>4197</v>
      </c>
      <c r="E1791" s="60"/>
    </row>
    <row r="1792" spans="1:5">
      <c r="A1792" s="120">
        <v>4732</v>
      </c>
      <c r="B1792" s="124" t="s">
        <v>5253</v>
      </c>
      <c r="C1792" s="125" t="s">
        <v>5207</v>
      </c>
      <c r="D1792" s="120">
        <v>4732</v>
      </c>
      <c r="E1792" s="60"/>
    </row>
    <row r="1793" spans="1:5">
      <c r="A1793" s="120">
        <v>6493</v>
      </c>
      <c r="B1793" s="124" t="s">
        <v>5254</v>
      </c>
      <c r="C1793" s="125" t="s">
        <v>5207</v>
      </c>
      <c r="D1793" s="120">
        <v>6493</v>
      </c>
      <c r="E1793" s="60"/>
    </row>
    <row r="1794" spans="1:5">
      <c r="A1794" s="120">
        <v>6518</v>
      </c>
      <c r="B1794" s="124" t="s">
        <v>5255</v>
      </c>
      <c r="C1794" s="125" t="s">
        <v>5207</v>
      </c>
      <c r="D1794" s="120">
        <v>6518</v>
      </c>
      <c r="E1794" s="60"/>
    </row>
    <row r="1795" spans="1:5">
      <c r="A1795" s="120">
        <v>6539</v>
      </c>
      <c r="B1795" s="124" t="s">
        <v>5256</v>
      </c>
      <c r="C1795" s="125" t="s">
        <v>5207</v>
      </c>
      <c r="D1795" s="120">
        <v>6539</v>
      </c>
      <c r="E1795" s="60"/>
    </row>
    <row r="1796" spans="1:5">
      <c r="A1796" s="120">
        <v>6543</v>
      </c>
      <c r="B1796" s="124" t="s">
        <v>5257</v>
      </c>
      <c r="C1796" s="125" t="s">
        <v>5207</v>
      </c>
      <c r="D1796" s="120">
        <v>6543</v>
      </c>
      <c r="E1796" s="60"/>
    </row>
    <row r="1797" spans="1:5">
      <c r="A1797" s="120">
        <v>6549</v>
      </c>
      <c r="B1797" s="124" t="s">
        <v>5258</v>
      </c>
      <c r="C1797" s="125" t="s">
        <v>5207</v>
      </c>
      <c r="D1797" s="120">
        <v>6549</v>
      </c>
      <c r="E1797" s="60"/>
    </row>
    <row r="1798" spans="1:5">
      <c r="A1798" s="120">
        <v>6550</v>
      </c>
      <c r="B1798" s="124" t="s">
        <v>5259</v>
      </c>
      <c r="C1798" s="125" t="s">
        <v>5207</v>
      </c>
      <c r="D1798" s="120">
        <v>6550</v>
      </c>
      <c r="E1798" s="60"/>
    </row>
    <row r="1799" spans="1:5">
      <c r="A1799" s="120">
        <v>6562</v>
      </c>
      <c r="B1799" s="124" t="s">
        <v>5639</v>
      </c>
      <c r="C1799" s="125" t="s">
        <v>5207</v>
      </c>
      <c r="D1799" s="120">
        <v>6562</v>
      </c>
      <c r="E1799" s="60"/>
    </row>
    <row r="1800" spans="1:5">
      <c r="A1800" s="120">
        <v>6564</v>
      </c>
      <c r="B1800" s="124" t="s">
        <v>5260</v>
      </c>
      <c r="C1800" s="125" t="s">
        <v>5207</v>
      </c>
      <c r="D1800" s="120">
        <v>6564</v>
      </c>
      <c r="E1800" s="60"/>
    </row>
    <row r="1801" spans="1:5">
      <c r="A1801" s="120">
        <v>6566</v>
      </c>
      <c r="B1801" s="124" t="s">
        <v>5261</v>
      </c>
      <c r="C1801" s="125" t="s">
        <v>5207</v>
      </c>
      <c r="D1801" s="120">
        <v>6566</v>
      </c>
      <c r="E1801" s="60"/>
    </row>
    <row r="1802" spans="1:5">
      <c r="A1802" s="120">
        <v>6572</v>
      </c>
      <c r="B1802" s="124" t="s">
        <v>5262</v>
      </c>
      <c r="C1802" s="125" t="s">
        <v>5207</v>
      </c>
      <c r="D1802" s="120">
        <v>6572</v>
      </c>
      <c r="E1802" s="60"/>
    </row>
    <row r="1803" spans="1:5">
      <c r="A1803" s="120">
        <v>6575</v>
      </c>
      <c r="B1803" s="124" t="s">
        <v>5263</v>
      </c>
      <c r="C1803" s="125" t="s">
        <v>5207</v>
      </c>
      <c r="D1803" s="120">
        <v>6575</v>
      </c>
      <c r="E1803" s="60"/>
    </row>
    <row r="1804" spans="1:5">
      <c r="A1804" s="120">
        <v>6580</v>
      </c>
      <c r="B1804" s="124" t="s">
        <v>5264</v>
      </c>
      <c r="C1804" s="125" t="s">
        <v>5207</v>
      </c>
      <c r="D1804" s="120">
        <v>6580</v>
      </c>
      <c r="E1804" s="60"/>
    </row>
    <row r="1805" spans="1:5">
      <c r="A1805" s="120">
        <v>6586</v>
      </c>
      <c r="B1805" s="124" t="s">
        <v>5265</v>
      </c>
      <c r="C1805" s="125" t="s">
        <v>5207</v>
      </c>
      <c r="D1805" s="120">
        <v>6586</v>
      </c>
      <c r="E1805" s="60"/>
    </row>
    <row r="1806" spans="1:5">
      <c r="A1806" s="120">
        <v>6610</v>
      </c>
      <c r="B1806" s="124" t="s">
        <v>5266</v>
      </c>
      <c r="C1806" s="125" t="s">
        <v>5207</v>
      </c>
      <c r="D1806" s="120">
        <v>6610</v>
      </c>
      <c r="E1806" s="60"/>
    </row>
    <row r="1807" spans="1:5">
      <c r="A1807" s="120">
        <v>6617</v>
      </c>
      <c r="B1807" s="124" t="s">
        <v>5267</v>
      </c>
      <c r="C1807" s="125" t="s">
        <v>5207</v>
      </c>
      <c r="D1807" s="120">
        <v>6617</v>
      </c>
      <c r="E1807" s="60"/>
    </row>
    <row r="1808" spans="1:5">
      <c r="A1808" s="120">
        <v>6620</v>
      </c>
      <c r="B1808" s="124" t="s">
        <v>5268</v>
      </c>
      <c r="C1808" s="125" t="s">
        <v>5207</v>
      </c>
      <c r="D1808" s="120">
        <v>6620</v>
      </c>
      <c r="E1808" s="60"/>
    </row>
    <row r="1809" spans="1:5">
      <c r="A1809" s="120">
        <v>6621</v>
      </c>
      <c r="B1809" s="124" t="s">
        <v>5269</v>
      </c>
      <c r="C1809" s="125" t="s">
        <v>5207</v>
      </c>
      <c r="D1809" s="120">
        <v>6621</v>
      </c>
      <c r="E1809" s="60"/>
    </row>
    <row r="1810" spans="1:5">
      <c r="A1810" s="120">
        <v>6633</v>
      </c>
      <c r="B1810" s="124" t="s">
        <v>5270</v>
      </c>
      <c r="C1810" s="125" t="s">
        <v>5207</v>
      </c>
      <c r="D1810" s="120">
        <v>6633</v>
      </c>
      <c r="E1810" s="60"/>
    </row>
    <row r="1811" spans="1:5">
      <c r="A1811" s="120">
        <v>6634</v>
      </c>
      <c r="B1811" s="124" t="s">
        <v>5271</v>
      </c>
      <c r="C1811" s="125" t="s">
        <v>5207</v>
      </c>
      <c r="D1811" s="120">
        <v>6634</v>
      </c>
      <c r="E1811" s="60"/>
    </row>
    <row r="1812" spans="1:5">
      <c r="A1812" s="120">
        <v>6637</v>
      </c>
      <c r="B1812" s="124" t="s">
        <v>5272</v>
      </c>
      <c r="C1812" s="125" t="s">
        <v>5207</v>
      </c>
      <c r="D1812" s="120">
        <v>6637</v>
      </c>
      <c r="E1812" s="60"/>
    </row>
    <row r="1813" spans="1:5">
      <c r="A1813" s="120">
        <v>6645</v>
      </c>
      <c r="B1813" s="124" t="s">
        <v>5273</v>
      </c>
      <c r="C1813" s="125" t="s">
        <v>5207</v>
      </c>
      <c r="D1813" s="120">
        <v>6645</v>
      </c>
      <c r="E1813" s="60"/>
    </row>
    <row r="1814" spans="1:5">
      <c r="A1814" s="120">
        <v>6652</v>
      </c>
      <c r="B1814" s="124" t="s">
        <v>5274</v>
      </c>
      <c r="C1814" s="125" t="s">
        <v>5207</v>
      </c>
      <c r="D1814" s="120">
        <v>6652</v>
      </c>
      <c r="E1814" s="60"/>
    </row>
    <row r="1815" spans="1:5">
      <c r="A1815" s="120">
        <v>6657</v>
      </c>
      <c r="B1815" s="124" t="s">
        <v>5275</v>
      </c>
      <c r="C1815" s="125" t="s">
        <v>5207</v>
      </c>
      <c r="D1815" s="120">
        <v>6657</v>
      </c>
      <c r="E1815" s="60"/>
    </row>
    <row r="1816" spans="1:5">
      <c r="A1816" s="120">
        <v>6665</v>
      </c>
      <c r="B1816" s="124" t="s">
        <v>5276</v>
      </c>
      <c r="C1816" s="125" t="s">
        <v>5207</v>
      </c>
      <c r="D1816" s="120">
        <v>6665</v>
      </c>
      <c r="E1816" s="60"/>
    </row>
    <row r="1817" spans="1:5">
      <c r="A1817" s="120">
        <v>6677</v>
      </c>
      <c r="B1817" s="124" t="s">
        <v>5277</v>
      </c>
      <c r="C1817" s="125" t="s">
        <v>5207</v>
      </c>
      <c r="D1817" s="120">
        <v>6677</v>
      </c>
      <c r="E1817" s="60"/>
    </row>
    <row r="1818" spans="1:5">
      <c r="A1818" s="120">
        <v>6696</v>
      </c>
      <c r="B1818" s="124" t="s">
        <v>5278</v>
      </c>
      <c r="C1818" s="125" t="s">
        <v>5207</v>
      </c>
      <c r="D1818" s="120">
        <v>6696</v>
      </c>
      <c r="E1818" s="60"/>
    </row>
    <row r="1819" spans="1:5">
      <c r="A1819" s="120">
        <v>6709</v>
      </c>
      <c r="B1819" s="124" t="s">
        <v>5279</v>
      </c>
      <c r="C1819" s="125" t="s">
        <v>5207</v>
      </c>
      <c r="D1819" s="120">
        <v>6709</v>
      </c>
      <c r="E1819" s="60"/>
    </row>
    <row r="1820" spans="1:5">
      <c r="A1820" s="120">
        <v>6730</v>
      </c>
      <c r="B1820" s="124" t="s">
        <v>5280</v>
      </c>
      <c r="C1820" s="125" t="s">
        <v>5207</v>
      </c>
      <c r="D1820" s="120">
        <v>6730</v>
      </c>
      <c r="E1820" s="60"/>
    </row>
    <row r="1821" spans="1:5">
      <c r="A1821" s="120">
        <v>6734</v>
      </c>
      <c r="B1821" s="124" t="s">
        <v>5281</v>
      </c>
      <c r="C1821" s="125" t="s">
        <v>5207</v>
      </c>
      <c r="D1821" s="120">
        <v>6734</v>
      </c>
      <c r="E1821" s="60"/>
    </row>
    <row r="1822" spans="1:5">
      <c r="A1822" s="120">
        <v>6744</v>
      </c>
      <c r="B1822" s="124" t="s">
        <v>5282</v>
      </c>
      <c r="C1822" s="125" t="s">
        <v>5207</v>
      </c>
      <c r="D1822" s="120">
        <v>6744</v>
      </c>
      <c r="E1822" s="60"/>
    </row>
    <row r="1823" spans="1:5">
      <c r="A1823" s="120">
        <v>6748</v>
      </c>
      <c r="B1823" s="124" t="s">
        <v>5640</v>
      </c>
      <c r="C1823" s="125" t="s">
        <v>5207</v>
      </c>
      <c r="D1823" s="120">
        <v>6748</v>
      </c>
      <c r="E1823" s="60"/>
    </row>
    <row r="1824" spans="1:5">
      <c r="A1824" s="120">
        <v>6758</v>
      </c>
      <c r="B1824" s="124" t="s">
        <v>5283</v>
      </c>
      <c r="C1824" s="125" t="s">
        <v>5207</v>
      </c>
      <c r="D1824" s="120">
        <v>6758</v>
      </c>
      <c r="E1824" s="60"/>
    </row>
    <row r="1825" spans="1:5">
      <c r="A1825" s="120">
        <v>6782</v>
      </c>
      <c r="B1825" s="124" t="s">
        <v>5284</v>
      </c>
      <c r="C1825" s="125" t="s">
        <v>5207</v>
      </c>
      <c r="D1825" s="120">
        <v>6782</v>
      </c>
      <c r="E1825" s="60"/>
    </row>
    <row r="1826" spans="1:5">
      <c r="A1826" s="120">
        <v>6785</v>
      </c>
      <c r="B1826" s="124" t="s">
        <v>5285</v>
      </c>
      <c r="C1826" s="125" t="s">
        <v>5207</v>
      </c>
      <c r="D1826" s="120">
        <v>6785</v>
      </c>
      <c r="E1826" s="60"/>
    </row>
    <row r="1827" spans="1:5">
      <c r="A1827" s="120">
        <v>6794</v>
      </c>
      <c r="B1827" s="124" t="s">
        <v>5286</v>
      </c>
      <c r="C1827" s="125" t="s">
        <v>5207</v>
      </c>
      <c r="D1827" s="120">
        <v>6794</v>
      </c>
      <c r="E1827" s="60"/>
    </row>
    <row r="1828" spans="1:5">
      <c r="A1828" s="120">
        <v>6796</v>
      </c>
      <c r="B1828" s="124" t="s">
        <v>5287</v>
      </c>
      <c r="C1828" s="125" t="s">
        <v>5207</v>
      </c>
      <c r="D1828" s="120">
        <v>6796</v>
      </c>
      <c r="E1828" s="60"/>
    </row>
    <row r="1829" spans="1:5">
      <c r="A1829" s="120">
        <v>6797</v>
      </c>
      <c r="B1829" s="124" t="s">
        <v>5288</v>
      </c>
      <c r="C1829" s="125" t="s">
        <v>5207</v>
      </c>
      <c r="D1829" s="120">
        <v>6797</v>
      </c>
      <c r="E1829" s="60"/>
    </row>
    <row r="1830" spans="1:5">
      <c r="A1830" s="120">
        <v>6808</v>
      </c>
      <c r="B1830" s="124" t="s">
        <v>5289</v>
      </c>
      <c r="C1830" s="125" t="s">
        <v>5207</v>
      </c>
      <c r="D1830" s="120">
        <v>6808</v>
      </c>
      <c r="E1830" s="60"/>
    </row>
    <row r="1831" spans="1:5">
      <c r="A1831" s="120">
        <v>6810</v>
      </c>
      <c r="B1831" s="124" t="s">
        <v>5641</v>
      </c>
      <c r="C1831" s="125" t="s">
        <v>5207</v>
      </c>
      <c r="D1831" s="120">
        <v>6810</v>
      </c>
      <c r="E1831" s="60"/>
    </row>
    <row r="1832" spans="1:5">
      <c r="A1832" s="120">
        <v>6814</v>
      </c>
      <c r="B1832" s="124" t="s">
        <v>5290</v>
      </c>
      <c r="C1832" s="125" t="s">
        <v>5207</v>
      </c>
      <c r="D1832" s="120">
        <v>6814</v>
      </c>
      <c r="E1832" s="60"/>
    </row>
    <row r="1833" spans="1:5">
      <c r="A1833" s="120">
        <v>6815</v>
      </c>
      <c r="B1833" s="124" t="s">
        <v>5291</v>
      </c>
      <c r="C1833" s="125" t="s">
        <v>5207</v>
      </c>
      <c r="D1833" s="120">
        <v>6815</v>
      </c>
      <c r="E1833" s="60"/>
    </row>
    <row r="1834" spans="1:5">
      <c r="A1834" s="120">
        <v>6817</v>
      </c>
      <c r="B1834" s="124" t="s">
        <v>5292</v>
      </c>
      <c r="C1834" s="125" t="s">
        <v>5207</v>
      </c>
      <c r="D1834" s="120">
        <v>6817</v>
      </c>
      <c r="E1834" s="60"/>
    </row>
    <row r="1835" spans="1:5">
      <c r="A1835" s="120">
        <v>6827</v>
      </c>
      <c r="B1835" s="124" t="s">
        <v>5642</v>
      </c>
      <c r="C1835" s="125" t="s">
        <v>5207</v>
      </c>
      <c r="D1835" s="120">
        <v>6827</v>
      </c>
      <c r="E1835" s="60"/>
    </row>
    <row r="1836" spans="1:5">
      <c r="A1836" s="120">
        <v>6838</v>
      </c>
      <c r="B1836" s="124" t="s">
        <v>5643</v>
      </c>
      <c r="C1836" s="125" t="s">
        <v>5207</v>
      </c>
      <c r="D1836" s="120">
        <v>6838</v>
      </c>
      <c r="E1836" s="60"/>
    </row>
    <row r="1837" spans="1:5">
      <c r="A1837" s="120">
        <v>6841</v>
      </c>
      <c r="B1837" s="124" t="s">
        <v>5644</v>
      </c>
      <c r="C1837" s="125" t="s">
        <v>5207</v>
      </c>
      <c r="D1837" s="120">
        <v>6841</v>
      </c>
      <c r="E1837" s="60"/>
    </row>
    <row r="1838" spans="1:5">
      <c r="A1838" s="120">
        <v>6848</v>
      </c>
      <c r="B1838" s="124" t="s">
        <v>5645</v>
      </c>
      <c r="C1838" s="125" t="s">
        <v>5207</v>
      </c>
      <c r="D1838" s="120">
        <v>6848</v>
      </c>
      <c r="E1838" s="60"/>
    </row>
    <row r="1839" spans="1:5">
      <c r="A1839" s="120">
        <v>7427</v>
      </c>
      <c r="B1839" s="124" t="s">
        <v>5646</v>
      </c>
      <c r="C1839" s="125" t="s">
        <v>5207</v>
      </c>
      <c r="D1839" s="120">
        <v>7427</v>
      </c>
      <c r="E1839" s="60"/>
    </row>
    <row r="1840" spans="1:5">
      <c r="A1840" s="120">
        <v>7555</v>
      </c>
      <c r="B1840" s="124" t="s">
        <v>5293</v>
      </c>
      <c r="C1840" s="125" t="s">
        <v>5207</v>
      </c>
      <c r="D1840" s="120">
        <v>7555</v>
      </c>
      <c r="E1840" s="60"/>
    </row>
    <row r="1841" spans="1:5">
      <c r="A1841" s="120">
        <v>7561</v>
      </c>
      <c r="B1841" s="124" t="s">
        <v>5209</v>
      </c>
      <c r="C1841" s="125" t="s">
        <v>5207</v>
      </c>
      <c r="D1841" s="120">
        <v>7561</v>
      </c>
      <c r="E1841" s="60"/>
    </row>
    <row r="1842" spans="1:5">
      <c r="A1842" s="120">
        <v>7595</v>
      </c>
      <c r="B1842" s="124" t="s">
        <v>5294</v>
      </c>
      <c r="C1842" s="125" t="s">
        <v>5207</v>
      </c>
      <c r="D1842" s="120">
        <v>7595</v>
      </c>
      <c r="E1842" s="60"/>
    </row>
    <row r="1843" spans="1:5">
      <c r="A1843" s="120">
        <v>2071</v>
      </c>
      <c r="B1843" s="124" t="s">
        <v>5295</v>
      </c>
      <c r="C1843" s="125" t="s">
        <v>5207</v>
      </c>
      <c r="D1843" s="120">
        <v>2071</v>
      </c>
      <c r="E1843" s="60"/>
    </row>
    <row r="1844" spans="1:5">
      <c r="A1844" s="120">
        <v>2072</v>
      </c>
      <c r="B1844" s="124" t="s">
        <v>5296</v>
      </c>
      <c r="C1844" s="125" t="s">
        <v>5207</v>
      </c>
      <c r="D1844" s="120">
        <v>2072</v>
      </c>
      <c r="E1844" s="60"/>
    </row>
    <row r="1845" spans="1:5">
      <c r="A1845" s="120">
        <v>2073</v>
      </c>
      <c r="B1845" s="124" t="s">
        <v>5647</v>
      </c>
      <c r="C1845" s="125" t="s">
        <v>5207</v>
      </c>
      <c r="D1845" s="120">
        <v>2073</v>
      </c>
      <c r="E1845" s="60"/>
    </row>
    <row r="1846" spans="1:5">
      <c r="A1846" s="120">
        <v>9957</v>
      </c>
      <c r="B1846" s="124" t="s">
        <v>5297</v>
      </c>
      <c r="C1846" s="125" t="s">
        <v>5207</v>
      </c>
      <c r="D1846" s="120">
        <v>9957</v>
      </c>
      <c r="E1846" s="60"/>
    </row>
    <row r="1847" spans="1:5">
      <c r="A1847" s="120">
        <v>3150</v>
      </c>
      <c r="B1847" s="124" t="s">
        <v>5298</v>
      </c>
      <c r="C1847" s="125" t="s">
        <v>5207</v>
      </c>
      <c r="D1847" s="120">
        <v>3150</v>
      </c>
      <c r="E1847" s="60"/>
    </row>
    <row r="1848" spans="1:5">
      <c r="A1848" s="120">
        <v>3592</v>
      </c>
      <c r="B1848" s="124" t="s">
        <v>5299</v>
      </c>
      <c r="C1848" s="125" t="s">
        <v>5207</v>
      </c>
      <c r="D1848" s="120">
        <v>3592</v>
      </c>
      <c r="E1848" s="60"/>
    </row>
    <row r="1849" spans="1:5">
      <c r="A1849" s="120">
        <v>4923</v>
      </c>
      <c r="B1849" s="124" t="s">
        <v>5300</v>
      </c>
      <c r="C1849" s="125" t="s">
        <v>5207</v>
      </c>
      <c r="D1849" s="120">
        <v>4923</v>
      </c>
      <c r="E1849" s="60"/>
    </row>
    <row r="1850" spans="1:5">
      <c r="A1850" s="120">
        <v>4925</v>
      </c>
      <c r="B1850" s="124" t="s">
        <v>5301</v>
      </c>
      <c r="C1850" s="125" t="s">
        <v>5207</v>
      </c>
      <c r="D1850" s="120">
        <v>4925</v>
      </c>
      <c r="E1850" s="60"/>
    </row>
    <row r="1851" spans="1:5">
      <c r="A1851" s="120">
        <v>4951</v>
      </c>
      <c r="B1851" s="124" t="s">
        <v>5302</v>
      </c>
      <c r="C1851" s="125" t="s">
        <v>5207</v>
      </c>
      <c r="D1851" s="120">
        <v>4951</v>
      </c>
      <c r="E1851" s="60"/>
    </row>
    <row r="1852" spans="1:5">
      <c r="A1852" s="120">
        <v>5262</v>
      </c>
      <c r="B1852" s="124" t="s">
        <v>5305</v>
      </c>
      <c r="C1852" s="125" t="s">
        <v>5207</v>
      </c>
      <c r="D1852" s="120">
        <v>5262</v>
      </c>
      <c r="E1852" s="60"/>
    </row>
    <row r="1853" spans="1:5">
      <c r="A1853" s="120">
        <v>5297</v>
      </c>
      <c r="B1853" s="124" t="s">
        <v>5306</v>
      </c>
      <c r="C1853" s="125" t="s">
        <v>5207</v>
      </c>
      <c r="D1853" s="120">
        <v>5297</v>
      </c>
      <c r="E1853" s="60"/>
    </row>
    <row r="1854" spans="1:5">
      <c r="A1854" s="120">
        <v>6423</v>
      </c>
      <c r="B1854" s="124" t="s">
        <v>5307</v>
      </c>
      <c r="C1854" s="125" t="s">
        <v>5207</v>
      </c>
      <c r="D1854" s="120">
        <v>6423</v>
      </c>
      <c r="E1854" s="60"/>
    </row>
    <row r="1855" spans="1:5">
      <c r="A1855" s="120">
        <v>6545</v>
      </c>
      <c r="B1855" s="124" t="s">
        <v>5308</v>
      </c>
      <c r="C1855" s="125" t="s">
        <v>5207</v>
      </c>
      <c r="D1855" s="120">
        <v>6545</v>
      </c>
      <c r="E1855" s="60"/>
    </row>
    <row r="1856" spans="1:5">
      <c r="A1856" s="120">
        <v>6693</v>
      </c>
      <c r="B1856" s="124" t="s">
        <v>5310</v>
      </c>
      <c r="C1856" s="125" t="s">
        <v>5207</v>
      </c>
      <c r="D1856" s="120">
        <v>6693</v>
      </c>
      <c r="E1856" s="60"/>
    </row>
    <row r="1857" spans="1:5">
      <c r="A1857" s="120">
        <v>6695</v>
      </c>
      <c r="B1857" s="124" t="s">
        <v>5311</v>
      </c>
      <c r="C1857" s="125" t="s">
        <v>5207</v>
      </c>
      <c r="D1857" s="120">
        <v>6695</v>
      </c>
      <c r="E1857" s="60"/>
    </row>
    <row r="1858" spans="1:5">
      <c r="A1858" s="120">
        <v>6699</v>
      </c>
      <c r="B1858" s="124" t="s">
        <v>5312</v>
      </c>
      <c r="C1858" s="125" t="s">
        <v>5207</v>
      </c>
      <c r="D1858" s="120">
        <v>6699</v>
      </c>
      <c r="E1858" s="60"/>
    </row>
    <row r="1859" spans="1:5">
      <c r="A1859" s="120">
        <v>6708</v>
      </c>
      <c r="B1859" s="124" t="s">
        <v>5313</v>
      </c>
      <c r="C1859" s="125" t="s">
        <v>5207</v>
      </c>
      <c r="D1859" s="120">
        <v>6708</v>
      </c>
      <c r="E1859" s="60"/>
    </row>
    <row r="1860" spans="1:5">
      <c r="A1860" s="120">
        <v>6719</v>
      </c>
      <c r="B1860" s="124" t="s">
        <v>5314</v>
      </c>
      <c r="C1860" s="125" t="s">
        <v>5207</v>
      </c>
      <c r="D1860" s="120">
        <v>6719</v>
      </c>
      <c r="E1860" s="60"/>
    </row>
    <row r="1861" spans="1:5">
      <c r="A1861" s="120">
        <v>6720</v>
      </c>
      <c r="B1861" s="124" t="s">
        <v>5315</v>
      </c>
      <c r="C1861" s="125" t="s">
        <v>5207</v>
      </c>
      <c r="D1861" s="120">
        <v>6720</v>
      </c>
      <c r="E1861" s="60"/>
    </row>
    <row r="1862" spans="1:5">
      <c r="A1862" s="120">
        <v>6770</v>
      </c>
      <c r="B1862" s="124" t="s">
        <v>5316</v>
      </c>
      <c r="C1862" s="125" t="s">
        <v>5207</v>
      </c>
      <c r="D1862" s="120">
        <v>6770</v>
      </c>
      <c r="E1862" s="60"/>
    </row>
    <row r="1863" spans="1:5">
      <c r="A1863" s="120">
        <v>6786</v>
      </c>
      <c r="B1863" s="124" t="s">
        <v>5317</v>
      </c>
      <c r="C1863" s="125" t="s">
        <v>5207</v>
      </c>
      <c r="D1863" s="120">
        <v>6786</v>
      </c>
      <c r="E1863" s="60"/>
    </row>
    <row r="1864" spans="1:5">
      <c r="A1864" s="120">
        <v>6789</v>
      </c>
      <c r="B1864" s="124" t="s">
        <v>5319</v>
      </c>
      <c r="C1864" s="125" t="s">
        <v>5207</v>
      </c>
      <c r="D1864" s="120">
        <v>6789</v>
      </c>
      <c r="E1864" s="60"/>
    </row>
    <row r="1865" spans="1:5">
      <c r="A1865" s="120">
        <v>6799</v>
      </c>
      <c r="B1865" s="124" t="s">
        <v>5320</v>
      </c>
      <c r="C1865" s="125" t="s">
        <v>5207</v>
      </c>
      <c r="D1865" s="120">
        <v>6799</v>
      </c>
      <c r="E1865" s="60"/>
    </row>
    <row r="1866" spans="1:5">
      <c r="A1866" s="120">
        <v>6819</v>
      </c>
      <c r="B1866" s="124" t="s">
        <v>5321</v>
      </c>
      <c r="C1866" s="125" t="s">
        <v>5207</v>
      </c>
      <c r="D1866" s="120">
        <v>6819</v>
      </c>
      <c r="E1866" s="60"/>
    </row>
    <row r="1867" spans="1:5">
      <c r="A1867" s="120">
        <v>6823</v>
      </c>
      <c r="B1867" s="124" t="s">
        <v>5648</v>
      </c>
      <c r="C1867" s="125" t="s">
        <v>5207</v>
      </c>
      <c r="D1867" s="120">
        <v>6823</v>
      </c>
      <c r="E1867" s="60"/>
    </row>
    <row r="1868" spans="1:5">
      <c r="A1868" s="120">
        <v>6842</v>
      </c>
      <c r="B1868" s="124" t="s">
        <v>5649</v>
      </c>
      <c r="C1868" s="125" t="s">
        <v>5207</v>
      </c>
      <c r="D1868" s="120">
        <v>6842</v>
      </c>
      <c r="E1868" s="60"/>
    </row>
    <row r="1869" spans="1:5">
      <c r="A1869" s="120">
        <v>8179</v>
      </c>
      <c r="B1869" s="124" t="s">
        <v>5322</v>
      </c>
      <c r="C1869" s="125" t="s">
        <v>5207</v>
      </c>
      <c r="D1869" s="120">
        <v>8179</v>
      </c>
      <c r="E1869" s="60"/>
    </row>
    <row r="1870" spans="1:5">
      <c r="A1870" s="120">
        <v>8227</v>
      </c>
      <c r="B1870" s="124" t="s">
        <v>5650</v>
      </c>
      <c r="C1870" s="125" t="s">
        <v>5207</v>
      </c>
      <c r="D1870" s="120">
        <v>8227</v>
      </c>
      <c r="E1870" s="60"/>
    </row>
    <row r="1871" spans="1:5">
      <c r="A1871" s="120">
        <v>3097</v>
      </c>
      <c r="B1871" s="124" t="s">
        <v>5323</v>
      </c>
      <c r="C1871" s="125" t="s">
        <v>5207</v>
      </c>
      <c r="D1871" s="120">
        <v>3097</v>
      </c>
      <c r="E1871" s="60"/>
    </row>
    <row r="1872" spans="1:5">
      <c r="A1872" s="120">
        <v>3349</v>
      </c>
      <c r="B1872" s="124" t="s">
        <v>5324</v>
      </c>
      <c r="C1872" s="125" t="s">
        <v>5207</v>
      </c>
      <c r="D1872" s="120">
        <v>3349</v>
      </c>
      <c r="E1872" s="60"/>
    </row>
    <row r="1873" spans="1:5">
      <c r="A1873" s="120">
        <v>6599</v>
      </c>
      <c r="B1873" s="124" t="s">
        <v>5325</v>
      </c>
      <c r="C1873" s="125" t="s">
        <v>5207</v>
      </c>
      <c r="D1873" s="120">
        <v>6599</v>
      </c>
      <c r="E1873" s="60"/>
    </row>
    <row r="1874" spans="1:5">
      <c r="A1874" s="120">
        <v>6638</v>
      </c>
      <c r="B1874" s="124" t="s">
        <v>5326</v>
      </c>
      <c r="C1874" s="125" t="s">
        <v>5207</v>
      </c>
      <c r="D1874" s="120">
        <v>6638</v>
      </c>
      <c r="E1874" s="60"/>
    </row>
    <row r="1875" spans="1:5">
      <c r="A1875" s="120">
        <v>6737</v>
      </c>
      <c r="B1875" s="124" t="s">
        <v>5327</v>
      </c>
      <c r="C1875" s="125" t="s">
        <v>5207</v>
      </c>
      <c r="D1875" s="120">
        <v>6737</v>
      </c>
      <c r="E1875" s="60"/>
    </row>
    <row r="1876" spans="1:5">
      <c r="A1876" s="120">
        <v>6813</v>
      </c>
      <c r="B1876" s="124" t="s">
        <v>5328</v>
      </c>
      <c r="C1876" s="125" t="s">
        <v>5207</v>
      </c>
      <c r="D1876" s="120">
        <v>6813</v>
      </c>
      <c r="E1876" s="60"/>
    </row>
    <row r="1877" spans="1:5">
      <c r="A1877" s="120">
        <v>6825</v>
      </c>
      <c r="B1877" s="124" t="s">
        <v>5329</v>
      </c>
      <c r="C1877" s="125" t="s">
        <v>5207</v>
      </c>
      <c r="D1877" s="120">
        <v>6825</v>
      </c>
      <c r="E1877" s="60"/>
    </row>
    <row r="1878" spans="1:5">
      <c r="A1878" s="120">
        <v>6831</v>
      </c>
      <c r="B1878" s="124" t="s">
        <v>5651</v>
      </c>
      <c r="C1878" s="125" t="s">
        <v>5207</v>
      </c>
      <c r="D1878" s="120">
        <v>6831</v>
      </c>
      <c r="E1878" s="60"/>
    </row>
    <row r="1879" spans="1:5">
      <c r="A1879" s="120">
        <v>8119</v>
      </c>
      <c r="B1879" s="124" t="s">
        <v>5330</v>
      </c>
      <c r="C1879" s="125" t="s">
        <v>5207</v>
      </c>
      <c r="D1879" s="120">
        <v>8119</v>
      </c>
      <c r="E1879" s="60"/>
    </row>
    <row r="1880" spans="1:5">
      <c r="A1880" s="120">
        <v>3168</v>
      </c>
      <c r="B1880" s="124" t="s">
        <v>5331</v>
      </c>
      <c r="C1880" s="125" t="s">
        <v>5207</v>
      </c>
      <c r="D1880" s="120">
        <v>3168</v>
      </c>
      <c r="E1880" s="60"/>
    </row>
    <row r="1881" spans="1:5">
      <c r="A1881" s="120">
        <v>3485</v>
      </c>
      <c r="B1881" s="124" t="s">
        <v>5332</v>
      </c>
      <c r="C1881" s="125" t="s">
        <v>5207</v>
      </c>
      <c r="D1881" s="120">
        <v>3485</v>
      </c>
      <c r="E1881" s="60"/>
    </row>
    <row r="1882" spans="1:5">
      <c r="A1882" s="120">
        <v>3595</v>
      </c>
      <c r="B1882" s="124" t="s">
        <v>5333</v>
      </c>
      <c r="C1882" s="125" t="s">
        <v>5207</v>
      </c>
      <c r="D1882" s="120">
        <v>3595</v>
      </c>
      <c r="E1882" s="60"/>
    </row>
    <row r="1883" spans="1:5">
      <c r="A1883" s="120">
        <v>3627</v>
      </c>
      <c r="B1883" s="124" t="s">
        <v>5334</v>
      </c>
      <c r="C1883" s="125" t="s">
        <v>5207</v>
      </c>
      <c r="D1883" s="120">
        <v>3627</v>
      </c>
      <c r="E1883" s="60"/>
    </row>
    <row r="1884" spans="1:5">
      <c r="A1884" s="120">
        <v>3633</v>
      </c>
      <c r="B1884" s="124" t="s">
        <v>5335</v>
      </c>
      <c r="C1884" s="125" t="s">
        <v>5207</v>
      </c>
      <c r="D1884" s="120">
        <v>3633</v>
      </c>
      <c r="E1884" s="60"/>
    </row>
    <row r="1885" spans="1:5">
      <c r="A1885" s="120">
        <v>3659</v>
      </c>
      <c r="B1885" s="124" t="s">
        <v>5336</v>
      </c>
      <c r="C1885" s="125" t="s">
        <v>5207</v>
      </c>
      <c r="D1885" s="120">
        <v>3659</v>
      </c>
      <c r="E1885" s="60"/>
    </row>
    <row r="1886" spans="1:5">
      <c r="A1886" s="120">
        <v>3678</v>
      </c>
      <c r="B1886" s="124" t="s">
        <v>5337</v>
      </c>
      <c r="C1886" s="125" t="s">
        <v>5207</v>
      </c>
      <c r="D1886" s="120">
        <v>3678</v>
      </c>
      <c r="E1886" s="60"/>
    </row>
    <row r="1887" spans="1:5">
      <c r="A1887" s="120">
        <v>3688</v>
      </c>
      <c r="B1887" s="124" t="s">
        <v>5338</v>
      </c>
      <c r="C1887" s="125" t="s">
        <v>5207</v>
      </c>
      <c r="D1887" s="120">
        <v>3688</v>
      </c>
      <c r="E1887" s="60"/>
    </row>
    <row r="1888" spans="1:5">
      <c r="A1888" s="120">
        <v>4537</v>
      </c>
      <c r="B1888" s="124" t="s">
        <v>5339</v>
      </c>
      <c r="C1888" s="125" t="s">
        <v>5207</v>
      </c>
      <c r="D1888" s="120">
        <v>4537</v>
      </c>
      <c r="E1888" s="60"/>
    </row>
    <row r="1889" spans="1:5">
      <c r="A1889" s="120">
        <v>4582</v>
      </c>
      <c r="B1889" s="124" t="s">
        <v>5340</v>
      </c>
      <c r="C1889" s="125" t="s">
        <v>5207</v>
      </c>
      <c r="D1889" s="120">
        <v>4582</v>
      </c>
      <c r="E1889" s="60"/>
    </row>
    <row r="1890" spans="1:5">
      <c r="A1890" s="120">
        <v>5240</v>
      </c>
      <c r="B1890" s="124" t="s">
        <v>5341</v>
      </c>
      <c r="C1890" s="125" t="s">
        <v>5207</v>
      </c>
      <c r="D1890" s="120">
        <v>5240</v>
      </c>
      <c r="E1890" s="60"/>
    </row>
    <row r="1891" spans="1:5">
      <c r="A1891" s="120">
        <v>5244</v>
      </c>
      <c r="B1891" s="124" t="s">
        <v>5342</v>
      </c>
      <c r="C1891" s="125" t="s">
        <v>5207</v>
      </c>
      <c r="D1891" s="120">
        <v>5244</v>
      </c>
      <c r="E1891" s="60"/>
    </row>
    <row r="1892" spans="1:5">
      <c r="A1892" s="120">
        <v>5248</v>
      </c>
      <c r="B1892" s="124" t="s">
        <v>5343</v>
      </c>
      <c r="C1892" s="125" t="s">
        <v>5207</v>
      </c>
      <c r="D1892" s="120">
        <v>5248</v>
      </c>
      <c r="E1892" s="60"/>
    </row>
    <row r="1893" spans="1:5">
      <c r="A1893" s="120">
        <v>5267</v>
      </c>
      <c r="B1893" s="124" t="s">
        <v>5344</v>
      </c>
      <c r="C1893" s="125" t="s">
        <v>5207</v>
      </c>
      <c r="D1893" s="120">
        <v>5267</v>
      </c>
      <c r="E1893" s="60"/>
    </row>
    <row r="1894" spans="1:5">
      <c r="A1894" s="120">
        <v>5277</v>
      </c>
      <c r="B1894" s="124" t="s">
        <v>5345</v>
      </c>
      <c r="C1894" s="125" t="s">
        <v>5207</v>
      </c>
      <c r="D1894" s="120">
        <v>5277</v>
      </c>
      <c r="E1894" s="60"/>
    </row>
    <row r="1895" spans="1:5">
      <c r="A1895" s="120">
        <v>6434</v>
      </c>
      <c r="B1895" s="124" t="s">
        <v>5346</v>
      </c>
      <c r="C1895" s="125" t="s">
        <v>5207</v>
      </c>
      <c r="D1895" s="120">
        <v>6434</v>
      </c>
      <c r="E1895" s="60"/>
    </row>
    <row r="1896" spans="1:5">
      <c r="A1896" s="120">
        <v>6498</v>
      </c>
      <c r="B1896" s="124" t="s">
        <v>5347</v>
      </c>
      <c r="C1896" s="125" t="s">
        <v>5207</v>
      </c>
      <c r="D1896" s="120">
        <v>6498</v>
      </c>
      <c r="E1896" s="60"/>
    </row>
    <row r="1897" spans="1:5">
      <c r="A1897" s="120">
        <v>6559</v>
      </c>
      <c r="B1897" s="124" t="s">
        <v>5348</v>
      </c>
      <c r="C1897" s="125" t="s">
        <v>5207</v>
      </c>
      <c r="D1897" s="120">
        <v>6559</v>
      </c>
      <c r="E1897" s="60"/>
    </row>
    <row r="1898" spans="1:5">
      <c r="A1898" s="120">
        <v>6673</v>
      </c>
      <c r="B1898" s="124" t="s">
        <v>5349</v>
      </c>
      <c r="C1898" s="125" t="s">
        <v>5207</v>
      </c>
      <c r="D1898" s="120">
        <v>6673</v>
      </c>
      <c r="E1898" s="60"/>
    </row>
    <row r="1899" spans="1:5">
      <c r="A1899" s="120">
        <v>6682</v>
      </c>
      <c r="B1899" s="124" t="s">
        <v>5350</v>
      </c>
      <c r="C1899" s="125" t="s">
        <v>5207</v>
      </c>
      <c r="D1899" s="120">
        <v>6682</v>
      </c>
      <c r="E1899" s="60"/>
    </row>
    <row r="1900" spans="1:5">
      <c r="A1900" s="120">
        <v>6692</v>
      </c>
      <c r="B1900" s="124" t="s">
        <v>5351</v>
      </c>
      <c r="C1900" s="125" t="s">
        <v>5207</v>
      </c>
      <c r="D1900" s="120">
        <v>6692</v>
      </c>
      <c r="E1900" s="60"/>
    </row>
    <row r="1901" spans="1:5">
      <c r="A1901" s="120">
        <v>6724</v>
      </c>
      <c r="B1901" s="124" t="s">
        <v>5352</v>
      </c>
      <c r="C1901" s="125" t="s">
        <v>5207</v>
      </c>
      <c r="D1901" s="120">
        <v>6724</v>
      </c>
      <c r="E1901" s="60"/>
    </row>
    <row r="1902" spans="1:5">
      <c r="A1902" s="120">
        <v>6729</v>
      </c>
      <c r="B1902" s="124" t="s">
        <v>5353</v>
      </c>
      <c r="C1902" s="125" t="s">
        <v>5207</v>
      </c>
      <c r="D1902" s="120">
        <v>6729</v>
      </c>
      <c r="E1902" s="60"/>
    </row>
    <row r="1903" spans="1:5">
      <c r="A1903" s="120">
        <v>6775</v>
      </c>
      <c r="B1903" s="124" t="s">
        <v>5354</v>
      </c>
      <c r="C1903" s="125" t="s">
        <v>5207</v>
      </c>
      <c r="D1903" s="120">
        <v>6775</v>
      </c>
      <c r="E1903" s="60"/>
    </row>
    <row r="1904" spans="1:5">
      <c r="A1904" s="120">
        <v>6787</v>
      </c>
      <c r="B1904" s="124" t="s">
        <v>5355</v>
      </c>
      <c r="C1904" s="125" t="s">
        <v>5207</v>
      </c>
      <c r="D1904" s="120">
        <v>6787</v>
      </c>
      <c r="E1904" s="60"/>
    </row>
    <row r="1905" spans="1:5">
      <c r="A1905" s="120">
        <v>6812</v>
      </c>
      <c r="B1905" s="124" t="s">
        <v>5356</v>
      </c>
      <c r="C1905" s="125" t="s">
        <v>5207</v>
      </c>
      <c r="D1905" s="120">
        <v>6812</v>
      </c>
      <c r="E1905" s="60"/>
    </row>
    <row r="1906" spans="1:5">
      <c r="A1906" s="120">
        <v>6839</v>
      </c>
      <c r="B1906" s="124" t="s">
        <v>5652</v>
      </c>
      <c r="C1906" s="125" t="s">
        <v>5207</v>
      </c>
      <c r="D1906" s="120">
        <v>6839</v>
      </c>
      <c r="E1906" s="60"/>
    </row>
    <row r="1907" spans="1:5">
      <c r="A1907" s="120">
        <v>8281</v>
      </c>
      <c r="B1907" s="124" t="s">
        <v>5357</v>
      </c>
      <c r="C1907" s="125" t="s">
        <v>5207</v>
      </c>
      <c r="D1907" s="120">
        <v>8281</v>
      </c>
      <c r="E1907" s="60"/>
    </row>
    <row r="1908" spans="1:5">
      <c r="A1908" s="120">
        <v>3391</v>
      </c>
      <c r="B1908" s="124" t="s">
        <v>5358</v>
      </c>
      <c r="C1908" s="125" t="s">
        <v>5207</v>
      </c>
      <c r="D1908" s="120">
        <v>3391</v>
      </c>
      <c r="E1908" s="60"/>
    </row>
    <row r="1909" spans="1:5">
      <c r="A1909" s="120">
        <v>3447</v>
      </c>
      <c r="B1909" s="124" t="s">
        <v>5653</v>
      </c>
      <c r="C1909" s="125" t="s">
        <v>5207</v>
      </c>
      <c r="D1909" s="120">
        <v>3447</v>
      </c>
      <c r="E1909" s="60"/>
    </row>
    <row r="1910" spans="1:5">
      <c r="A1910" s="120">
        <v>6403</v>
      </c>
      <c r="B1910" s="124" t="s">
        <v>5359</v>
      </c>
      <c r="C1910" s="125" t="s">
        <v>5207</v>
      </c>
      <c r="D1910" s="120">
        <v>6403</v>
      </c>
      <c r="E1910" s="60"/>
    </row>
    <row r="1911" spans="1:5">
      <c r="A1911" s="120">
        <v>6546</v>
      </c>
      <c r="B1911" s="124" t="s">
        <v>5360</v>
      </c>
      <c r="C1911" s="125" t="s">
        <v>5207</v>
      </c>
      <c r="D1911" s="120">
        <v>6546</v>
      </c>
      <c r="E1911" s="60"/>
    </row>
    <row r="1912" spans="1:5">
      <c r="A1912" s="120">
        <v>6784</v>
      </c>
      <c r="B1912" s="124" t="s">
        <v>5361</v>
      </c>
      <c r="C1912" s="125" t="s">
        <v>5207</v>
      </c>
      <c r="D1912" s="120">
        <v>6784</v>
      </c>
      <c r="E1912" s="60"/>
    </row>
    <row r="1913" spans="1:5">
      <c r="A1913" s="120">
        <v>6792</v>
      </c>
      <c r="B1913" s="124" t="s">
        <v>5362</v>
      </c>
      <c r="C1913" s="125" t="s">
        <v>5207</v>
      </c>
      <c r="D1913" s="120">
        <v>6792</v>
      </c>
      <c r="E1913" s="60"/>
    </row>
    <row r="1914" spans="1:5">
      <c r="A1914" s="120">
        <v>6818</v>
      </c>
      <c r="B1914" s="124" t="s">
        <v>5363</v>
      </c>
      <c r="C1914" s="125" t="s">
        <v>5207</v>
      </c>
      <c r="D1914" s="120">
        <v>6818</v>
      </c>
      <c r="E1914" s="60"/>
    </row>
    <row r="1915" spans="1:5">
      <c r="A1915" s="120">
        <v>6820</v>
      </c>
      <c r="B1915" s="124" t="s">
        <v>5364</v>
      </c>
      <c r="C1915" s="125" t="s">
        <v>5207</v>
      </c>
      <c r="D1915" s="120">
        <v>6820</v>
      </c>
      <c r="E1915" s="60"/>
    </row>
    <row r="1916" spans="1:5">
      <c r="A1916" s="120">
        <v>8045</v>
      </c>
      <c r="B1916" s="124" t="s">
        <v>5365</v>
      </c>
      <c r="C1916" s="125" t="s">
        <v>5207</v>
      </c>
      <c r="D1916" s="120">
        <v>8045</v>
      </c>
      <c r="E1916" s="60"/>
    </row>
    <row r="1917" spans="1:5">
      <c r="A1917" s="120">
        <v>1585</v>
      </c>
      <c r="B1917" s="124" t="s">
        <v>5366</v>
      </c>
      <c r="C1917" s="125" t="s">
        <v>5207</v>
      </c>
      <c r="D1917" s="120">
        <v>1585</v>
      </c>
      <c r="E1917" s="60"/>
    </row>
    <row r="1918" spans="1:5">
      <c r="A1918" s="120">
        <v>3117</v>
      </c>
      <c r="B1918" s="124" t="s">
        <v>5367</v>
      </c>
      <c r="C1918" s="125" t="s">
        <v>5207</v>
      </c>
      <c r="D1918" s="120">
        <v>3117</v>
      </c>
      <c r="E1918" s="60"/>
    </row>
    <row r="1919" spans="1:5">
      <c r="A1919" s="120">
        <v>3585</v>
      </c>
      <c r="B1919" s="124" t="s">
        <v>5368</v>
      </c>
      <c r="C1919" s="125" t="s">
        <v>5207</v>
      </c>
      <c r="D1919" s="120">
        <v>3585</v>
      </c>
      <c r="E1919" s="60"/>
    </row>
    <row r="1920" spans="1:5">
      <c r="A1920" s="120">
        <v>4980</v>
      </c>
      <c r="B1920" s="124" t="s">
        <v>5369</v>
      </c>
      <c r="C1920" s="125" t="s">
        <v>5207</v>
      </c>
      <c r="D1920" s="120">
        <v>4980</v>
      </c>
      <c r="E1920" s="60"/>
    </row>
    <row r="1921" spans="1:5">
      <c r="A1921" s="120">
        <v>5228</v>
      </c>
      <c r="B1921" s="124" t="s">
        <v>5370</v>
      </c>
      <c r="C1921" s="125" t="s">
        <v>5207</v>
      </c>
      <c r="D1921" s="120">
        <v>5228</v>
      </c>
      <c r="E1921" s="60"/>
    </row>
    <row r="1922" spans="1:5">
      <c r="A1922" s="120">
        <v>5254</v>
      </c>
      <c r="B1922" s="124" t="s">
        <v>5371</v>
      </c>
      <c r="C1922" s="125" t="s">
        <v>5207</v>
      </c>
      <c r="D1922" s="120">
        <v>5254</v>
      </c>
      <c r="E1922" s="60"/>
    </row>
    <row r="1923" spans="1:5">
      <c r="A1923" s="120">
        <v>5271</v>
      </c>
      <c r="B1923" s="124" t="s">
        <v>5372</v>
      </c>
      <c r="C1923" s="125" t="s">
        <v>5207</v>
      </c>
      <c r="D1923" s="120">
        <v>5271</v>
      </c>
      <c r="E1923" s="60"/>
    </row>
    <row r="1924" spans="1:5">
      <c r="A1924" s="120">
        <v>6272</v>
      </c>
      <c r="B1924" s="124" t="s">
        <v>5373</v>
      </c>
      <c r="C1924" s="125" t="s">
        <v>5207</v>
      </c>
      <c r="D1924" s="120">
        <v>6272</v>
      </c>
      <c r="E1924" s="60"/>
    </row>
    <row r="1925" spans="1:5">
      <c r="A1925" s="120">
        <v>6407</v>
      </c>
      <c r="B1925" s="124" t="s">
        <v>5374</v>
      </c>
      <c r="C1925" s="125" t="s">
        <v>5207</v>
      </c>
      <c r="D1925" s="120">
        <v>6407</v>
      </c>
      <c r="E1925" s="60"/>
    </row>
    <row r="1926" spans="1:5">
      <c r="A1926" s="120">
        <v>6555</v>
      </c>
      <c r="B1926" s="124" t="s">
        <v>5375</v>
      </c>
      <c r="C1926" s="125" t="s">
        <v>5207</v>
      </c>
      <c r="D1926" s="120">
        <v>6555</v>
      </c>
      <c r="E1926" s="60"/>
    </row>
    <row r="1927" spans="1:5">
      <c r="A1927" s="120">
        <v>6584</v>
      </c>
      <c r="B1927" s="124" t="s">
        <v>5376</v>
      </c>
      <c r="C1927" s="125" t="s">
        <v>5207</v>
      </c>
      <c r="D1927" s="120">
        <v>6584</v>
      </c>
      <c r="E1927" s="60"/>
    </row>
    <row r="1928" spans="1:5">
      <c r="A1928" s="120">
        <v>6597</v>
      </c>
      <c r="B1928" s="124" t="s">
        <v>5377</v>
      </c>
      <c r="C1928" s="125" t="s">
        <v>5207</v>
      </c>
      <c r="D1928" s="120">
        <v>6597</v>
      </c>
      <c r="E1928" s="60"/>
    </row>
    <row r="1929" spans="1:5">
      <c r="A1929" s="120">
        <v>6755</v>
      </c>
      <c r="B1929" s="124" t="s">
        <v>5378</v>
      </c>
      <c r="C1929" s="125" t="s">
        <v>5207</v>
      </c>
      <c r="D1929" s="120">
        <v>6755</v>
      </c>
      <c r="E1929" s="60"/>
    </row>
    <row r="1930" spans="1:5">
      <c r="A1930" s="120">
        <v>6761</v>
      </c>
      <c r="B1930" s="124" t="s">
        <v>5379</v>
      </c>
      <c r="C1930" s="125" t="s">
        <v>5207</v>
      </c>
      <c r="D1930" s="120">
        <v>6761</v>
      </c>
      <c r="E1930" s="60"/>
    </row>
    <row r="1931" spans="1:5">
      <c r="A1931" s="120">
        <v>6805</v>
      </c>
      <c r="B1931" s="124" t="s">
        <v>5380</v>
      </c>
      <c r="C1931" s="125" t="s">
        <v>5207</v>
      </c>
      <c r="D1931" s="120">
        <v>6805</v>
      </c>
      <c r="E1931" s="60"/>
    </row>
    <row r="1932" spans="1:5">
      <c r="A1932" s="120">
        <v>6821</v>
      </c>
      <c r="B1932" s="124" t="s">
        <v>5381</v>
      </c>
      <c r="C1932" s="125" t="s">
        <v>5207</v>
      </c>
      <c r="D1932" s="120">
        <v>6821</v>
      </c>
      <c r="E1932" s="60"/>
    </row>
    <row r="1933" spans="1:5">
      <c r="A1933" s="120">
        <v>6833</v>
      </c>
      <c r="B1933" s="124" t="s">
        <v>5654</v>
      </c>
      <c r="C1933" s="125" t="s">
        <v>5207</v>
      </c>
      <c r="D1933" s="120">
        <v>6833</v>
      </c>
      <c r="E1933" s="60"/>
    </row>
    <row r="1934" spans="1:5">
      <c r="A1934" s="120">
        <v>6834</v>
      </c>
      <c r="B1934" s="124" t="s">
        <v>5655</v>
      </c>
      <c r="C1934" s="125" t="s">
        <v>5207</v>
      </c>
      <c r="D1934" s="120">
        <v>6834</v>
      </c>
      <c r="E1934" s="60"/>
    </row>
    <row r="1935" spans="1:5">
      <c r="A1935" s="120">
        <v>6835</v>
      </c>
      <c r="B1935" s="124" t="s">
        <v>5656</v>
      </c>
      <c r="C1935" s="125" t="s">
        <v>5207</v>
      </c>
      <c r="D1935" s="120">
        <v>6835</v>
      </c>
      <c r="E1935" s="60"/>
    </row>
    <row r="1936" spans="1:5">
      <c r="A1936" s="120">
        <v>7419</v>
      </c>
      <c r="B1936" s="124" t="s">
        <v>5382</v>
      </c>
      <c r="C1936" s="125" t="s">
        <v>5207</v>
      </c>
      <c r="D1936" s="120">
        <v>7419</v>
      </c>
      <c r="E1936" s="60"/>
    </row>
    <row r="1937" spans="1:5">
      <c r="A1937" s="120">
        <v>8115</v>
      </c>
      <c r="B1937" s="124" t="s">
        <v>5383</v>
      </c>
      <c r="C1937" s="125" t="s">
        <v>5207</v>
      </c>
      <c r="D1937" s="120">
        <v>8115</v>
      </c>
      <c r="E1937" s="60"/>
    </row>
    <row r="1938" spans="1:5">
      <c r="A1938" s="120">
        <v>3429</v>
      </c>
      <c r="B1938" s="124" t="s">
        <v>5384</v>
      </c>
      <c r="C1938" s="125" t="s">
        <v>5207</v>
      </c>
      <c r="D1938" s="120">
        <v>3429</v>
      </c>
      <c r="E1938" s="60"/>
    </row>
    <row r="1939" spans="1:5">
      <c r="A1939" s="120">
        <v>3603</v>
      </c>
      <c r="B1939" s="124" t="s">
        <v>5385</v>
      </c>
      <c r="C1939" s="125" t="s">
        <v>5207</v>
      </c>
      <c r="D1939" s="120">
        <v>3603</v>
      </c>
      <c r="E1939" s="60"/>
    </row>
    <row r="1940" spans="1:5">
      <c r="A1940" s="120">
        <v>6474</v>
      </c>
      <c r="B1940" s="124" t="s">
        <v>5386</v>
      </c>
      <c r="C1940" s="125" t="s">
        <v>5207</v>
      </c>
      <c r="D1940" s="120">
        <v>6474</v>
      </c>
      <c r="E1940" s="60"/>
    </row>
    <row r="1941" spans="1:5">
      <c r="A1941" s="120">
        <v>3158</v>
      </c>
      <c r="B1941" s="124" t="s">
        <v>5387</v>
      </c>
      <c r="C1941" s="125" t="s">
        <v>5207</v>
      </c>
      <c r="D1941" s="120">
        <v>3158</v>
      </c>
      <c r="E1941" s="60"/>
    </row>
    <row r="1942" spans="1:5">
      <c r="A1942" s="120">
        <v>6536</v>
      </c>
      <c r="B1942" s="124" t="s">
        <v>5388</v>
      </c>
      <c r="C1942" s="125" t="s">
        <v>5207</v>
      </c>
      <c r="D1942" s="120">
        <v>6536</v>
      </c>
      <c r="E1942" s="60"/>
    </row>
    <row r="1943" spans="1:5">
      <c r="A1943" s="120">
        <v>6565</v>
      </c>
      <c r="B1943" s="124" t="s">
        <v>5389</v>
      </c>
      <c r="C1943" s="125" t="s">
        <v>5207</v>
      </c>
      <c r="D1943" s="120">
        <v>6565</v>
      </c>
      <c r="E1943" s="60"/>
    </row>
    <row r="1944" spans="1:5">
      <c r="A1944" s="120">
        <v>6738</v>
      </c>
      <c r="B1944" s="124" t="s">
        <v>5390</v>
      </c>
      <c r="C1944" s="125" t="s">
        <v>5207</v>
      </c>
      <c r="D1944" s="120">
        <v>6738</v>
      </c>
      <c r="E1944" s="60"/>
    </row>
    <row r="1945" spans="1:5">
      <c r="A1945" s="120">
        <v>6791</v>
      </c>
      <c r="B1945" s="124" t="s">
        <v>5391</v>
      </c>
      <c r="C1945" s="125" t="s">
        <v>5207</v>
      </c>
      <c r="D1945" s="120">
        <v>6791</v>
      </c>
      <c r="E1945" s="60"/>
    </row>
    <row r="1946" spans="1:5">
      <c r="A1946" s="120">
        <v>6811</v>
      </c>
      <c r="B1946" s="124" t="s">
        <v>5392</v>
      </c>
      <c r="C1946" s="125" t="s">
        <v>5207</v>
      </c>
      <c r="D1946" s="120">
        <v>6811</v>
      </c>
      <c r="E1946" s="60"/>
    </row>
    <row r="1947" spans="1:5">
      <c r="A1947" s="120">
        <v>6816</v>
      </c>
      <c r="B1947" s="124" t="s">
        <v>5393</v>
      </c>
      <c r="C1947" s="125" t="s">
        <v>5207</v>
      </c>
      <c r="D1947" s="120">
        <v>6816</v>
      </c>
      <c r="E1947" s="60"/>
    </row>
    <row r="1948" spans="1:5">
      <c r="A1948" s="120">
        <v>7547</v>
      </c>
      <c r="B1948" s="124" t="s">
        <v>5394</v>
      </c>
      <c r="C1948" s="125" t="s">
        <v>5207</v>
      </c>
      <c r="D1948" s="120">
        <v>7547</v>
      </c>
      <c r="E1948" s="60"/>
    </row>
    <row r="1949" spans="1:5">
      <c r="A1949" s="120">
        <v>8298</v>
      </c>
      <c r="B1949" s="124" t="s">
        <v>5395</v>
      </c>
      <c r="C1949" s="125" t="s">
        <v>5207</v>
      </c>
      <c r="D1949" s="120">
        <v>8298</v>
      </c>
      <c r="E1949" s="60"/>
    </row>
    <row r="1950" spans="1:5">
      <c r="A1950" s="120">
        <v>2252</v>
      </c>
      <c r="B1950" s="124" t="s">
        <v>5657</v>
      </c>
      <c r="C1950" s="125" t="s">
        <v>5207</v>
      </c>
      <c r="D1950" s="120">
        <v>2252</v>
      </c>
      <c r="E1950" s="60"/>
    </row>
    <row r="1951" spans="1:5">
      <c r="A1951" s="120">
        <v>4577</v>
      </c>
      <c r="B1951" s="124" t="s">
        <v>5396</v>
      </c>
      <c r="C1951" s="125" t="s">
        <v>5207</v>
      </c>
      <c r="D1951" s="120">
        <v>4577</v>
      </c>
      <c r="E1951" s="60"/>
    </row>
    <row r="1952" spans="1:5">
      <c r="A1952" s="120">
        <v>5233</v>
      </c>
      <c r="B1952" s="124" t="s">
        <v>5397</v>
      </c>
      <c r="C1952" s="125" t="s">
        <v>5207</v>
      </c>
      <c r="D1952" s="120">
        <v>5233</v>
      </c>
      <c r="E1952" s="60"/>
    </row>
    <row r="1953" spans="1:5">
      <c r="A1953" s="120">
        <v>6648</v>
      </c>
      <c r="B1953" s="124" t="s">
        <v>5398</v>
      </c>
      <c r="C1953" s="125" t="s">
        <v>5207</v>
      </c>
      <c r="D1953" s="120">
        <v>6648</v>
      </c>
      <c r="E1953" s="60"/>
    </row>
    <row r="1954" spans="1:5">
      <c r="A1954" s="120">
        <v>6689</v>
      </c>
      <c r="B1954" s="124" t="s">
        <v>5399</v>
      </c>
      <c r="C1954" s="125" t="s">
        <v>5207</v>
      </c>
      <c r="D1954" s="120">
        <v>6689</v>
      </c>
      <c r="E1954" s="60"/>
    </row>
    <row r="1955" spans="1:5">
      <c r="A1955" s="120">
        <v>6691</v>
      </c>
      <c r="B1955" s="124" t="s">
        <v>5400</v>
      </c>
      <c r="C1955" s="125" t="s">
        <v>5207</v>
      </c>
      <c r="D1955" s="120">
        <v>6691</v>
      </c>
      <c r="E1955" s="60"/>
    </row>
    <row r="1956" spans="1:5">
      <c r="A1956" s="120">
        <v>6717</v>
      </c>
      <c r="B1956" s="124" t="s">
        <v>5401</v>
      </c>
      <c r="C1956" s="125" t="s">
        <v>5207</v>
      </c>
      <c r="D1956" s="120">
        <v>6717</v>
      </c>
      <c r="E1956" s="60"/>
    </row>
    <row r="1957" spans="1:5">
      <c r="A1957" s="120">
        <v>6735</v>
      </c>
      <c r="B1957" s="124" t="s">
        <v>5402</v>
      </c>
      <c r="C1957" s="125" t="s">
        <v>5207</v>
      </c>
      <c r="D1957" s="120">
        <v>6735</v>
      </c>
      <c r="E1957" s="60"/>
    </row>
    <row r="1958" spans="1:5">
      <c r="A1958" s="120">
        <v>6739</v>
      </c>
      <c r="B1958" s="124" t="s">
        <v>5403</v>
      </c>
      <c r="C1958" s="125" t="s">
        <v>5207</v>
      </c>
      <c r="D1958" s="120">
        <v>6739</v>
      </c>
      <c r="E1958" s="60"/>
    </row>
    <row r="1959" spans="1:5">
      <c r="A1959" s="120">
        <v>6750</v>
      </c>
      <c r="B1959" s="124" t="s">
        <v>5404</v>
      </c>
      <c r="C1959" s="125" t="s">
        <v>5207</v>
      </c>
      <c r="D1959" s="120">
        <v>6750</v>
      </c>
      <c r="E1959" s="60"/>
    </row>
    <row r="1960" spans="1:5">
      <c r="A1960" s="120">
        <v>6826</v>
      </c>
      <c r="B1960" s="124" t="s">
        <v>5658</v>
      </c>
      <c r="C1960" s="125" t="s">
        <v>5207</v>
      </c>
      <c r="D1960" s="120">
        <v>6826</v>
      </c>
      <c r="E1960" s="60"/>
    </row>
    <row r="1961" spans="1:5">
      <c r="A1961" s="120">
        <v>6830</v>
      </c>
      <c r="B1961" s="124" t="s">
        <v>5659</v>
      </c>
      <c r="C1961" s="125" t="s">
        <v>5207</v>
      </c>
      <c r="D1961" s="120">
        <v>6830</v>
      </c>
      <c r="E1961" s="60"/>
    </row>
    <row r="1962" spans="1:5">
      <c r="A1962" s="120">
        <v>2599</v>
      </c>
      <c r="B1962" s="124" t="s">
        <v>5405</v>
      </c>
      <c r="C1962" s="125" t="s">
        <v>5207</v>
      </c>
      <c r="D1962" s="120">
        <v>2599</v>
      </c>
      <c r="E1962" s="60"/>
    </row>
    <row r="1963" spans="1:5">
      <c r="A1963" s="120">
        <v>5547</v>
      </c>
      <c r="B1963" s="124" t="s">
        <v>5406</v>
      </c>
      <c r="C1963" s="125" t="s">
        <v>5207</v>
      </c>
      <c r="D1963" s="120">
        <v>5547</v>
      </c>
      <c r="E1963" s="60"/>
    </row>
    <row r="1964" spans="1:5">
      <c r="A1964" s="120">
        <v>6753</v>
      </c>
      <c r="B1964" s="124" t="s">
        <v>5407</v>
      </c>
      <c r="C1964" s="125" t="s">
        <v>5207</v>
      </c>
      <c r="D1964" s="120">
        <v>6753</v>
      </c>
      <c r="E1964" s="60"/>
    </row>
    <row r="1965" spans="1:5">
      <c r="A1965" s="120">
        <v>6757</v>
      </c>
      <c r="B1965" s="124" t="s">
        <v>5408</v>
      </c>
      <c r="C1965" s="125" t="s">
        <v>5207</v>
      </c>
      <c r="D1965" s="120">
        <v>6757</v>
      </c>
      <c r="E1965" s="60"/>
    </row>
    <row r="1966" spans="1:5">
      <c r="A1966" s="120">
        <v>1269</v>
      </c>
      <c r="B1966" s="124" t="s">
        <v>5409</v>
      </c>
      <c r="C1966" s="125" t="s">
        <v>5207</v>
      </c>
      <c r="D1966" s="120">
        <v>1269</v>
      </c>
      <c r="E1966" s="60"/>
    </row>
    <row r="1967" spans="1:5">
      <c r="A1967" s="120">
        <v>2730</v>
      </c>
      <c r="B1967" s="124" t="s">
        <v>5410</v>
      </c>
      <c r="C1967" s="125" t="s">
        <v>5207</v>
      </c>
      <c r="D1967" s="120">
        <v>2730</v>
      </c>
      <c r="E1967" s="60"/>
    </row>
    <row r="1968" spans="1:5">
      <c r="A1968" s="120">
        <v>2733</v>
      </c>
      <c r="B1968" s="124" t="s">
        <v>5411</v>
      </c>
      <c r="C1968" s="125" t="s">
        <v>5207</v>
      </c>
      <c r="D1968" s="120">
        <v>2733</v>
      </c>
      <c r="E1968" s="60"/>
    </row>
    <row r="1969" spans="1:5">
      <c r="A1969" s="120">
        <v>2741</v>
      </c>
      <c r="B1969" s="124" t="s">
        <v>5412</v>
      </c>
      <c r="C1969" s="125" t="s">
        <v>5207</v>
      </c>
      <c r="D1969" s="120">
        <v>2741</v>
      </c>
      <c r="E1969" s="60"/>
    </row>
    <row r="1970" spans="1:5">
      <c r="A1970" s="120">
        <v>2750</v>
      </c>
      <c r="B1970" s="124" t="s">
        <v>5413</v>
      </c>
      <c r="C1970" s="125" t="s">
        <v>5207</v>
      </c>
      <c r="D1970" s="120">
        <v>2750</v>
      </c>
      <c r="E1970" s="60"/>
    </row>
    <row r="1971" spans="1:5">
      <c r="A1971" s="120">
        <v>2756</v>
      </c>
      <c r="B1971" s="124" t="s">
        <v>5415</v>
      </c>
      <c r="C1971" s="125" t="s">
        <v>5207</v>
      </c>
      <c r="D1971" s="120">
        <v>2756</v>
      </c>
      <c r="E1971" s="60"/>
    </row>
    <row r="1972" spans="1:5">
      <c r="A1972" s="120">
        <v>2758</v>
      </c>
      <c r="B1972" s="124" t="s">
        <v>5660</v>
      </c>
      <c r="C1972" s="125" t="s">
        <v>5207</v>
      </c>
      <c r="D1972" s="120">
        <v>2758</v>
      </c>
      <c r="E1972" s="60"/>
    </row>
    <row r="1973" spans="1:5">
      <c r="A1973" s="120">
        <v>7566</v>
      </c>
      <c r="B1973" s="124" t="s">
        <v>5416</v>
      </c>
      <c r="C1973" s="125" t="s">
        <v>5207</v>
      </c>
      <c r="D1973" s="120">
        <v>7566</v>
      </c>
      <c r="E1973" s="60"/>
    </row>
    <row r="1974" spans="1:5">
      <c r="A1974" s="120">
        <v>8359</v>
      </c>
      <c r="B1974" s="124" t="s">
        <v>5417</v>
      </c>
      <c r="C1974" s="125" t="s">
        <v>5207</v>
      </c>
      <c r="D1974" s="120">
        <v>8359</v>
      </c>
      <c r="E1974" s="60"/>
    </row>
    <row r="1975" spans="1:5">
      <c r="A1975" s="120">
        <v>5859</v>
      </c>
      <c r="B1975" s="124" t="s">
        <v>5418</v>
      </c>
      <c r="C1975" s="125" t="s">
        <v>5207</v>
      </c>
      <c r="D1975" s="120">
        <v>5859</v>
      </c>
      <c r="E1975" s="60"/>
    </row>
    <row r="1976" spans="1:5">
      <c r="A1976" s="120">
        <v>5863</v>
      </c>
      <c r="B1976" s="124" t="s">
        <v>5419</v>
      </c>
      <c r="C1976" s="125" t="s">
        <v>5207</v>
      </c>
      <c r="D1976" s="120">
        <v>5863</v>
      </c>
      <c r="E1976" s="60"/>
    </row>
    <row r="1977" spans="1:5">
      <c r="A1977" s="120">
        <v>6027</v>
      </c>
      <c r="B1977" s="124" t="s">
        <v>5420</v>
      </c>
      <c r="C1977" s="125" t="s">
        <v>5207</v>
      </c>
      <c r="D1977" s="120">
        <v>6027</v>
      </c>
      <c r="E1977" s="60"/>
    </row>
    <row r="1978" spans="1:5">
      <c r="A1978" s="120">
        <v>6028</v>
      </c>
      <c r="B1978" s="124" t="s">
        <v>5421</v>
      </c>
      <c r="C1978" s="125" t="s">
        <v>5207</v>
      </c>
      <c r="D1978" s="120">
        <v>6028</v>
      </c>
      <c r="E1978" s="60"/>
    </row>
    <row r="1979" spans="1:5">
      <c r="A1979" s="120">
        <v>2938</v>
      </c>
      <c r="B1979" s="124" t="s">
        <v>5422</v>
      </c>
      <c r="C1979" s="125" t="s">
        <v>5207</v>
      </c>
      <c r="D1979" s="120">
        <v>2938</v>
      </c>
      <c r="E1979" s="60"/>
    </row>
    <row r="1980" spans="1:5">
      <c r="A1980" s="120">
        <v>2941</v>
      </c>
      <c r="B1980" s="124" t="s">
        <v>5661</v>
      </c>
      <c r="C1980" s="125" t="s">
        <v>5207</v>
      </c>
      <c r="D1980" s="120">
        <v>2941</v>
      </c>
      <c r="E1980" s="60"/>
    </row>
    <row r="1981" spans="1:5">
      <c r="A1981" s="120">
        <v>2942</v>
      </c>
      <c r="B1981" s="124" t="s">
        <v>5423</v>
      </c>
      <c r="C1981" s="125" t="s">
        <v>5207</v>
      </c>
      <c r="D1981" s="120">
        <v>2942</v>
      </c>
      <c r="E1981" s="60"/>
    </row>
    <row r="1982" spans="1:5">
      <c r="A1982" s="120">
        <v>2945</v>
      </c>
      <c r="B1982" s="124" t="s">
        <v>5424</v>
      </c>
      <c r="C1982" s="125" t="s">
        <v>5207</v>
      </c>
      <c r="D1982" s="120">
        <v>2945</v>
      </c>
      <c r="E1982" s="60"/>
    </row>
    <row r="1983" spans="1:5">
      <c r="A1983" s="120">
        <v>2948</v>
      </c>
      <c r="B1983" s="124" t="s">
        <v>5426</v>
      </c>
      <c r="C1983" s="125" t="s">
        <v>5207</v>
      </c>
      <c r="D1983" s="120">
        <v>2948</v>
      </c>
      <c r="E1983" s="60"/>
    </row>
    <row r="1984" spans="1:5">
      <c r="A1984" s="120">
        <v>6639</v>
      </c>
      <c r="B1984" s="124" t="s">
        <v>5427</v>
      </c>
      <c r="C1984" s="125" t="s">
        <v>5207</v>
      </c>
      <c r="D1984" s="120">
        <v>6639</v>
      </c>
      <c r="E1984" s="60"/>
    </row>
    <row r="1985" spans="1:5">
      <c r="A1985" s="120">
        <v>6428</v>
      </c>
      <c r="B1985" s="124" t="s">
        <v>5428</v>
      </c>
      <c r="C1985" s="125" t="s">
        <v>5207</v>
      </c>
      <c r="D1985" s="120">
        <v>6428</v>
      </c>
      <c r="E1985" s="60"/>
    </row>
    <row r="1986" spans="1:5">
      <c r="A1986" s="120">
        <v>6468</v>
      </c>
      <c r="B1986" s="124" t="s">
        <v>5662</v>
      </c>
      <c r="C1986" s="125" t="s">
        <v>5207</v>
      </c>
      <c r="D1986" s="120">
        <v>6468</v>
      </c>
      <c r="E1986" s="60"/>
    </row>
    <row r="1987" spans="1:5">
      <c r="A1987" s="120">
        <v>6473</v>
      </c>
      <c r="B1987" s="124" t="s">
        <v>5429</v>
      </c>
      <c r="C1987" s="125" t="s">
        <v>5207</v>
      </c>
      <c r="D1987" s="120">
        <v>6473</v>
      </c>
      <c r="E1987" s="60"/>
    </row>
    <row r="1988" spans="1:5">
      <c r="A1988" s="120">
        <v>6534</v>
      </c>
      <c r="B1988" s="124" t="s">
        <v>5430</v>
      </c>
      <c r="C1988" s="125" t="s">
        <v>5207</v>
      </c>
      <c r="D1988" s="120">
        <v>6534</v>
      </c>
      <c r="E1988" s="60"/>
    </row>
    <row r="1989" spans="1:5">
      <c r="A1989" s="120">
        <v>6583</v>
      </c>
      <c r="B1989" s="124" t="s">
        <v>5431</v>
      </c>
      <c r="C1989" s="125" t="s">
        <v>5207</v>
      </c>
      <c r="D1989" s="120">
        <v>6583</v>
      </c>
      <c r="E1989" s="60"/>
    </row>
    <row r="1990" spans="1:5">
      <c r="A1990" s="120">
        <v>6595</v>
      </c>
      <c r="B1990" s="124" t="s">
        <v>5432</v>
      </c>
      <c r="C1990" s="125" t="s">
        <v>5207</v>
      </c>
      <c r="D1990" s="120">
        <v>6595</v>
      </c>
      <c r="E1990" s="60"/>
    </row>
    <row r="1991" spans="1:5">
      <c r="A1991" s="120">
        <v>6611</v>
      </c>
      <c r="B1991" s="124" t="s">
        <v>5433</v>
      </c>
      <c r="C1991" s="125" t="s">
        <v>5207</v>
      </c>
      <c r="D1991" s="120">
        <v>6611</v>
      </c>
      <c r="E1991" s="60"/>
    </row>
    <row r="1992" spans="1:5">
      <c r="A1992" s="120">
        <v>6622</v>
      </c>
      <c r="B1992" s="124" t="s">
        <v>5434</v>
      </c>
      <c r="C1992" s="125" t="s">
        <v>5207</v>
      </c>
      <c r="D1992" s="120">
        <v>6622</v>
      </c>
      <c r="E1992" s="60"/>
    </row>
    <row r="1993" spans="1:5">
      <c r="A1993" s="120">
        <v>6626</v>
      </c>
      <c r="B1993" s="124" t="s">
        <v>5435</v>
      </c>
      <c r="C1993" s="125" t="s">
        <v>5207</v>
      </c>
      <c r="D1993" s="120">
        <v>6626</v>
      </c>
      <c r="E1993" s="60"/>
    </row>
    <row r="1994" spans="1:5">
      <c r="A1994" s="120">
        <v>6650</v>
      </c>
      <c r="B1994" s="124" t="s">
        <v>5436</v>
      </c>
      <c r="C1994" s="125" t="s">
        <v>5207</v>
      </c>
      <c r="D1994" s="120">
        <v>6650</v>
      </c>
      <c r="E1994" s="60"/>
    </row>
    <row r="1995" spans="1:5">
      <c r="A1995" s="120">
        <v>6736</v>
      </c>
      <c r="B1995" s="124" t="s">
        <v>5437</v>
      </c>
      <c r="C1995" s="125" t="s">
        <v>5207</v>
      </c>
      <c r="D1995" s="120">
        <v>6736</v>
      </c>
      <c r="E1995" s="60"/>
    </row>
    <row r="1996" spans="1:5">
      <c r="A1996" s="120">
        <v>6780</v>
      </c>
      <c r="B1996" s="124" t="s">
        <v>5438</v>
      </c>
      <c r="C1996" s="125" t="s">
        <v>5207</v>
      </c>
      <c r="D1996" s="120">
        <v>6780</v>
      </c>
      <c r="E1996" s="60"/>
    </row>
    <row r="1997" spans="1:5">
      <c r="A1997" s="120">
        <v>7452</v>
      </c>
      <c r="B1997" s="124" t="s">
        <v>5439</v>
      </c>
      <c r="C1997" s="125" t="s">
        <v>5207</v>
      </c>
      <c r="D1997" s="120">
        <v>7452</v>
      </c>
      <c r="E1997" s="60"/>
    </row>
    <row r="1998" spans="1:5">
      <c r="A1998" s="120">
        <v>7584</v>
      </c>
      <c r="B1998" s="124" t="s">
        <v>5440</v>
      </c>
      <c r="C1998" s="125" t="s">
        <v>5207</v>
      </c>
      <c r="D1998" s="120">
        <v>7584</v>
      </c>
      <c r="E1998" s="60"/>
    </row>
    <row r="1999" spans="1:5">
      <c r="A1999" s="120">
        <v>8329</v>
      </c>
      <c r="B1999" s="124" t="s">
        <v>5441</v>
      </c>
      <c r="C1999" s="125" t="s">
        <v>5207</v>
      </c>
      <c r="D1999" s="120">
        <v>8329</v>
      </c>
      <c r="E1999" s="60"/>
    </row>
    <row r="2000" spans="1:5">
      <c r="A2000" s="120">
        <v>8458</v>
      </c>
      <c r="B2000" s="124" t="s">
        <v>5442</v>
      </c>
      <c r="C2000" s="125" t="s">
        <v>5207</v>
      </c>
      <c r="D2000" s="120">
        <v>8458</v>
      </c>
      <c r="E2000" s="60"/>
    </row>
    <row r="2001" spans="1:5">
      <c r="A2001" s="120">
        <v>8465</v>
      </c>
      <c r="B2001" s="124" t="s">
        <v>5443</v>
      </c>
      <c r="C2001" s="125" t="s">
        <v>5207</v>
      </c>
      <c r="D2001" s="120">
        <v>8465</v>
      </c>
      <c r="E2001" s="60"/>
    </row>
    <row r="2002" spans="1:5">
      <c r="A2002" s="120">
        <v>8487</v>
      </c>
      <c r="B2002" s="124" t="s">
        <v>5444</v>
      </c>
      <c r="C2002" s="125" t="s">
        <v>5207</v>
      </c>
      <c r="D2002" s="120">
        <v>8487</v>
      </c>
      <c r="E2002" s="60"/>
    </row>
    <row r="2003" spans="1:5">
      <c r="A2003" s="120">
        <v>8490</v>
      </c>
      <c r="B2003" s="124" t="s">
        <v>5445</v>
      </c>
      <c r="C2003" s="125" t="s">
        <v>5207</v>
      </c>
      <c r="D2003" s="120">
        <v>8490</v>
      </c>
      <c r="E2003" s="60"/>
    </row>
    <row r="2004" spans="1:5">
      <c r="A2004" s="120">
        <v>8491</v>
      </c>
      <c r="B2004" s="124" t="s">
        <v>5446</v>
      </c>
      <c r="C2004" s="125" t="s">
        <v>5207</v>
      </c>
      <c r="D2004" s="120">
        <v>8491</v>
      </c>
      <c r="E2004" s="60"/>
    </row>
    <row r="2005" spans="1:5">
      <c r="A2005" s="120">
        <v>8492</v>
      </c>
      <c r="B2005" s="124" t="s">
        <v>5447</v>
      </c>
      <c r="C2005" s="125" t="s">
        <v>5207</v>
      </c>
      <c r="D2005" s="120">
        <v>8492</v>
      </c>
      <c r="E2005" s="60"/>
    </row>
    <row r="2006" spans="1:5">
      <c r="A2006" s="120">
        <v>6763</v>
      </c>
      <c r="B2006" s="124" t="s">
        <v>5448</v>
      </c>
      <c r="C2006" s="125" t="s">
        <v>5207</v>
      </c>
      <c r="D2006" s="120">
        <v>6763</v>
      </c>
      <c r="E2006" s="60"/>
    </row>
    <row r="2007" spans="1:5">
      <c r="A2007" s="120">
        <v>7551</v>
      </c>
      <c r="B2007" s="124" t="s">
        <v>5449</v>
      </c>
      <c r="C2007" s="125" t="s">
        <v>5207</v>
      </c>
      <c r="D2007" s="120">
        <v>7551</v>
      </c>
      <c r="E2007" s="60"/>
    </row>
    <row r="2008" spans="1:5">
      <c r="A2008" s="120">
        <v>4431</v>
      </c>
      <c r="B2008" s="124" t="s">
        <v>5663</v>
      </c>
      <c r="C2008" s="125" t="s">
        <v>5207</v>
      </c>
      <c r="D2008" s="120">
        <v>4431</v>
      </c>
      <c r="E2008" s="60"/>
    </row>
    <row r="2009" spans="1:5">
      <c r="A2009" s="120">
        <v>5292</v>
      </c>
      <c r="B2009" s="124" t="s">
        <v>5450</v>
      </c>
      <c r="C2009" s="125" t="s">
        <v>5207</v>
      </c>
      <c r="D2009" s="120">
        <v>5292</v>
      </c>
      <c r="E2009" s="60"/>
    </row>
    <row r="2010" spans="1:5">
      <c r="A2010" s="120">
        <v>6585</v>
      </c>
      <c r="B2010" s="124" t="s">
        <v>5451</v>
      </c>
      <c r="C2010" s="125" t="s">
        <v>5207</v>
      </c>
      <c r="D2010" s="120">
        <v>6585</v>
      </c>
      <c r="E2010" s="60"/>
    </row>
    <row r="2011" spans="1:5">
      <c r="A2011" s="120">
        <v>6721</v>
      </c>
      <c r="B2011" s="124" t="s">
        <v>5664</v>
      </c>
      <c r="C2011" s="125" t="s">
        <v>5207</v>
      </c>
      <c r="D2011" s="120">
        <v>6721</v>
      </c>
      <c r="E2011" s="60"/>
    </row>
    <row r="2012" spans="1:5">
      <c r="A2012" s="120">
        <v>6723</v>
      </c>
      <c r="B2012" s="124" t="s">
        <v>5452</v>
      </c>
      <c r="C2012" s="125" t="s">
        <v>5207</v>
      </c>
      <c r="D2012" s="120">
        <v>6723</v>
      </c>
      <c r="E2012" s="60"/>
    </row>
    <row r="2013" spans="1:5">
      <c r="A2013" s="120">
        <v>6731</v>
      </c>
      <c r="B2013" s="124" t="s">
        <v>5453</v>
      </c>
      <c r="C2013" s="125" t="s">
        <v>5207</v>
      </c>
      <c r="D2013" s="120">
        <v>6731</v>
      </c>
      <c r="E2013" s="60"/>
    </row>
    <row r="2014" spans="1:5">
      <c r="A2014" s="120">
        <v>6764</v>
      </c>
      <c r="B2014" s="124" t="s">
        <v>5454</v>
      </c>
      <c r="C2014" s="125" t="s">
        <v>5207</v>
      </c>
      <c r="D2014" s="120">
        <v>6764</v>
      </c>
      <c r="E2014" s="60"/>
    </row>
    <row r="2015" spans="1:5">
      <c r="A2015" s="120">
        <v>6771</v>
      </c>
      <c r="B2015" s="124" t="s">
        <v>5455</v>
      </c>
      <c r="C2015" s="125" t="s">
        <v>5207</v>
      </c>
      <c r="D2015" s="120">
        <v>6771</v>
      </c>
      <c r="E2015" s="60"/>
    </row>
    <row r="2016" spans="1:5">
      <c r="A2016" s="120">
        <v>6793</v>
      </c>
      <c r="B2016" s="124" t="s">
        <v>5457</v>
      </c>
      <c r="C2016" s="125" t="s">
        <v>5207</v>
      </c>
      <c r="D2016" s="120">
        <v>6793</v>
      </c>
      <c r="E2016" s="60"/>
    </row>
    <row r="2017" spans="1:5">
      <c r="A2017" s="120">
        <v>6804</v>
      </c>
      <c r="B2017" s="124" t="s">
        <v>5458</v>
      </c>
      <c r="C2017" s="125" t="s">
        <v>5207</v>
      </c>
      <c r="D2017" s="120">
        <v>6804</v>
      </c>
      <c r="E2017" s="60"/>
    </row>
    <row r="2018" spans="1:5">
      <c r="A2018" s="120">
        <v>6806</v>
      </c>
      <c r="B2018" s="124" t="s">
        <v>5459</v>
      </c>
      <c r="C2018" s="125" t="s">
        <v>5207</v>
      </c>
      <c r="D2018" s="120">
        <v>6806</v>
      </c>
      <c r="E2018" s="60"/>
    </row>
    <row r="2019" spans="1:5">
      <c r="A2019" s="120">
        <v>6832</v>
      </c>
      <c r="B2019" s="124" t="s">
        <v>5665</v>
      </c>
      <c r="C2019" s="125" t="s">
        <v>5207</v>
      </c>
      <c r="D2019" s="120">
        <v>6832</v>
      </c>
      <c r="E2019" s="60"/>
    </row>
    <row r="2020" spans="1:5">
      <c r="A2020" s="120">
        <v>6837</v>
      </c>
      <c r="B2020" s="124" t="s">
        <v>5666</v>
      </c>
      <c r="C2020" s="125" t="s">
        <v>5207</v>
      </c>
      <c r="D2020" s="120">
        <v>6837</v>
      </c>
      <c r="E2020" s="60"/>
    </row>
    <row r="2021" spans="1:5">
      <c r="A2021" s="120">
        <v>7443</v>
      </c>
      <c r="B2021" s="124" t="s">
        <v>5460</v>
      </c>
      <c r="C2021" s="125" t="s">
        <v>5207</v>
      </c>
      <c r="D2021" s="120">
        <v>7443</v>
      </c>
      <c r="E2021" s="60"/>
    </row>
    <row r="2022" spans="1:5">
      <c r="A2022" s="120">
        <v>7507</v>
      </c>
      <c r="B2022" s="124" t="s">
        <v>5461</v>
      </c>
      <c r="C2022" s="125" t="s">
        <v>5207</v>
      </c>
      <c r="D2022" s="120">
        <v>7507</v>
      </c>
      <c r="E2022" s="60"/>
    </row>
    <row r="2023" spans="1:5">
      <c r="A2023" s="120">
        <v>7516</v>
      </c>
      <c r="B2023" s="124" t="s">
        <v>5462</v>
      </c>
      <c r="C2023" s="125" t="s">
        <v>5207</v>
      </c>
      <c r="D2023" s="120">
        <v>7516</v>
      </c>
      <c r="E2023" s="60"/>
    </row>
    <row r="2024" spans="1:5">
      <c r="A2024" s="120">
        <v>7558</v>
      </c>
      <c r="B2024" s="124" t="s">
        <v>5463</v>
      </c>
      <c r="C2024" s="125" t="s">
        <v>5207</v>
      </c>
      <c r="D2024" s="120">
        <v>7558</v>
      </c>
      <c r="E2024" s="60"/>
    </row>
    <row r="2025" spans="1:5">
      <c r="A2025" s="120">
        <v>8438</v>
      </c>
      <c r="B2025" s="124" t="s">
        <v>5464</v>
      </c>
      <c r="C2025" s="125" t="s">
        <v>5207</v>
      </c>
      <c r="D2025" s="120">
        <v>8438</v>
      </c>
      <c r="E2025" s="60"/>
    </row>
    <row r="2026" spans="1:5">
      <c r="A2026" s="124" t="s">
        <v>5465</v>
      </c>
      <c r="B2026" s="124" t="s">
        <v>5466</v>
      </c>
      <c r="C2026" s="125" t="s">
        <v>5207</v>
      </c>
      <c r="D2026" s="125" t="s">
        <v>5465</v>
      </c>
      <c r="E2026" s="60"/>
    </row>
    <row r="2027" spans="1:5">
      <c r="A2027" s="124" t="s">
        <v>5467</v>
      </c>
      <c r="B2027" s="124" t="s">
        <v>5468</v>
      </c>
      <c r="C2027" s="125" t="s">
        <v>5207</v>
      </c>
      <c r="D2027" s="125" t="s">
        <v>5467</v>
      </c>
      <c r="E2027" s="60"/>
    </row>
    <row r="2028" spans="1:5">
      <c r="A2028" s="124" t="s">
        <v>5469</v>
      </c>
      <c r="B2028" s="124" t="s">
        <v>5470</v>
      </c>
      <c r="C2028" s="125" t="s">
        <v>5207</v>
      </c>
      <c r="D2028" s="125" t="s">
        <v>5469</v>
      </c>
      <c r="E2028" s="60"/>
    </row>
    <row r="2029" spans="1:5">
      <c r="A2029" s="124" t="s">
        <v>5471</v>
      </c>
      <c r="B2029" s="124" t="s">
        <v>5472</v>
      </c>
      <c r="C2029" s="125" t="s">
        <v>5207</v>
      </c>
      <c r="D2029" s="125" t="s">
        <v>5471</v>
      </c>
      <c r="E2029" s="60"/>
    </row>
    <row r="2030" spans="1:5">
      <c r="A2030" s="124" t="s">
        <v>5473</v>
      </c>
      <c r="B2030" s="124" t="s">
        <v>5474</v>
      </c>
      <c r="C2030" s="125" t="s">
        <v>5207</v>
      </c>
      <c r="D2030" s="125" t="s">
        <v>5473</v>
      </c>
      <c r="E2030" s="60"/>
    </row>
    <row r="2031" spans="1:5">
      <c r="A2031" s="124" t="s">
        <v>5475</v>
      </c>
      <c r="B2031" s="124" t="s">
        <v>5476</v>
      </c>
      <c r="C2031" s="125" t="s">
        <v>5207</v>
      </c>
      <c r="D2031" s="125" t="s">
        <v>5475</v>
      </c>
      <c r="E2031" s="60"/>
    </row>
    <row r="2032" spans="1:5">
      <c r="A2032" s="124" t="s">
        <v>5477</v>
      </c>
      <c r="B2032" s="124" t="s">
        <v>5478</v>
      </c>
      <c r="C2032" s="125" t="s">
        <v>5207</v>
      </c>
      <c r="D2032" s="125" t="s">
        <v>5477</v>
      </c>
      <c r="E2032" s="60"/>
    </row>
    <row r="2033" spans="1:5">
      <c r="A2033" s="124" t="s">
        <v>5479</v>
      </c>
      <c r="B2033" s="124" t="s">
        <v>5480</v>
      </c>
      <c r="C2033" s="125" t="s">
        <v>5207</v>
      </c>
      <c r="D2033" s="125" t="s">
        <v>5479</v>
      </c>
      <c r="E2033" s="60"/>
    </row>
    <row r="2034" spans="1:5">
      <c r="A2034" s="124" t="s">
        <v>5481</v>
      </c>
      <c r="B2034" s="124" t="s">
        <v>5482</v>
      </c>
      <c r="C2034" s="125" t="s">
        <v>5207</v>
      </c>
      <c r="D2034" s="125" t="s">
        <v>5481</v>
      </c>
      <c r="E2034" s="60"/>
    </row>
    <row r="2035" spans="1:5">
      <c r="A2035" s="124" t="s">
        <v>5483</v>
      </c>
      <c r="B2035" s="124" t="s">
        <v>5484</v>
      </c>
      <c r="C2035" s="125" t="s">
        <v>5207</v>
      </c>
      <c r="D2035" s="125" t="s">
        <v>5483</v>
      </c>
      <c r="E2035" s="60"/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A99C-E8C5-48F0-A7EF-AA23A27BDDA0}">
  <sheetPr codeName="工作表4"/>
  <dimension ref="A1:G2035"/>
  <sheetViews>
    <sheetView topLeftCell="A1709" workbookViewId="0">
      <selection activeCell="E1745" sqref="E1745:G2035"/>
    </sheetView>
  </sheetViews>
  <sheetFormatPr defaultRowHeight="16.2"/>
  <cols>
    <col min="1" max="2" width="8.88671875" style="60"/>
    <col min="3" max="3" width="9.77734375" style="60" customWidth="1"/>
    <col min="4" max="5" width="8.88671875" style="60"/>
    <col min="6" max="6" width="7.77734375" style="119" customWidth="1"/>
    <col min="7" max="7" width="8.88671875" style="63"/>
    <col min="8" max="16384" width="8.88671875" style="60"/>
  </cols>
  <sheetData>
    <row r="1" spans="1:7" s="94" customFormat="1">
      <c r="A1" s="64" t="s">
        <v>0</v>
      </c>
      <c r="B1" s="64" t="s">
        <v>1</v>
      </c>
      <c r="C1" s="136" t="s">
        <v>7</v>
      </c>
      <c r="D1" s="64" t="s">
        <v>0</v>
      </c>
      <c r="E1" s="64" t="s">
        <v>5691</v>
      </c>
      <c r="F1" s="64" t="s">
        <v>5667</v>
      </c>
      <c r="G1" s="130" t="s">
        <v>5668</v>
      </c>
    </row>
    <row r="2" spans="1:7">
      <c r="A2" s="118">
        <v>1101</v>
      </c>
      <c r="B2" s="60" t="s">
        <v>3695</v>
      </c>
      <c r="C2" s="125" t="s">
        <v>5546</v>
      </c>
      <c r="D2" s="118">
        <v>1101</v>
      </c>
      <c r="E2" s="60">
        <f>[1]!'1101.TW-PreClose'</f>
        <v>47.8</v>
      </c>
      <c r="F2" s="141">
        <f>IFERROR(STOCKS!$E2-STOCKS昨天!$E2,"0")</f>
        <v>-9.9999999999994316E-2</v>
      </c>
      <c r="G2" s="63">
        <f>IFERROR($F2/$E2,"0")</f>
        <v>-2.0920502092049019E-3</v>
      </c>
    </row>
    <row r="3" spans="1:7">
      <c r="A3" s="118">
        <v>1102</v>
      </c>
      <c r="B3" s="60" t="s">
        <v>3696</v>
      </c>
      <c r="C3" s="125" t="s">
        <v>5546</v>
      </c>
      <c r="D3" s="118">
        <v>1102</v>
      </c>
      <c r="E3" s="60">
        <f>[1]!'1102.TW-PreClose'</f>
        <v>44.1</v>
      </c>
      <c r="F3" s="141">
        <f>IFERROR(STOCKS!$E3-STOCKS昨天!$E3,"0")</f>
        <v>-0.45000000000000284</v>
      </c>
      <c r="G3" s="63">
        <f t="shared" ref="G3:G66" si="0">IFERROR($F3/$E3,"0")</f>
        <v>-1.0204081632653125E-2</v>
      </c>
    </row>
    <row r="4" spans="1:7">
      <c r="A4" s="118">
        <v>1103</v>
      </c>
      <c r="B4" s="60" t="s">
        <v>3697</v>
      </c>
      <c r="C4" s="125" t="s">
        <v>5546</v>
      </c>
      <c r="D4" s="118">
        <v>1103</v>
      </c>
      <c r="E4" s="60">
        <f>[1]!'1103.TW-PreClose'</f>
        <v>20.8</v>
      </c>
      <c r="F4" s="141">
        <f>IFERROR(STOCKS!$E4-STOCKS昨天!$E4,"0")</f>
        <v>-0.10000000000000142</v>
      </c>
      <c r="G4" s="63">
        <f t="shared" si="0"/>
        <v>-4.8076923076923756E-3</v>
      </c>
    </row>
    <row r="5" spans="1:7">
      <c r="A5" s="118">
        <v>1104</v>
      </c>
      <c r="B5" s="60" t="s">
        <v>3698</v>
      </c>
      <c r="C5" s="125" t="s">
        <v>5546</v>
      </c>
      <c r="D5" s="118">
        <v>1104</v>
      </c>
      <c r="E5" s="60">
        <f>[1]!'1104.TW-PreClose'</f>
        <v>21.1</v>
      </c>
      <c r="F5" s="141">
        <f>IFERROR(STOCKS!$E5-STOCKS昨天!$E5,"0")</f>
        <v>-5.0000000000000711E-2</v>
      </c>
      <c r="G5" s="63">
        <f t="shared" si="0"/>
        <v>-2.3696682464455312E-3</v>
      </c>
    </row>
    <row r="6" spans="1:7">
      <c r="A6" s="118">
        <v>1108</v>
      </c>
      <c r="B6" s="60" t="s">
        <v>3699</v>
      </c>
      <c r="C6" s="125" t="s">
        <v>5546</v>
      </c>
      <c r="D6" s="118">
        <v>1108</v>
      </c>
      <c r="E6" s="60">
        <f>[1]!'1108.TW-PreClose'</f>
        <v>11.75</v>
      </c>
      <c r="F6" s="141" t="str">
        <f>IFERROR(STOCKS!$E6-STOCKS昨天!$E6,"0")</f>
        <v>0</v>
      </c>
      <c r="G6" s="63">
        <f t="shared" si="0"/>
        <v>0</v>
      </c>
    </row>
    <row r="7" spans="1:7">
      <c r="A7" s="118">
        <v>1109</v>
      </c>
      <c r="B7" s="60" t="s">
        <v>3700</v>
      </c>
      <c r="C7" s="125" t="s">
        <v>5546</v>
      </c>
      <c r="D7" s="118">
        <v>1109</v>
      </c>
      <c r="E7" s="60">
        <f>[1]!'1109.TW-PreClose'</f>
        <v>20.95</v>
      </c>
      <c r="F7" s="141" t="str">
        <f>IFERROR(STOCKS!$E7-STOCKS昨天!$E7,"0")</f>
        <v>0</v>
      </c>
      <c r="G7" s="63">
        <f t="shared" si="0"/>
        <v>0</v>
      </c>
    </row>
    <row r="8" spans="1:7">
      <c r="A8" s="118">
        <v>1110</v>
      </c>
      <c r="B8" s="60" t="s">
        <v>3701</v>
      </c>
      <c r="C8" s="125" t="s">
        <v>5546</v>
      </c>
      <c r="D8" s="118">
        <v>1110</v>
      </c>
      <c r="E8" s="60">
        <f>[1]!'1110.TW-PreClose'</f>
        <v>21.2</v>
      </c>
      <c r="F8" s="141">
        <f>IFERROR(STOCKS!$E8-STOCKS昨天!$E8,"0")</f>
        <v>0</v>
      </c>
      <c r="G8" s="63">
        <f t="shared" si="0"/>
        <v>0</v>
      </c>
    </row>
    <row r="9" spans="1:7">
      <c r="A9" s="118">
        <v>1201</v>
      </c>
      <c r="B9" s="60" t="s">
        <v>3702</v>
      </c>
      <c r="C9" s="125" t="s">
        <v>5547</v>
      </c>
      <c r="D9" s="118">
        <v>1201</v>
      </c>
      <c r="E9" s="60">
        <f>[1]!'1201.TW-PreClose'</f>
        <v>22.3</v>
      </c>
      <c r="F9" s="141">
        <f>IFERROR(STOCKS!$E9-STOCKS昨天!$E9,"0")</f>
        <v>0</v>
      </c>
      <c r="G9" s="63">
        <f t="shared" si="0"/>
        <v>0</v>
      </c>
    </row>
    <row r="10" spans="1:7">
      <c r="A10" s="118">
        <v>1203</v>
      </c>
      <c r="B10" s="60" t="s">
        <v>3621</v>
      </c>
      <c r="C10" s="125" t="s">
        <v>5547</v>
      </c>
      <c r="D10" s="118">
        <v>1203</v>
      </c>
      <c r="E10" s="60">
        <f>[1]!'1203.TW-PreClose'</f>
        <v>33.1</v>
      </c>
      <c r="F10" s="141" t="str">
        <f>IFERROR(STOCKS!$E10-STOCKS昨天!$E10,"0")</f>
        <v>0</v>
      </c>
      <c r="G10" s="63">
        <f t="shared" si="0"/>
        <v>0</v>
      </c>
    </row>
    <row r="11" spans="1:7">
      <c r="A11" s="118">
        <v>1210</v>
      </c>
      <c r="B11" s="60" t="s">
        <v>3703</v>
      </c>
      <c r="C11" s="125" t="s">
        <v>5547</v>
      </c>
      <c r="D11" s="118">
        <v>1210</v>
      </c>
      <c r="E11" s="60">
        <f>[1]!'1210.TW-PreClose'</f>
        <v>52.7</v>
      </c>
      <c r="F11" s="141">
        <f>IFERROR(STOCKS!$E11-STOCKS昨天!$E11,"0")</f>
        <v>-0.10000000000000142</v>
      </c>
      <c r="G11" s="63">
        <f t="shared" si="0"/>
        <v>-1.8975332068311465E-3</v>
      </c>
    </row>
    <row r="12" spans="1:7">
      <c r="A12" s="118">
        <v>1213</v>
      </c>
      <c r="B12" s="60" t="s">
        <v>3704</v>
      </c>
      <c r="C12" s="125" t="s">
        <v>5547</v>
      </c>
      <c r="D12" s="118">
        <v>1213</v>
      </c>
      <c r="E12" s="60">
        <f>[1]!'1213.TW-PreClose'</f>
        <v>8.25</v>
      </c>
      <c r="F12" s="141" t="str">
        <f>IFERROR(STOCKS!$E12-STOCKS昨天!$E12,"0")</f>
        <v>0</v>
      </c>
      <c r="G12" s="63">
        <f t="shared" si="0"/>
        <v>0</v>
      </c>
    </row>
    <row r="13" spans="1:7">
      <c r="A13" s="118">
        <v>1215</v>
      </c>
      <c r="B13" s="60" t="s">
        <v>3705</v>
      </c>
      <c r="C13" s="125" t="s">
        <v>5547</v>
      </c>
      <c r="D13" s="118">
        <v>1215</v>
      </c>
      <c r="E13" s="60">
        <f>[1]!'1215.TW-PreClose'</f>
        <v>81.8</v>
      </c>
      <c r="F13" s="141" t="str">
        <f>IFERROR(STOCKS!$E13-STOCKS昨天!$E13,"0")</f>
        <v>0</v>
      </c>
      <c r="G13" s="63">
        <f t="shared" si="0"/>
        <v>0</v>
      </c>
    </row>
    <row r="14" spans="1:7">
      <c r="A14" s="118">
        <v>1216</v>
      </c>
      <c r="B14" s="60" t="s">
        <v>3706</v>
      </c>
      <c r="C14" s="125" t="s">
        <v>5547</v>
      </c>
      <c r="D14" s="118">
        <v>1216</v>
      </c>
      <c r="E14" s="60">
        <f>[1]!'1216.TW-PreClose'</f>
        <v>67.099999999999994</v>
      </c>
      <c r="F14" s="141">
        <f>IFERROR(STOCKS!$E14-STOCKS昨天!$E14,"0")</f>
        <v>0.30000000000001137</v>
      </c>
      <c r="G14" s="63">
        <f t="shared" si="0"/>
        <v>4.4709388971685754E-3</v>
      </c>
    </row>
    <row r="15" spans="1:7">
      <c r="A15" s="118">
        <v>1217</v>
      </c>
      <c r="B15" s="60" t="s">
        <v>3707</v>
      </c>
      <c r="C15" s="125" t="s">
        <v>5547</v>
      </c>
      <c r="D15" s="118">
        <v>1217</v>
      </c>
      <c r="E15" s="60">
        <f>[1]!'1217.TW-PreClose'</f>
        <v>10.55</v>
      </c>
      <c r="F15" s="141">
        <f>IFERROR(STOCKS!$E15-STOCKS昨天!$E15,"0")</f>
        <v>0</v>
      </c>
      <c r="G15" s="63">
        <f t="shared" si="0"/>
        <v>0</v>
      </c>
    </row>
    <row r="16" spans="1:7">
      <c r="A16" s="118">
        <v>1218</v>
      </c>
      <c r="B16" s="60" t="s">
        <v>3708</v>
      </c>
      <c r="C16" s="125" t="s">
        <v>5547</v>
      </c>
      <c r="D16" s="118">
        <v>1218</v>
      </c>
      <c r="E16" s="60">
        <f>[1]!'1218.TW-PreClose'</f>
        <v>27.4</v>
      </c>
      <c r="F16" s="141">
        <f>IFERROR(STOCKS!$E16-STOCKS昨天!$E16,"0")</f>
        <v>0</v>
      </c>
      <c r="G16" s="63">
        <f t="shared" si="0"/>
        <v>0</v>
      </c>
    </row>
    <row r="17" spans="1:7">
      <c r="A17" s="118">
        <v>1219</v>
      </c>
      <c r="B17" s="60" t="s">
        <v>3631</v>
      </c>
      <c r="C17" s="125" t="s">
        <v>5547</v>
      </c>
      <c r="D17" s="118">
        <v>1219</v>
      </c>
      <c r="E17" s="60">
        <f>[1]!'1219.TW-PreClose'</f>
        <v>20.75</v>
      </c>
      <c r="F17" s="141" t="str">
        <f>IFERROR(STOCKS!$E17-STOCKS昨天!$E17,"0")</f>
        <v>0</v>
      </c>
      <c r="G17" s="63">
        <f t="shared" si="0"/>
        <v>0</v>
      </c>
    </row>
    <row r="18" spans="1:7">
      <c r="A18" s="118">
        <v>1220</v>
      </c>
      <c r="B18" s="60" t="s">
        <v>3709</v>
      </c>
      <c r="C18" s="125" t="s">
        <v>5547</v>
      </c>
      <c r="D18" s="118">
        <v>1220</v>
      </c>
      <c r="E18" s="60">
        <f>[1]!'1220.TW-PreClose'</f>
        <v>15.4</v>
      </c>
      <c r="F18" s="141">
        <f>IFERROR(STOCKS!$E18-STOCKS昨天!$E18,"0")</f>
        <v>4.9999999999998934E-2</v>
      </c>
      <c r="G18" s="63">
        <f t="shared" si="0"/>
        <v>3.2467532467531776E-3</v>
      </c>
    </row>
    <row r="19" spans="1:7">
      <c r="A19" s="118">
        <v>1225</v>
      </c>
      <c r="B19" s="60" t="s">
        <v>3710</v>
      </c>
      <c r="C19" s="125" t="s">
        <v>5547</v>
      </c>
      <c r="D19" s="118">
        <v>1225</v>
      </c>
      <c r="E19" s="60">
        <f>[1]!'1225.TW-PreClose'</f>
        <v>50.4</v>
      </c>
      <c r="F19" s="141" t="str">
        <f>IFERROR(STOCKS!$E19-STOCKS昨天!$E19,"0")</f>
        <v>0</v>
      </c>
      <c r="G19" s="63">
        <f t="shared" si="0"/>
        <v>0</v>
      </c>
    </row>
    <row r="20" spans="1:7">
      <c r="A20" s="118">
        <v>1227</v>
      </c>
      <c r="B20" s="60" t="s">
        <v>3711</v>
      </c>
      <c r="C20" s="125" t="s">
        <v>5547</v>
      </c>
      <c r="D20" s="118">
        <v>1227</v>
      </c>
      <c r="E20" s="60">
        <f>[1]!'1227.TW-PreClose'</f>
        <v>51.7</v>
      </c>
      <c r="F20" s="141">
        <f>IFERROR(STOCKS!$E20-STOCKS昨天!$E20,"0")</f>
        <v>-0.20000000000000284</v>
      </c>
      <c r="G20" s="63">
        <f t="shared" si="0"/>
        <v>-3.8684719535783912E-3</v>
      </c>
    </row>
    <row r="21" spans="1:7">
      <c r="A21" s="118">
        <v>1229</v>
      </c>
      <c r="B21" s="60" t="s">
        <v>3712</v>
      </c>
      <c r="C21" s="125" t="s">
        <v>5547</v>
      </c>
      <c r="D21" s="118">
        <v>1229</v>
      </c>
      <c r="E21" s="60">
        <f>[1]!'1229.TW-PreClose'</f>
        <v>56.7</v>
      </c>
      <c r="F21" s="141">
        <f>IFERROR(STOCKS!$E21-STOCKS昨天!$E21,"0")</f>
        <v>9.9999999999994316E-2</v>
      </c>
      <c r="G21" s="63">
        <f t="shared" si="0"/>
        <v>1.7636684303349967E-3</v>
      </c>
    </row>
    <row r="22" spans="1:7">
      <c r="A22" s="118">
        <v>1231</v>
      </c>
      <c r="B22" s="60" t="s">
        <v>3667</v>
      </c>
      <c r="C22" s="125" t="s">
        <v>5547</v>
      </c>
      <c r="D22" s="118">
        <v>1231</v>
      </c>
      <c r="E22" s="60">
        <f>[1]!'1231.TW-PreClose'</f>
        <v>67.900000000000006</v>
      </c>
      <c r="F22" s="141">
        <f>IFERROR(STOCKS!$E22-STOCKS昨天!$E22,"0")</f>
        <v>-0.40000000000000568</v>
      </c>
      <c r="G22" s="63">
        <f t="shared" si="0"/>
        <v>-5.891016200294634E-3</v>
      </c>
    </row>
    <row r="23" spans="1:7">
      <c r="A23" s="118">
        <v>1232</v>
      </c>
      <c r="B23" s="60" t="s">
        <v>3713</v>
      </c>
      <c r="C23" s="125" t="s">
        <v>5547</v>
      </c>
      <c r="D23" s="118">
        <v>1232</v>
      </c>
      <c r="E23" s="60">
        <f>[1]!'1232.TW-PreClose'</f>
        <v>163</v>
      </c>
      <c r="F23" s="141">
        <f>IFERROR(STOCKS!$E23-STOCKS昨天!$E23,"0")</f>
        <v>1</v>
      </c>
      <c r="G23" s="63">
        <f t="shared" si="0"/>
        <v>6.1349693251533744E-3</v>
      </c>
    </row>
    <row r="24" spans="1:7">
      <c r="A24" s="118">
        <v>1233</v>
      </c>
      <c r="B24" s="60" t="s">
        <v>3714</v>
      </c>
      <c r="C24" s="125" t="s">
        <v>5547</v>
      </c>
      <c r="D24" s="118">
        <v>1233</v>
      </c>
      <c r="E24" s="60">
        <f>[1]!'1233.TW-PreClose'</f>
        <v>33.700000000000003</v>
      </c>
      <c r="F24" s="141" t="str">
        <f>IFERROR(STOCKS!$E24-STOCKS昨天!$E24,"0")</f>
        <v>0</v>
      </c>
      <c r="G24" s="63">
        <f t="shared" si="0"/>
        <v>0</v>
      </c>
    </row>
    <row r="25" spans="1:7">
      <c r="A25" s="118">
        <v>1234</v>
      </c>
      <c r="B25" s="60" t="s">
        <v>3715</v>
      </c>
      <c r="C25" s="125" t="s">
        <v>5547</v>
      </c>
      <c r="D25" s="118">
        <v>1234</v>
      </c>
      <c r="E25" s="60">
        <f>[1]!'1234.TW-PreClose'</f>
        <v>35.299999999999997</v>
      </c>
      <c r="F25" s="141" t="str">
        <f>IFERROR(STOCKS!$E25-STOCKS昨天!$E25,"0")</f>
        <v>0</v>
      </c>
      <c r="G25" s="63">
        <f t="shared" si="0"/>
        <v>0</v>
      </c>
    </row>
    <row r="26" spans="1:7">
      <c r="A26" s="118">
        <v>1235</v>
      </c>
      <c r="B26" s="60" t="s">
        <v>3716</v>
      </c>
      <c r="C26" s="125" t="s">
        <v>5547</v>
      </c>
      <c r="D26" s="118">
        <v>1235</v>
      </c>
      <c r="E26" s="60">
        <f>[1]!'1235.TW-PreClose'</f>
        <v>45</v>
      </c>
      <c r="F26" s="141" t="str">
        <f>IFERROR(STOCKS!$E26-STOCKS昨天!$E26,"0")</f>
        <v>0</v>
      </c>
      <c r="G26" s="63">
        <f t="shared" si="0"/>
        <v>0</v>
      </c>
    </row>
    <row r="27" spans="1:7">
      <c r="A27" s="118">
        <v>1236</v>
      </c>
      <c r="B27" s="60" t="s">
        <v>3717</v>
      </c>
      <c r="C27" s="125" t="s">
        <v>5547</v>
      </c>
      <c r="D27" s="118">
        <v>1236</v>
      </c>
      <c r="E27" s="60">
        <f>[1]!'1236.TW-PreClose'</f>
        <v>20.05</v>
      </c>
      <c r="F27" s="141">
        <f>IFERROR(STOCKS!$E27-STOCKS昨天!$E27,"0")</f>
        <v>0.34999999999999787</v>
      </c>
      <c r="G27" s="63">
        <f t="shared" si="0"/>
        <v>1.7456359102244284E-2</v>
      </c>
    </row>
    <row r="28" spans="1:7">
      <c r="A28" s="118">
        <v>1256</v>
      </c>
      <c r="B28" s="60" t="s">
        <v>3718</v>
      </c>
      <c r="C28" s="125" t="s">
        <v>5548</v>
      </c>
      <c r="D28" s="118">
        <v>1256</v>
      </c>
      <c r="E28" s="60">
        <f>[1]!'1256.TW-PreClose'</f>
        <v>361</v>
      </c>
      <c r="F28" s="141">
        <f>IFERROR(STOCKS!$E28-STOCKS昨天!$E28,"0")</f>
        <v>-0.5</v>
      </c>
      <c r="G28" s="63">
        <f t="shared" si="0"/>
        <v>-1.3850415512465374E-3</v>
      </c>
    </row>
    <row r="29" spans="1:7">
      <c r="A29" s="118">
        <v>1702</v>
      </c>
      <c r="B29" s="60" t="s">
        <v>3719</v>
      </c>
      <c r="C29" s="125" t="s">
        <v>5547</v>
      </c>
      <c r="D29" s="118">
        <v>1702</v>
      </c>
      <c r="E29" s="60">
        <f>[1]!'1702.TW-PreClose'</f>
        <v>49.75</v>
      </c>
      <c r="F29" s="141" t="str">
        <f>IFERROR(STOCKS!$E29-STOCKS昨天!$E29,"0")</f>
        <v>0</v>
      </c>
      <c r="G29" s="63">
        <f t="shared" si="0"/>
        <v>0</v>
      </c>
    </row>
    <row r="30" spans="1:7">
      <c r="A30" s="118">
        <v>1737</v>
      </c>
      <c r="B30" s="60" t="s">
        <v>3720</v>
      </c>
      <c r="C30" s="125" t="s">
        <v>5547</v>
      </c>
      <c r="D30" s="118">
        <v>1737</v>
      </c>
      <c r="E30" s="60">
        <f>[1]!'1737.TW-PreClose'</f>
        <v>33.25</v>
      </c>
      <c r="F30" s="141" t="str">
        <f>IFERROR(STOCKS!$E30-STOCKS昨天!$E30,"0")</f>
        <v>0</v>
      </c>
      <c r="G30" s="63">
        <f t="shared" si="0"/>
        <v>0</v>
      </c>
    </row>
    <row r="31" spans="1:7">
      <c r="A31" s="118">
        <v>1301</v>
      </c>
      <c r="B31" s="60" t="s">
        <v>3721</v>
      </c>
      <c r="C31" s="125" t="s">
        <v>5549</v>
      </c>
      <c r="D31" s="118">
        <v>1301</v>
      </c>
      <c r="E31" s="60">
        <f>[1]!'1301.TW-PreClose'</f>
        <v>105</v>
      </c>
      <c r="F31" s="141">
        <f>IFERROR(STOCKS!$E31-STOCKS昨天!$E31,"0")</f>
        <v>0.5</v>
      </c>
      <c r="G31" s="63">
        <f t="shared" si="0"/>
        <v>4.7619047619047623E-3</v>
      </c>
    </row>
    <row r="32" spans="1:7">
      <c r="A32" s="118">
        <v>1303</v>
      </c>
      <c r="B32" s="60" t="s">
        <v>3722</v>
      </c>
      <c r="C32" s="125" t="s">
        <v>5549</v>
      </c>
      <c r="D32" s="118">
        <v>1303</v>
      </c>
      <c r="E32" s="60">
        <f>[1]!'1303.TW-PreClose'</f>
        <v>85.6</v>
      </c>
      <c r="F32" s="141">
        <f>IFERROR(STOCKS!$E32-STOCKS昨天!$E32,"0")</f>
        <v>0.20000000000000284</v>
      </c>
      <c r="G32" s="63">
        <f t="shared" si="0"/>
        <v>2.3364485981308743E-3</v>
      </c>
    </row>
    <row r="33" spans="1:7">
      <c r="A33" s="118">
        <v>1304</v>
      </c>
      <c r="B33" s="60" t="s">
        <v>3658</v>
      </c>
      <c r="C33" s="125" t="s">
        <v>5549</v>
      </c>
      <c r="D33" s="118">
        <v>1304</v>
      </c>
      <c r="E33" s="60">
        <f>[1]!'1304.TW-PreClose'</f>
        <v>32.35</v>
      </c>
      <c r="F33" s="141">
        <f>IFERROR(STOCKS!$E33-STOCKS昨天!$E33,"0")</f>
        <v>0.5</v>
      </c>
      <c r="G33" s="63">
        <f t="shared" si="0"/>
        <v>1.5455950540958269E-2</v>
      </c>
    </row>
    <row r="34" spans="1:7">
      <c r="A34" s="118">
        <v>1305</v>
      </c>
      <c r="B34" s="60" t="s">
        <v>3723</v>
      </c>
      <c r="C34" s="125" t="s">
        <v>5549</v>
      </c>
      <c r="D34" s="118">
        <v>1305</v>
      </c>
      <c r="E34" s="60">
        <f>[1]!'1305.TW-PreClose'</f>
        <v>34.85</v>
      </c>
      <c r="F34" s="141">
        <f>IFERROR(STOCKS!$E34-STOCKS昨天!$E34,"0")</f>
        <v>0.39999999999999858</v>
      </c>
      <c r="G34" s="63">
        <f t="shared" si="0"/>
        <v>1.1477761836441853E-2</v>
      </c>
    </row>
    <row r="35" spans="1:7">
      <c r="A35" s="118">
        <v>1307</v>
      </c>
      <c r="B35" s="60" t="s">
        <v>3724</v>
      </c>
      <c r="C35" s="125" t="s">
        <v>5549</v>
      </c>
      <c r="D35" s="118">
        <v>1307</v>
      </c>
      <c r="E35" s="60">
        <f>[1]!'1307.TW-PreClose'</f>
        <v>20.75</v>
      </c>
      <c r="F35" s="141" t="str">
        <f>IFERROR(STOCKS!$E35-STOCKS昨天!$E35,"0")</f>
        <v>0</v>
      </c>
      <c r="G35" s="63">
        <f t="shared" si="0"/>
        <v>0</v>
      </c>
    </row>
    <row r="36" spans="1:7">
      <c r="A36" s="118">
        <v>1308</v>
      </c>
      <c r="B36" s="60" t="s">
        <v>3725</v>
      </c>
      <c r="C36" s="125" t="s">
        <v>5549</v>
      </c>
      <c r="D36" s="118">
        <v>1308</v>
      </c>
      <c r="E36" s="60">
        <f>[1]!'1308.TW-PreClose'</f>
        <v>37.200000000000003</v>
      </c>
      <c r="F36" s="141">
        <f>IFERROR(STOCKS!$E36-STOCKS昨天!$E36,"0")</f>
        <v>0.34999999999999432</v>
      </c>
      <c r="G36" s="63">
        <f t="shared" si="0"/>
        <v>9.4086021505374803E-3</v>
      </c>
    </row>
    <row r="37" spans="1:7">
      <c r="A37" s="118">
        <v>1309</v>
      </c>
      <c r="B37" s="60" t="s">
        <v>3726</v>
      </c>
      <c r="C37" s="125" t="s">
        <v>5549</v>
      </c>
      <c r="D37" s="118">
        <v>1309</v>
      </c>
      <c r="E37" s="60">
        <f>[1]!'1309.TW-PreClose'</f>
        <v>35.1</v>
      </c>
      <c r="F37" s="141">
        <f>IFERROR(STOCKS!$E37-STOCKS昨天!$E37,"0")</f>
        <v>0.25</v>
      </c>
      <c r="G37" s="63">
        <f t="shared" si="0"/>
        <v>7.1225071225071226E-3</v>
      </c>
    </row>
    <row r="38" spans="1:7">
      <c r="A38" s="118">
        <v>1310</v>
      </c>
      <c r="B38" s="60" t="s">
        <v>3727</v>
      </c>
      <c r="C38" s="125" t="s">
        <v>5549</v>
      </c>
      <c r="D38" s="118">
        <v>1310</v>
      </c>
      <c r="E38" s="60">
        <f>[1]!'1310.TW-PreClose'</f>
        <v>17.75</v>
      </c>
      <c r="F38" s="141">
        <f>IFERROR(STOCKS!$E38-STOCKS昨天!$E38,"0")</f>
        <v>-5.0000000000000711E-2</v>
      </c>
      <c r="G38" s="63">
        <f t="shared" si="0"/>
        <v>-2.8169014084507443E-3</v>
      </c>
    </row>
    <row r="39" spans="1:7">
      <c r="A39" s="118">
        <v>1312</v>
      </c>
      <c r="B39" s="60" t="s">
        <v>3650</v>
      </c>
      <c r="C39" s="125" t="s">
        <v>5549</v>
      </c>
      <c r="D39" s="118">
        <v>1312</v>
      </c>
      <c r="E39" s="60">
        <f>[1]!'1312.TW-PreClose'</f>
        <v>28.15</v>
      </c>
      <c r="F39" s="141">
        <f>IFERROR(STOCKS!$E39-STOCKS昨天!$E39,"0")</f>
        <v>0.30000000000000071</v>
      </c>
      <c r="G39" s="63">
        <f t="shared" si="0"/>
        <v>1.0657193605683863E-2</v>
      </c>
    </row>
    <row r="40" spans="1:7">
      <c r="A40" s="118">
        <v>1313</v>
      </c>
      <c r="B40" s="60" t="s">
        <v>3728</v>
      </c>
      <c r="C40" s="125" t="s">
        <v>5549</v>
      </c>
      <c r="D40" s="118">
        <v>1313</v>
      </c>
      <c r="E40" s="60">
        <f>[1]!'1313.TW-PreClose'</f>
        <v>21.95</v>
      </c>
      <c r="F40" s="141">
        <f>IFERROR(STOCKS!$E40-STOCKS昨天!$E40,"0")</f>
        <v>0.15000000000000213</v>
      </c>
      <c r="G40" s="63">
        <f t="shared" si="0"/>
        <v>6.833712984054767E-3</v>
      </c>
    </row>
    <row r="41" spans="1:7">
      <c r="A41" s="118">
        <v>1314</v>
      </c>
      <c r="B41" s="60" t="s">
        <v>3729</v>
      </c>
      <c r="C41" s="125" t="s">
        <v>5549</v>
      </c>
      <c r="D41" s="118">
        <v>1314</v>
      </c>
      <c r="E41" s="60">
        <f>[1]!'1314.TW-PreClose'</f>
        <v>13.35</v>
      </c>
      <c r="F41" s="141">
        <f>IFERROR(STOCKS!$E41-STOCKS昨天!$E41,"0")</f>
        <v>9.9999999999999645E-2</v>
      </c>
      <c r="G41" s="63">
        <f t="shared" si="0"/>
        <v>7.4906367041198234E-3</v>
      </c>
    </row>
    <row r="42" spans="1:7">
      <c r="A42" s="118">
        <v>1315</v>
      </c>
      <c r="B42" s="60" t="s">
        <v>3730</v>
      </c>
      <c r="C42" s="125" t="s">
        <v>5549</v>
      </c>
      <c r="D42" s="118">
        <v>1315</v>
      </c>
      <c r="E42" s="60">
        <f>[1]!'1315.TW-PreClose'</f>
        <v>65.3</v>
      </c>
      <c r="F42" s="141">
        <f>IFERROR(STOCKS!$E42-STOCKS昨天!$E42,"0")</f>
        <v>0.70000000000000284</v>
      </c>
      <c r="G42" s="63">
        <f t="shared" si="0"/>
        <v>1.071975497702914E-2</v>
      </c>
    </row>
    <row r="43" spans="1:7">
      <c r="A43" s="118">
        <v>1321</v>
      </c>
      <c r="B43" s="60" t="s">
        <v>3731</v>
      </c>
      <c r="C43" s="125" t="s">
        <v>5549</v>
      </c>
      <c r="D43" s="118">
        <v>1321</v>
      </c>
      <c r="E43" s="60">
        <f>[1]!'1321.TW-PreClose'</f>
        <v>35.35</v>
      </c>
      <c r="F43" s="141">
        <f>IFERROR(STOCKS!$E43-STOCKS昨天!$E43,"0")</f>
        <v>0.29999999999999716</v>
      </c>
      <c r="G43" s="63">
        <f t="shared" si="0"/>
        <v>8.4865629420084066E-3</v>
      </c>
    </row>
    <row r="44" spans="1:7">
      <c r="A44" s="118">
        <v>1323</v>
      </c>
      <c r="B44" s="60" t="s">
        <v>3732</v>
      </c>
      <c r="C44" s="125" t="s">
        <v>5549</v>
      </c>
      <c r="D44" s="118">
        <v>1323</v>
      </c>
      <c r="E44" s="60">
        <f>[1]!'1323.TW-PreClose'</f>
        <v>35.25</v>
      </c>
      <c r="F44" s="141" t="str">
        <f>IFERROR(STOCKS!$E44-STOCKS昨天!$E44,"0")</f>
        <v>0</v>
      </c>
      <c r="G44" s="63">
        <f t="shared" si="0"/>
        <v>0</v>
      </c>
    </row>
    <row r="45" spans="1:7">
      <c r="A45" s="118">
        <v>1324</v>
      </c>
      <c r="B45" s="60" t="s">
        <v>3733</v>
      </c>
      <c r="C45" s="125" t="s">
        <v>5549</v>
      </c>
      <c r="D45" s="118">
        <v>1324</v>
      </c>
      <c r="E45" s="60">
        <f>[1]!'1324.TW-PreClose'</f>
        <v>11</v>
      </c>
      <c r="F45" s="141" t="str">
        <f>IFERROR(STOCKS!$E45-STOCKS昨天!$E45,"0")</f>
        <v>0</v>
      </c>
      <c r="G45" s="63">
        <f t="shared" si="0"/>
        <v>0</v>
      </c>
    </row>
    <row r="46" spans="1:7">
      <c r="A46" s="118">
        <v>1325</v>
      </c>
      <c r="B46" s="60" t="s">
        <v>3554</v>
      </c>
      <c r="C46" s="125" t="s">
        <v>5549</v>
      </c>
      <c r="D46" s="118">
        <v>1325</v>
      </c>
      <c r="E46" s="60">
        <f>[1]!'1325.TW-PreClose'</f>
        <v>40</v>
      </c>
      <c r="F46" s="141">
        <f>IFERROR(STOCKS!$E46-STOCKS昨天!$E46,"0")</f>
        <v>0</v>
      </c>
      <c r="G46" s="63">
        <f t="shared" si="0"/>
        <v>0</v>
      </c>
    </row>
    <row r="47" spans="1:7">
      <c r="A47" s="118">
        <v>1326</v>
      </c>
      <c r="B47" s="60" t="s">
        <v>3734</v>
      </c>
      <c r="C47" s="125" t="s">
        <v>5549</v>
      </c>
      <c r="D47" s="118">
        <v>1326</v>
      </c>
      <c r="E47" s="60">
        <f>[1]!'1326.TW-PreClose'</f>
        <v>80.099999999999994</v>
      </c>
      <c r="F47" s="141" t="str">
        <f>IFERROR(STOCKS!$E47-STOCKS昨天!$E47,"0")</f>
        <v>0</v>
      </c>
      <c r="G47" s="63">
        <f t="shared" si="0"/>
        <v>0</v>
      </c>
    </row>
    <row r="48" spans="1:7">
      <c r="A48" s="118">
        <v>1337</v>
      </c>
      <c r="B48" s="60" t="s">
        <v>3735</v>
      </c>
      <c r="C48" s="125" t="s">
        <v>5550</v>
      </c>
      <c r="D48" s="118">
        <v>1337</v>
      </c>
      <c r="E48" s="60">
        <f>[1]!'1337.TW-PreClose'</f>
        <v>7.27</v>
      </c>
      <c r="F48" s="141" t="str">
        <f>IFERROR(STOCKS!$E48-STOCKS昨天!$E48,"0")</f>
        <v>0</v>
      </c>
      <c r="G48" s="63">
        <f t="shared" si="0"/>
        <v>0</v>
      </c>
    </row>
    <row r="49" spans="1:7">
      <c r="A49" s="118">
        <v>1340</v>
      </c>
      <c r="B49" s="60" t="s">
        <v>3736</v>
      </c>
      <c r="C49" s="125" t="s">
        <v>5550</v>
      </c>
      <c r="D49" s="118">
        <v>1340</v>
      </c>
      <c r="E49" s="60">
        <f>[1]!'1340.TW-PreClose'</f>
        <v>11.5</v>
      </c>
      <c r="F49" s="141">
        <f>IFERROR(STOCKS!$E49-STOCKS昨天!$E49,"0")</f>
        <v>0</v>
      </c>
      <c r="G49" s="63">
        <f t="shared" si="0"/>
        <v>0</v>
      </c>
    </row>
    <row r="50" spans="1:7">
      <c r="A50" s="118">
        <v>1341</v>
      </c>
      <c r="B50" s="60" t="s">
        <v>3737</v>
      </c>
      <c r="C50" s="125" t="s">
        <v>5550</v>
      </c>
      <c r="D50" s="118">
        <v>1341</v>
      </c>
      <c r="E50" s="60">
        <f>[1]!'1341.TW-PreClose'</f>
        <v>68.599999999999994</v>
      </c>
      <c r="F50" s="141">
        <f>IFERROR(STOCKS!$E50-STOCKS昨天!$E50,"0")</f>
        <v>0.20000000000000284</v>
      </c>
      <c r="G50" s="63">
        <f t="shared" si="0"/>
        <v>2.9154518950437734E-3</v>
      </c>
    </row>
    <row r="51" spans="1:7">
      <c r="A51" s="118">
        <v>4306</v>
      </c>
      <c r="B51" s="60" t="s">
        <v>3665</v>
      </c>
      <c r="C51" s="125" t="s">
        <v>5549</v>
      </c>
      <c r="D51" s="118">
        <v>4306</v>
      </c>
      <c r="E51" s="60">
        <f>[1]!'4306.TW-PreClose'</f>
        <v>15.15</v>
      </c>
      <c r="F51" s="141" t="str">
        <f>IFERROR(STOCKS!$E51-STOCKS昨天!$E51,"0")</f>
        <v>0</v>
      </c>
      <c r="G51" s="63">
        <f t="shared" si="0"/>
        <v>0</v>
      </c>
    </row>
    <row r="52" spans="1:7">
      <c r="A52" s="118">
        <v>1402</v>
      </c>
      <c r="B52" s="60" t="s">
        <v>3738</v>
      </c>
      <c r="C52" s="125" t="s">
        <v>5551</v>
      </c>
      <c r="D52" s="118">
        <v>1402</v>
      </c>
      <c r="E52" s="60">
        <f>[1]!'1402.TW-PreClose'</f>
        <v>28.75</v>
      </c>
      <c r="F52" s="141">
        <f>IFERROR(STOCKS!$E52-STOCKS昨天!$E52,"0")</f>
        <v>5.0000000000000711E-2</v>
      </c>
      <c r="G52" s="63">
        <f t="shared" si="0"/>
        <v>1.7391304347826335E-3</v>
      </c>
    </row>
    <row r="53" spans="1:7">
      <c r="A53" s="118">
        <v>1409</v>
      </c>
      <c r="B53" s="60" t="s">
        <v>3739</v>
      </c>
      <c r="C53" s="125" t="s">
        <v>5551</v>
      </c>
      <c r="D53" s="118">
        <v>1409</v>
      </c>
      <c r="E53" s="60">
        <f>[1]!'1409.TW-PreClose'</f>
        <v>19.95</v>
      </c>
      <c r="F53" s="141">
        <f>IFERROR(STOCKS!$E53-STOCKS昨天!$E53,"0")</f>
        <v>0</v>
      </c>
      <c r="G53" s="63">
        <f t="shared" si="0"/>
        <v>0</v>
      </c>
    </row>
    <row r="54" spans="1:7">
      <c r="A54" s="118">
        <v>1410</v>
      </c>
      <c r="B54" s="60" t="s">
        <v>3740</v>
      </c>
      <c r="C54" s="125" t="s">
        <v>5551</v>
      </c>
      <c r="D54" s="118">
        <v>1410</v>
      </c>
      <c r="E54" s="60">
        <f>[1]!'1410.TW-PreClose'</f>
        <v>37.15</v>
      </c>
      <c r="F54" s="141" t="str">
        <f>IFERROR(STOCKS!$E54-STOCKS昨天!$E54,"0")</f>
        <v>0</v>
      </c>
      <c r="G54" s="63">
        <f t="shared" si="0"/>
        <v>0</v>
      </c>
    </row>
    <row r="55" spans="1:7">
      <c r="A55" s="118">
        <v>1413</v>
      </c>
      <c r="B55" s="60" t="s">
        <v>3586</v>
      </c>
      <c r="C55" s="125" t="s">
        <v>5551</v>
      </c>
      <c r="D55" s="118">
        <v>1413</v>
      </c>
      <c r="E55" s="60">
        <f>[1]!'1413.TW-PreClose'</f>
        <v>10.1</v>
      </c>
      <c r="F55" s="141" t="str">
        <f>IFERROR(STOCKS!$E55-STOCKS昨天!$E55,"0")</f>
        <v>0</v>
      </c>
      <c r="G55" s="63">
        <f t="shared" si="0"/>
        <v>0</v>
      </c>
    </row>
    <row r="56" spans="1:7">
      <c r="A56" s="118">
        <v>1414</v>
      </c>
      <c r="B56" s="60" t="s">
        <v>3574</v>
      </c>
      <c r="C56" s="125" t="s">
        <v>5551</v>
      </c>
      <c r="D56" s="118">
        <v>1414</v>
      </c>
      <c r="E56" s="60">
        <f>[1]!'1414.TW-PreClose'</f>
        <v>16.899999999999999</v>
      </c>
      <c r="F56" s="141" t="str">
        <f>IFERROR(STOCKS!$E56-STOCKS昨天!$E56,"0")</f>
        <v>0</v>
      </c>
      <c r="G56" s="63">
        <f t="shared" si="0"/>
        <v>0</v>
      </c>
    </row>
    <row r="57" spans="1:7">
      <c r="A57" s="118">
        <v>1417</v>
      </c>
      <c r="B57" s="60" t="s">
        <v>3741</v>
      </c>
      <c r="C57" s="125" t="s">
        <v>5551</v>
      </c>
      <c r="D57" s="118">
        <v>1417</v>
      </c>
      <c r="E57" s="60">
        <f>[1]!'1417.TW-PreClose'</f>
        <v>14.6</v>
      </c>
      <c r="F57" s="141" t="str">
        <f>IFERROR(STOCKS!$E57-STOCKS昨天!$E57,"0")</f>
        <v>0</v>
      </c>
      <c r="G57" s="63">
        <f t="shared" si="0"/>
        <v>0</v>
      </c>
    </row>
    <row r="58" spans="1:7">
      <c r="A58" s="118">
        <v>1418</v>
      </c>
      <c r="B58" s="60" t="s">
        <v>3742</v>
      </c>
      <c r="C58" s="125" t="s">
        <v>5551</v>
      </c>
      <c r="D58" s="118">
        <v>1418</v>
      </c>
      <c r="E58" s="60">
        <f>[1]!'1418.TW-PreClose'</f>
        <v>10.7</v>
      </c>
      <c r="F58" s="141" t="str">
        <f>IFERROR(STOCKS!$E58-STOCKS昨天!$E58,"0")</f>
        <v>0</v>
      </c>
      <c r="G58" s="63">
        <f t="shared" si="0"/>
        <v>0</v>
      </c>
    </row>
    <row r="59" spans="1:7">
      <c r="A59" s="118">
        <v>1419</v>
      </c>
      <c r="B59" s="60" t="s">
        <v>3743</v>
      </c>
      <c r="C59" s="125" t="s">
        <v>5551</v>
      </c>
      <c r="D59" s="118">
        <v>1419</v>
      </c>
      <c r="E59" s="60">
        <f>[1]!'1419.TW-PreClose'</f>
        <v>41.9</v>
      </c>
      <c r="F59" s="141" t="str">
        <f>IFERROR(STOCKS!$E59-STOCKS昨天!$E59,"0")</f>
        <v>0</v>
      </c>
      <c r="G59" s="63">
        <f t="shared" si="0"/>
        <v>0</v>
      </c>
    </row>
    <row r="60" spans="1:7">
      <c r="A60" s="118">
        <v>1423</v>
      </c>
      <c r="B60" s="60" t="s">
        <v>3744</v>
      </c>
      <c r="C60" s="125" t="s">
        <v>5551</v>
      </c>
      <c r="D60" s="118">
        <v>1423</v>
      </c>
      <c r="E60" s="60">
        <f>[1]!'1423.TW-PreClose'</f>
        <v>19.55</v>
      </c>
      <c r="F60" s="141" t="str">
        <f>IFERROR(STOCKS!$E60-STOCKS昨天!$E60,"0")</f>
        <v>0</v>
      </c>
      <c r="G60" s="63">
        <f t="shared" si="0"/>
        <v>0</v>
      </c>
    </row>
    <row r="61" spans="1:7">
      <c r="A61" s="118">
        <v>1434</v>
      </c>
      <c r="B61" s="60" t="s">
        <v>3745</v>
      </c>
      <c r="C61" s="125" t="s">
        <v>5551</v>
      </c>
      <c r="D61" s="118">
        <v>1434</v>
      </c>
      <c r="E61" s="60">
        <f>[1]!'1434.TW-PreClose'</f>
        <v>29.2</v>
      </c>
      <c r="F61" s="141" t="str">
        <f>IFERROR(STOCKS!$E61-STOCKS昨天!$E61,"0")</f>
        <v>0</v>
      </c>
      <c r="G61" s="63">
        <f t="shared" si="0"/>
        <v>0</v>
      </c>
    </row>
    <row r="62" spans="1:7">
      <c r="A62" s="118">
        <v>1439</v>
      </c>
      <c r="B62" s="60" t="s">
        <v>3746</v>
      </c>
      <c r="C62" s="125" t="s">
        <v>5551</v>
      </c>
      <c r="D62" s="118">
        <v>1439</v>
      </c>
      <c r="E62" s="60">
        <f>[1]!'1439.TW-PreClose'</f>
        <v>23.55</v>
      </c>
      <c r="F62" s="141" t="str">
        <f>IFERROR(STOCKS!$E62-STOCKS昨天!$E62,"0")</f>
        <v>0</v>
      </c>
      <c r="G62" s="63">
        <f t="shared" si="0"/>
        <v>0</v>
      </c>
    </row>
    <row r="63" spans="1:7">
      <c r="A63" s="118">
        <v>1440</v>
      </c>
      <c r="B63" s="60" t="s">
        <v>3533</v>
      </c>
      <c r="C63" s="125" t="s">
        <v>5551</v>
      </c>
      <c r="D63" s="118">
        <v>1440</v>
      </c>
      <c r="E63" s="60">
        <f>[1]!'1440.TW-PreClose'</f>
        <v>23.5</v>
      </c>
      <c r="F63" s="141" t="str">
        <f>IFERROR(STOCKS!$E63-STOCKS昨天!$E63,"0")</f>
        <v>0</v>
      </c>
      <c r="G63" s="63">
        <f t="shared" si="0"/>
        <v>0</v>
      </c>
    </row>
    <row r="64" spans="1:7">
      <c r="A64" s="118">
        <v>1441</v>
      </c>
      <c r="B64" s="60" t="s">
        <v>3583</v>
      </c>
      <c r="C64" s="125" t="s">
        <v>5551</v>
      </c>
      <c r="D64" s="118">
        <v>1441</v>
      </c>
      <c r="E64" s="60">
        <f>[1]!'1441.TW-PreClose'</f>
        <v>9.34</v>
      </c>
      <c r="F64" s="141" t="str">
        <f>IFERROR(STOCKS!$E64-STOCKS昨天!$E64,"0")</f>
        <v>0</v>
      </c>
      <c r="G64" s="63">
        <f t="shared" si="0"/>
        <v>0</v>
      </c>
    </row>
    <row r="65" spans="1:7">
      <c r="A65" s="118">
        <v>1444</v>
      </c>
      <c r="B65" s="60" t="s">
        <v>3748</v>
      </c>
      <c r="C65" s="125" t="s">
        <v>5551</v>
      </c>
      <c r="D65" s="118">
        <v>1444</v>
      </c>
      <c r="E65" s="60">
        <f>[1]!'1444.TW-PreClose'</f>
        <v>11.45</v>
      </c>
      <c r="F65" s="141" t="str">
        <f>IFERROR(STOCKS!$E65-STOCKS昨天!$E65,"0")</f>
        <v>0</v>
      </c>
      <c r="G65" s="63">
        <f t="shared" si="0"/>
        <v>0</v>
      </c>
    </row>
    <row r="66" spans="1:7">
      <c r="A66" s="118">
        <v>1445</v>
      </c>
      <c r="B66" s="60" t="s">
        <v>3619</v>
      </c>
      <c r="C66" s="125" t="s">
        <v>5551</v>
      </c>
      <c r="D66" s="118">
        <v>1445</v>
      </c>
      <c r="E66" s="60">
        <f>[1]!'1445.TW-PreClose'</f>
        <v>14.9</v>
      </c>
      <c r="F66" s="141" t="str">
        <f>IFERROR(STOCKS!$E66-STOCKS昨天!$E66,"0")</f>
        <v>0</v>
      </c>
      <c r="G66" s="63">
        <f t="shared" si="0"/>
        <v>0</v>
      </c>
    </row>
    <row r="67" spans="1:7">
      <c r="A67" s="118">
        <v>1446</v>
      </c>
      <c r="B67" s="60" t="s">
        <v>3749</v>
      </c>
      <c r="C67" s="125" t="s">
        <v>5551</v>
      </c>
      <c r="D67" s="118">
        <v>1446</v>
      </c>
      <c r="E67" s="60">
        <f>[1]!'1446.TW-PreClose'</f>
        <v>33.25</v>
      </c>
      <c r="F67" s="141" t="str">
        <f>IFERROR(STOCKS!$E67-STOCKS昨天!$E67,"0")</f>
        <v>0</v>
      </c>
      <c r="G67" s="63">
        <f t="shared" ref="G67:G130" si="1">IFERROR($F67/$E67,"0")</f>
        <v>0</v>
      </c>
    </row>
    <row r="68" spans="1:7">
      <c r="A68" s="118">
        <v>1447</v>
      </c>
      <c r="B68" s="60" t="s">
        <v>3750</v>
      </c>
      <c r="C68" s="125" t="s">
        <v>5551</v>
      </c>
      <c r="D68" s="118">
        <v>1447</v>
      </c>
      <c r="E68" s="60">
        <f>[1]!'1447.TW-PreClose'</f>
        <v>10.25</v>
      </c>
      <c r="F68" s="141" t="str">
        <f>IFERROR(STOCKS!$E68-STOCKS昨天!$E68,"0")</f>
        <v>0</v>
      </c>
      <c r="G68" s="63">
        <f t="shared" si="1"/>
        <v>0</v>
      </c>
    </row>
    <row r="69" spans="1:7">
      <c r="A69" s="118">
        <v>1449</v>
      </c>
      <c r="B69" s="60" t="s">
        <v>3751</v>
      </c>
      <c r="C69" s="125" t="s">
        <v>5551</v>
      </c>
      <c r="D69" s="118">
        <v>1449</v>
      </c>
      <c r="E69" s="60">
        <f>[1]!'1449.TW-PreClose'</f>
        <v>16.05</v>
      </c>
      <c r="F69" s="141" t="str">
        <f>IFERROR(STOCKS!$E69-STOCKS昨天!$E69,"0")</f>
        <v>0</v>
      </c>
      <c r="G69" s="63">
        <f t="shared" si="1"/>
        <v>0</v>
      </c>
    </row>
    <row r="70" spans="1:7">
      <c r="A70" s="118">
        <v>1451</v>
      </c>
      <c r="B70" s="60" t="s">
        <v>3752</v>
      </c>
      <c r="C70" s="125" t="s">
        <v>5551</v>
      </c>
      <c r="D70" s="118">
        <v>1451</v>
      </c>
      <c r="E70" s="60">
        <f>[1]!'1451.TW-PreClose'</f>
        <v>21.1</v>
      </c>
      <c r="F70" s="141" t="str">
        <f>IFERROR(STOCKS!$E70-STOCKS昨天!$E70,"0")</f>
        <v>0</v>
      </c>
      <c r="G70" s="63">
        <f t="shared" si="1"/>
        <v>0</v>
      </c>
    </row>
    <row r="71" spans="1:7">
      <c r="A71" s="118">
        <v>1452</v>
      </c>
      <c r="B71" s="60" t="s">
        <v>3753</v>
      </c>
      <c r="C71" s="125" t="s">
        <v>5551</v>
      </c>
      <c r="D71" s="118">
        <v>1452</v>
      </c>
      <c r="E71" s="60">
        <f>[1]!'1452.TW-PreClose'</f>
        <v>23.35</v>
      </c>
      <c r="F71" s="141" t="str">
        <f>IFERROR(STOCKS!$E71-STOCKS昨天!$E71,"0")</f>
        <v>0</v>
      </c>
      <c r="G71" s="63">
        <f t="shared" si="1"/>
        <v>0</v>
      </c>
    </row>
    <row r="72" spans="1:7">
      <c r="A72" s="118">
        <v>1454</v>
      </c>
      <c r="B72" s="60" t="s">
        <v>3628</v>
      </c>
      <c r="C72" s="125" t="s">
        <v>5551</v>
      </c>
      <c r="D72" s="118">
        <v>1454</v>
      </c>
      <c r="E72" s="60">
        <f>[1]!'1454.TW-PreClose'</f>
        <v>10.85</v>
      </c>
      <c r="F72" s="141" t="str">
        <f>IFERROR(STOCKS!$E72-STOCKS昨天!$E72,"0")</f>
        <v>0</v>
      </c>
      <c r="G72" s="63">
        <f t="shared" si="1"/>
        <v>0</v>
      </c>
    </row>
    <row r="73" spans="1:7">
      <c r="A73" s="118">
        <v>1455</v>
      </c>
      <c r="B73" s="60" t="s">
        <v>3590</v>
      </c>
      <c r="C73" s="125" t="s">
        <v>5551</v>
      </c>
      <c r="D73" s="118">
        <v>1455</v>
      </c>
      <c r="E73" s="60">
        <f>[1]!'1455.TW-PreClose'</f>
        <v>16.3</v>
      </c>
      <c r="F73" s="141" t="str">
        <f>IFERROR(STOCKS!$E73-STOCKS昨天!$E73,"0")</f>
        <v>0</v>
      </c>
      <c r="G73" s="63">
        <f t="shared" si="1"/>
        <v>0</v>
      </c>
    </row>
    <row r="74" spans="1:7">
      <c r="A74" s="118">
        <v>1457</v>
      </c>
      <c r="B74" s="60" t="s">
        <v>3756</v>
      </c>
      <c r="C74" s="125" t="s">
        <v>5551</v>
      </c>
      <c r="D74" s="118">
        <v>1457</v>
      </c>
      <c r="E74" s="60">
        <f>[1]!'1457.TW-PreClose'</f>
        <v>17.899999999999999</v>
      </c>
      <c r="F74" s="141" t="str">
        <f>IFERROR(STOCKS!$E74-STOCKS昨天!$E74,"0")</f>
        <v>0</v>
      </c>
      <c r="G74" s="63">
        <f t="shared" si="1"/>
        <v>0</v>
      </c>
    </row>
    <row r="75" spans="1:7">
      <c r="A75" s="118">
        <v>1459</v>
      </c>
      <c r="B75" s="60" t="s">
        <v>3573</v>
      </c>
      <c r="C75" s="125" t="s">
        <v>5551</v>
      </c>
      <c r="D75" s="118">
        <v>1459</v>
      </c>
      <c r="E75" s="60">
        <f>[1]!'1459.TW-PreClose'</f>
        <v>13.5</v>
      </c>
      <c r="F75" s="141">
        <f>IFERROR(STOCKS!$E75-STOCKS昨天!$E75,"0")</f>
        <v>0.15000000000000036</v>
      </c>
      <c r="G75" s="63">
        <f t="shared" si="1"/>
        <v>1.1111111111111138E-2</v>
      </c>
    </row>
    <row r="76" spans="1:7">
      <c r="A76" s="118">
        <v>1460</v>
      </c>
      <c r="B76" s="60" t="s">
        <v>3757</v>
      </c>
      <c r="C76" s="125" t="s">
        <v>5551</v>
      </c>
      <c r="D76" s="118">
        <v>1460</v>
      </c>
      <c r="E76" s="60">
        <f>[1]!'1460.TW-PreClose'</f>
        <v>9.42</v>
      </c>
      <c r="F76" s="141">
        <f>IFERROR(STOCKS!$E76-STOCKS昨天!$E76,"0")</f>
        <v>1.9999999999999574E-2</v>
      </c>
      <c r="G76" s="63">
        <f t="shared" si="1"/>
        <v>2.1231422505307404E-3</v>
      </c>
    </row>
    <row r="77" spans="1:7">
      <c r="A77" s="118">
        <v>1463</v>
      </c>
      <c r="B77" s="60" t="s">
        <v>3758</v>
      </c>
      <c r="C77" s="125" t="s">
        <v>5551</v>
      </c>
      <c r="D77" s="118">
        <v>1463</v>
      </c>
      <c r="E77" s="60">
        <f>[1]!'1463.TW-PreClose'</f>
        <v>14.1</v>
      </c>
      <c r="F77" s="141" t="str">
        <f>IFERROR(STOCKS!$E77-STOCKS昨天!$E77,"0")</f>
        <v>0</v>
      </c>
      <c r="G77" s="63">
        <f t="shared" si="1"/>
        <v>0</v>
      </c>
    </row>
    <row r="78" spans="1:7">
      <c r="A78" s="118">
        <v>1464</v>
      </c>
      <c r="B78" s="60" t="s">
        <v>3759</v>
      </c>
      <c r="C78" s="125" t="s">
        <v>5551</v>
      </c>
      <c r="D78" s="118">
        <v>1464</v>
      </c>
      <c r="E78" s="60">
        <f>[1]!'1464.TW-PreClose'</f>
        <v>15.8</v>
      </c>
      <c r="F78" s="141" t="str">
        <f>IFERROR(STOCKS!$E78-STOCKS昨天!$E78,"0")</f>
        <v>0</v>
      </c>
      <c r="G78" s="63">
        <f t="shared" si="1"/>
        <v>0</v>
      </c>
    </row>
    <row r="79" spans="1:7">
      <c r="A79" s="118">
        <v>1465</v>
      </c>
      <c r="B79" s="60" t="s">
        <v>3760</v>
      </c>
      <c r="C79" s="125" t="s">
        <v>5551</v>
      </c>
      <c r="D79" s="118">
        <v>1465</v>
      </c>
      <c r="E79" s="60">
        <f>[1]!'1465.TW-PreClose'</f>
        <v>12.4</v>
      </c>
      <c r="F79" s="141" t="str">
        <f>IFERROR(STOCKS!$E79-STOCKS昨天!$E79,"0")</f>
        <v>0</v>
      </c>
      <c r="G79" s="63">
        <f t="shared" si="1"/>
        <v>0</v>
      </c>
    </row>
    <row r="80" spans="1:7">
      <c r="A80" s="118">
        <v>1466</v>
      </c>
      <c r="B80" s="60" t="s">
        <v>3588</v>
      </c>
      <c r="C80" s="125" t="s">
        <v>5551</v>
      </c>
      <c r="D80" s="118">
        <v>1466</v>
      </c>
      <c r="E80" s="60">
        <f>[1]!'1466.TW-PreClose'</f>
        <v>15.4</v>
      </c>
      <c r="F80" s="141" t="str">
        <f>IFERROR(STOCKS!$E80-STOCKS昨天!$E80,"0")</f>
        <v>0</v>
      </c>
      <c r="G80" s="63">
        <f t="shared" si="1"/>
        <v>0</v>
      </c>
    </row>
    <row r="81" spans="1:7">
      <c r="A81" s="118">
        <v>1467</v>
      </c>
      <c r="B81" s="60" t="s">
        <v>3761</v>
      </c>
      <c r="C81" s="125" t="s">
        <v>5551</v>
      </c>
      <c r="D81" s="118">
        <v>1467</v>
      </c>
      <c r="E81" s="60">
        <f>[1]!'1467.TW-PreClose'</f>
        <v>14.25</v>
      </c>
      <c r="F81" s="141">
        <f>IFERROR(STOCKS!$E81-STOCKS昨天!$E81,"0")</f>
        <v>0.15000000000000036</v>
      </c>
      <c r="G81" s="63">
        <f t="shared" si="1"/>
        <v>1.052631578947371E-2</v>
      </c>
    </row>
    <row r="82" spans="1:7">
      <c r="A82" s="118">
        <v>1468</v>
      </c>
      <c r="B82" s="60" t="s">
        <v>3762</v>
      </c>
      <c r="C82" s="125" t="s">
        <v>5551</v>
      </c>
      <c r="D82" s="118">
        <v>1468</v>
      </c>
      <c r="E82" s="60">
        <f>[1]!'1468.TW-PreClose'</f>
        <v>12.95</v>
      </c>
      <c r="F82" s="141" t="str">
        <f>IFERROR(STOCKS!$E82-STOCKS昨天!$E82,"0")</f>
        <v>0</v>
      </c>
      <c r="G82" s="63">
        <f t="shared" si="1"/>
        <v>0</v>
      </c>
    </row>
    <row r="83" spans="1:7">
      <c r="A83" s="118">
        <v>1470</v>
      </c>
      <c r="B83" s="60" t="s">
        <v>3763</v>
      </c>
      <c r="C83" s="125" t="s">
        <v>5551</v>
      </c>
      <c r="D83" s="118">
        <v>1470</v>
      </c>
      <c r="E83" s="60">
        <f>[1]!'1470.TW-PreClose'</f>
        <v>18.2</v>
      </c>
      <c r="F83" s="141" t="str">
        <f>IFERROR(STOCKS!$E83-STOCKS昨天!$E83,"0")</f>
        <v>0</v>
      </c>
      <c r="G83" s="63">
        <f t="shared" si="1"/>
        <v>0</v>
      </c>
    </row>
    <row r="84" spans="1:7">
      <c r="A84" s="118">
        <v>1472</v>
      </c>
      <c r="B84" s="60" t="s">
        <v>5515</v>
      </c>
      <c r="C84" s="125" t="s">
        <v>5551</v>
      </c>
      <c r="D84" s="118">
        <v>1472</v>
      </c>
      <c r="E84" s="60">
        <f>[1]!'1472.TW-PreClose'</f>
        <v>35</v>
      </c>
      <c r="F84" s="141" t="str">
        <f>IFERROR(STOCKS!$E84-STOCKS昨天!$E84,"0")</f>
        <v>0</v>
      </c>
      <c r="G84" s="63">
        <f t="shared" si="1"/>
        <v>0</v>
      </c>
    </row>
    <row r="85" spans="1:7">
      <c r="A85" s="118">
        <v>1473</v>
      </c>
      <c r="B85" s="60" t="s">
        <v>3764</v>
      </c>
      <c r="C85" s="125" t="s">
        <v>5551</v>
      </c>
      <c r="D85" s="118">
        <v>1473</v>
      </c>
      <c r="E85" s="60">
        <f>[1]!'1473.TW-PreClose'</f>
        <v>18.05</v>
      </c>
      <c r="F85" s="141" t="str">
        <f>IFERROR(STOCKS!$E85-STOCKS昨天!$E85,"0")</f>
        <v>0</v>
      </c>
      <c r="G85" s="63">
        <f t="shared" si="1"/>
        <v>0</v>
      </c>
    </row>
    <row r="86" spans="1:7">
      <c r="A86" s="118">
        <v>1474</v>
      </c>
      <c r="B86" s="60" t="s">
        <v>3765</v>
      </c>
      <c r="C86" s="125" t="s">
        <v>5551</v>
      </c>
      <c r="D86" s="118">
        <v>1474</v>
      </c>
      <c r="E86" s="60">
        <f>[1]!'1474.TW-PreClose'</f>
        <v>14.8</v>
      </c>
      <c r="F86" s="141" t="str">
        <f>IFERROR(STOCKS!$E86-STOCKS昨天!$E86,"0")</f>
        <v>0</v>
      </c>
      <c r="G86" s="63">
        <f t="shared" si="1"/>
        <v>0</v>
      </c>
    </row>
    <row r="87" spans="1:7">
      <c r="A87" s="118">
        <v>1475</v>
      </c>
      <c r="B87" s="60" t="s">
        <v>3766</v>
      </c>
      <c r="C87" s="125" t="s">
        <v>5551</v>
      </c>
      <c r="D87" s="118">
        <v>1475</v>
      </c>
      <c r="E87" s="60">
        <f>[1]!'1475.TW-PreClose'</f>
        <v>47.75</v>
      </c>
      <c r="F87" s="141" t="str">
        <f>IFERROR(STOCKS!$E87-STOCKS昨天!$E87,"0")</f>
        <v>0</v>
      </c>
      <c r="G87" s="63">
        <f t="shared" si="1"/>
        <v>0</v>
      </c>
    </row>
    <row r="88" spans="1:7">
      <c r="A88" s="118">
        <v>1476</v>
      </c>
      <c r="B88" s="60" t="s">
        <v>3767</v>
      </c>
      <c r="C88" s="125" t="s">
        <v>5551</v>
      </c>
      <c r="D88" s="118">
        <v>1476</v>
      </c>
      <c r="E88" s="60">
        <f>[1]!'1476.TW-PreClose'</f>
        <v>622</v>
      </c>
      <c r="F88" s="141" t="str">
        <f>IFERROR(STOCKS!$E88-STOCKS昨天!$E88,"0")</f>
        <v>0</v>
      </c>
      <c r="G88" s="63">
        <f t="shared" si="1"/>
        <v>0</v>
      </c>
    </row>
    <row r="89" spans="1:7">
      <c r="A89" s="118">
        <v>1477</v>
      </c>
      <c r="B89" s="60" t="s">
        <v>3768</v>
      </c>
      <c r="C89" s="125" t="s">
        <v>5551</v>
      </c>
      <c r="D89" s="118">
        <v>1477</v>
      </c>
      <c r="E89" s="60">
        <f>[1]!'1477.TW-PreClose'</f>
        <v>242</v>
      </c>
      <c r="F89" s="141" t="str">
        <f>IFERROR(STOCKS!$E89-STOCKS昨天!$E89,"0")</f>
        <v>0</v>
      </c>
      <c r="G89" s="63">
        <f t="shared" si="1"/>
        <v>0</v>
      </c>
    </row>
    <row r="90" spans="1:7">
      <c r="A90" s="118">
        <v>4414</v>
      </c>
      <c r="B90" s="60" t="s">
        <v>3769</v>
      </c>
      <c r="C90" s="125" t="s">
        <v>5551</v>
      </c>
      <c r="D90" s="118">
        <v>4414</v>
      </c>
      <c r="E90" s="60">
        <f>[1]!'4414.TW-PreClose'</f>
        <v>7.6</v>
      </c>
      <c r="F90" s="141" t="str">
        <f>IFERROR(STOCKS!$E90-STOCKS昨天!$E90,"0")</f>
        <v>0</v>
      </c>
      <c r="G90" s="63">
        <f t="shared" si="1"/>
        <v>0</v>
      </c>
    </row>
    <row r="91" spans="1:7">
      <c r="A91" s="118">
        <v>4426</v>
      </c>
      <c r="B91" s="60" t="s">
        <v>3770</v>
      </c>
      <c r="C91" s="125" t="s">
        <v>5551</v>
      </c>
      <c r="D91" s="118">
        <v>4426</v>
      </c>
      <c r="E91" s="60">
        <f>[1]!'4426.TW-PreClose'</f>
        <v>23.35</v>
      </c>
      <c r="F91" s="141" t="str">
        <f>IFERROR(STOCKS!$E91-STOCKS昨天!$E91,"0")</f>
        <v>0</v>
      </c>
      <c r="G91" s="63">
        <f t="shared" si="1"/>
        <v>0</v>
      </c>
    </row>
    <row r="92" spans="1:7">
      <c r="A92" s="118">
        <v>4438</v>
      </c>
      <c r="B92" s="60" t="s">
        <v>3771</v>
      </c>
      <c r="C92" s="125" t="s">
        <v>5551</v>
      </c>
      <c r="D92" s="118">
        <v>4438</v>
      </c>
      <c r="E92" s="60">
        <f>[1]!'4438.TW-PreClose'</f>
        <v>132.5</v>
      </c>
      <c r="F92" s="141" t="str">
        <f>IFERROR(STOCKS!$E92-STOCKS昨天!$E92,"0")</f>
        <v>0</v>
      </c>
      <c r="G92" s="63">
        <f t="shared" si="1"/>
        <v>0</v>
      </c>
    </row>
    <row r="93" spans="1:7">
      <c r="A93" s="118">
        <v>4439</v>
      </c>
      <c r="B93" s="60" t="s">
        <v>3772</v>
      </c>
      <c r="C93" s="125" t="s">
        <v>5552</v>
      </c>
      <c r="D93" s="118">
        <v>4439</v>
      </c>
      <c r="E93" s="60">
        <f>[1]!'4439.TW-PreClose'</f>
        <v>141</v>
      </c>
      <c r="F93" s="141" t="str">
        <f>IFERROR(STOCKS!$E93-STOCKS昨天!$E93,"0")</f>
        <v>0</v>
      </c>
      <c r="G93" s="63">
        <f t="shared" si="1"/>
        <v>0</v>
      </c>
    </row>
    <row r="94" spans="1:7">
      <c r="A94" s="118">
        <v>4440</v>
      </c>
      <c r="B94" s="60" t="s">
        <v>5211</v>
      </c>
      <c r="C94" s="125" t="s">
        <v>5551</v>
      </c>
      <c r="D94" s="118">
        <v>4440</v>
      </c>
      <c r="E94" s="60" t="str">
        <f>[1]!'4440.TW-PreClose'</f>
        <v>--</v>
      </c>
      <c r="F94" s="141" t="str">
        <f>IFERROR(STOCKS!$E94-STOCKS昨天!$E94,"0")</f>
        <v>0</v>
      </c>
      <c r="G94" s="63" t="str">
        <f t="shared" si="1"/>
        <v>0</v>
      </c>
    </row>
    <row r="95" spans="1:7">
      <c r="A95" s="118">
        <v>1503</v>
      </c>
      <c r="B95" s="60" t="s">
        <v>3773</v>
      </c>
      <c r="C95" s="125" t="s">
        <v>5553</v>
      </c>
      <c r="D95" s="118">
        <v>1503</v>
      </c>
      <c r="E95" s="60">
        <f>[1]!'1503.TW-PreClose'</f>
        <v>54.6</v>
      </c>
      <c r="F95" s="141" t="str">
        <f>IFERROR(STOCKS!$E95-STOCKS昨天!$E95,"0")</f>
        <v>0</v>
      </c>
      <c r="G95" s="63">
        <f t="shared" si="1"/>
        <v>0</v>
      </c>
    </row>
    <row r="96" spans="1:7">
      <c r="A96" s="118">
        <v>1504</v>
      </c>
      <c r="B96" s="60" t="s">
        <v>3685</v>
      </c>
      <c r="C96" s="125" t="s">
        <v>5553</v>
      </c>
      <c r="D96" s="118">
        <v>1504</v>
      </c>
      <c r="E96" s="60">
        <f>[1]!'1504.TW-PreClose'</f>
        <v>30.8</v>
      </c>
      <c r="F96" s="141" t="str">
        <f>IFERROR(STOCKS!$E96-STOCKS昨天!$E96,"0")</f>
        <v>0</v>
      </c>
      <c r="G96" s="63">
        <f t="shared" si="1"/>
        <v>0</v>
      </c>
    </row>
    <row r="97" spans="1:7">
      <c r="A97" s="118">
        <v>1506</v>
      </c>
      <c r="B97" s="60" t="s">
        <v>3774</v>
      </c>
      <c r="C97" s="125" t="s">
        <v>5553</v>
      </c>
      <c r="D97" s="118">
        <v>1506</v>
      </c>
      <c r="E97" s="60">
        <f>[1]!'1506.TW-PreClose'</f>
        <v>11.55</v>
      </c>
      <c r="F97" s="141" t="str">
        <f>IFERROR(STOCKS!$E97-STOCKS昨天!$E97,"0")</f>
        <v>0</v>
      </c>
      <c r="G97" s="63">
        <f t="shared" si="1"/>
        <v>0</v>
      </c>
    </row>
    <row r="98" spans="1:7">
      <c r="A98" s="118">
        <v>1507</v>
      </c>
      <c r="B98" s="60" t="s">
        <v>3775</v>
      </c>
      <c r="C98" s="125" t="s">
        <v>5553</v>
      </c>
      <c r="D98" s="118">
        <v>1507</v>
      </c>
      <c r="E98" s="60">
        <f>[1]!'1507.TW-PreClose'</f>
        <v>64.400000000000006</v>
      </c>
      <c r="F98" s="141" t="str">
        <f>IFERROR(STOCKS!$E98-STOCKS昨天!$E98,"0")</f>
        <v>0</v>
      </c>
      <c r="G98" s="63">
        <f t="shared" si="1"/>
        <v>0</v>
      </c>
    </row>
    <row r="99" spans="1:7">
      <c r="A99" s="118">
        <v>1513</v>
      </c>
      <c r="B99" s="60" t="s">
        <v>3776</v>
      </c>
      <c r="C99" s="125" t="s">
        <v>5553</v>
      </c>
      <c r="D99" s="118">
        <v>1513</v>
      </c>
      <c r="E99" s="60">
        <f>[1]!'1513.TW-PreClose'</f>
        <v>45.95</v>
      </c>
      <c r="F99" s="141" t="str">
        <f>IFERROR(STOCKS!$E99-STOCKS昨天!$E99,"0")</f>
        <v>0</v>
      </c>
      <c r="G99" s="63">
        <f t="shared" si="1"/>
        <v>0</v>
      </c>
    </row>
    <row r="100" spans="1:7">
      <c r="A100" s="118">
        <v>1514</v>
      </c>
      <c r="B100" s="60" t="s">
        <v>3777</v>
      </c>
      <c r="C100" s="125" t="s">
        <v>5553</v>
      </c>
      <c r="D100" s="118">
        <v>1514</v>
      </c>
      <c r="E100" s="60">
        <f>[1]!'1514.TW-PreClose'</f>
        <v>24.05</v>
      </c>
      <c r="F100" s="141" t="str">
        <f>IFERROR(STOCKS!$E100-STOCKS昨天!$E100,"0")</f>
        <v>0</v>
      </c>
      <c r="G100" s="63">
        <f t="shared" si="1"/>
        <v>0</v>
      </c>
    </row>
    <row r="101" spans="1:7">
      <c r="A101" s="118">
        <v>1515</v>
      </c>
      <c r="B101" s="60" t="s">
        <v>3778</v>
      </c>
      <c r="C101" s="125" t="s">
        <v>5553</v>
      </c>
      <c r="D101" s="118">
        <v>1515</v>
      </c>
      <c r="E101" s="60">
        <f>[1]!'1515.TW-PreClose'</f>
        <v>64</v>
      </c>
      <c r="F101" s="141" t="str">
        <f>IFERROR(STOCKS!$E101-STOCKS昨天!$E101,"0")</f>
        <v>0</v>
      </c>
      <c r="G101" s="63">
        <f t="shared" si="1"/>
        <v>0</v>
      </c>
    </row>
    <row r="102" spans="1:7">
      <c r="A102" s="118">
        <v>1517</v>
      </c>
      <c r="B102" s="60" t="s">
        <v>3779</v>
      </c>
      <c r="C102" s="125" t="s">
        <v>5553</v>
      </c>
      <c r="D102" s="118">
        <v>1517</v>
      </c>
      <c r="E102" s="60">
        <f>[1]!'1517.TW-PreClose'</f>
        <v>27.3</v>
      </c>
      <c r="F102" s="141" t="str">
        <f>IFERROR(STOCKS!$E102-STOCKS昨天!$E102,"0")</f>
        <v>0</v>
      </c>
      <c r="G102" s="63">
        <f t="shared" si="1"/>
        <v>0</v>
      </c>
    </row>
    <row r="103" spans="1:7">
      <c r="A103" s="118">
        <v>1519</v>
      </c>
      <c r="B103" s="60" t="s">
        <v>3661</v>
      </c>
      <c r="C103" s="125" t="s">
        <v>5553</v>
      </c>
      <c r="D103" s="118">
        <v>1519</v>
      </c>
      <c r="E103" s="60">
        <f>[1]!'1519.TW-PreClose'</f>
        <v>36</v>
      </c>
      <c r="F103" s="141" t="str">
        <f>IFERROR(STOCKS!$E103-STOCKS昨天!$E103,"0")</f>
        <v>0</v>
      </c>
      <c r="G103" s="63">
        <f t="shared" si="1"/>
        <v>0</v>
      </c>
    </row>
    <row r="104" spans="1:7">
      <c r="A104" s="118">
        <v>1526</v>
      </c>
      <c r="B104" s="60" t="s">
        <v>3780</v>
      </c>
      <c r="C104" s="125" t="s">
        <v>5553</v>
      </c>
      <c r="D104" s="118">
        <v>1526</v>
      </c>
      <c r="E104" s="60">
        <f>[1]!'1526.TW-PreClose'</f>
        <v>50.3</v>
      </c>
      <c r="F104" s="141" t="str">
        <f>IFERROR(STOCKS!$E104-STOCKS昨天!$E104,"0")</f>
        <v>0</v>
      </c>
      <c r="G104" s="63">
        <f t="shared" si="1"/>
        <v>0</v>
      </c>
    </row>
    <row r="105" spans="1:7">
      <c r="A105" s="118">
        <v>1527</v>
      </c>
      <c r="B105" s="60" t="s">
        <v>3781</v>
      </c>
      <c r="C105" s="125" t="s">
        <v>5553</v>
      </c>
      <c r="D105" s="118">
        <v>1527</v>
      </c>
      <c r="E105" s="60">
        <f>[1]!'1527.TW-PreClose'</f>
        <v>42.9</v>
      </c>
      <c r="F105" s="141" t="str">
        <f>IFERROR(STOCKS!$E105-STOCKS昨天!$E105,"0")</f>
        <v>0</v>
      </c>
      <c r="G105" s="63">
        <f t="shared" si="1"/>
        <v>0</v>
      </c>
    </row>
    <row r="106" spans="1:7">
      <c r="A106" s="118">
        <v>1528</v>
      </c>
      <c r="B106" s="60" t="s">
        <v>3782</v>
      </c>
      <c r="C106" s="125" t="s">
        <v>5553</v>
      </c>
      <c r="D106" s="118">
        <v>1528</v>
      </c>
      <c r="E106" s="60">
        <f>[1]!'1528.TW-PreClose'</f>
        <v>11.3</v>
      </c>
      <c r="F106" s="141" t="str">
        <f>IFERROR(STOCKS!$E106-STOCKS昨天!$E106,"0")</f>
        <v>0</v>
      </c>
      <c r="G106" s="63">
        <f t="shared" si="1"/>
        <v>0</v>
      </c>
    </row>
    <row r="107" spans="1:7">
      <c r="A107" s="118">
        <v>1529</v>
      </c>
      <c r="B107" s="60" t="s">
        <v>3783</v>
      </c>
      <c r="C107" s="125" t="s">
        <v>5553</v>
      </c>
      <c r="D107" s="118">
        <v>1529</v>
      </c>
      <c r="E107" s="60">
        <f>[1]!'1529.TW-PreClose'</f>
        <v>17.25</v>
      </c>
      <c r="F107" s="141" t="str">
        <f>IFERROR(STOCKS!$E107-STOCKS昨天!$E107,"0")</f>
        <v>0</v>
      </c>
      <c r="G107" s="63">
        <f t="shared" si="1"/>
        <v>0</v>
      </c>
    </row>
    <row r="108" spans="1:7">
      <c r="A108" s="118">
        <v>1530</v>
      </c>
      <c r="B108" s="60" t="s">
        <v>3784</v>
      </c>
      <c r="C108" s="125" t="s">
        <v>5553</v>
      </c>
      <c r="D108" s="118">
        <v>1530</v>
      </c>
      <c r="E108" s="60">
        <f>[1]!'1530.TW-PreClose'</f>
        <v>32.85</v>
      </c>
      <c r="F108" s="141" t="str">
        <f>IFERROR(STOCKS!$E108-STOCKS昨天!$E108,"0")</f>
        <v>0</v>
      </c>
      <c r="G108" s="63">
        <f t="shared" si="1"/>
        <v>0</v>
      </c>
    </row>
    <row r="109" spans="1:7">
      <c r="A109" s="118">
        <v>1531</v>
      </c>
      <c r="B109" s="60" t="s">
        <v>3785</v>
      </c>
      <c r="C109" s="125" t="s">
        <v>5553</v>
      </c>
      <c r="D109" s="118">
        <v>1531</v>
      </c>
      <c r="E109" s="60">
        <f>[1]!'1531.TW-PreClose'</f>
        <v>15</v>
      </c>
      <c r="F109" s="141" t="str">
        <f>IFERROR(STOCKS!$E109-STOCKS昨天!$E109,"0")</f>
        <v>0</v>
      </c>
      <c r="G109" s="63">
        <f t="shared" si="1"/>
        <v>0</v>
      </c>
    </row>
    <row r="110" spans="1:7">
      <c r="A110" s="118">
        <v>1532</v>
      </c>
      <c r="B110" s="60" t="s">
        <v>3786</v>
      </c>
      <c r="C110" s="125" t="s">
        <v>5553</v>
      </c>
      <c r="D110" s="118">
        <v>1532</v>
      </c>
      <c r="E110" s="60">
        <f>[1]!'1532.TW-PreClose'</f>
        <v>31.75</v>
      </c>
      <c r="F110" s="141" t="str">
        <f>IFERROR(STOCKS!$E110-STOCKS昨天!$E110,"0")</f>
        <v>0</v>
      </c>
      <c r="G110" s="63">
        <f t="shared" si="1"/>
        <v>0</v>
      </c>
    </row>
    <row r="111" spans="1:7">
      <c r="A111" s="118">
        <v>1535</v>
      </c>
      <c r="B111" s="60" t="s">
        <v>3787</v>
      </c>
      <c r="C111" s="125" t="s">
        <v>5553</v>
      </c>
      <c r="D111" s="118">
        <v>1535</v>
      </c>
      <c r="E111" s="60">
        <f>[1]!'1535.TW-PreClose'</f>
        <v>39.450000000000003</v>
      </c>
      <c r="F111" s="141">
        <f>IFERROR(STOCKS!$E111-STOCKS昨天!$E111,"0")</f>
        <v>9.9999999999994316E-2</v>
      </c>
      <c r="G111" s="63">
        <f t="shared" si="1"/>
        <v>2.5348542458807177E-3</v>
      </c>
    </row>
    <row r="112" spans="1:7">
      <c r="A112" s="118">
        <v>1537</v>
      </c>
      <c r="B112" s="60" t="s">
        <v>3788</v>
      </c>
      <c r="C112" s="125" t="s">
        <v>5553</v>
      </c>
      <c r="D112" s="118">
        <v>1537</v>
      </c>
      <c r="E112" s="60">
        <f>[1]!'1537.TW-PreClose'</f>
        <v>138.5</v>
      </c>
      <c r="F112" s="141" t="str">
        <f>IFERROR(STOCKS!$E112-STOCKS昨天!$E112,"0")</f>
        <v>0</v>
      </c>
      <c r="G112" s="63">
        <f t="shared" si="1"/>
        <v>0</v>
      </c>
    </row>
    <row r="113" spans="1:7">
      <c r="A113" s="118">
        <v>1538</v>
      </c>
      <c r="B113" s="60" t="s">
        <v>3789</v>
      </c>
      <c r="C113" s="125" t="s">
        <v>5553</v>
      </c>
      <c r="D113" s="118">
        <v>1538</v>
      </c>
      <c r="E113" s="60">
        <f>[1]!'1538.TW-PreClose'</f>
        <v>10</v>
      </c>
      <c r="F113" s="141" t="str">
        <f>IFERROR(STOCKS!$E113-STOCKS昨天!$E113,"0")</f>
        <v>0</v>
      </c>
      <c r="G113" s="63">
        <f t="shared" si="1"/>
        <v>0</v>
      </c>
    </row>
    <row r="114" spans="1:7">
      <c r="A114" s="118">
        <v>1539</v>
      </c>
      <c r="B114" s="60" t="s">
        <v>3790</v>
      </c>
      <c r="C114" s="125" t="s">
        <v>5553</v>
      </c>
      <c r="D114" s="118">
        <v>1539</v>
      </c>
      <c r="E114" s="60">
        <f>[1]!'1539.TW-PreClose'</f>
        <v>19.149999999999999</v>
      </c>
      <c r="F114" s="141" t="str">
        <f>IFERROR(STOCKS!$E114-STOCKS昨天!$E114,"0")</f>
        <v>0</v>
      </c>
      <c r="G114" s="63">
        <f t="shared" si="1"/>
        <v>0</v>
      </c>
    </row>
    <row r="115" spans="1:7">
      <c r="A115" s="118">
        <v>1540</v>
      </c>
      <c r="B115" s="60" t="s">
        <v>3791</v>
      </c>
      <c r="C115" s="125" t="s">
        <v>5553</v>
      </c>
      <c r="D115" s="118">
        <v>1540</v>
      </c>
      <c r="E115" s="60">
        <f>[1]!'1540.TW-PreClose'</f>
        <v>14.85</v>
      </c>
      <c r="F115" s="141" t="str">
        <f>IFERROR(STOCKS!$E115-STOCKS昨天!$E115,"0")</f>
        <v>0</v>
      </c>
      <c r="G115" s="63">
        <f t="shared" si="1"/>
        <v>0</v>
      </c>
    </row>
    <row r="116" spans="1:7">
      <c r="A116" s="118">
        <v>1541</v>
      </c>
      <c r="B116" s="60" t="s">
        <v>3792</v>
      </c>
      <c r="C116" s="125" t="s">
        <v>5553</v>
      </c>
      <c r="D116" s="118">
        <v>1541</v>
      </c>
      <c r="E116" s="60">
        <f>[1]!'1541.TW-PreClose'</f>
        <v>43.3</v>
      </c>
      <c r="F116" s="141" t="str">
        <f>IFERROR(STOCKS!$E116-STOCKS昨天!$E116,"0")</f>
        <v>0</v>
      </c>
      <c r="G116" s="63">
        <f t="shared" si="1"/>
        <v>0</v>
      </c>
    </row>
    <row r="117" spans="1:7">
      <c r="A117" s="118">
        <v>1558</v>
      </c>
      <c r="B117" s="60" t="s">
        <v>3793</v>
      </c>
      <c r="C117" s="125" t="s">
        <v>5553</v>
      </c>
      <c r="D117" s="118">
        <v>1558</v>
      </c>
      <c r="E117" s="60">
        <f>[1]!'1558.TW-PreClose'</f>
        <v>144.5</v>
      </c>
      <c r="F117" s="141" t="str">
        <f>IFERROR(STOCKS!$E117-STOCKS昨天!$E117,"0")</f>
        <v>0</v>
      </c>
      <c r="G117" s="63">
        <f t="shared" si="1"/>
        <v>0</v>
      </c>
    </row>
    <row r="118" spans="1:7">
      <c r="A118" s="118">
        <v>1560</v>
      </c>
      <c r="B118" s="60" t="s">
        <v>3794</v>
      </c>
      <c r="C118" s="125" t="s">
        <v>5553</v>
      </c>
      <c r="D118" s="118">
        <v>1560</v>
      </c>
      <c r="E118" s="60">
        <f>[1]!'1560.TW-PreClose'</f>
        <v>86.9</v>
      </c>
      <c r="F118" s="141">
        <f>IFERROR(STOCKS!$E118-STOCKS昨天!$E118,"0")</f>
        <v>1</v>
      </c>
      <c r="G118" s="63">
        <f t="shared" si="1"/>
        <v>1.150747986191024E-2</v>
      </c>
    </row>
    <row r="119" spans="1:7">
      <c r="A119" s="118">
        <v>1583</v>
      </c>
      <c r="B119" s="60" t="s">
        <v>3795</v>
      </c>
      <c r="C119" s="125" t="s">
        <v>5553</v>
      </c>
      <c r="D119" s="118">
        <v>1583</v>
      </c>
      <c r="E119" s="60">
        <f>[1]!'1583.TW-PreClose'</f>
        <v>62.5</v>
      </c>
      <c r="F119" s="141" t="str">
        <f>IFERROR(STOCKS!$E119-STOCKS昨天!$E119,"0")</f>
        <v>0</v>
      </c>
      <c r="G119" s="63">
        <f t="shared" si="1"/>
        <v>0</v>
      </c>
    </row>
    <row r="120" spans="1:7">
      <c r="A120" s="118">
        <v>1589</v>
      </c>
      <c r="B120" s="60" t="s">
        <v>3796</v>
      </c>
      <c r="C120" s="125" t="s">
        <v>5554</v>
      </c>
      <c r="D120" s="118">
        <v>1589</v>
      </c>
      <c r="E120" s="60">
        <f>[1]!'1589.TW-PreClose'</f>
        <v>62.8</v>
      </c>
      <c r="F120" s="141" t="str">
        <f>IFERROR(STOCKS!$E120-STOCKS昨天!$E120,"0")</f>
        <v>0</v>
      </c>
      <c r="G120" s="63">
        <f t="shared" si="1"/>
        <v>0</v>
      </c>
    </row>
    <row r="121" spans="1:7">
      <c r="A121" s="118">
        <v>1590</v>
      </c>
      <c r="B121" s="60" t="s">
        <v>3662</v>
      </c>
      <c r="C121" s="125" t="s">
        <v>5554</v>
      </c>
      <c r="D121" s="118">
        <v>1590</v>
      </c>
      <c r="E121" s="60">
        <f>[1]!'1590.TW-PreClose'</f>
        <v>846</v>
      </c>
      <c r="F121" s="141" t="str">
        <f>IFERROR(STOCKS!$E121-STOCKS昨天!$E121,"0")</f>
        <v>0</v>
      </c>
      <c r="G121" s="63">
        <f t="shared" si="1"/>
        <v>0</v>
      </c>
    </row>
    <row r="122" spans="1:7">
      <c r="A122" s="118">
        <v>1597</v>
      </c>
      <c r="B122" s="60" t="s">
        <v>3797</v>
      </c>
      <c r="C122" s="125" t="s">
        <v>5553</v>
      </c>
      <c r="D122" s="118">
        <v>1597</v>
      </c>
      <c r="E122" s="60">
        <f>[1]!'1597.TW-PreClose'</f>
        <v>88.8</v>
      </c>
      <c r="F122" s="141" t="str">
        <f>IFERROR(STOCKS!$E122-STOCKS昨天!$E122,"0")</f>
        <v>0</v>
      </c>
      <c r="G122" s="63">
        <f t="shared" si="1"/>
        <v>0</v>
      </c>
    </row>
    <row r="123" spans="1:7">
      <c r="A123" s="118">
        <v>2049</v>
      </c>
      <c r="B123" s="60" t="s">
        <v>40</v>
      </c>
      <c r="C123" s="125" t="s">
        <v>5553</v>
      </c>
      <c r="D123" s="118">
        <v>2049</v>
      </c>
      <c r="E123" s="60">
        <f>[1]!'2049.TW-PreClose'</f>
        <v>292</v>
      </c>
      <c r="F123" s="141" t="str">
        <f>IFERROR(STOCKS!$E123-STOCKS昨天!$E123,"0")</f>
        <v>0</v>
      </c>
      <c r="G123" s="63">
        <f t="shared" si="1"/>
        <v>0</v>
      </c>
    </row>
    <row r="124" spans="1:7">
      <c r="A124" s="118">
        <v>2371</v>
      </c>
      <c r="B124" s="60" t="s">
        <v>3799</v>
      </c>
      <c r="C124" s="125" t="s">
        <v>5553</v>
      </c>
      <c r="D124" s="118">
        <v>2371</v>
      </c>
      <c r="E124" s="60" t="str">
        <f>[1]!'2371.TW-PreClose'</f>
        <v>--</v>
      </c>
      <c r="F124" s="141" t="str">
        <f>IFERROR(STOCKS!$E124-STOCKS昨天!$E124,"0")</f>
        <v>0</v>
      </c>
      <c r="G124" s="63" t="str">
        <f t="shared" si="1"/>
        <v>0</v>
      </c>
    </row>
    <row r="125" spans="1:7">
      <c r="A125" s="118">
        <v>3167</v>
      </c>
      <c r="B125" s="60" t="s">
        <v>3800</v>
      </c>
      <c r="C125" s="125" t="s">
        <v>5553</v>
      </c>
      <c r="D125" s="118">
        <v>3167</v>
      </c>
      <c r="E125" s="60">
        <f>[1]!'3167.TW-PreClose'</f>
        <v>97.7</v>
      </c>
      <c r="F125" s="141" t="str">
        <f>IFERROR(STOCKS!$E125-STOCKS昨天!$E125,"0")</f>
        <v>0</v>
      </c>
      <c r="G125" s="63">
        <f t="shared" si="1"/>
        <v>0</v>
      </c>
    </row>
    <row r="126" spans="1:7">
      <c r="A126" s="118">
        <v>4526</v>
      </c>
      <c r="B126" s="60" t="s">
        <v>3801</v>
      </c>
      <c r="C126" s="125" t="s">
        <v>5553</v>
      </c>
      <c r="D126" s="118">
        <v>4526</v>
      </c>
      <c r="E126" s="60">
        <f>[1]!'4526.TW-PreClose'</f>
        <v>17.100000000000001</v>
      </c>
      <c r="F126" s="141" t="str">
        <f>IFERROR(STOCKS!$E126-STOCKS昨天!$E126,"0")</f>
        <v>0</v>
      </c>
      <c r="G126" s="63">
        <f t="shared" si="1"/>
        <v>0</v>
      </c>
    </row>
    <row r="127" spans="1:7">
      <c r="A127" s="118">
        <v>4532</v>
      </c>
      <c r="B127" s="60" t="s">
        <v>3802</v>
      </c>
      <c r="C127" s="125" t="s">
        <v>5553</v>
      </c>
      <c r="D127" s="118">
        <v>4532</v>
      </c>
      <c r="E127" s="60">
        <f>[1]!'4532.TW-PreClose'</f>
        <v>18.850000000000001</v>
      </c>
      <c r="F127" s="141" t="str">
        <f>IFERROR(STOCKS!$E127-STOCKS昨天!$E127,"0")</f>
        <v>0</v>
      </c>
      <c r="G127" s="63">
        <f t="shared" si="1"/>
        <v>0</v>
      </c>
    </row>
    <row r="128" spans="1:7">
      <c r="A128" s="118">
        <v>4540</v>
      </c>
      <c r="B128" s="60" t="s">
        <v>3803</v>
      </c>
      <c r="C128" s="125" t="s">
        <v>5553</v>
      </c>
      <c r="D128" s="118">
        <v>4540</v>
      </c>
      <c r="E128" s="60" t="str">
        <f>[1]!'4540.TW-PreClose'</f>
        <v>--</v>
      </c>
      <c r="F128" s="141" t="str">
        <f>IFERROR(STOCKS!$E128-STOCKS昨天!$E128,"0")</f>
        <v>0</v>
      </c>
      <c r="G128" s="63" t="str">
        <f t="shared" si="1"/>
        <v>0</v>
      </c>
    </row>
    <row r="129" spans="1:7">
      <c r="A129" s="118">
        <v>4552</v>
      </c>
      <c r="B129" s="60" t="s">
        <v>3804</v>
      </c>
      <c r="C129" s="125" t="s">
        <v>5554</v>
      </c>
      <c r="D129" s="118">
        <v>4552</v>
      </c>
      <c r="E129" s="60" t="str">
        <f>[1]!'4552.TW-PreClose'</f>
        <v>--</v>
      </c>
      <c r="F129" s="141" t="str">
        <f>IFERROR(STOCKS!$E129-STOCKS昨天!$E129,"0")</f>
        <v>0</v>
      </c>
      <c r="G129" s="63" t="str">
        <f t="shared" si="1"/>
        <v>0</v>
      </c>
    </row>
    <row r="130" spans="1:7">
      <c r="A130" s="118">
        <v>4555</v>
      </c>
      <c r="B130" s="60" t="s">
        <v>3805</v>
      </c>
      <c r="C130" s="125" t="s">
        <v>5553</v>
      </c>
      <c r="D130" s="118">
        <v>4555</v>
      </c>
      <c r="E130" s="60" t="str">
        <f>[1]!'4555.TW-PreClose'</f>
        <v>--</v>
      </c>
      <c r="F130" s="141" t="str">
        <f>IFERROR(STOCKS!$E130-STOCKS昨天!$E130,"0")</f>
        <v>0</v>
      </c>
      <c r="G130" s="63" t="str">
        <f t="shared" si="1"/>
        <v>0</v>
      </c>
    </row>
    <row r="131" spans="1:7">
      <c r="A131" s="118">
        <v>4560</v>
      </c>
      <c r="B131" s="60" t="s">
        <v>3806</v>
      </c>
      <c r="C131" s="125" t="s">
        <v>5554</v>
      </c>
      <c r="D131" s="118">
        <v>4560</v>
      </c>
      <c r="E131" s="60">
        <f>[1]!'4560.TW-PreClose'</f>
        <v>42.4</v>
      </c>
      <c r="F131" s="141" t="str">
        <f>IFERROR(STOCKS!$E131-STOCKS昨天!$E131,"0")</f>
        <v>0</v>
      </c>
      <c r="G131" s="63">
        <f t="shared" ref="G131:G194" si="2">IFERROR($F131/$E131,"0")</f>
        <v>0</v>
      </c>
    </row>
    <row r="132" spans="1:7">
      <c r="A132" s="118">
        <v>4562</v>
      </c>
      <c r="B132" s="60" t="s">
        <v>3807</v>
      </c>
      <c r="C132" s="125" t="s">
        <v>5553</v>
      </c>
      <c r="D132" s="118">
        <v>4562</v>
      </c>
      <c r="E132" s="60">
        <f>[1]!'4562.TW-PreClose'</f>
        <v>17.95</v>
      </c>
      <c r="F132" s="141" t="str">
        <f>IFERROR(STOCKS!$E132-STOCKS昨天!$E132,"0")</f>
        <v>0</v>
      </c>
      <c r="G132" s="63">
        <f t="shared" si="2"/>
        <v>0</v>
      </c>
    </row>
    <row r="133" spans="1:7">
      <c r="A133" s="118">
        <v>4564</v>
      </c>
      <c r="B133" s="60" t="s">
        <v>3808</v>
      </c>
      <c r="C133" s="125" t="s">
        <v>5553</v>
      </c>
      <c r="D133" s="118">
        <v>4564</v>
      </c>
      <c r="E133" s="60">
        <f>[1]!'4564.TW-PreClose'</f>
        <v>42.7</v>
      </c>
      <c r="F133" s="141">
        <f>IFERROR(STOCKS!$E133-STOCKS昨天!$E133,"0")</f>
        <v>9.9999999999994316E-2</v>
      </c>
      <c r="G133" s="63">
        <f t="shared" si="2"/>
        <v>2.3419203747071268E-3</v>
      </c>
    </row>
    <row r="134" spans="1:7">
      <c r="A134" s="118">
        <v>4566</v>
      </c>
      <c r="B134" s="60" t="s">
        <v>3809</v>
      </c>
      <c r="C134" s="125" t="s">
        <v>5553</v>
      </c>
      <c r="D134" s="118">
        <v>4566</v>
      </c>
      <c r="E134" s="60">
        <f>[1]!'4566.TW-PreClose'</f>
        <v>42.4</v>
      </c>
      <c r="F134" s="141" t="str">
        <f>IFERROR(STOCKS!$E134-STOCKS昨天!$E134,"0")</f>
        <v>0</v>
      </c>
      <c r="G134" s="63">
        <f t="shared" si="2"/>
        <v>0</v>
      </c>
    </row>
    <row r="135" spans="1:7">
      <c r="A135" s="118">
        <v>4571</v>
      </c>
      <c r="B135" s="60" t="s">
        <v>3810</v>
      </c>
      <c r="C135" s="125" t="s">
        <v>5554</v>
      </c>
      <c r="D135" s="118">
        <v>4571</v>
      </c>
      <c r="E135" s="60">
        <f>[1]!'4571.TW-PreClose'</f>
        <v>97.8</v>
      </c>
      <c r="F135" s="141" t="str">
        <f>IFERROR(STOCKS!$E135-STOCKS昨天!$E135,"0")</f>
        <v>0</v>
      </c>
      <c r="G135" s="63">
        <f t="shared" si="2"/>
        <v>0</v>
      </c>
    </row>
    <row r="136" spans="1:7">
      <c r="A136" s="118">
        <v>4572</v>
      </c>
      <c r="B136" s="60" t="s">
        <v>3811</v>
      </c>
      <c r="C136" s="125" t="s">
        <v>5553</v>
      </c>
      <c r="D136" s="118">
        <v>4572</v>
      </c>
      <c r="E136" s="60">
        <f>[1]!'4572.TW-PreClose'</f>
        <v>101</v>
      </c>
      <c r="F136" s="141" t="str">
        <f>IFERROR(STOCKS!$E136-STOCKS昨天!$E136,"0")</f>
        <v>0</v>
      </c>
      <c r="G136" s="63">
        <f t="shared" si="2"/>
        <v>0</v>
      </c>
    </row>
    <row r="137" spans="1:7">
      <c r="A137" s="118">
        <v>4576</v>
      </c>
      <c r="B137" s="60" t="s">
        <v>3812</v>
      </c>
      <c r="C137" s="125" t="s">
        <v>5553</v>
      </c>
      <c r="D137" s="118">
        <v>4576</v>
      </c>
      <c r="E137" s="60">
        <f>[1]!'4576.TW-PreClose'</f>
        <v>109</v>
      </c>
      <c r="F137" s="141" t="str">
        <f>IFERROR(STOCKS!$E137-STOCKS昨天!$E137,"0")</f>
        <v>0</v>
      </c>
      <c r="G137" s="63">
        <f t="shared" si="2"/>
        <v>0</v>
      </c>
    </row>
    <row r="138" spans="1:7">
      <c r="A138" s="118">
        <v>5288</v>
      </c>
      <c r="B138" s="60" t="s">
        <v>3813</v>
      </c>
      <c r="C138" s="125" t="s">
        <v>5554</v>
      </c>
      <c r="D138" s="118">
        <v>5288</v>
      </c>
      <c r="E138" s="60" t="str">
        <f>[1]!'5288.TW-PreClose'</f>
        <v>--</v>
      </c>
      <c r="F138" s="141" t="str">
        <f>IFERROR(STOCKS!$E138-STOCKS昨天!$E138,"0")</f>
        <v>0</v>
      </c>
      <c r="G138" s="63" t="str">
        <f t="shared" si="2"/>
        <v>0</v>
      </c>
    </row>
    <row r="139" spans="1:7">
      <c r="A139" s="118">
        <v>8222</v>
      </c>
      <c r="B139" s="60" t="s">
        <v>3814</v>
      </c>
      <c r="C139" s="125" t="s">
        <v>5553</v>
      </c>
      <c r="D139" s="118">
        <v>8222</v>
      </c>
      <c r="E139" s="60">
        <f>[1]!'8222.TW-PreClose'</f>
        <v>14.95</v>
      </c>
      <c r="F139" s="141" t="str">
        <f>IFERROR(STOCKS!$E139-STOCKS昨天!$E139,"0")</f>
        <v>0</v>
      </c>
      <c r="G139" s="63">
        <f t="shared" si="2"/>
        <v>0</v>
      </c>
    </row>
    <row r="140" spans="1:7">
      <c r="A140" s="118">
        <v>8374</v>
      </c>
      <c r="B140" s="60" t="s">
        <v>3815</v>
      </c>
      <c r="C140" s="125" t="s">
        <v>5553</v>
      </c>
      <c r="D140" s="118">
        <v>8374</v>
      </c>
      <c r="E140" s="60">
        <f>[1]!'8374.TW-PreClose'</f>
        <v>30.15</v>
      </c>
      <c r="F140" s="141" t="str">
        <f>IFERROR(STOCKS!$E140-STOCKS昨天!$E140,"0")</f>
        <v>0</v>
      </c>
      <c r="G140" s="63">
        <f t="shared" si="2"/>
        <v>0</v>
      </c>
    </row>
    <row r="141" spans="1:7">
      <c r="A141" s="118">
        <v>8996</v>
      </c>
      <c r="B141" s="60" t="s">
        <v>3816</v>
      </c>
      <c r="C141" s="125" t="s">
        <v>5553</v>
      </c>
      <c r="D141" s="118">
        <v>8996</v>
      </c>
      <c r="E141" s="60" t="str">
        <f>[1]!'8996.TW-PreClose'</f>
        <v>--</v>
      </c>
      <c r="F141" s="141" t="str">
        <f>IFERROR(STOCKS!$E141-STOCKS昨天!$E141,"0")</f>
        <v>0</v>
      </c>
      <c r="G141" s="63" t="str">
        <f t="shared" si="2"/>
        <v>0</v>
      </c>
    </row>
    <row r="142" spans="1:7">
      <c r="A142" s="118">
        <v>1603</v>
      </c>
      <c r="B142" s="60" t="s">
        <v>3817</v>
      </c>
      <c r="C142" s="125" t="s">
        <v>5555</v>
      </c>
      <c r="D142" s="118">
        <v>1603</v>
      </c>
      <c r="E142" s="60">
        <f>[1]!'1603.TW-PreClose'</f>
        <v>26.8</v>
      </c>
      <c r="F142" s="141" t="str">
        <f>IFERROR(STOCKS!$E142-STOCKS昨天!$E142,"0")</f>
        <v>0</v>
      </c>
      <c r="G142" s="63">
        <f t="shared" si="2"/>
        <v>0</v>
      </c>
    </row>
    <row r="143" spans="1:7">
      <c r="A143" s="118">
        <v>1604</v>
      </c>
      <c r="B143" s="60" t="s">
        <v>3818</v>
      </c>
      <c r="C143" s="125" t="s">
        <v>5555</v>
      </c>
      <c r="D143" s="118">
        <v>1604</v>
      </c>
      <c r="E143" s="60">
        <f>[1]!'1604.TW-PreClose'</f>
        <v>29.6</v>
      </c>
      <c r="F143" s="141" t="str">
        <f>IFERROR(STOCKS!$E143-STOCKS昨天!$E143,"0")</f>
        <v>0</v>
      </c>
      <c r="G143" s="63">
        <f t="shared" si="2"/>
        <v>0</v>
      </c>
    </row>
    <row r="144" spans="1:7">
      <c r="A144" s="118">
        <v>1605</v>
      </c>
      <c r="B144" s="60" t="s">
        <v>3819</v>
      </c>
      <c r="C144" s="125" t="s">
        <v>5555</v>
      </c>
      <c r="D144" s="118">
        <v>1605</v>
      </c>
      <c r="E144" s="60">
        <f>[1]!'1605.TW-PreClose'</f>
        <v>27.6</v>
      </c>
      <c r="F144" s="141">
        <f>IFERROR(STOCKS!$E144-STOCKS昨天!$E144,"0")</f>
        <v>0.34999999999999787</v>
      </c>
      <c r="G144" s="63">
        <f t="shared" si="2"/>
        <v>1.2681159420289778E-2</v>
      </c>
    </row>
    <row r="145" spans="1:7">
      <c r="A145" s="118">
        <v>1608</v>
      </c>
      <c r="B145" s="60" t="s">
        <v>3537</v>
      </c>
      <c r="C145" s="125" t="s">
        <v>5555</v>
      </c>
      <c r="D145" s="118">
        <v>1608</v>
      </c>
      <c r="E145" s="60">
        <f>[1]!'1608.TW-PreClose'</f>
        <v>22.5</v>
      </c>
      <c r="F145" s="141" t="str">
        <f>IFERROR(STOCKS!$E145-STOCKS昨天!$E145,"0")</f>
        <v>0</v>
      </c>
      <c r="G145" s="63">
        <f t="shared" si="2"/>
        <v>0</v>
      </c>
    </row>
    <row r="146" spans="1:7">
      <c r="A146" s="118">
        <v>1609</v>
      </c>
      <c r="B146" s="60" t="s">
        <v>3820</v>
      </c>
      <c r="C146" s="125" t="s">
        <v>5555</v>
      </c>
      <c r="D146" s="118">
        <v>1609</v>
      </c>
      <c r="E146" s="60">
        <f>[1]!'1609.TW-PreClose'</f>
        <v>24.8</v>
      </c>
      <c r="F146" s="141" t="str">
        <f>IFERROR(STOCKS!$E146-STOCKS昨天!$E146,"0")</f>
        <v>0</v>
      </c>
      <c r="G146" s="63">
        <f t="shared" si="2"/>
        <v>0</v>
      </c>
    </row>
    <row r="147" spans="1:7">
      <c r="A147" s="118">
        <v>1611</v>
      </c>
      <c r="B147" s="60" t="s">
        <v>3821</v>
      </c>
      <c r="C147" s="125" t="s">
        <v>5555</v>
      </c>
      <c r="D147" s="118">
        <v>1611</v>
      </c>
      <c r="E147" s="60">
        <f>[1]!'1611.TW-PreClose'</f>
        <v>14</v>
      </c>
      <c r="F147" s="141" t="str">
        <f>IFERROR(STOCKS!$E147-STOCKS昨天!$E147,"0")</f>
        <v>0</v>
      </c>
      <c r="G147" s="63">
        <f t="shared" si="2"/>
        <v>0</v>
      </c>
    </row>
    <row r="148" spans="1:7">
      <c r="A148" s="118">
        <v>1612</v>
      </c>
      <c r="B148" s="60" t="s">
        <v>3822</v>
      </c>
      <c r="C148" s="125" t="s">
        <v>5555</v>
      </c>
      <c r="D148" s="118">
        <v>1612</v>
      </c>
      <c r="E148" s="60">
        <f>[1]!'1612.TW-PreClose'</f>
        <v>25.15</v>
      </c>
      <c r="F148" s="141" t="str">
        <f>IFERROR(STOCKS!$E148-STOCKS昨天!$E148,"0")</f>
        <v>0</v>
      </c>
      <c r="G148" s="63">
        <f t="shared" si="2"/>
        <v>0</v>
      </c>
    </row>
    <row r="149" spans="1:7">
      <c r="A149" s="118">
        <v>1614</v>
      </c>
      <c r="B149" s="60" t="s">
        <v>3823</v>
      </c>
      <c r="C149" s="125" t="s">
        <v>5555</v>
      </c>
      <c r="D149" s="118">
        <v>1614</v>
      </c>
      <c r="E149" s="60">
        <f>[1]!'1614.TW-PreClose'</f>
        <v>36.049999999999997</v>
      </c>
      <c r="F149" s="141" t="str">
        <f>IFERROR(STOCKS!$E149-STOCKS昨天!$E149,"0")</f>
        <v>0</v>
      </c>
      <c r="G149" s="63">
        <f t="shared" si="2"/>
        <v>0</v>
      </c>
    </row>
    <row r="150" spans="1:7">
      <c r="A150" s="118">
        <v>1615</v>
      </c>
      <c r="B150" s="60" t="s">
        <v>3824</v>
      </c>
      <c r="C150" s="125" t="s">
        <v>5555</v>
      </c>
      <c r="D150" s="118">
        <v>1615</v>
      </c>
      <c r="E150" s="60">
        <f>[1]!'1615.TW-PreClose'</f>
        <v>31.95</v>
      </c>
      <c r="F150" s="141" t="str">
        <f>IFERROR(STOCKS!$E150-STOCKS昨天!$E150,"0")</f>
        <v>0</v>
      </c>
      <c r="G150" s="63">
        <f t="shared" si="2"/>
        <v>0</v>
      </c>
    </row>
    <row r="151" spans="1:7">
      <c r="A151" s="118">
        <v>1616</v>
      </c>
      <c r="B151" s="60" t="s">
        <v>3558</v>
      </c>
      <c r="C151" s="125" t="s">
        <v>5555</v>
      </c>
      <c r="D151" s="118">
        <v>1616</v>
      </c>
      <c r="E151" s="60">
        <f>[1]!'1616.TW-PreClose'</f>
        <v>9.02</v>
      </c>
      <c r="F151" s="141" t="str">
        <f>IFERROR(STOCKS!$E151-STOCKS昨天!$E151,"0")</f>
        <v>0</v>
      </c>
      <c r="G151" s="63">
        <f t="shared" si="2"/>
        <v>0</v>
      </c>
    </row>
    <row r="152" spans="1:7">
      <c r="A152" s="118">
        <v>1617</v>
      </c>
      <c r="B152" s="60" t="s">
        <v>3825</v>
      </c>
      <c r="C152" s="125" t="s">
        <v>5555</v>
      </c>
      <c r="D152" s="118">
        <v>1617</v>
      </c>
      <c r="E152" s="60">
        <f>[1]!'1617.TW-PreClose'</f>
        <v>16.75</v>
      </c>
      <c r="F152" s="141" t="str">
        <f>IFERROR(STOCKS!$E152-STOCKS昨天!$E152,"0")</f>
        <v>0</v>
      </c>
      <c r="G152" s="63">
        <f t="shared" si="2"/>
        <v>0</v>
      </c>
    </row>
    <row r="153" spans="1:7">
      <c r="A153" s="118">
        <v>1618</v>
      </c>
      <c r="B153" s="60" t="s">
        <v>3826</v>
      </c>
      <c r="C153" s="125" t="s">
        <v>5555</v>
      </c>
      <c r="D153" s="118">
        <v>1618</v>
      </c>
      <c r="E153" s="60">
        <f>[1]!'1618.TW-PreClose'</f>
        <v>14.4</v>
      </c>
      <c r="F153" s="141" t="str">
        <f>IFERROR(STOCKS!$E153-STOCKS昨天!$E153,"0")</f>
        <v>0</v>
      </c>
      <c r="G153" s="63">
        <f t="shared" si="2"/>
        <v>0</v>
      </c>
    </row>
    <row r="154" spans="1:7">
      <c r="A154" s="118">
        <v>1626</v>
      </c>
      <c r="B154" s="60" t="s">
        <v>3827</v>
      </c>
      <c r="C154" s="125" t="s">
        <v>5556</v>
      </c>
      <c r="D154" s="118">
        <v>1626</v>
      </c>
      <c r="E154" s="60">
        <f>[1]!'1626.TW-PreClose'</f>
        <v>19.3</v>
      </c>
      <c r="F154" s="141" t="str">
        <f>IFERROR(STOCKS!$E154-STOCKS昨天!$E154,"0")</f>
        <v>0</v>
      </c>
      <c r="G154" s="63">
        <f t="shared" si="2"/>
        <v>0</v>
      </c>
    </row>
    <row r="155" spans="1:7">
      <c r="A155" s="118">
        <v>4930</v>
      </c>
      <c r="B155" s="60" t="s">
        <v>3828</v>
      </c>
      <c r="C155" s="125" t="s">
        <v>5555</v>
      </c>
      <c r="D155" s="118">
        <v>4930</v>
      </c>
      <c r="E155" s="60">
        <f>[1]!'4930.TW-PreClose'</f>
        <v>25.8</v>
      </c>
      <c r="F155" s="141" t="str">
        <f>IFERROR(STOCKS!$E155-STOCKS昨天!$E155,"0")</f>
        <v>0</v>
      </c>
      <c r="G155" s="63">
        <f t="shared" si="2"/>
        <v>0</v>
      </c>
    </row>
    <row r="156" spans="1:7">
      <c r="A156" s="118">
        <v>5283</v>
      </c>
      <c r="B156" s="60" t="s">
        <v>3829</v>
      </c>
      <c r="C156" s="125" t="s">
        <v>5555</v>
      </c>
      <c r="D156" s="118">
        <v>5283</v>
      </c>
      <c r="E156" s="60">
        <f>[1]!'5283.TW-PreClose'</f>
        <v>116.5</v>
      </c>
      <c r="F156" s="141" t="str">
        <f>IFERROR(STOCKS!$E156-STOCKS昨天!$E156,"0")</f>
        <v>0</v>
      </c>
      <c r="G156" s="63">
        <f t="shared" si="2"/>
        <v>0</v>
      </c>
    </row>
    <row r="157" spans="1:7">
      <c r="A157" s="118">
        <v>1708</v>
      </c>
      <c r="B157" s="60" t="s">
        <v>3830</v>
      </c>
      <c r="C157" s="125" t="s">
        <v>5557</v>
      </c>
      <c r="D157" s="118">
        <v>1708</v>
      </c>
      <c r="E157" s="60">
        <f>[1]!'1708.TW-PreClose'</f>
        <v>33.5</v>
      </c>
      <c r="F157" s="141" t="str">
        <f>IFERROR(STOCKS!$E157-STOCKS昨天!$E157,"0")</f>
        <v>0</v>
      </c>
      <c r="G157" s="63">
        <f t="shared" si="2"/>
        <v>0</v>
      </c>
    </row>
    <row r="158" spans="1:7">
      <c r="A158" s="118">
        <v>1709</v>
      </c>
      <c r="B158" s="60" t="s">
        <v>3831</v>
      </c>
      <c r="C158" s="125" t="s">
        <v>5557</v>
      </c>
      <c r="D158" s="118">
        <v>1709</v>
      </c>
      <c r="E158" s="60">
        <f>[1]!'1709.TW-PreClose'</f>
        <v>23.4</v>
      </c>
      <c r="F158" s="141" t="str">
        <f>IFERROR(STOCKS!$E158-STOCKS昨天!$E158,"0")</f>
        <v>0</v>
      </c>
      <c r="G158" s="63">
        <f t="shared" si="2"/>
        <v>0</v>
      </c>
    </row>
    <row r="159" spans="1:7">
      <c r="A159" s="118">
        <v>1710</v>
      </c>
      <c r="B159" s="60" t="s">
        <v>3832</v>
      </c>
      <c r="C159" s="125" t="s">
        <v>5557</v>
      </c>
      <c r="D159" s="118">
        <v>1710</v>
      </c>
      <c r="E159" s="60">
        <f>[1]!'1710.TW-PreClose'</f>
        <v>22.55</v>
      </c>
      <c r="F159" s="141" t="str">
        <f>IFERROR(STOCKS!$E159-STOCKS昨天!$E159,"0")</f>
        <v>0</v>
      </c>
      <c r="G159" s="63">
        <f t="shared" si="2"/>
        <v>0</v>
      </c>
    </row>
    <row r="160" spans="1:7">
      <c r="A160" s="118">
        <v>1711</v>
      </c>
      <c r="B160" s="60" t="s">
        <v>3833</v>
      </c>
      <c r="C160" s="125" t="s">
        <v>5557</v>
      </c>
      <c r="D160" s="118">
        <v>1711</v>
      </c>
      <c r="E160" s="60">
        <f>[1]!'1711.TW-PreClose'</f>
        <v>27.5</v>
      </c>
      <c r="F160" s="141">
        <f>IFERROR(STOCKS!$E160-STOCKS昨天!$E160,"0")</f>
        <v>0.85000000000000142</v>
      </c>
      <c r="G160" s="63">
        <f t="shared" si="2"/>
        <v>3.0909090909090962E-2</v>
      </c>
    </row>
    <row r="161" spans="1:7">
      <c r="A161" s="118">
        <v>1712</v>
      </c>
      <c r="B161" s="60" t="s">
        <v>3834</v>
      </c>
      <c r="C161" s="125" t="s">
        <v>5557</v>
      </c>
      <c r="D161" s="118">
        <v>1712</v>
      </c>
      <c r="E161" s="60">
        <f>[1]!'1712.TW-PreClose'</f>
        <v>27.55</v>
      </c>
      <c r="F161" s="141" t="str">
        <f>IFERROR(STOCKS!$E161-STOCKS昨天!$E161,"0")</f>
        <v>0</v>
      </c>
      <c r="G161" s="63">
        <f t="shared" si="2"/>
        <v>0</v>
      </c>
    </row>
    <row r="162" spans="1:7">
      <c r="A162" s="118">
        <v>1713</v>
      </c>
      <c r="B162" s="60" t="s">
        <v>3835</v>
      </c>
      <c r="C162" s="125" t="s">
        <v>5557</v>
      </c>
      <c r="D162" s="118">
        <v>1713</v>
      </c>
      <c r="E162" s="60">
        <f>[1]!'1713.TW-PreClose'</f>
        <v>24.35</v>
      </c>
      <c r="F162" s="141" t="str">
        <f>IFERROR(STOCKS!$E162-STOCKS昨天!$E162,"0")</f>
        <v>0</v>
      </c>
      <c r="G162" s="63">
        <f t="shared" si="2"/>
        <v>0</v>
      </c>
    </row>
    <row r="163" spans="1:7">
      <c r="A163" s="118">
        <v>1714</v>
      </c>
      <c r="B163" s="60" t="s">
        <v>3836</v>
      </c>
      <c r="C163" s="125" t="s">
        <v>5557</v>
      </c>
      <c r="D163" s="118">
        <v>1714</v>
      </c>
      <c r="E163" s="60">
        <f>[1]!'1714.TW-PreClose'</f>
        <v>11.55</v>
      </c>
      <c r="F163" s="141">
        <f>IFERROR(STOCKS!$E163-STOCKS昨天!$E163,"0")</f>
        <v>0.14999999999999858</v>
      </c>
      <c r="G163" s="63">
        <f t="shared" si="2"/>
        <v>1.2987012987012863E-2</v>
      </c>
    </row>
    <row r="164" spans="1:7">
      <c r="A164" s="118">
        <v>1717</v>
      </c>
      <c r="B164" s="60" t="s">
        <v>3837</v>
      </c>
      <c r="C164" s="125" t="s">
        <v>5557</v>
      </c>
      <c r="D164" s="118">
        <v>1717</v>
      </c>
      <c r="E164" s="60">
        <f>[1]!'1717.TW-PreClose'</f>
        <v>36.5</v>
      </c>
      <c r="F164" s="141" t="str">
        <f>IFERROR(STOCKS!$E164-STOCKS昨天!$E164,"0")</f>
        <v>0</v>
      </c>
      <c r="G164" s="63">
        <f t="shared" si="2"/>
        <v>0</v>
      </c>
    </row>
    <row r="165" spans="1:7">
      <c r="A165" s="118">
        <v>1718</v>
      </c>
      <c r="B165" s="60" t="s">
        <v>3838</v>
      </c>
      <c r="C165" s="125" t="s">
        <v>5557</v>
      </c>
      <c r="D165" s="118">
        <v>1718</v>
      </c>
      <c r="E165" s="60">
        <f>[1]!'1718.TW-PreClose'</f>
        <v>10.199999999999999</v>
      </c>
      <c r="F165" s="141" t="str">
        <f>IFERROR(STOCKS!$E165-STOCKS昨天!$E165,"0")</f>
        <v>0</v>
      </c>
      <c r="G165" s="63">
        <f t="shared" si="2"/>
        <v>0</v>
      </c>
    </row>
    <row r="166" spans="1:7">
      <c r="A166" s="118">
        <v>1721</v>
      </c>
      <c r="B166" s="60" t="s">
        <v>3839</v>
      </c>
      <c r="C166" s="125" t="s">
        <v>5557</v>
      </c>
      <c r="D166" s="118">
        <v>1721</v>
      </c>
      <c r="E166" s="60">
        <f>[1]!'1721.TW-PreClose'</f>
        <v>24.2</v>
      </c>
      <c r="F166" s="141" t="str">
        <f>IFERROR(STOCKS!$E166-STOCKS昨天!$E166,"0")</f>
        <v>0</v>
      </c>
      <c r="G166" s="63">
        <f t="shared" si="2"/>
        <v>0</v>
      </c>
    </row>
    <row r="167" spans="1:7">
      <c r="A167" s="118">
        <v>1722</v>
      </c>
      <c r="B167" s="60" t="s">
        <v>3840</v>
      </c>
      <c r="C167" s="125" t="s">
        <v>5557</v>
      </c>
      <c r="D167" s="118">
        <v>1722</v>
      </c>
      <c r="E167" s="60">
        <f>[1]!'1722.TW-PreClose'</f>
        <v>69.400000000000006</v>
      </c>
      <c r="F167" s="141" t="str">
        <f>IFERROR(STOCKS!$E167-STOCKS昨天!$E167,"0")</f>
        <v>0</v>
      </c>
      <c r="G167" s="63">
        <f t="shared" si="2"/>
        <v>0</v>
      </c>
    </row>
    <row r="168" spans="1:7">
      <c r="A168" s="118">
        <v>1723</v>
      </c>
      <c r="B168" s="60" t="s">
        <v>3841</v>
      </c>
      <c r="C168" s="125" t="s">
        <v>5557</v>
      </c>
      <c r="D168" s="118">
        <v>1723</v>
      </c>
      <c r="E168" s="60">
        <f>[1]!'1723.TW-PreClose'</f>
        <v>115.5</v>
      </c>
      <c r="F168" s="141" t="str">
        <f>IFERROR(STOCKS!$E168-STOCKS昨天!$E168,"0")</f>
        <v>0</v>
      </c>
      <c r="G168" s="63">
        <f t="shared" si="2"/>
        <v>0</v>
      </c>
    </row>
    <row r="169" spans="1:7">
      <c r="A169" s="118">
        <v>1725</v>
      </c>
      <c r="B169" s="60" t="s">
        <v>3516</v>
      </c>
      <c r="C169" s="125" t="s">
        <v>5557</v>
      </c>
      <c r="D169" s="118">
        <v>1725</v>
      </c>
      <c r="E169" s="60">
        <f>[1]!'1725.TW-PreClose'</f>
        <v>41.45</v>
      </c>
      <c r="F169" s="141">
        <f>IFERROR(STOCKS!$E169-STOCKS昨天!$E169,"0")</f>
        <v>1.1499999999999986</v>
      </c>
      <c r="G169" s="63">
        <f t="shared" si="2"/>
        <v>2.7744270205066309E-2</v>
      </c>
    </row>
    <row r="170" spans="1:7">
      <c r="A170" s="118">
        <v>1726</v>
      </c>
      <c r="B170" s="60" t="s">
        <v>3842</v>
      </c>
      <c r="C170" s="125" t="s">
        <v>5557</v>
      </c>
      <c r="D170" s="118">
        <v>1726</v>
      </c>
      <c r="E170" s="60">
        <f>[1]!'1726.TW-PreClose'</f>
        <v>73.099999999999994</v>
      </c>
      <c r="F170" s="141" t="str">
        <f>IFERROR(STOCKS!$E170-STOCKS昨天!$E170,"0")</f>
        <v>0</v>
      </c>
      <c r="G170" s="63">
        <f t="shared" si="2"/>
        <v>0</v>
      </c>
    </row>
    <row r="171" spans="1:7">
      <c r="A171" s="118">
        <v>1727</v>
      </c>
      <c r="B171" s="60" t="s">
        <v>3843</v>
      </c>
      <c r="C171" s="125" t="s">
        <v>5557</v>
      </c>
      <c r="D171" s="118">
        <v>1727</v>
      </c>
      <c r="E171" s="60">
        <f>[1]!'1727.TW-PreClose'</f>
        <v>56.7</v>
      </c>
      <c r="F171" s="141">
        <f>IFERROR(STOCKS!$E171-STOCKS昨天!$E171,"0")</f>
        <v>2.3999999999999986</v>
      </c>
      <c r="G171" s="63">
        <f t="shared" si="2"/>
        <v>4.2328042328042298E-2</v>
      </c>
    </row>
    <row r="172" spans="1:7">
      <c r="A172" s="118">
        <v>1730</v>
      </c>
      <c r="B172" s="60" t="s">
        <v>3844</v>
      </c>
      <c r="C172" s="125" t="s">
        <v>5557</v>
      </c>
      <c r="D172" s="118">
        <v>1730</v>
      </c>
      <c r="E172" s="60">
        <f>[1]!'1730.TW-PreClose'</f>
        <v>63.6</v>
      </c>
      <c r="F172" s="141" t="str">
        <f>IFERROR(STOCKS!$E172-STOCKS昨天!$E172,"0")</f>
        <v>0</v>
      </c>
      <c r="G172" s="63">
        <f t="shared" si="2"/>
        <v>0</v>
      </c>
    </row>
    <row r="173" spans="1:7">
      <c r="A173" s="118">
        <v>1732</v>
      </c>
      <c r="B173" s="60" t="s">
        <v>3542</v>
      </c>
      <c r="C173" s="125" t="s">
        <v>5557</v>
      </c>
      <c r="D173" s="118">
        <v>1732</v>
      </c>
      <c r="E173" s="60">
        <f>[1]!'1732.TW-PreClose'</f>
        <v>26.1</v>
      </c>
      <c r="F173" s="141" t="str">
        <f>IFERROR(STOCKS!$E173-STOCKS昨天!$E173,"0")</f>
        <v>0</v>
      </c>
      <c r="G173" s="63">
        <f t="shared" si="2"/>
        <v>0</v>
      </c>
    </row>
    <row r="174" spans="1:7">
      <c r="A174" s="118">
        <v>1735</v>
      </c>
      <c r="B174" s="60" t="s">
        <v>3845</v>
      </c>
      <c r="C174" s="125" t="s">
        <v>5557</v>
      </c>
      <c r="D174" s="118">
        <v>1735</v>
      </c>
      <c r="E174" s="60">
        <f>[1]!'1735.TW-PreClose'</f>
        <v>18.05</v>
      </c>
      <c r="F174" s="141" t="str">
        <f>IFERROR(STOCKS!$E174-STOCKS昨天!$E174,"0")</f>
        <v>0</v>
      </c>
      <c r="G174" s="63">
        <f t="shared" si="2"/>
        <v>0</v>
      </c>
    </row>
    <row r="175" spans="1:7">
      <c r="A175" s="118">
        <v>1773</v>
      </c>
      <c r="B175" s="60" t="s">
        <v>3846</v>
      </c>
      <c r="C175" s="125" t="s">
        <v>5557</v>
      </c>
      <c r="D175" s="118">
        <v>1773</v>
      </c>
      <c r="E175" s="60">
        <f>[1]!'1773.TW-PreClose'</f>
        <v>136.5</v>
      </c>
      <c r="F175" s="141" t="str">
        <f>IFERROR(STOCKS!$E175-STOCKS昨天!$E175,"0")</f>
        <v>0</v>
      </c>
      <c r="G175" s="63">
        <f t="shared" si="2"/>
        <v>0</v>
      </c>
    </row>
    <row r="176" spans="1:7">
      <c r="A176" s="118">
        <v>1776</v>
      </c>
      <c r="B176" s="60" t="s">
        <v>3847</v>
      </c>
      <c r="C176" s="125" t="s">
        <v>5557</v>
      </c>
      <c r="D176" s="118">
        <v>1776</v>
      </c>
      <c r="E176" s="60">
        <f>[1]!'1776.TW-PreClose'</f>
        <v>22.65</v>
      </c>
      <c r="F176" s="141" t="str">
        <f>IFERROR(STOCKS!$E176-STOCKS昨天!$E176,"0")</f>
        <v>0</v>
      </c>
      <c r="G176" s="63">
        <f t="shared" si="2"/>
        <v>0</v>
      </c>
    </row>
    <row r="177" spans="1:7">
      <c r="A177" s="118">
        <v>3708</v>
      </c>
      <c r="B177" s="60" t="s">
        <v>3848</v>
      </c>
      <c r="C177" s="125" t="s">
        <v>5557</v>
      </c>
      <c r="D177" s="118">
        <v>3708</v>
      </c>
      <c r="E177" s="60">
        <f>[1]!'3708.TW-PreClose'</f>
        <v>91.3</v>
      </c>
      <c r="F177" s="141" t="str">
        <f>IFERROR(STOCKS!$E177-STOCKS昨天!$E177,"0")</f>
        <v>0</v>
      </c>
      <c r="G177" s="63">
        <f t="shared" si="2"/>
        <v>0</v>
      </c>
    </row>
    <row r="178" spans="1:7">
      <c r="A178" s="118">
        <v>4720</v>
      </c>
      <c r="B178" s="60" t="s">
        <v>3849</v>
      </c>
      <c r="C178" s="125" t="s">
        <v>5557</v>
      </c>
      <c r="D178" s="118">
        <v>4720</v>
      </c>
      <c r="E178" s="60">
        <f>[1]!'4720.TW-PreClose'</f>
        <v>14.65</v>
      </c>
      <c r="F178" s="141" t="str">
        <f>IFERROR(STOCKS!$E178-STOCKS昨天!$E178,"0")</f>
        <v>0</v>
      </c>
      <c r="G178" s="63">
        <f t="shared" si="2"/>
        <v>0</v>
      </c>
    </row>
    <row r="179" spans="1:7">
      <c r="A179" s="118">
        <v>4722</v>
      </c>
      <c r="B179" s="60" t="s">
        <v>3850</v>
      </c>
      <c r="C179" s="125" t="s">
        <v>5557</v>
      </c>
      <c r="D179" s="118">
        <v>4722</v>
      </c>
      <c r="E179" s="60">
        <f>[1]!'4722.TW-PreClose'</f>
        <v>42.15</v>
      </c>
      <c r="F179" s="141" t="str">
        <f>IFERROR(STOCKS!$E179-STOCKS昨天!$E179,"0")</f>
        <v>0</v>
      </c>
      <c r="G179" s="63">
        <f t="shared" si="2"/>
        <v>0</v>
      </c>
    </row>
    <row r="180" spans="1:7">
      <c r="A180" s="118">
        <v>4739</v>
      </c>
      <c r="B180" s="60" t="s">
        <v>3851</v>
      </c>
      <c r="C180" s="125" t="s">
        <v>5557</v>
      </c>
      <c r="D180" s="118">
        <v>4739</v>
      </c>
      <c r="E180" s="60">
        <f>[1]!'4739.TW-PreClose'</f>
        <v>148.5</v>
      </c>
      <c r="F180" s="141">
        <f>IFERROR(STOCKS!$E180-STOCKS昨天!$E180,"0")</f>
        <v>0.5</v>
      </c>
      <c r="G180" s="63">
        <f t="shared" si="2"/>
        <v>3.3670033670033669E-3</v>
      </c>
    </row>
    <row r="181" spans="1:7">
      <c r="A181" s="118">
        <v>4755</v>
      </c>
      <c r="B181" s="60" t="s">
        <v>3852</v>
      </c>
      <c r="C181" s="125" t="s">
        <v>5557</v>
      </c>
      <c r="D181" s="118">
        <v>4755</v>
      </c>
      <c r="E181" s="60">
        <f>[1]!'4755.TW-PreClose'</f>
        <v>83.5</v>
      </c>
      <c r="F181" s="141" t="str">
        <f>IFERROR(STOCKS!$E181-STOCKS昨天!$E181,"0")</f>
        <v>0</v>
      </c>
      <c r="G181" s="63">
        <f t="shared" si="2"/>
        <v>0</v>
      </c>
    </row>
    <row r="182" spans="1:7">
      <c r="A182" s="118">
        <v>4763</v>
      </c>
      <c r="B182" s="60" t="s">
        <v>3853</v>
      </c>
      <c r="C182" s="125" t="s">
        <v>5558</v>
      </c>
      <c r="D182" s="118">
        <v>4763</v>
      </c>
      <c r="E182" s="60">
        <f>[1]!'4763.TW-PreClose'</f>
        <v>100.5</v>
      </c>
      <c r="F182" s="141" t="str">
        <f>IFERROR(STOCKS!$E182-STOCKS昨天!$E182,"0")</f>
        <v>0</v>
      </c>
      <c r="G182" s="63">
        <f t="shared" si="2"/>
        <v>0</v>
      </c>
    </row>
    <row r="183" spans="1:7">
      <c r="A183" s="118">
        <v>4764</v>
      </c>
      <c r="B183" s="60" t="s">
        <v>3854</v>
      </c>
      <c r="C183" s="125" t="s">
        <v>5557</v>
      </c>
      <c r="D183" s="118">
        <v>4764</v>
      </c>
      <c r="E183" s="60" t="str">
        <f>[1]!'4764.TW-PreClose'</f>
        <v>--</v>
      </c>
      <c r="F183" s="141" t="str">
        <f>IFERROR(STOCKS!$E183-STOCKS昨天!$E183,"0")</f>
        <v>0</v>
      </c>
      <c r="G183" s="63" t="str">
        <f t="shared" si="2"/>
        <v>0</v>
      </c>
    </row>
    <row r="184" spans="1:7">
      <c r="A184" s="118">
        <v>4766</v>
      </c>
      <c r="B184" s="60" t="s">
        <v>3855</v>
      </c>
      <c r="C184" s="125" t="s">
        <v>5557</v>
      </c>
      <c r="D184" s="118">
        <v>4766</v>
      </c>
      <c r="E184" s="60">
        <f>[1]!'4766.TW-PreClose'</f>
        <v>136.5</v>
      </c>
      <c r="F184" s="141" t="str">
        <f>IFERROR(STOCKS!$E184-STOCKS昨天!$E184,"0")</f>
        <v>0</v>
      </c>
      <c r="G184" s="63">
        <f t="shared" si="2"/>
        <v>0</v>
      </c>
    </row>
    <row r="185" spans="1:7">
      <c r="A185" s="118">
        <v>1598</v>
      </c>
      <c r="B185" s="60" t="s">
        <v>33</v>
      </c>
      <c r="C185" s="125" t="s">
        <v>5559</v>
      </c>
      <c r="D185" s="118">
        <v>1598</v>
      </c>
      <c r="E185" s="60">
        <f>[1]!'1598.TW-PreClose'</f>
        <v>62.8</v>
      </c>
      <c r="F185" s="141" t="str">
        <f>IFERROR(STOCKS!$E185-STOCKS昨天!$E185,"0")</f>
        <v>0</v>
      </c>
      <c r="G185" s="63">
        <f t="shared" si="2"/>
        <v>0</v>
      </c>
    </row>
    <row r="186" spans="1:7">
      <c r="A186" s="118">
        <v>1701</v>
      </c>
      <c r="B186" s="60" t="s">
        <v>3856</v>
      </c>
      <c r="C186" s="125" t="s">
        <v>5559</v>
      </c>
      <c r="D186" s="118">
        <v>1701</v>
      </c>
      <c r="E186" s="60">
        <f>[1]!'1701.TW-PreClose'</f>
        <v>22.35</v>
      </c>
      <c r="F186" s="141" t="str">
        <f>IFERROR(STOCKS!$E186-STOCKS昨天!$E186,"0")</f>
        <v>0</v>
      </c>
      <c r="G186" s="63">
        <f t="shared" si="2"/>
        <v>0</v>
      </c>
    </row>
    <row r="187" spans="1:7">
      <c r="A187" s="118">
        <v>1707</v>
      </c>
      <c r="B187" s="60" t="s">
        <v>3857</v>
      </c>
      <c r="C187" s="125" t="s">
        <v>5559</v>
      </c>
      <c r="D187" s="118">
        <v>1707</v>
      </c>
      <c r="E187" s="60">
        <f>[1]!'1707.TW-PreClose'</f>
        <v>163</v>
      </c>
      <c r="F187" s="141" t="str">
        <f>IFERROR(STOCKS!$E187-STOCKS昨天!$E187,"0")</f>
        <v>0</v>
      </c>
      <c r="G187" s="63">
        <f t="shared" si="2"/>
        <v>0</v>
      </c>
    </row>
    <row r="188" spans="1:7">
      <c r="A188" s="118">
        <v>1720</v>
      </c>
      <c r="B188" s="60" t="s">
        <v>3858</v>
      </c>
      <c r="C188" s="125" t="s">
        <v>5559</v>
      </c>
      <c r="D188" s="118">
        <v>1720</v>
      </c>
      <c r="E188" s="60">
        <f>[1]!'1720.TW-PreClose'</f>
        <v>40.1</v>
      </c>
      <c r="F188" s="141" t="str">
        <f>IFERROR(STOCKS!$E188-STOCKS昨天!$E188,"0")</f>
        <v>0</v>
      </c>
      <c r="G188" s="63">
        <f t="shared" si="2"/>
        <v>0</v>
      </c>
    </row>
    <row r="189" spans="1:7">
      <c r="A189" s="118">
        <v>1731</v>
      </c>
      <c r="B189" s="60" t="s">
        <v>3553</v>
      </c>
      <c r="C189" s="125" t="s">
        <v>5559</v>
      </c>
      <c r="D189" s="118">
        <v>1731</v>
      </c>
      <c r="E189" s="60">
        <f>[1]!'1731.TW-PreClose'</f>
        <v>19.100000000000001</v>
      </c>
      <c r="F189" s="141" t="str">
        <f>IFERROR(STOCKS!$E189-STOCKS昨天!$E189,"0")</f>
        <v>0</v>
      </c>
      <c r="G189" s="63">
        <f t="shared" si="2"/>
        <v>0</v>
      </c>
    </row>
    <row r="190" spans="1:7">
      <c r="A190" s="118">
        <v>1733</v>
      </c>
      <c r="B190" s="60" t="s">
        <v>3859</v>
      </c>
      <c r="C190" s="125" t="s">
        <v>5559</v>
      </c>
      <c r="D190" s="118">
        <v>1733</v>
      </c>
      <c r="E190" s="60">
        <f>[1]!'1733.TW-PreClose'</f>
        <v>23.75</v>
      </c>
      <c r="F190" s="141" t="str">
        <f>IFERROR(STOCKS!$E190-STOCKS昨天!$E190,"0")</f>
        <v>0</v>
      </c>
      <c r="G190" s="63">
        <f t="shared" si="2"/>
        <v>0</v>
      </c>
    </row>
    <row r="191" spans="1:7">
      <c r="A191" s="118">
        <v>1734</v>
      </c>
      <c r="B191" s="60" t="s">
        <v>3552</v>
      </c>
      <c r="C191" s="125" t="s">
        <v>5559</v>
      </c>
      <c r="D191" s="118">
        <v>1734</v>
      </c>
      <c r="E191" s="60">
        <f>[1]!'1734.TW-PreClose'</f>
        <v>28.65</v>
      </c>
      <c r="F191" s="141">
        <f>IFERROR(STOCKS!$E191-STOCKS昨天!$E191,"0")</f>
        <v>0.10000000000000142</v>
      </c>
      <c r="G191" s="63">
        <f t="shared" si="2"/>
        <v>3.4904013961606084E-3</v>
      </c>
    </row>
    <row r="192" spans="1:7">
      <c r="A192" s="118">
        <v>1736</v>
      </c>
      <c r="B192" s="60" t="s">
        <v>3860</v>
      </c>
      <c r="C192" s="125" t="s">
        <v>5559</v>
      </c>
      <c r="D192" s="118">
        <v>1736</v>
      </c>
      <c r="E192" s="60">
        <f>[1]!'1736.TW-PreClose'</f>
        <v>59.2</v>
      </c>
      <c r="F192" s="141" t="str">
        <f>IFERROR(STOCKS!$E192-STOCKS昨天!$E192,"0")</f>
        <v>0</v>
      </c>
      <c r="G192" s="63">
        <f t="shared" si="2"/>
        <v>0</v>
      </c>
    </row>
    <row r="193" spans="1:7">
      <c r="A193" s="118">
        <v>1760</v>
      </c>
      <c r="B193" s="60" t="s">
        <v>3551</v>
      </c>
      <c r="C193" s="125" t="s">
        <v>5559</v>
      </c>
      <c r="D193" s="118">
        <v>1760</v>
      </c>
      <c r="E193" s="60">
        <f>[1]!'1760.TW-PreClose'</f>
        <v>70</v>
      </c>
      <c r="F193" s="141" t="str">
        <f>IFERROR(STOCKS!$E193-STOCKS昨天!$E193,"0")</f>
        <v>0</v>
      </c>
      <c r="G193" s="63">
        <f t="shared" si="2"/>
        <v>0</v>
      </c>
    </row>
    <row r="194" spans="1:7">
      <c r="A194" s="118">
        <v>1762</v>
      </c>
      <c r="B194" s="60" t="s">
        <v>3861</v>
      </c>
      <c r="C194" s="125" t="s">
        <v>5559</v>
      </c>
      <c r="D194" s="118">
        <v>1762</v>
      </c>
      <c r="E194" s="60">
        <f>[1]!'1762.TW-PreClose'</f>
        <v>62.4</v>
      </c>
      <c r="F194" s="141" t="str">
        <f>IFERROR(STOCKS!$E194-STOCKS昨天!$E194,"0")</f>
        <v>0</v>
      </c>
      <c r="G194" s="63">
        <f t="shared" si="2"/>
        <v>0</v>
      </c>
    </row>
    <row r="195" spans="1:7">
      <c r="A195" s="118">
        <v>1783</v>
      </c>
      <c r="B195" s="60" t="s">
        <v>3623</v>
      </c>
      <c r="C195" s="125" t="s">
        <v>5559</v>
      </c>
      <c r="D195" s="118">
        <v>1783</v>
      </c>
      <c r="E195" s="60">
        <f>[1]!'1783.TW-PreClose'</f>
        <v>55.3</v>
      </c>
      <c r="F195" s="141" t="str">
        <f>IFERROR(STOCKS!$E195-STOCKS昨天!$E195,"0")</f>
        <v>0</v>
      </c>
      <c r="G195" s="63">
        <f t="shared" ref="G195:G258" si="3">IFERROR($F195/$E195,"0")</f>
        <v>0</v>
      </c>
    </row>
    <row r="196" spans="1:7">
      <c r="A196" s="118">
        <v>1786</v>
      </c>
      <c r="B196" s="60" t="s">
        <v>3862</v>
      </c>
      <c r="C196" s="125" t="s">
        <v>5559</v>
      </c>
      <c r="D196" s="118">
        <v>1786</v>
      </c>
      <c r="E196" s="60">
        <f>[1]!'1786.TW-PreClose'</f>
        <v>52.3</v>
      </c>
      <c r="F196" s="141" t="str">
        <f>IFERROR(STOCKS!$E196-STOCKS昨天!$E196,"0")</f>
        <v>0</v>
      </c>
      <c r="G196" s="63">
        <f t="shared" si="3"/>
        <v>0</v>
      </c>
    </row>
    <row r="197" spans="1:7">
      <c r="A197" s="118">
        <v>1789</v>
      </c>
      <c r="B197" s="60" t="s">
        <v>3863</v>
      </c>
      <c r="C197" s="125" t="s">
        <v>5559</v>
      </c>
      <c r="D197" s="118">
        <v>1789</v>
      </c>
      <c r="E197" s="60">
        <f>[1]!'1789.TW-PreClose'</f>
        <v>24.1</v>
      </c>
      <c r="F197" s="141" t="str">
        <f>IFERROR(STOCKS!$E197-STOCKS昨天!$E197,"0")</f>
        <v>0</v>
      </c>
      <c r="G197" s="63">
        <f t="shared" si="3"/>
        <v>0</v>
      </c>
    </row>
    <row r="198" spans="1:7">
      <c r="A198" s="118">
        <v>1795</v>
      </c>
      <c r="B198" s="60" t="s">
        <v>3637</v>
      </c>
      <c r="C198" s="125" t="s">
        <v>5559</v>
      </c>
      <c r="D198" s="118">
        <v>1795</v>
      </c>
      <c r="E198" s="60">
        <f>[1]!'1795.TW-PreClose'</f>
        <v>108</v>
      </c>
      <c r="F198" s="141">
        <f>IFERROR(STOCKS!$E198-STOCKS昨天!$E198,"0")</f>
        <v>0.5</v>
      </c>
      <c r="G198" s="63">
        <f t="shared" si="3"/>
        <v>4.6296296296296294E-3</v>
      </c>
    </row>
    <row r="199" spans="1:7">
      <c r="A199" s="118">
        <v>3164</v>
      </c>
      <c r="B199" s="60" t="s">
        <v>3593</v>
      </c>
      <c r="C199" s="125" t="s">
        <v>5559</v>
      </c>
      <c r="D199" s="118">
        <v>3164</v>
      </c>
      <c r="E199" s="60">
        <f>[1]!'3164.TW-PreClose'</f>
        <v>24.3</v>
      </c>
      <c r="F199" s="141" t="str">
        <f>IFERROR(STOCKS!$E199-STOCKS昨天!$E199,"0")</f>
        <v>0</v>
      </c>
      <c r="G199" s="63">
        <f t="shared" si="3"/>
        <v>0</v>
      </c>
    </row>
    <row r="200" spans="1:7">
      <c r="A200" s="118">
        <v>3705</v>
      </c>
      <c r="B200" s="60" t="s">
        <v>3864</v>
      </c>
      <c r="C200" s="125" t="s">
        <v>5559</v>
      </c>
      <c r="D200" s="118">
        <v>3705</v>
      </c>
      <c r="E200" s="60" t="str">
        <f>[1]!'3705.TW-PreClose'</f>
        <v>--</v>
      </c>
      <c r="F200" s="141" t="str">
        <f>IFERROR(STOCKS!$E200-STOCKS昨天!$E200,"0")</f>
        <v>0</v>
      </c>
      <c r="G200" s="63" t="str">
        <f t="shared" si="3"/>
        <v>0</v>
      </c>
    </row>
    <row r="201" spans="1:7">
      <c r="A201" s="118">
        <v>4104</v>
      </c>
      <c r="B201" s="60" t="s">
        <v>3865</v>
      </c>
      <c r="C201" s="125" t="s">
        <v>5559</v>
      </c>
      <c r="D201" s="118">
        <v>4104</v>
      </c>
      <c r="E201" s="60" t="str">
        <f>[1]!'4104.TW-PreClose'</f>
        <v>--</v>
      </c>
      <c r="F201" s="141" t="str">
        <f>IFERROR(STOCKS!$E201-STOCKS昨天!$E201,"0")</f>
        <v>0</v>
      </c>
      <c r="G201" s="63" t="str">
        <f t="shared" si="3"/>
        <v>0</v>
      </c>
    </row>
    <row r="202" spans="1:7">
      <c r="A202" s="118">
        <v>4106</v>
      </c>
      <c r="B202" s="60" t="s">
        <v>3514</v>
      </c>
      <c r="C202" s="125" t="s">
        <v>5559</v>
      </c>
      <c r="D202" s="118">
        <v>4106</v>
      </c>
      <c r="E202" s="60">
        <f>[1]!'4106.TW-PreClose'</f>
        <v>27.9</v>
      </c>
      <c r="F202" s="141" t="str">
        <f>IFERROR(STOCKS!$E202-STOCKS昨天!$E202,"0")</f>
        <v>0</v>
      </c>
      <c r="G202" s="63">
        <f t="shared" si="3"/>
        <v>0</v>
      </c>
    </row>
    <row r="203" spans="1:7">
      <c r="A203" s="118">
        <v>4108</v>
      </c>
      <c r="B203" s="60" t="s">
        <v>38</v>
      </c>
      <c r="C203" s="125" t="s">
        <v>5559</v>
      </c>
      <c r="D203" s="118">
        <v>4108</v>
      </c>
      <c r="E203" s="60">
        <f>[1]!'4108.TW-PreClose'</f>
        <v>22.75</v>
      </c>
      <c r="F203" s="141" t="str">
        <f>IFERROR(STOCKS!$E203-STOCKS昨天!$E203,"0")</f>
        <v>0</v>
      </c>
      <c r="G203" s="63">
        <f t="shared" si="3"/>
        <v>0</v>
      </c>
    </row>
    <row r="204" spans="1:7">
      <c r="A204" s="118">
        <v>4119</v>
      </c>
      <c r="B204" s="60" t="s">
        <v>3866</v>
      </c>
      <c r="C204" s="125" t="s">
        <v>5559</v>
      </c>
      <c r="D204" s="118">
        <v>4119</v>
      </c>
      <c r="E204" s="60">
        <f>[1]!'4119.TW-PreClose'</f>
        <v>78.2</v>
      </c>
      <c r="F204" s="141" t="str">
        <f>IFERROR(STOCKS!$E204-STOCKS昨天!$E204,"0")</f>
        <v>0</v>
      </c>
      <c r="G204" s="63">
        <f t="shared" si="3"/>
        <v>0</v>
      </c>
    </row>
    <row r="205" spans="1:7">
      <c r="A205" s="118">
        <v>4133</v>
      </c>
      <c r="B205" s="60" t="s">
        <v>3867</v>
      </c>
      <c r="C205" s="125" t="s">
        <v>5559</v>
      </c>
      <c r="D205" s="118">
        <v>4133</v>
      </c>
      <c r="E205" s="60">
        <f>[1]!'4133.TW-PreClose'</f>
        <v>36.950000000000003</v>
      </c>
      <c r="F205" s="141" t="str">
        <f>IFERROR(STOCKS!$E205-STOCKS昨天!$E205,"0")</f>
        <v>0</v>
      </c>
      <c r="G205" s="63">
        <f t="shared" si="3"/>
        <v>0</v>
      </c>
    </row>
    <row r="206" spans="1:7">
      <c r="A206" s="118">
        <v>4137</v>
      </c>
      <c r="B206" s="60" t="s">
        <v>3868</v>
      </c>
      <c r="C206" s="125" t="s">
        <v>5560</v>
      </c>
      <c r="D206" s="118">
        <v>4137</v>
      </c>
      <c r="E206" s="60">
        <f>[1]!'4137.TW-PreClose'</f>
        <v>245.5</v>
      </c>
      <c r="F206" s="141" t="str">
        <f>IFERROR(STOCKS!$E206-STOCKS昨天!$E206,"0")</f>
        <v>0</v>
      </c>
      <c r="G206" s="63">
        <f t="shared" si="3"/>
        <v>0</v>
      </c>
    </row>
    <row r="207" spans="1:7">
      <c r="A207" s="118">
        <v>4141</v>
      </c>
      <c r="B207" s="60" t="s">
        <v>3869</v>
      </c>
      <c r="C207" s="125" t="s">
        <v>5560</v>
      </c>
      <c r="D207" s="118">
        <v>4141</v>
      </c>
      <c r="E207" s="60">
        <f>[1]!'4141.TW-PreClose'</f>
        <v>20.7</v>
      </c>
      <c r="F207" s="141" t="str">
        <f>IFERROR(STOCKS!$E207-STOCKS昨天!$E207,"0")</f>
        <v>0</v>
      </c>
      <c r="G207" s="63">
        <f t="shared" si="3"/>
        <v>0</v>
      </c>
    </row>
    <row r="208" spans="1:7">
      <c r="A208" s="118">
        <v>4142</v>
      </c>
      <c r="B208" s="60" t="s">
        <v>3546</v>
      </c>
      <c r="C208" s="125" t="s">
        <v>5559</v>
      </c>
      <c r="D208" s="118">
        <v>4142</v>
      </c>
      <c r="E208" s="60">
        <f>[1]!'4142.TW-PreClose'</f>
        <v>44.8</v>
      </c>
      <c r="F208" s="141" t="str">
        <f>IFERROR(STOCKS!$E208-STOCKS昨天!$E208,"0")</f>
        <v>0</v>
      </c>
      <c r="G208" s="63">
        <f t="shared" si="3"/>
        <v>0</v>
      </c>
    </row>
    <row r="209" spans="1:7">
      <c r="A209" s="118">
        <v>4148</v>
      </c>
      <c r="B209" s="60" t="s">
        <v>3870</v>
      </c>
      <c r="C209" s="125" t="s">
        <v>5560</v>
      </c>
      <c r="D209" s="118">
        <v>4148</v>
      </c>
      <c r="E209" s="60">
        <f>[1]!'4148.TW-PreClose'</f>
        <v>43.15</v>
      </c>
      <c r="F209" s="141" t="str">
        <f>IFERROR(STOCKS!$E209-STOCKS昨天!$E209,"0")</f>
        <v>0</v>
      </c>
      <c r="G209" s="63">
        <f t="shared" si="3"/>
        <v>0</v>
      </c>
    </row>
    <row r="210" spans="1:7">
      <c r="A210" s="118">
        <v>4155</v>
      </c>
      <c r="B210" s="60" t="s">
        <v>3871</v>
      </c>
      <c r="C210" s="125" t="s">
        <v>5559</v>
      </c>
      <c r="D210" s="118">
        <v>4155</v>
      </c>
      <c r="E210" s="60" t="str">
        <f>[1]!'4155.TW-PreClose'</f>
        <v>--</v>
      </c>
      <c r="F210" s="141" t="str">
        <f>IFERROR(STOCKS!$E210-STOCKS昨天!$E210,"0")</f>
        <v>0</v>
      </c>
      <c r="G210" s="63" t="str">
        <f t="shared" si="3"/>
        <v>0</v>
      </c>
    </row>
    <row r="211" spans="1:7">
      <c r="A211" s="118">
        <v>4164</v>
      </c>
      <c r="B211" s="60" t="s">
        <v>3872</v>
      </c>
      <c r="C211" s="125" t="s">
        <v>5559</v>
      </c>
      <c r="D211" s="118">
        <v>4164</v>
      </c>
      <c r="E211" s="60">
        <f>[1]!'4164.TW-PreClose'</f>
        <v>37.1</v>
      </c>
      <c r="F211" s="141" t="str">
        <f>IFERROR(STOCKS!$E211-STOCKS昨天!$E211,"0")</f>
        <v>0</v>
      </c>
      <c r="G211" s="63">
        <f t="shared" si="3"/>
        <v>0</v>
      </c>
    </row>
    <row r="212" spans="1:7">
      <c r="A212" s="118">
        <v>4190</v>
      </c>
      <c r="B212" s="60" t="s">
        <v>3873</v>
      </c>
      <c r="C212" s="125" t="s">
        <v>5560</v>
      </c>
      <c r="D212" s="118">
        <v>4190</v>
      </c>
      <c r="E212" s="60">
        <f>[1]!'4190.TW-PreClose'</f>
        <v>74.7</v>
      </c>
      <c r="F212" s="141" t="str">
        <f>IFERROR(STOCKS!$E212-STOCKS昨天!$E212,"0")</f>
        <v>0</v>
      </c>
      <c r="G212" s="63">
        <f t="shared" si="3"/>
        <v>0</v>
      </c>
    </row>
    <row r="213" spans="1:7">
      <c r="A213" s="118">
        <v>4737</v>
      </c>
      <c r="B213" s="60" t="s">
        <v>3874</v>
      </c>
      <c r="C213" s="125" t="s">
        <v>5559</v>
      </c>
      <c r="D213" s="118">
        <v>4737</v>
      </c>
      <c r="E213" s="60">
        <f>[1]!'4737.TW-PreClose'</f>
        <v>67.099999999999994</v>
      </c>
      <c r="F213" s="141" t="str">
        <f>IFERROR(STOCKS!$E213-STOCKS昨天!$E213,"0")</f>
        <v>0</v>
      </c>
      <c r="G213" s="63">
        <f t="shared" si="3"/>
        <v>0</v>
      </c>
    </row>
    <row r="214" spans="1:7">
      <c r="A214" s="118">
        <v>4746</v>
      </c>
      <c r="B214" s="60" t="s">
        <v>52</v>
      </c>
      <c r="C214" s="125" t="s">
        <v>5559</v>
      </c>
      <c r="D214" s="118">
        <v>4746</v>
      </c>
      <c r="E214" s="60" t="str">
        <f>[1]!'4746.TW-PreClose'</f>
        <v>--</v>
      </c>
      <c r="F214" s="141" t="str">
        <f>IFERROR(STOCKS!$E214-STOCKS昨天!$E214,"0")</f>
        <v>0</v>
      </c>
      <c r="G214" s="63" t="str">
        <f t="shared" si="3"/>
        <v>0</v>
      </c>
    </row>
    <row r="215" spans="1:7">
      <c r="A215" s="118">
        <v>6491</v>
      </c>
      <c r="B215" s="60" t="s">
        <v>3875</v>
      </c>
      <c r="C215" s="125" t="s">
        <v>5559</v>
      </c>
      <c r="D215" s="118">
        <v>6491</v>
      </c>
      <c r="E215" s="60">
        <f>[1]!'6491.TW-PreClose'</f>
        <v>476</v>
      </c>
      <c r="F215" s="141" t="str">
        <f>IFERROR(STOCKS!$E215-STOCKS昨天!$E215,"0")</f>
        <v>0</v>
      </c>
      <c r="G215" s="63">
        <f t="shared" si="3"/>
        <v>0</v>
      </c>
    </row>
    <row r="216" spans="1:7">
      <c r="A216" s="118">
        <v>6541</v>
      </c>
      <c r="B216" s="60" t="s">
        <v>3640</v>
      </c>
      <c r="C216" s="125" t="s">
        <v>5560</v>
      </c>
      <c r="D216" s="118">
        <v>6541</v>
      </c>
      <c r="E216" s="60">
        <f>[1]!'6541.TW-PreClose'</f>
        <v>54.1</v>
      </c>
      <c r="F216" s="141" t="str">
        <f>IFERROR(STOCKS!$E216-STOCKS昨天!$E216,"0")</f>
        <v>0</v>
      </c>
      <c r="G216" s="63">
        <f t="shared" si="3"/>
        <v>0</v>
      </c>
    </row>
    <row r="217" spans="1:7">
      <c r="A217" s="118">
        <v>6598</v>
      </c>
      <c r="B217" s="60" t="s">
        <v>51</v>
      </c>
      <c r="C217" s="125" t="s">
        <v>5560</v>
      </c>
      <c r="D217" s="118">
        <v>6598</v>
      </c>
      <c r="E217" s="60">
        <f>[1]!'6598.TW-PreClose'</f>
        <v>31.8</v>
      </c>
      <c r="F217" s="141" t="str">
        <f>IFERROR(STOCKS!$E217-STOCKS昨天!$E217,"0")</f>
        <v>0</v>
      </c>
      <c r="G217" s="63">
        <f t="shared" si="3"/>
        <v>0</v>
      </c>
    </row>
    <row r="218" spans="1:7">
      <c r="A218" s="118">
        <v>6666</v>
      </c>
      <c r="B218" s="60" t="s">
        <v>3876</v>
      </c>
      <c r="C218" s="125" t="s">
        <v>5560</v>
      </c>
      <c r="D218" s="118">
        <v>6666</v>
      </c>
      <c r="E218" s="60" t="str">
        <f>[1]!'6666.TW-PreClose'</f>
        <v>--</v>
      </c>
      <c r="F218" s="141" t="str">
        <f>IFERROR(STOCKS!$E218-STOCKS昨天!$E218,"0")</f>
        <v>0</v>
      </c>
      <c r="G218" s="63" t="str">
        <f t="shared" si="3"/>
        <v>0</v>
      </c>
    </row>
    <row r="219" spans="1:7">
      <c r="A219" s="118">
        <v>1802</v>
      </c>
      <c r="B219" s="60" t="s">
        <v>3532</v>
      </c>
      <c r="C219" s="125" t="s">
        <v>5561</v>
      </c>
      <c r="D219" s="118">
        <v>1802</v>
      </c>
      <c r="E219" s="60">
        <f>[1]!'1802.TW-PreClose'</f>
        <v>26.95</v>
      </c>
      <c r="F219" s="141" t="str">
        <f>IFERROR(STOCKS!$E219-STOCKS昨天!$E219,"0")</f>
        <v>0</v>
      </c>
      <c r="G219" s="63">
        <f t="shared" si="3"/>
        <v>0</v>
      </c>
    </row>
    <row r="220" spans="1:7">
      <c r="A220" s="118">
        <v>1806</v>
      </c>
      <c r="B220" s="60" t="s">
        <v>3877</v>
      </c>
      <c r="C220" s="125" t="s">
        <v>5561</v>
      </c>
      <c r="D220" s="118">
        <v>1806</v>
      </c>
      <c r="E220" s="60">
        <f>[1]!'1806.TW-PreClose'</f>
        <v>11.65</v>
      </c>
      <c r="F220" s="141" t="str">
        <f>IFERROR(STOCKS!$E220-STOCKS昨天!$E220,"0")</f>
        <v>0</v>
      </c>
      <c r="G220" s="63">
        <f t="shared" si="3"/>
        <v>0</v>
      </c>
    </row>
    <row r="221" spans="1:7">
      <c r="A221" s="118">
        <v>1809</v>
      </c>
      <c r="B221" s="60" t="s">
        <v>3878</v>
      </c>
      <c r="C221" s="125" t="s">
        <v>5561</v>
      </c>
      <c r="D221" s="118">
        <v>1809</v>
      </c>
      <c r="E221" s="60">
        <f>[1]!'1809.TW-PreClose'</f>
        <v>14.1</v>
      </c>
      <c r="F221" s="141" t="str">
        <f>IFERROR(STOCKS!$E221-STOCKS昨天!$E221,"0")</f>
        <v>0</v>
      </c>
      <c r="G221" s="63">
        <f t="shared" si="3"/>
        <v>0</v>
      </c>
    </row>
    <row r="222" spans="1:7">
      <c r="A222" s="118">
        <v>1810</v>
      </c>
      <c r="B222" s="60" t="s">
        <v>3879</v>
      </c>
      <c r="C222" s="125" t="s">
        <v>5561</v>
      </c>
      <c r="D222" s="118">
        <v>1810</v>
      </c>
      <c r="E222" s="60">
        <f>[1]!'1810.TW-PreClose'</f>
        <v>16.25</v>
      </c>
      <c r="F222" s="141" t="str">
        <f>IFERROR(STOCKS!$E222-STOCKS昨天!$E222,"0")</f>
        <v>0</v>
      </c>
      <c r="G222" s="63">
        <f t="shared" si="3"/>
        <v>0</v>
      </c>
    </row>
    <row r="223" spans="1:7">
      <c r="A223" s="118">
        <v>1817</v>
      </c>
      <c r="B223" s="60" t="s">
        <v>3880</v>
      </c>
      <c r="C223" s="125" t="s">
        <v>5561</v>
      </c>
      <c r="D223" s="118">
        <v>1817</v>
      </c>
      <c r="E223" s="60">
        <f>[1]!'1817.TW-PreClose'</f>
        <v>36.299999999999997</v>
      </c>
      <c r="F223" s="141" t="str">
        <f>IFERROR(STOCKS!$E223-STOCKS昨天!$E223,"0")</f>
        <v>0</v>
      </c>
      <c r="G223" s="63">
        <f t="shared" si="3"/>
        <v>0</v>
      </c>
    </row>
    <row r="224" spans="1:7">
      <c r="A224" s="118">
        <v>1903</v>
      </c>
      <c r="B224" s="60" t="s">
        <v>3881</v>
      </c>
      <c r="C224" s="125" t="s">
        <v>5562</v>
      </c>
      <c r="D224" s="118">
        <v>1903</v>
      </c>
      <c r="E224" s="60">
        <f>[1]!'1903.TW-PreClose'</f>
        <v>70.3</v>
      </c>
      <c r="F224" s="141" t="str">
        <f>IFERROR(STOCKS!$E224-STOCKS昨天!$E224,"0")</f>
        <v>0</v>
      </c>
      <c r="G224" s="63">
        <f t="shared" si="3"/>
        <v>0</v>
      </c>
    </row>
    <row r="225" spans="1:7">
      <c r="A225" s="118">
        <v>1904</v>
      </c>
      <c r="B225" s="60" t="s">
        <v>3882</v>
      </c>
      <c r="C225" s="125" t="s">
        <v>5562</v>
      </c>
      <c r="D225" s="118">
        <v>1904</v>
      </c>
      <c r="E225" s="60">
        <f>[1]!'1904.TW-PreClose'</f>
        <v>34.85</v>
      </c>
      <c r="F225" s="141" t="str">
        <f>IFERROR(STOCKS!$E225-STOCKS昨天!$E225,"0")</f>
        <v>0</v>
      </c>
      <c r="G225" s="63">
        <f t="shared" si="3"/>
        <v>0</v>
      </c>
    </row>
    <row r="226" spans="1:7">
      <c r="A226" s="118">
        <v>1905</v>
      </c>
      <c r="B226" s="60" t="s">
        <v>3539</v>
      </c>
      <c r="C226" s="125" t="s">
        <v>5562</v>
      </c>
      <c r="D226" s="118">
        <v>1905</v>
      </c>
      <c r="E226" s="60">
        <f>[1]!'1905.TW-PreClose'</f>
        <v>22.35</v>
      </c>
      <c r="F226" s="141" t="str">
        <f>IFERROR(STOCKS!$E226-STOCKS昨天!$E226,"0")</f>
        <v>0</v>
      </c>
      <c r="G226" s="63">
        <f t="shared" si="3"/>
        <v>0</v>
      </c>
    </row>
    <row r="227" spans="1:7">
      <c r="A227" s="118">
        <v>1906</v>
      </c>
      <c r="B227" s="60" t="s">
        <v>3883</v>
      </c>
      <c r="C227" s="125" t="s">
        <v>5562</v>
      </c>
      <c r="D227" s="118">
        <v>1906</v>
      </c>
      <c r="E227" s="60">
        <f>[1]!'1906.TW-PreClose'</f>
        <v>19.95</v>
      </c>
      <c r="F227" s="141" t="str">
        <f>IFERROR(STOCKS!$E227-STOCKS昨天!$E227,"0")</f>
        <v>0</v>
      </c>
      <c r="G227" s="63">
        <f t="shared" si="3"/>
        <v>0</v>
      </c>
    </row>
    <row r="228" spans="1:7">
      <c r="A228" s="118">
        <v>1907</v>
      </c>
      <c r="B228" s="60" t="s">
        <v>3884</v>
      </c>
      <c r="C228" s="125" t="s">
        <v>5562</v>
      </c>
      <c r="D228" s="118">
        <v>1907</v>
      </c>
      <c r="E228" s="60">
        <f>[1]!'1907.TW-PreClose'</f>
        <v>33.299999999999997</v>
      </c>
      <c r="F228" s="141" t="str">
        <f>IFERROR(STOCKS!$E228-STOCKS昨天!$E228,"0")</f>
        <v>0</v>
      </c>
      <c r="G228" s="63">
        <f t="shared" si="3"/>
        <v>0</v>
      </c>
    </row>
    <row r="229" spans="1:7">
      <c r="A229" s="118">
        <v>1909</v>
      </c>
      <c r="B229" s="60" t="s">
        <v>3885</v>
      </c>
      <c r="C229" s="125" t="s">
        <v>5562</v>
      </c>
      <c r="D229" s="118">
        <v>1909</v>
      </c>
      <c r="E229" s="60">
        <f>[1]!'1909.TW-PreClose'</f>
        <v>24.3</v>
      </c>
      <c r="F229" s="141" t="str">
        <f>IFERROR(STOCKS!$E229-STOCKS昨天!$E229,"0")</f>
        <v>0</v>
      </c>
      <c r="G229" s="63">
        <f t="shared" si="3"/>
        <v>0</v>
      </c>
    </row>
    <row r="230" spans="1:7">
      <c r="A230" s="118">
        <v>6790</v>
      </c>
      <c r="B230" s="60" t="s">
        <v>5456</v>
      </c>
      <c r="C230" s="125" t="s">
        <v>5562</v>
      </c>
      <c r="D230" s="118">
        <v>6790</v>
      </c>
      <c r="E230" s="60">
        <f>[1]!'6790.TW-PreClose'</f>
        <v>49.1</v>
      </c>
      <c r="F230" s="141" t="str">
        <f>IFERROR(STOCKS!$E230-STOCKS昨天!$E230,"0")</f>
        <v>0</v>
      </c>
      <c r="G230" s="63">
        <f t="shared" si="3"/>
        <v>0</v>
      </c>
    </row>
    <row r="231" spans="1:7">
      <c r="A231" s="118">
        <v>2002</v>
      </c>
      <c r="B231" s="60" t="s">
        <v>3633</v>
      </c>
      <c r="C231" s="125" t="s">
        <v>5563</v>
      </c>
      <c r="D231" s="118">
        <v>2002</v>
      </c>
      <c r="E231" s="60">
        <f>[1]!'2002.TW-PreClose'</f>
        <v>33.1</v>
      </c>
      <c r="F231" s="141" t="str">
        <f>IFERROR(STOCKS!$E231-STOCKS昨天!$E231,"0")</f>
        <v>0</v>
      </c>
      <c r="G231" s="63">
        <f t="shared" si="3"/>
        <v>0</v>
      </c>
    </row>
    <row r="232" spans="1:7">
      <c r="A232" s="118">
        <v>2006</v>
      </c>
      <c r="B232" s="60" t="s">
        <v>3886</v>
      </c>
      <c r="C232" s="125" t="s">
        <v>5563</v>
      </c>
      <c r="D232" s="118">
        <v>2006</v>
      </c>
      <c r="E232" s="60">
        <f>[1]!'2006.TW-PreClose'</f>
        <v>42.55</v>
      </c>
      <c r="F232" s="141" t="str">
        <f>IFERROR(STOCKS!$E232-STOCKS昨天!$E232,"0")</f>
        <v>0</v>
      </c>
      <c r="G232" s="63">
        <f t="shared" si="3"/>
        <v>0</v>
      </c>
    </row>
    <row r="233" spans="1:7">
      <c r="A233" s="118">
        <v>2007</v>
      </c>
      <c r="B233" s="60" t="s">
        <v>3572</v>
      </c>
      <c r="C233" s="125" t="s">
        <v>5563</v>
      </c>
      <c r="D233" s="118">
        <v>2007</v>
      </c>
      <c r="E233" s="60">
        <f>[1]!'2007.TW-PreClose'</f>
        <v>21.25</v>
      </c>
      <c r="F233" s="141">
        <f>IFERROR(STOCKS!$E233-STOCKS昨天!$E233,"0")</f>
        <v>0.44999999999999929</v>
      </c>
      <c r="G233" s="63">
        <f t="shared" si="3"/>
        <v>2.1176470588235262E-2</v>
      </c>
    </row>
    <row r="234" spans="1:7">
      <c r="A234" s="118">
        <v>2008</v>
      </c>
      <c r="B234" s="60" t="s">
        <v>3591</v>
      </c>
      <c r="C234" s="125" t="s">
        <v>5563</v>
      </c>
      <c r="D234" s="118">
        <v>2008</v>
      </c>
      <c r="E234" s="60">
        <f>[1]!'2008.TW-PreClose'</f>
        <v>19.350000000000001</v>
      </c>
      <c r="F234" s="141" t="str">
        <f>IFERROR(STOCKS!$E234-STOCKS昨天!$E234,"0")</f>
        <v>0</v>
      </c>
      <c r="G234" s="63">
        <f t="shared" si="3"/>
        <v>0</v>
      </c>
    </row>
    <row r="235" spans="1:7">
      <c r="A235" s="118">
        <v>2009</v>
      </c>
      <c r="B235" s="60" t="s">
        <v>3615</v>
      </c>
      <c r="C235" s="125" t="s">
        <v>5563</v>
      </c>
      <c r="D235" s="118">
        <v>2009</v>
      </c>
      <c r="E235" s="60">
        <f>[1]!'2009.TW-PreClose'</f>
        <v>44.45</v>
      </c>
      <c r="F235" s="141" t="str">
        <f>IFERROR(STOCKS!$E235-STOCKS昨天!$E235,"0")</f>
        <v>0</v>
      </c>
      <c r="G235" s="63">
        <f t="shared" si="3"/>
        <v>0</v>
      </c>
    </row>
    <row r="236" spans="1:7">
      <c r="A236" s="118">
        <v>2010</v>
      </c>
      <c r="B236" s="60" t="s">
        <v>3887</v>
      </c>
      <c r="C236" s="125" t="s">
        <v>5563</v>
      </c>
      <c r="D236" s="118">
        <v>2010</v>
      </c>
      <c r="E236" s="60">
        <f>[1]!'2010.TW-PreClose'</f>
        <v>22.2</v>
      </c>
      <c r="F236" s="141" t="str">
        <f>IFERROR(STOCKS!$E236-STOCKS昨天!$E236,"0")</f>
        <v>0</v>
      </c>
      <c r="G236" s="63">
        <f t="shared" si="3"/>
        <v>0</v>
      </c>
    </row>
    <row r="237" spans="1:7">
      <c r="A237" s="118">
        <v>2012</v>
      </c>
      <c r="B237" s="60" t="s">
        <v>3888</v>
      </c>
      <c r="C237" s="125" t="s">
        <v>5563</v>
      </c>
      <c r="D237" s="118">
        <v>2012</v>
      </c>
      <c r="E237" s="60">
        <f>[1]!'2012.TW-PreClose'</f>
        <v>29.75</v>
      </c>
      <c r="F237" s="141" t="str">
        <f>IFERROR(STOCKS!$E237-STOCKS昨天!$E237,"0")</f>
        <v>0</v>
      </c>
      <c r="G237" s="63">
        <f t="shared" si="3"/>
        <v>0</v>
      </c>
    </row>
    <row r="238" spans="1:7">
      <c r="A238" s="118">
        <v>2013</v>
      </c>
      <c r="B238" s="60" t="s">
        <v>3889</v>
      </c>
      <c r="C238" s="125" t="s">
        <v>5563</v>
      </c>
      <c r="D238" s="118">
        <v>2013</v>
      </c>
      <c r="E238" s="60">
        <f>[1]!'2013.TW-PreClose'</f>
        <v>51.5</v>
      </c>
      <c r="F238" s="141">
        <f>IFERROR(STOCKS!$E238-STOCKS昨天!$E238,"0")</f>
        <v>1.7000000000000028</v>
      </c>
      <c r="G238" s="63">
        <f t="shared" si="3"/>
        <v>3.300970873786413E-2</v>
      </c>
    </row>
    <row r="239" spans="1:7">
      <c r="A239" s="118">
        <v>2014</v>
      </c>
      <c r="B239" s="60" t="s">
        <v>3569</v>
      </c>
      <c r="C239" s="125" t="s">
        <v>5563</v>
      </c>
      <c r="D239" s="118">
        <v>2014</v>
      </c>
      <c r="E239" s="60">
        <f>[1]!'2014.TW-PreClose'</f>
        <v>35.200000000000003</v>
      </c>
      <c r="F239" s="141">
        <f>IFERROR(STOCKS!$E239-STOCKS昨天!$E239,"0")</f>
        <v>1</v>
      </c>
      <c r="G239" s="63">
        <f t="shared" si="3"/>
        <v>2.8409090909090908E-2</v>
      </c>
    </row>
    <row r="240" spans="1:7">
      <c r="A240" s="118">
        <v>2015</v>
      </c>
      <c r="B240" s="60" t="s">
        <v>3890</v>
      </c>
      <c r="C240" s="125" t="s">
        <v>5563</v>
      </c>
      <c r="D240" s="118">
        <v>2015</v>
      </c>
      <c r="E240" s="60">
        <f>[1]!'2015.TW-PreClose'</f>
        <v>78</v>
      </c>
      <c r="F240" s="141" t="str">
        <f>IFERROR(STOCKS!$E240-STOCKS昨天!$E240,"0")</f>
        <v>0</v>
      </c>
      <c r="G240" s="63">
        <f t="shared" si="3"/>
        <v>0</v>
      </c>
    </row>
    <row r="241" spans="1:7">
      <c r="A241" s="118">
        <v>2017</v>
      </c>
      <c r="B241" s="60" t="s">
        <v>3578</v>
      </c>
      <c r="C241" s="125" t="s">
        <v>5563</v>
      </c>
      <c r="D241" s="118">
        <v>2017</v>
      </c>
      <c r="E241" s="60">
        <f>[1]!'2017.TW-PreClose'</f>
        <v>19.649999999999999</v>
      </c>
      <c r="F241" s="141">
        <f>IFERROR(STOCKS!$E241-STOCKS昨天!$E241,"0")</f>
        <v>0.45000000000000284</v>
      </c>
      <c r="G241" s="63">
        <f t="shared" si="3"/>
        <v>2.2900763358778772E-2</v>
      </c>
    </row>
    <row r="242" spans="1:7">
      <c r="A242" s="118">
        <v>2020</v>
      </c>
      <c r="B242" s="60" t="s">
        <v>3562</v>
      </c>
      <c r="C242" s="125" t="s">
        <v>5563</v>
      </c>
      <c r="D242" s="118">
        <v>2020</v>
      </c>
      <c r="E242" s="60">
        <f>[1]!'2020.TW-PreClose'</f>
        <v>31.15</v>
      </c>
      <c r="F242" s="141" t="str">
        <f>IFERROR(STOCKS!$E242-STOCKS昨天!$E242,"0")</f>
        <v>0</v>
      </c>
      <c r="G242" s="63">
        <f t="shared" si="3"/>
        <v>0</v>
      </c>
    </row>
    <row r="243" spans="1:7">
      <c r="A243" s="118">
        <v>2022</v>
      </c>
      <c r="B243" s="60" t="s">
        <v>3560</v>
      </c>
      <c r="C243" s="125" t="s">
        <v>5563</v>
      </c>
      <c r="D243" s="118">
        <v>2022</v>
      </c>
      <c r="E243" s="60">
        <f>[1]!'2022.TW-PreClose'</f>
        <v>13.95</v>
      </c>
      <c r="F243" s="141" t="str">
        <f>IFERROR(STOCKS!$E243-STOCKS昨天!$E243,"0")</f>
        <v>0</v>
      </c>
      <c r="G243" s="63">
        <f t="shared" si="3"/>
        <v>0</v>
      </c>
    </row>
    <row r="244" spans="1:7">
      <c r="A244" s="118">
        <v>2023</v>
      </c>
      <c r="B244" s="60" t="s">
        <v>3535</v>
      </c>
      <c r="C244" s="125" t="s">
        <v>5563</v>
      </c>
      <c r="D244" s="118">
        <v>2023</v>
      </c>
      <c r="E244" s="60">
        <f>[1]!'2023.TW-PreClose'</f>
        <v>24.2</v>
      </c>
      <c r="F244" s="141">
        <f>IFERROR(STOCKS!$E244-STOCKS昨天!$E244,"0")</f>
        <v>0.10000000000000142</v>
      </c>
      <c r="G244" s="63">
        <f t="shared" si="3"/>
        <v>4.1322314049587368E-3</v>
      </c>
    </row>
    <row r="245" spans="1:7">
      <c r="A245" s="118">
        <v>2024</v>
      </c>
      <c r="B245" s="60" t="s">
        <v>3891</v>
      </c>
      <c r="C245" s="125" t="s">
        <v>5563</v>
      </c>
      <c r="D245" s="118">
        <v>2024</v>
      </c>
      <c r="E245" s="60">
        <f>[1]!'2024.TW-PreClose'</f>
        <v>19.649999999999999</v>
      </c>
      <c r="F245" s="141" t="str">
        <f>IFERROR(STOCKS!$E245-STOCKS昨天!$E245,"0")</f>
        <v>0</v>
      </c>
      <c r="G245" s="63">
        <f t="shared" si="3"/>
        <v>0</v>
      </c>
    </row>
    <row r="246" spans="1:7">
      <c r="A246" s="118">
        <v>2025</v>
      </c>
      <c r="B246" s="60" t="s">
        <v>3892</v>
      </c>
      <c r="C246" s="125" t="s">
        <v>5563</v>
      </c>
      <c r="D246" s="118">
        <v>2025</v>
      </c>
      <c r="E246" s="60">
        <f>[1]!'2025.TW-PreClose'</f>
        <v>5.2</v>
      </c>
      <c r="F246" s="141" t="str">
        <f>IFERROR(STOCKS!$E246-STOCKS昨天!$E246,"0")</f>
        <v>0</v>
      </c>
      <c r="G246" s="63">
        <f t="shared" si="3"/>
        <v>0</v>
      </c>
    </row>
    <row r="247" spans="1:7">
      <c r="A247" s="118">
        <v>2027</v>
      </c>
      <c r="B247" s="60" t="s">
        <v>46</v>
      </c>
      <c r="C247" s="125" t="s">
        <v>5563</v>
      </c>
      <c r="D247" s="118">
        <v>2027</v>
      </c>
      <c r="E247" s="60">
        <f>[1]!'2027.TW-PreClose'</f>
        <v>45.65</v>
      </c>
      <c r="F247" s="141">
        <f>IFERROR(STOCKS!$E247-STOCKS昨天!$E247,"0")</f>
        <v>0.30000000000000426</v>
      </c>
      <c r="G247" s="63">
        <f t="shared" si="3"/>
        <v>6.5717415115006412E-3</v>
      </c>
    </row>
    <row r="248" spans="1:7">
      <c r="A248" s="118">
        <v>2028</v>
      </c>
      <c r="B248" s="60" t="s">
        <v>3555</v>
      </c>
      <c r="C248" s="125" t="s">
        <v>5563</v>
      </c>
      <c r="D248" s="118">
        <v>2028</v>
      </c>
      <c r="E248" s="60">
        <f>[1]!'2028.TW-PreClose'</f>
        <v>39.299999999999997</v>
      </c>
      <c r="F248" s="141">
        <f>IFERROR(STOCKS!$E248-STOCKS昨天!$E248,"0")</f>
        <v>0.95000000000000284</v>
      </c>
      <c r="G248" s="63">
        <f t="shared" si="3"/>
        <v>2.4173027989821957E-2</v>
      </c>
    </row>
    <row r="249" spans="1:7">
      <c r="A249" s="118">
        <v>2029</v>
      </c>
      <c r="B249" s="60" t="s">
        <v>3568</v>
      </c>
      <c r="C249" s="125" t="s">
        <v>5563</v>
      </c>
      <c r="D249" s="118">
        <v>2029</v>
      </c>
      <c r="E249" s="60">
        <f>[1]!'2029.TW-PreClose'</f>
        <v>32.549999999999997</v>
      </c>
      <c r="F249" s="141" t="str">
        <f>IFERROR(STOCKS!$E249-STOCKS昨天!$E249,"0")</f>
        <v>0</v>
      </c>
      <c r="G249" s="63">
        <f t="shared" si="3"/>
        <v>0</v>
      </c>
    </row>
    <row r="250" spans="1:7">
      <c r="A250" s="118">
        <v>2030</v>
      </c>
      <c r="B250" s="60" t="s">
        <v>3893</v>
      </c>
      <c r="C250" s="125" t="s">
        <v>5563</v>
      </c>
      <c r="D250" s="118">
        <v>2030</v>
      </c>
      <c r="E250" s="60">
        <f>[1]!'2030.TW-PreClose'</f>
        <v>29.65</v>
      </c>
      <c r="F250" s="141" t="str">
        <f>IFERROR(STOCKS!$E250-STOCKS昨天!$E250,"0")</f>
        <v>0</v>
      </c>
      <c r="G250" s="63">
        <f t="shared" si="3"/>
        <v>0</v>
      </c>
    </row>
    <row r="251" spans="1:7">
      <c r="A251" s="118">
        <v>2031</v>
      </c>
      <c r="B251" s="60" t="s">
        <v>3540</v>
      </c>
      <c r="C251" s="125" t="s">
        <v>5563</v>
      </c>
      <c r="D251" s="118">
        <v>2031</v>
      </c>
      <c r="E251" s="60">
        <f>[1]!'2031.TW-PreClose'</f>
        <v>57.1</v>
      </c>
      <c r="F251" s="141" t="str">
        <f>IFERROR(STOCKS!$E251-STOCKS昨天!$E251,"0")</f>
        <v>0</v>
      </c>
      <c r="G251" s="63">
        <f t="shared" si="3"/>
        <v>0</v>
      </c>
    </row>
    <row r="252" spans="1:7">
      <c r="A252" s="118">
        <v>2032</v>
      </c>
      <c r="B252" s="60" t="s">
        <v>3566</v>
      </c>
      <c r="C252" s="125" t="s">
        <v>5563</v>
      </c>
      <c r="D252" s="118">
        <v>2032</v>
      </c>
      <c r="E252" s="60">
        <f>[1]!'2032.TW-PreClose'</f>
        <v>23.3</v>
      </c>
      <c r="F252" s="141" t="str">
        <f>IFERROR(STOCKS!$E252-STOCKS昨天!$E252,"0")</f>
        <v>0</v>
      </c>
      <c r="G252" s="63">
        <f t="shared" si="3"/>
        <v>0</v>
      </c>
    </row>
    <row r="253" spans="1:7">
      <c r="A253" s="118">
        <v>2033</v>
      </c>
      <c r="B253" s="60" t="s">
        <v>3559</v>
      </c>
      <c r="C253" s="125" t="s">
        <v>5563</v>
      </c>
      <c r="D253" s="118">
        <v>2033</v>
      </c>
      <c r="E253" s="60">
        <f>[1]!'2033.TW-PreClose'</f>
        <v>17.350000000000001</v>
      </c>
      <c r="F253" s="141" t="str">
        <f>IFERROR(STOCKS!$E253-STOCKS昨天!$E253,"0")</f>
        <v>0</v>
      </c>
      <c r="G253" s="63">
        <f t="shared" si="3"/>
        <v>0</v>
      </c>
    </row>
    <row r="254" spans="1:7">
      <c r="A254" s="118">
        <v>2034</v>
      </c>
      <c r="B254" s="60" t="s">
        <v>3894</v>
      </c>
      <c r="C254" s="125" t="s">
        <v>5563</v>
      </c>
      <c r="D254" s="118">
        <v>2034</v>
      </c>
      <c r="E254" s="60">
        <f>[1]!'2034.TW-PreClose'</f>
        <v>31.65</v>
      </c>
      <c r="F254" s="141" t="str">
        <f>IFERROR(STOCKS!$E254-STOCKS昨天!$E254,"0")</f>
        <v>0</v>
      </c>
      <c r="G254" s="63">
        <f t="shared" si="3"/>
        <v>0</v>
      </c>
    </row>
    <row r="255" spans="1:7">
      <c r="A255" s="118">
        <v>2038</v>
      </c>
      <c r="B255" s="60" t="s">
        <v>3561</v>
      </c>
      <c r="C255" s="125" t="s">
        <v>5563</v>
      </c>
      <c r="D255" s="118">
        <v>2038</v>
      </c>
      <c r="E255" s="60">
        <f>[1]!'2038.TW-PreClose'</f>
        <v>33.6</v>
      </c>
      <c r="F255" s="141">
        <f>IFERROR(STOCKS!$E255-STOCKS昨天!$E255,"0")</f>
        <v>0.64999999999999858</v>
      </c>
      <c r="G255" s="63">
        <f t="shared" si="3"/>
        <v>1.9345238095238051E-2</v>
      </c>
    </row>
    <row r="256" spans="1:7">
      <c r="A256" s="118">
        <v>2069</v>
      </c>
      <c r="B256" s="60" t="s">
        <v>3895</v>
      </c>
      <c r="C256" s="125" t="s">
        <v>5563</v>
      </c>
      <c r="D256" s="118">
        <v>2069</v>
      </c>
      <c r="E256" s="60">
        <f>[1]!'2069.TW-PreClose'</f>
        <v>37.799999999999997</v>
      </c>
      <c r="F256" s="141">
        <f>IFERROR(STOCKS!$E256-STOCKS昨天!$E256,"0")</f>
        <v>0.80000000000000426</v>
      </c>
      <c r="G256" s="63">
        <f t="shared" si="3"/>
        <v>2.1164021164021277E-2</v>
      </c>
    </row>
    <row r="257" spans="1:7">
      <c r="A257" s="118">
        <v>2211</v>
      </c>
      <c r="B257" s="60" t="s">
        <v>3896</v>
      </c>
      <c r="C257" s="125" t="s">
        <v>5563</v>
      </c>
      <c r="D257" s="118">
        <v>2211</v>
      </c>
      <c r="E257" s="60">
        <f>[1]!'2211.TW-PreClose'</f>
        <v>52.2</v>
      </c>
      <c r="F257" s="141" t="str">
        <f>IFERROR(STOCKS!$E257-STOCKS昨天!$E257,"0")</f>
        <v>0</v>
      </c>
      <c r="G257" s="63">
        <f t="shared" si="3"/>
        <v>0</v>
      </c>
    </row>
    <row r="258" spans="1:7">
      <c r="A258" s="118">
        <v>3004</v>
      </c>
      <c r="B258" s="60" t="s">
        <v>3897</v>
      </c>
      <c r="C258" s="125" t="s">
        <v>5563</v>
      </c>
      <c r="D258" s="118">
        <v>3004</v>
      </c>
      <c r="E258" s="60">
        <f>[1]!'3004.TW-PreClose'</f>
        <v>61.8</v>
      </c>
      <c r="F258" s="141" t="str">
        <f>IFERROR(STOCKS!$E258-STOCKS昨天!$E258,"0")</f>
        <v>0</v>
      </c>
      <c r="G258" s="63">
        <f t="shared" si="3"/>
        <v>0</v>
      </c>
    </row>
    <row r="259" spans="1:7">
      <c r="A259" s="118">
        <v>5007</v>
      </c>
      <c r="B259" s="60" t="s">
        <v>3898</v>
      </c>
      <c r="C259" s="125" t="s">
        <v>5563</v>
      </c>
      <c r="D259" s="118">
        <v>5007</v>
      </c>
      <c r="E259" s="60" t="str">
        <f>[1]!'5007.TW-PreClose'</f>
        <v>--</v>
      </c>
      <c r="F259" s="141" t="str">
        <f>IFERROR(STOCKS!$E259-STOCKS昨天!$E259,"0")</f>
        <v>0</v>
      </c>
      <c r="G259" s="63" t="str">
        <f t="shared" ref="G259:G322" si="4">IFERROR($F259/$E259,"0")</f>
        <v>0</v>
      </c>
    </row>
    <row r="260" spans="1:7">
      <c r="A260" s="118">
        <v>5538</v>
      </c>
      <c r="B260" s="60" t="s">
        <v>3899</v>
      </c>
      <c r="C260" s="125" t="s">
        <v>5564</v>
      </c>
      <c r="D260" s="118">
        <v>5538</v>
      </c>
      <c r="E260" s="60">
        <f>[1]!'5538.TW-PreClose'</f>
        <v>51.5</v>
      </c>
      <c r="F260" s="141" t="str">
        <f>IFERROR(STOCKS!$E260-STOCKS昨天!$E260,"0")</f>
        <v>0</v>
      </c>
      <c r="G260" s="63">
        <f t="shared" si="4"/>
        <v>0</v>
      </c>
    </row>
    <row r="261" spans="1:7">
      <c r="A261" s="118">
        <v>9958</v>
      </c>
      <c r="B261" s="60" t="s">
        <v>3900</v>
      </c>
      <c r="C261" s="125" t="s">
        <v>5563</v>
      </c>
      <c r="D261" s="118">
        <v>9958</v>
      </c>
      <c r="E261" s="60" t="str">
        <f>[1]!'9958.TW-PreClose'</f>
        <v>--</v>
      </c>
      <c r="F261" s="141" t="str">
        <f>IFERROR(STOCKS!$E261-STOCKS昨天!$E261,"0")</f>
        <v>0</v>
      </c>
      <c r="G261" s="63" t="str">
        <f t="shared" si="4"/>
        <v>0</v>
      </c>
    </row>
    <row r="262" spans="1:7">
      <c r="A262" s="118">
        <v>2101</v>
      </c>
      <c r="B262" s="60" t="s">
        <v>3901</v>
      </c>
      <c r="C262" s="125" t="s">
        <v>5565</v>
      </c>
      <c r="D262" s="118">
        <v>2101</v>
      </c>
      <c r="E262" s="60">
        <f>[1]!'2101.TW-PreClose'</f>
        <v>39.65</v>
      </c>
      <c r="F262" s="141">
        <f>IFERROR(STOCKS!$E262-STOCKS昨天!$E262,"0")</f>
        <v>-0.29999999999999716</v>
      </c>
      <c r="G262" s="63">
        <f t="shared" si="4"/>
        <v>-7.5662042875156918E-3</v>
      </c>
    </row>
    <row r="263" spans="1:7">
      <c r="A263" s="118">
        <v>2102</v>
      </c>
      <c r="B263" s="60" t="s">
        <v>3902</v>
      </c>
      <c r="C263" s="125" t="s">
        <v>5565</v>
      </c>
      <c r="D263" s="118">
        <v>2102</v>
      </c>
      <c r="E263" s="60">
        <f>[1]!'2102.TW-PreClose'</f>
        <v>25.8</v>
      </c>
      <c r="F263" s="141" t="str">
        <f>IFERROR(STOCKS!$E263-STOCKS昨天!$E263,"0")</f>
        <v>0</v>
      </c>
      <c r="G263" s="63">
        <f t="shared" si="4"/>
        <v>0</v>
      </c>
    </row>
    <row r="264" spans="1:7">
      <c r="A264" s="118">
        <v>2103</v>
      </c>
      <c r="B264" s="60" t="s">
        <v>3903</v>
      </c>
      <c r="C264" s="125" t="s">
        <v>5565</v>
      </c>
      <c r="D264" s="118">
        <v>2103</v>
      </c>
      <c r="E264" s="60">
        <f>[1]!'2103.TW-PreClose'</f>
        <v>32.25</v>
      </c>
      <c r="F264" s="141" t="str">
        <f>IFERROR(STOCKS!$E264-STOCKS昨天!$E264,"0")</f>
        <v>0</v>
      </c>
      <c r="G264" s="63">
        <f t="shared" si="4"/>
        <v>0</v>
      </c>
    </row>
    <row r="265" spans="1:7">
      <c r="A265" s="118">
        <v>2104</v>
      </c>
      <c r="B265" s="60" t="s">
        <v>3904</v>
      </c>
      <c r="C265" s="125" t="s">
        <v>5565</v>
      </c>
      <c r="D265" s="118">
        <v>2104</v>
      </c>
      <c r="E265" s="60">
        <f>[1]!'2104.TW-PreClose'</f>
        <v>26.8</v>
      </c>
      <c r="F265" s="141" t="str">
        <f>IFERROR(STOCKS!$E265-STOCKS昨天!$E265,"0")</f>
        <v>0</v>
      </c>
      <c r="G265" s="63">
        <f t="shared" si="4"/>
        <v>0</v>
      </c>
    </row>
    <row r="266" spans="1:7">
      <c r="A266" s="118">
        <v>2105</v>
      </c>
      <c r="B266" s="60" t="s">
        <v>3905</v>
      </c>
      <c r="C266" s="125" t="s">
        <v>5565</v>
      </c>
      <c r="D266" s="118">
        <v>2105</v>
      </c>
      <c r="E266" s="60">
        <f>[1]!'2105.TW-PreClose'</f>
        <v>34.5</v>
      </c>
      <c r="F266" s="141">
        <f>IFERROR(STOCKS!$E266-STOCKS昨天!$E266,"0")</f>
        <v>0.14999999999999858</v>
      </c>
      <c r="G266" s="63">
        <f t="shared" si="4"/>
        <v>4.3478260869564802E-3</v>
      </c>
    </row>
    <row r="267" spans="1:7">
      <c r="A267" s="118">
        <v>2106</v>
      </c>
      <c r="B267" s="60" t="s">
        <v>3906</v>
      </c>
      <c r="C267" s="125" t="s">
        <v>5565</v>
      </c>
      <c r="D267" s="118">
        <v>2106</v>
      </c>
      <c r="E267" s="60">
        <f>[1]!'2106.TW-PreClose'</f>
        <v>30.05</v>
      </c>
      <c r="F267" s="141" t="str">
        <f>IFERROR(STOCKS!$E267-STOCKS昨天!$E267,"0")</f>
        <v>0</v>
      </c>
      <c r="G267" s="63">
        <f t="shared" si="4"/>
        <v>0</v>
      </c>
    </row>
    <row r="268" spans="1:7">
      <c r="A268" s="118">
        <v>2107</v>
      </c>
      <c r="B268" s="60" t="s">
        <v>3907</v>
      </c>
      <c r="C268" s="125" t="s">
        <v>5565</v>
      </c>
      <c r="D268" s="118">
        <v>2107</v>
      </c>
      <c r="E268" s="60">
        <f>[1]!'2107.TW-PreClose'</f>
        <v>22.85</v>
      </c>
      <c r="F268" s="141" t="str">
        <f>IFERROR(STOCKS!$E268-STOCKS昨天!$E268,"0")</f>
        <v>0</v>
      </c>
      <c r="G268" s="63">
        <f t="shared" si="4"/>
        <v>0</v>
      </c>
    </row>
    <row r="269" spans="1:7">
      <c r="A269" s="118">
        <v>2108</v>
      </c>
      <c r="B269" s="60" t="s">
        <v>3613</v>
      </c>
      <c r="C269" s="125" t="s">
        <v>5565</v>
      </c>
      <c r="D269" s="118">
        <v>2108</v>
      </c>
      <c r="E269" s="60">
        <f>[1]!'2108.TW-PreClose'</f>
        <v>85.6</v>
      </c>
      <c r="F269" s="141">
        <f>IFERROR(STOCKS!$E269-STOCKS昨天!$E269,"0")</f>
        <v>-0.59999999999999432</v>
      </c>
      <c r="G269" s="63">
        <f t="shared" si="4"/>
        <v>-7.0093457943924574E-3</v>
      </c>
    </row>
    <row r="270" spans="1:7">
      <c r="A270" s="118">
        <v>2109</v>
      </c>
      <c r="B270" s="60" t="s">
        <v>3908</v>
      </c>
      <c r="C270" s="125" t="s">
        <v>5565</v>
      </c>
      <c r="D270" s="118">
        <v>2109</v>
      </c>
      <c r="E270" s="60">
        <f>[1]!'2109.TW-PreClose'</f>
        <v>16.45</v>
      </c>
      <c r="F270" s="141" t="str">
        <f>IFERROR(STOCKS!$E270-STOCKS昨天!$E270,"0")</f>
        <v>0</v>
      </c>
      <c r="G270" s="63">
        <f t="shared" si="4"/>
        <v>0</v>
      </c>
    </row>
    <row r="271" spans="1:7">
      <c r="A271" s="118">
        <v>2114</v>
      </c>
      <c r="B271" s="60" t="s">
        <v>3909</v>
      </c>
      <c r="C271" s="125" t="s">
        <v>5565</v>
      </c>
      <c r="D271" s="118">
        <v>2114</v>
      </c>
      <c r="E271" s="60">
        <f>[1]!'2114.TW-PreClose'</f>
        <v>119</v>
      </c>
      <c r="F271" s="141" t="str">
        <f>IFERROR(STOCKS!$E271-STOCKS昨天!$E271,"0")</f>
        <v>0</v>
      </c>
      <c r="G271" s="63">
        <f t="shared" si="4"/>
        <v>0</v>
      </c>
    </row>
    <row r="272" spans="1:7">
      <c r="A272" s="118">
        <v>6582</v>
      </c>
      <c r="B272" s="60" t="s">
        <v>3614</v>
      </c>
      <c r="C272" s="125" t="s">
        <v>5565</v>
      </c>
      <c r="D272" s="118">
        <v>6582</v>
      </c>
      <c r="E272" s="60">
        <f>[1]!'6582.TW-PreClose'</f>
        <v>181.5</v>
      </c>
      <c r="F272" s="141" t="str">
        <f>IFERROR(STOCKS!$E272-STOCKS昨天!$E272,"0")</f>
        <v>0</v>
      </c>
      <c r="G272" s="63">
        <f t="shared" si="4"/>
        <v>0</v>
      </c>
    </row>
    <row r="273" spans="1:7">
      <c r="A273" s="118">
        <v>1319</v>
      </c>
      <c r="B273" s="60" t="s">
        <v>3910</v>
      </c>
      <c r="C273" s="125" t="s">
        <v>5566</v>
      </c>
      <c r="D273" s="118">
        <v>1319</v>
      </c>
      <c r="E273" s="60">
        <f>[1]!'1319.TW-PreClose'</f>
        <v>33.200000000000003</v>
      </c>
      <c r="F273" s="141">
        <f>IFERROR(STOCKS!$E273-STOCKS昨天!$E273,"0")</f>
        <v>-5.0000000000004263E-2</v>
      </c>
      <c r="G273" s="63">
        <f t="shared" si="4"/>
        <v>-1.5060240963856704E-3</v>
      </c>
    </row>
    <row r="274" spans="1:7">
      <c r="A274" s="118">
        <v>1338</v>
      </c>
      <c r="B274" s="60" t="s">
        <v>3911</v>
      </c>
      <c r="C274" s="125" t="s">
        <v>5567</v>
      </c>
      <c r="D274" s="118">
        <v>1338</v>
      </c>
      <c r="E274" s="60">
        <f>[1]!'1338.TW-PreClose'</f>
        <v>51.2</v>
      </c>
      <c r="F274" s="141" t="str">
        <f>IFERROR(STOCKS!$E274-STOCKS昨天!$E274,"0")</f>
        <v>0</v>
      </c>
      <c r="G274" s="63">
        <f t="shared" si="4"/>
        <v>0</v>
      </c>
    </row>
    <row r="275" spans="1:7">
      <c r="A275" s="118">
        <v>1339</v>
      </c>
      <c r="B275" s="60" t="s">
        <v>3912</v>
      </c>
      <c r="C275" s="125" t="s">
        <v>5566</v>
      </c>
      <c r="D275" s="118">
        <v>1339</v>
      </c>
      <c r="E275" s="60">
        <f>[1]!'1339.TW-PreClose'</f>
        <v>34.25</v>
      </c>
      <c r="F275" s="141" t="str">
        <f>IFERROR(STOCKS!$E275-STOCKS昨天!$E275,"0")</f>
        <v>0</v>
      </c>
      <c r="G275" s="63">
        <f t="shared" si="4"/>
        <v>0</v>
      </c>
    </row>
    <row r="276" spans="1:7">
      <c r="A276" s="118">
        <v>1512</v>
      </c>
      <c r="B276" s="60" t="s">
        <v>3913</v>
      </c>
      <c r="C276" s="125" t="s">
        <v>5566</v>
      </c>
      <c r="D276" s="118">
        <v>1512</v>
      </c>
      <c r="E276" s="60">
        <f>[1]!'1512.TW-PreClose'</f>
        <v>3.68</v>
      </c>
      <c r="F276" s="141" t="str">
        <f>IFERROR(STOCKS!$E276-STOCKS昨天!$E276,"0")</f>
        <v>0</v>
      </c>
      <c r="G276" s="63">
        <f t="shared" si="4"/>
        <v>0</v>
      </c>
    </row>
    <row r="277" spans="1:7">
      <c r="A277" s="118">
        <v>1521</v>
      </c>
      <c r="B277" s="60" t="s">
        <v>3914</v>
      </c>
      <c r="C277" s="125" t="s">
        <v>5566</v>
      </c>
      <c r="D277" s="118">
        <v>1521</v>
      </c>
      <c r="E277" s="60">
        <f>[1]!'1521.TW-PreClose'</f>
        <v>41.65</v>
      </c>
      <c r="F277" s="141" t="str">
        <f>IFERROR(STOCKS!$E277-STOCKS昨天!$E277,"0")</f>
        <v>0</v>
      </c>
      <c r="G277" s="63">
        <f t="shared" si="4"/>
        <v>0</v>
      </c>
    </row>
    <row r="278" spans="1:7">
      <c r="A278" s="118">
        <v>1522</v>
      </c>
      <c r="B278" s="60" t="s">
        <v>3915</v>
      </c>
      <c r="C278" s="125" t="s">
        <v>5566</v>
      </c>
      <c r="D278" s="118">
        <v>1522</v>
      </c>
      <c r="E278" s="60">
        <f>[1]!'1522.TW-PreClose'</f>
        <v>19.399999999999999</v>
      </c>
      <c r="F278" s="141" t="str">
        <f>IFERROR(STOCKS!$E278-STOCKS昨天!$E278,"0")</f>
        <v>0</v>
      </c>
      <c r="G278" s="63">
        <f t="shared" si="4"/>
        <v>0</v>
      </c>
    </row>
    <row r="279" spans="1:7">
      <c r="A279" s="118">
        <v>1524</v>
      </c>
      <c r="B279" s="60" t="s">
        <v>3916</v>
      </c>
      <c r="C279" s="125" t="s">
        <v>5566</v>
      </c>
      <c r="D279" s="118">
        <v>1524</v>
      </c>
      <c r="E279" s="60">
        <f>[1]!'1524.TW-PreClose'</f>
        <v>9.99</v>
      </c>
      <c r="F279" s="141" t="str">
        <f>IFERROR(STOCKS!$E279-STOCKS昨天!$E279,"0")</f>
        <v>0</v>
      </c>
      <c r="G279" s="63">
        <f t="shared" si="4"/>
        <v>0</v>
      </c>
    </row>
    <row r="280" spans="1:7">
      <c r="A280" s="118">
        <v>1525</v>
      </c>
      <c r="B280" s="60" t="s">
        <v>3917</v>
      </c>
      <c r="C280" s="125" t="s">
        <v>5566</v>
      </c>
      <c r="D280" s="118">
        <v>1525</v>
      </c>
      <c r="E280" s="60">
        <f>[1]!'1525.TW-PreClose'</f>
        <v>60.5</v>
      </c>
      <c r="F280" s="141" t="str">
        <f>IFERROR(STOCKS!$E280-STOCKS昨天!$E280,"0")</f>
        <v>0</v>
      </c>
      <c r="G280" s="63">
        <f t="shared" si="4"/>
        <v>0</v>
      </c>
    </row>
    <row r="281" spans="1:7">
      <c r="A281" s="118">
        <v>1533</v>
      </c>
      <c r="B281" s="60" t="s">
        <v>3918</v>
      </c>
      <c r="C281" s="125" t="s">
        <v>5566</v>
      </c>
      <c r="D281" s="118">
        <v>1533</v>
      </c>
      <c r="E281" s="60">
        <f>[1]!'1533.TW-PreClose'</f>
        <v>58</v>
      </c>
      <c r="F281" s="141" t="str">
        <f>IFERROR(STOCKS!$E281-STOCKS昨天!$E281,"0")</f>
        <v>0</v>
      </c>
      <c r="G281" s="63">
        <f t="shared" si="4"/>
        <v>0</v>
      </c>
    </row>
    <row r="282" spans="1:7">
      <c r="A282" s="118">
        <v>1536</v>
      </c>
      <c r="B282" s="60" t="s">
        <v>3919</v>
      </c>
      <c r="C282" s="125" t="s">
        <v>5566</v>
      </c>
      <c r="D282" s="118">
        <v>1536</v>
      </c>
      <c r="E282" s="60">
        <f>[1]!'1536.TW-PreClose'</f>
        <v>93.3</v>
      </c>
      <c r="F282" s="141" t="str">
        <f>IFERROR(STOCKS!$E282-STOCKS昨天!$E282,"0")</f>
        <v>0</v>
      </c>
      <c r="G282" s="63">
        <f t="shared" si="4"/>
        <v>0</v>
      </c>
    </row>
    <row r="283" spans="1:7">
      <c r="A283" s="118">
        <v>1568</v>
      </c>
      <c r="B283" s="60" t="s">
        <v>3920</v>
      </c>
      <c r="C283" s="125" t="s">
        <v>5566</v>
      </c>
      <c r="D283" s="118">
        <v>1568</v>
      </c>
      <c r="E283" s="60">
        <f>[1]!'1568.TW-PreClose'</f>
        <v>21.8</v>
      </c>
      <c r="F283" s="141" t="str">
        <f>IFERROR(STOCKS!$E283-STOCKS昨天!$E283,"0")</f>
        <v>0</v>
      </c>
      <c r="G283" s="63">
        <f t="shared" si="4"/>
        <v>0</v>
      </c>
    </row>
    <row r="284" spans="1:7">
      <c r="A284" s="118">
        <v>1587</v>
      </c>
      <c r="B284" s="60" t="s">
        <v>3921</v>
      </c>
      <c r="C284" s="125" t="s">
        <v>5566</v>
      </c>
      <c r="D284" s="118">
        <v>1587</v>
      </c>
      <c r="E284" s="60">
        <f>[1]!'1587.TW-PreClose'</f>
        <v>25.6</v>
      </c>
      <c r="F284" s="141" t="str">
        <f>IFERROR(STOCKS!$E284-STOCKS昨天!$E284,"0")</f>
        <v>0</v>
      </c>
      <c r="G284" s="63">
        <f t="shared" si="4"/>
        <v>0</v>
      </c>
    </row>
    <row r="285" spans="1:7">
      <c r="A285" s="118">
        <v>2115</v>
      </c>
      <c r="B285" s="60" t="s">
        <v>3922</v>
      </c>
      <c r="C285" s="125" t="s">
        <v>5567</v>
      </c>
      <c r="D285" s="118">
        <v>2115</v>
      </c>
      <c r="E285" s="60">
        <f>[1]!'2115.TW-PreClose'</f>
        <v>40</v>
      </c>
      <c r="F285" s="141" t="str">
        <f>IFERROR(STOCKS!$E285-STOCKS昨天!$E285,"0")</f>
        <v>0</v>
      </c>
      <c r="G285" s="63">
        <f t="shared" si="4"/>
        <v>0</v>
      </c>
    </row>
    <row r="286" spans="1:7">
      <c r="A286" s="118">
        <v>2201</v>
      </c>
      <c r="B286" s="60" t="s">
        <v>3923</v>
      </c>
      <c r="C286" s="125" t="s">
        <v>5566</v>
      </c>
      <c r="D286" s="118">
        <v>2201</v>
      </c>
      <c r="E286" s="60">
        <f>[1]!'2201.TW-PreClose'</f>
        <v>43.15</v>
      </c>
      <c r="F286" s="141" t="str">
        <f>IFERROR(STOCKS!$E286-STOCKS昨天!$E286,"0")</f>
        <v>0</v>
      </c>
      <c r="G286" s="63">
        <f t="shared" si="4"/>
        <v>0</v>
      </c>
    </row>
    <row r="287" spans="1:7">
      <c r="A287" s="118">
        <v>2204</v>
      </c>
      <c r="B287" s="60" t="s">
        <v>3924</v>
      </c>
      <c r="C287" s="125" t="s">
        <v>5566</v>
      </c>
      <c r="D287" s="118">
        <v>2204</v>
      </c>
      <c r="E287" s="60">
        <f>[1]!'2204.TW-PreClose'</f>
        <v>65.400000000000006</v>
      </c>
      <c r="F287" s="141" t="str">
        <f>IFERROR(STOCKS!$E287-STOCKS昨天!$E287,"0")</f>
        <v>0</v>
      </c>
      <c r="G287" s="63">
        <f t="shared" si="4"/>
        <v>0</v>
      </c>
    </row>
    <row r="288" spans="1:7">
      <c r="A288" s="118">
        <v>2206</v>
      </c>
      <c r="B288" s="60" t="s">
        <v>3651</v>
      </c>
      <c r="C288" s="125" t="s">
        <v>5566</v>
      </c>
      <c r="D288" s="118">
        <v>2206</v>
      </c>
      <c r="E288" s="60">
        <f>[1]!'2206.TW-PreClose'</f>
        <v>26.7</v>
      </c>
      <c r="F288" s="141" t="str">
        <f>IFERROR(STOCKS!$E288-STOCKS昨天!$E288,"0")</f>
        <v>0</v>
      </c>
      <c r="G288" s="63">
        <f t="shared" si="4"/>
        <v>0</v>
      </c>
    </row>
    <row r="289" spans="1:7">
      <c r="A289" s="118">
        <v>2207</v>
      </c>
      <c r="B289" s="60" t="s">
        <v>3925</v>
      </c>
      <c r="C289" s="125" t="s">
        <v>5566</v>
      </c>
      <c r="D289" s="118">
        <v>2207</v>
      </c>
      <c r="E289" s="60">
        <f>[1]!'2207.TW-PreClose'</f>
        <v>645</v>
      </c>
      <c r="F289" s="141" t="str">
        <f>IFERROR(STOCKS!$E289-STOCKS昨天!$E289,"0")</f>
        <v>0</v>
      </c>
      <c r="G289" s="63">
        <f t="shared" si="4"/>
        <v>0</v>
      </c>
    </row>
    <row r="290" spans="1:7">
      <c r="A290" s="118">
        <v>2227</v>
      </c>
      <c r="B290" s="60" t="s">
        <v>3926</v>
      </c>
      <c r="C290" s="125" t="s">
        <v>5566</v>
      </c>
      <c r="D290" s="118">
        <v>2227</v>
      </c>
      <c r="E290" s="60">
        <f>[1]!'2227.TW-PreClose'</f>
        <v>250.5</v>
      </c>
      <c r="F290" s="141" t="str">
        <f>IFERROR(STOCKS!$E290-STOCKS昨天!$E290,"0")</f>
        <v>0</v>
      </c>
      <c r="G290" s="63">
        <f t="shared" si="4"/>
        <v>0</v>
      </c>
    </row>
    <row r="291" spans="1:7">
      <c r="A291" s="118">
        <v>2228</v>
      </c>
      <c r="B291" s="60" t="s">
        <v>3927</v>
      </c>
      <c r="C291" s="125" t="s">
        <v>5566</v>
      </c>
      <c r="D291" s="118">
        <v>2228</v>
      </c>
      <c r="E291" s="60">
        <f>[1]!'2228.TW-PreClose'</f>
        <v>68.599999999999994</v>
      </c>
      <c r="F291" s="141" t="str">
        <f>IFERROR(STOCKS!$E291-STOCKS昨天!$E291,"0")</f>
        <v>0</v>
      </c>
      <c r="G291" s="63">
        <f t="shared" si="4"/>
        <v>0</v>
      </c>
    </row>
    <row r="292" spans="1:7">
      <c r="A292" s="118">
        <v>2231</v>
      </c>
      <c r="B292" s="60" t="s">
        <v>3928</v>
      </c>
      <c r="C292" s="125" t="s">
        <v>5566</v>
      </c>
      <c r="D292" s="118">
        <v>2231</v>
      </c>
      <c r="E292" s="60">
        <f>[1]!'2231.TW-PreClose'</f>
        <v>170</v>
      </c>
      <c r="F292" s="141">
        <f>IFERROR(STOCKS!$E292-STOCKS昨天!$E292,"0")</f>
        <v>0</v>
      </c>
      <c r="G292" s="63">
        <f t="shared" si="4"/>
        <v>0</v>
      </c>
    </row>
    <row r="293" spans="1:7">
      <c r="A293" s="118">
        <v>2233</v>
      </c>
      <c r="B293" s="60" t="s">
        <v>3929</v>
      </c>
      <c r="C293" s="125" t="s">
        <v>5566</v>
      </c>
      <c r="D293" s="118">
        <v>2233</v>
      </c>
      <c r="E293" s="60">
        <f>[1]!'2233.TW-PreClose'</f>
        <v>98.6</v>
      </c>
      <c r="F293" s="141" t="str">
        <f>IFERROR(STOCKS!$E293-STOCKS昨天!$E293,"0")</f>
        <v>0</v>
      </c>
      <c r="G293" s="63">
        <f t="shared" si="4"/>
        <v>0</v>
      </c>
    </row>
    <row r="294" spans="1:7">
      <c r="A294" s="118">
        <v>2236</v>
      </c>
      <c r="B294" s="60" t="s">
        <v>3930</v>
      </c>
      <c r="C294" s="125" t="s">
        <v>5567</v>
      </c>
      <c r="D294" s="118">
        <v>2236</v>
      </c>
      <c r="E294" s="60">
        <f>[1]!'2236.TW-PreClose'</f>
        <v>26.5</v>
      </c>
      <c r="F294" s="141" t="str">
        <f>IFERROR(STOCKS!$E294-STOCKS昨天!$E294,"0")</f>
        <v>0</v>
      </c>
      <c r="G294" s="63">
        <f t="shared" si="4"/>
        <v>0</v>
      </c>
    </row>
    <row r="295" spans="1:7">
      <c r="A295" s="118">
        <v>2239</v>
      </c>
      <c r="B295" s="60" t="s">
        <v>3931</v>
      </c>
      <c r="C295" s="125" t="s">
        <v>5567</v>
      </c>
      <c r="D295" s="118">
        <v>2239</v>
      </c>
      <c r="E295" s="60">
        <f>[1]!'2239.TW-PreClose'</f>
        <v>78.8</v>
      </c>
      <c r="F295" s="141" t="str">
        <f>IFERROR(STOCKS!$E295-STOCKS昨天!$E295,"0")</f>
        <v>0</v>
      </c>
      <c r="G295" s="63">
        <f t="shared" si="4"/>
        <v>0</v>
      </c>
    </row>
    <row r="296" spans="1:7">
      <c r="A296" s="118">
        <v>2241</v>
      </c>
      <c r="B296" s="60" t="s">
        <v>3798</v>
      </c>
      <c r="C296" s="125" t="s">
        <v>5566</v>
      </c>
      <c r="D296" s="118">
        <v>2241</v>
      </c>
      <c r="E296" s="60">
        <f>[1]!'2241.TW-PreClose'</f>
        <v>53.4</v>
      </c>
      <c r="F296" s="141" t="str">
        <f>IFERROR(STOCKS!$E296-STOCKS昨天!$E296,"0")</f>
        <v>0</v>
      </c>
      <c r="G296" s="63">
        <f t="shared" si="4"/>
        <v>0</v>
      </c>
    </row>
    <row r="297" spans="1:7">
      <c r="A297" s="118">
        <v>2243</v>
      </c>
      <c r="B297" s="60" t="s">
        <v>3932</v>
      </c>
      <c r="C297" s="125" t="s">
        <v>5567</v>
      </c>
      <c r="D297" s="118">
        <v>2243</v>
      </c>
      <c r="E297" s="60">
        <f>[1]!'2243.TW-PreClose'</f>
        <v>17.100000000000001</v>
      </c>
      <c r="F297" s="141" t="str">
        <f>IFERROR(STOCKS!$E297-STOCKS昨天!$E297,"0")</f>
        <v>0</v>
      </c>
      <c r="G297" s="63">
        <f t="shared" si="4"/>
        <v>0</v>
      </c>
    </row>
    <row r="298" spans="1:7">
      <c r="A298" s="118">
        <v>2247</v>
      </c>
      <c r="B298" s="60" t="s">
        <v>3933</v>
      </c>
      <c r="C298" s="125" t="s">
        <v>5566</v>
      </c>
      <c r="D298" s="118">
        <v>2247</v>
      </c>
      <c r="E298" s="60">
        <f>[1]!'2247.TW-PreClose'</f>
        <v>216</v>
      </c>
      <c r="F298" s="141" t="str">
        <f>IFERROR(STOCKS!$E298-STOCKS昨天!$E298,"0")</f>
        <v>0</v>
      </c>
      <c r="G298" s="63">
        <f t="shared" si="4"/>
        <v>0</v>
      </c>
    </row>
    <row r="299" spans="1:7">
      <c r="A299" s="118">
        <v>2250</v>
      </c>
      <c r="B299" s="60" t="s">
        <v>5517</v>
      </c>
      <c r="C299" s="125" t="s">
        <v>5567</v>
      </c>
      <c r="D299" s="118">
        <v>2250</v>
      </c>
      <c r="E299" s="60">
        <f>[1]!'2250.TW-PreClose'</f>
        <v>105</v>
      </c>
      <c r="F299" s="141" t="str">
        <f>IFERROR(STOCKS!$E299-STOCKS昨天!$E299,"0")</f>
        <v>0</v>
      </c>
      <c r="G299" s="63">
        <f t="shared" si="4"/>
        <v>0</v>
      </c>
    </row>
    <row r="300" spans="1:7">
      <c r="A300" s="118">
        <v>2497</v>
      </c>
      <c r="B300" s="60" t="s">
        <v>3934</v>
      </c>
      <c r="C300" s="125" t="s">
        <v>5566</v>
      </c>
      <c r="D300" s="118">
        <v>2497</v>
      </c>
      <c r="E300" s="60" t="str">
        <f>[1]!'2497.TW-PreClose'</f>
        <v>--</v>
      </c>
      <c r="F300" s="141" t="str">
        <f>IFERROR(STOCKS!$E300-STOCKS昨天!$E300,"0")</f>
        <v>0</v>
      </c>
      <c r="G300" s="63" t="str">
        <f t="shared" si="4"/>
        <v>0</v>
      </c>
    </row>
    <row r="301" spans="1:7">
      <c r="A301" s="118">
        <v>3346</v>
      </c>
      <c r="B301" s="60" t="s">
        <v>3935</v>
      </c>
      <c r="C301" s="125" t="s">
        <v>5566</v>
      </c>
      <c r="D301" s="118">
        <v>3346</v>
      </c>
      <c r="E301" s="60">
        <f>[1]!'3346.TW-PreClose'</f>
        <v>43.85</v>
      </c>
      <c r="F301" s="141" t="str">
        <f>IFERROR(STOCKS!$E301-STOCKS昨天!$E301,"0")</f>
        <v>0</v>
      </c>
      <c r="G301" s="63">
        <f t="shared" si="4"/>
        <v>0</v>
      </c>
    </row>
    <row r="302" spans="1:7">
      <c r="A302" s="118">
        <v>4551</v>
      </c>
      <c r="B302" s="60" t="s">
        <v>3936</v>
      </c>
      <c r="C302" s="125" t="s">
        <v>5566</v>
      </c>
      <c r="D302" s="118">
        <v>4551</v>
      </c>
      <c r="E302" s="60">
        <f>[1]!'4551.TW-PreClose'</f>
        <v>184</v>
      </c>
      <c r="F302" s="141" t="str">
        <f>IFERROR(STOCKS!$E302-STOCKS昨天!$E302,"0")</f>
        <v>0</v>
      </c>
      <c r="G302" s="63">
        <f t="shared" si="4"/>
        <v>0</v>
      </c>
    </row>
    <row r="303" spans="1:7">
      <c r="A303" s="118">
        <v>4557</v>
      </c>
      <c r="B303" s="60" t="s">
        <v>3937</v>
      </c>
      <c r="C303" s="125" t="s">
        <v>5567</v>
      </c>
      <c r="D303" s="118">
        <v>4557</v>
      </c>
      <c r="E303" s="60">
        <f>[1]!'4557.TW-PreClose'</f>
        <v>66.599999999999994</v>
      </c>
      <c r="F303" s="141" t="str">
        <f>IFERROR(STOCKS!$E303-STOCKS昨天!$E303,"0")</f>
        <v>0</v>
      </c>
      <c r="G303" s="63">
        <f t="shared" si="4"/>
        <v>0</v>
      </c>
    </row>
    <row r="304" spans="1:7">
      <c r="A304" s="118">
        <v>4581</v>
      </c>
      <c r="B304" s="60" t="s">
        <v>3938</v>
      </c>
      <c r="C304" s="125" t="s">
        <v>5567</v>
      </c>
      <c r="D304" s="118">
        <v>4581</v>
      </c>
      <c r="E304" s="60" t="str">
        <f>[1]!'4581.TW-PreClose'</f>
        <v>--</v>
      </c>
      <c r="F304" s="141" t="str">
        <f>IFERROR(STOCKS!$E304-STOCKS昨天!$E304,"0")</f>
        <v>0</v>
      </c>
      <c r="G304" s="63" t="str">
        <f t="shared" si="4"/>
        <v>0</v>
      </c>
    </row>
    <row r="305" spans="1:7">
      <c r="A305" s="118">
        <v>6288</v>
      </c>
      <c r="B305" s="60" t="s">
        <v>3939</v>
      </c>
      <c r="C305" s="125" t="s">
        <v>5566</v>
      </c>
      <c r="D305" s="118">
        <v>6288</v>
      </c>
      <c r="E305" s="60">
        <f>[1]!'6288.TW-PreClose'</f>
        <v>26.4</v>
      </c>
      <c r="F305" s="141" t="str">
        <f>IFERROR(STOCKS!$E305-STOCKS昨天!$E305,"0")</f>
        <v>0</v>
      </c>
      <c r="G305" s="63">
        <f t="shared" si="4"/>
        <v>0</v>
      </c>
    </row>
    <row r="306" spans="1:7">
      <c r="A306" s="118">
        <v>6605</v>
      </c>
      <c r="B306" s="60" t="s">
        <v>3940</v>
      </c>
      <c r="C306" s="125" t="s">
        <v>5566</v>
      </c>
      <c r="D306" s="118">
        <v>6605</v>
      </c>
      <c r="E306" s="60">
        <f>[1]!'6605.TW-PreClose'</f>
        <v>58.4</v>
      </c>
      <c r="F306" s="141" t="str">
        <f>IFERROR(STOCKS!$E306-STOCKS昨天!$E306,"0")</f>
        <v>0</v>
      </c>
      <c r="G306" s="63">
        <f t="shared" si="4"/>
        <v>0</v>
      </c>
    </row>
    <row r="307" spans="1:7">
      <c r="A307" s="118">
        <v>2302</v>
      </c>
      <c r="B307" s="60" t="s">
        <v>3941</v>
      </c>
      <c r="C307" s="125" t="s">
        <v>5568</v>
      </c>
      <c r="D307" s="118">
        <v>2302</v>
      </c>
      <c r="E307" s="60">
        <f>[1]!'2302.TW-PreClose'</f>
        <v>17.399999999999999</v>
      </c>
      <c r="F307" s="141" t="str">
        <f>IFERROR(STOCKS!$E307-STOCKS昨天!$E307,"0")</f>
        <v>0</v>
      </c>
      <c r="G307" s="63">
        <f t="shared" si="4"/>
        <v>0</v>
      </c>
    </row>
    <row r="308" spans="1:7">
      <c r="A308" s="118">
        <v>2303</v>
      </c>
      <c r="B308" s="60" t="s">
        <v>3942</v>
      </c>
      <c r="C308" s="125" t="s">
        <v>5568</v>
      </c>
      <c r="D308" s="118">
        <v>2303</v>
      </c>
      <c r="E308" s="60">
        <f>[1]!'2303.TW-PreClose'</f>
        <v>63.2</v>
      </c>
      <c r="F308" s="141">
        <f>IFERROR(STOCKS!$E308-STOCKS昨天!$E308,"0")</f>
        <v>-0.10000000000000142</v>
      </c>
      <c r="G308" s="63">
        <f t="shared" si="4"/>
        <v>-1.5822784810126805E-3</v>
      </c>
    </row>
    <row r="309" spans="1:7">
      <c r="A309" s="118">
        <v>2329</v>
      </c>
      <c r="B309" s="60" t="s">
        <v>3943</v>
      </c>
      <c r="C309" s="125" t="s">
        <v>5568</v>
      </c>
      <c r="D309" s="118">
        <v>2329</v>
      </c>
      <c r="E309" s="60">
        <f>[1]!'2329.TW-PreClose'</f>
        <v>24.85</v>
      </c>
      <c r="F309" s="141">
        <f>IFERROR(STOCKS!$E309-STOCKS昨天!$E309,"0")</f>
        <v>-5.0000000000000711E-2</v>
      </c>
      <c r="G309" s="63">
        <f t="shared" si="4"/>
        <v>-2.0120724346076742E-3</v>
      </c>
    </row>
    <row r="310" spans="1:7">
      <c r="A310" s="118">
        <v>2330</v>
      </c>
      <c r="B310" s="60" t="s">
        <v>3944</v>
      </c>
      <c r="C310" s="125" t="s">
        <v>5568</v>
      </c>
      <c r="D310" s="118">
        <v>2330</v>
      </c>
      <c r="E310" s="60">
        <f>[1]!'2330.TW-PreClose'</f>
        <v>612</v>
      </c>
      <c r="F310" s="141">
        <f>IFERROR(STOCKS!$E310-STOCKS昨天!$E310,"0")</f>
        <v>-2</v>
      </c>
      <c r="G310" s="63">
        <f t="shared" si="4"/>
        <v>-3.2679738562091504E-3</v>
      </c>
    </row>
    <row r="311" spans="1:7">
      <c r="A311" s="118">
        <v>2337</v>
      </c>
      <c r="B311" s="60" t="s">
        <v>3945</v>
      </c>
      <c r="C311" s="125" t="s">
        <v>5568</v>
      </c>
      <c r="D311" s="118">
        <v>2337</v>
      </c>
      <c r="E311" s="60">
        <f>[1]!'2337.TW-PreClose'</f>
        <v>43.8</v>
      </c>
      <c r="F311" s="141">
        <f>IFERROR(STOCKS!$E311-STOCKS昨天!$E311,"0")</f>
        <v>0.30000000000000426</v>
      </c>
      <c r="G311" s="63">
        <f t="shared" si="4"/>
        <v>6.8493150684932483E-3</v>
      </c>
    </row>
    <row r="312" spans="1:7">
      <c r="A312" s="118">
        <v>2338</v>
      </c>
      <c r="B312" s="60" t="s">
        <v>3946</v>
      </c>
      <c r="C312" s="125" t="s">
        <v>5568</v>
      </c>
      <c r="D312" s="118">
        <v>2338</v>
      </c>
      <c r="E312" s="60">
        <f>[1]!'2338.TW-PreClose'</f>
        <v>103</v>
      </c>
      <c r="F312" s="141">
        <f>IFERROR(STOCKS!$E312-STOCKS昨天!$E312,"0")</f>
        <v>1.5</v>
      </c>
      <c r="G312" s="63">
        <f t="shared" si="4"/>
        <v>1.4563106796116505E-2</v>
      </c>
    </row>
    <row r="313" spans="1:7">
      <c r="A313" s="118">
        <v>2342</v>
      </c>
      <c r="B313" s="60" t="s">
        <v>3947</v>
      </c>
      <c r="C313" s="125" t="s">
        <v>5568</v>
      </c>
      <c r="D313" s="118">
        <v>2342</v>
      </c>
      <c r="E313" s="60">
        <f>[1]!'2342.TW-PreClose'</f>
        <v>47.35</v>
      </c>
      <c r="F313" s="141">
        <f>IFERROR(STOCKS!$E313-STOCKS昨天!$E313,"0")</f>
        <v>0.75</v>
      </c>
      <c r="G313" s="63">
        <f t="shared" si="4"/>
        <v>1.5839493136219639E-2</v>
      </c>
    </row>
    <row r="314" spans="1:7">
      <c r="A314" s="118">
        <v>2344</v>
      </c>
      <c r="B314" s="60" t="s">
        <v>3948</v>
      </c>
      <c r="C314" s="125" t="s">
        <v>5568</v>
      </c>
      <c r="D314" s="118">
        <v>2344</v>
      </c>
      <c r="E314" s="60">
        <f>[1]!'2344.TW-PreClose'</f>
        <v>31.3</v>
      </c>
      <c r="F314" s="141">
        <f>IFERROR(STOCKS!$E314-STOCKS昨天!$E314,"0")</f>
        <v>0.14999999999999858</v>
      </c>
      <c r="G314" s="63">
        <f t="shared" si="4"/>
        <v>4.7923322683705617E-3</v>
      </c>
    </row>
    <row r="315" spans="1:7">
      <c r="A315" s="118">
        <v>2351</v>
      </c>
      <c r="B315" s="60" t="s">
        <v>3642</v>
      </c>
      <c r="C315" s="125" t="s">
        <v>5568</v>
      </c>
      <c r="D315" s="118">
        <v>2351</v>
      </c>
      <c r="E315" s="60">
        <f>[1]!'2351.TW-PreClose'</f>
        <v>165.5</v>
      </c>
      <c r="F315" s="141" t="str">
        <f>IFERROR(STOCKS!$E315-STOCKS昨天!$E315,"0")</f>
        <v>0</v>
      </c>
      <c r="G315" s="63">
        <f t="shared" si="4"/>
        <v>0</v>
      </c>
    </row>
    <row r="316" spans="1:7">
      <c r="A316" s="118">
        <v>2363</v>
      </c>
      <c r="B316" s="60" t="s">
        <v>3949</v>
      </c>
      <c r="C316" s="125" t="s">
        <v>5568</v>
      </c>
      <c r="D316" s="118">
        <v>2363</v>
      </c>
      <c r="E316" s="60">
        <f>[1]!'2363.TW-PreClose'</f>
        <v>25.55</v>
      </c>
      <c r="F316" s="141">
        <f>IFERROR(STOCKS!$E316-STOCKS昨天!$E316,"0")</f>
        <v>9.9999999999997868E-2</v>
      </c>
      <c r="G316" s="63">
        <f t="shared" si="4"/>
        <v>3.9138943248531455E-3</v>
      </c>
    </row>
    <row r="317" spans="1:7">
      <c r="A317" s="118">
        <v>2369</v>
      </c>
      <c r="B317" s="60" t="s">
        <v>3950</v>
      </c>
      <c r="C317" s="125" t="s">
        <v>5568</v>
      </c>
      <c r="D317" s="118">
        <v>2369</v>
      </c>
      <c r="E317" s="60">
        <f>[1]!'2369.TW-PreClose'</f>
        <v>26.15</v>
      </c>
      <c r="F317" s="141" t="str">
        <f>IFERROR(STOCKS!$E317-STOCKS昨天!$E317,"0")</f>
        <v>0</v>
      </c>
      <c r="G317" s="63">
        <f t="shared" si="4"/>
        <v>0</v>
      </c>
    </row>
    <row r="318" spans="1:7">
      <c r="A318" s="118">
        <v>2379</v>
      </c>
      <c r="B318" s="60" t="s">
        <v>3951</v>
      </c>
      <c r="C318" s="125" t="s">
        <v>5568</v>
      </c>
      <c r="D318" s="118">
        <v>2379</v>
      </c>
      <c r="E318" s="60">
        <f>[1]!'2379.TW-PreClose'</f>
        <v>544</v>
      </c>
      <c r="F318" s="141" t="str">
        <f>IFERROR(STOCKS!$E318-STOCKS昨天!$E318,"0")</f>
        <v>0</v>
      </c>
      <c r="G318" s="63">
        <f t="shared" si="4"/>
        <v>0</v>
      </c>
    </row>
    <row r="319" spans="1:7">
      <c r="A319" s="118">
        <v>2388</v>
      </c>
      <c r="B319" s="60" t="s">
        <v>3952</v>
      </c>
      <c r="C319" s="125" t="s">
        <v>5568</v>
      </c>
      <c r="D319" s="118">
        <v>2388</v>
      </c>
      <c r="E319" s="60">
        <f>[1]!'2388.TW-PreClose'</f>
        <v>85.8</v>
      </c>
      <c r="F319" s="141">
        <f>IFERROR(STOCKS!$E319-STOCKS昨天!$E319,"0")</f>
        <v>1.1000000000000085</v>
      </c>
      <c r="G319" s="63">
        <f t="shared" si="4"/>
        <v>1.2820512820512921E-2</v>
      </c>
    </row>
    <row r="320" spans="1:7">
      <c r="A320" s="118">
        <v>2401</v>
      </c>
      <c r="B320" s="60" t="s">
        <v>3953</v>
      </c>
      <c r="C320" s="125" t="s">
        <v>5568</v>
      </c>
      <c r="D320" s="118">
        <v>2401</v>
      </c>
      <c r="E320" s="60">
        <f>[1]!'2401.TW-PreClose'</f>
        <v>39.9</v>
      </c>
      <c r="F320" s="141">
        <f>IFERROR(STOCKS!$E320-STOCKS昨天!$E320,"0")</f>
        <v>0.20000000000000284</v>
      </c>
      <c r="G320" s="63">
        <f t="shared" si="4"/>
        <v>5.0125313283208737E-3</v>
      </c>
    </row>
    <row r="321" spans="1:7">
      <c r="A321" s="118">
        <v>2408</v>
      </c>
      <c r="B321" s="60" t="s">
        <v>3954</v>
      </c>
      <c r="C321" s="125" t="s">
        <v>5568</v>
      </c>
      <c r="D321" s="118">
        <v>2408</v>
      </c>
      <c r="E321" s="60">
        <f>[1]!'2408.TW-PreClose'</f>
        <v>75.7</v>
      </c>
      <c r="F321" s="141" t="str">
        <f>IFERROR(STOCKS!$E321-STOCKS昨天!$E321,"0")</f>
        <v>0</v>
      </c>
      <c r="G321" s="63">
        <f t="shared" si="4"/>
        <v>0</v>
      </c>
    </row>
    <row r="322" spans="1:7">
      <c r="A322" s="118">
        <v>2434</v>
      </c>
      <c r="B322" s="60" t="s">
        <v>3955</v>
      </c>
      <c r="C322" s="125" t="s">
        <v>5568</v>
      </c>
      <c r="D322" s="118">
        <v>2434</v>
      </c>
      <c r="E322" s="60">
        <f>[1]!'2434.TW-PreClose'</f>
        <v>40.5</v>
      </c>
      <c r="F322" s="141" t="str">
        <f>IFERROR(STOCKS!$E322-STOCKS昨天!$E322,"0")</f>
        <v>0</v>
      </c>
      <c r="G322" s="63">
        <f t="shared" si="4"/>
        <v>0</v>
      </c>
    </row>
    <row r="323" spans="1:7">
      <c r="A323" s="118">
        <v>2436</v>
      </c>
      <c r="B323" s="60" t="s">
        <v>3956</v>
      </c>
      <c r="C323" s="125" t="s">
        <v>5568</v>
      </c>
      <c r="D323" s="118">
        <v>2436</v>
      </c>
      <c r="E323" s="60">
        <f>[1]!'2436.TW-PreClose'</f>
        <v>98.9</v>
      </c>
      <c r="F323" s="141">
        <f>IFERROR(STOCKS!$E323-STOCKS昨天!$E323,"0")</f>
        <v>1.0999999999999943</v>
      </c>
      <c r="G323" s="63">
        <f t="shared" ref="G323:G386" si="5">IFERROR($F323/$E323,"0")</f>
        <v>1.1122345803842207E-2</v>
      </c>
    </row>
    <row r="324" spans="1:7">
      <c r="A324" s="118">
        <v>2441</v>
      </c>
      <c r="B324" s="60" t="s">
        <v>3957</v>
      </c>
      <c r="C324" s="125" t="s">
        <v>5568</v>
      </c>
      <c r="D324" s="118">
        <v>2441</v>
      </c>
      <c r="E324" s="60">
        <f>[1]!'2441.TW-PreClose'</f>
        <v>78.3</v>
      </c>
      <c r="F324" s="141" t="str">
        <f>IFERROR(STOCKS!$E324-STOCKS昨天!$E324,"0")</f>
        <v>0</v>
      </c>
      <c r="G324" s="63">
        <f t="shared" si="5"/>
        <v>0</v>
      </c>
    </row>
    <row r="325" spans="1:7">
      <c r="A325" s="118">
        <v>2449</v>
      </c>
      <c r="B325" s="60" t="s">
        <v>3958</v>
      </c>
      <c r="C325" s="125" t="s">
        <v>5568</v>
      </c>
      <c r="D325" s="118">
        <v>2449</v>
      </c>
      <c r="E325" s="60">
        <f>[1]!'2449.TW-PreClose'</f>
        <v>43.5</v>
      </c>
      <c r="F325" s="141" t="str">
        <f>IFERROR(STOCKS!$E325-STOCKS昨天!$E325,"0")</f>
        <v>0</v>
      </c>
      <c r="G325" s="63">
        <f t="shared" si="5"/>
        <v>0</v>
      </c>
    </row>
    <row r="326" spans="1:7">
      <c r="A326" s="118">
        <v>2451</v>
      </c>
      <c r="B326" s="60" t="s">
        <v>3959</v>
      </c>
      <c r="C326" s="125" t="s">
        <v>5568</v>
      </c>
      <c r="D326" s="118">
        <v>2451</v>
      </c>
      <c r="E326" s="60">
        <f>[1]!'2451.TW-PreClose'</f>
        <v>70.5</v>
      </c>
      <c r="F326" s="141">
        <f>IFERROR(STOCKS!$E326-STOCKS昨天!$E326,"0")</f>
        <v>0.59999999999999432</v>
      </c>
      <c r="G326" s="63">
        <f t="shared" si="5"/>
        <v>8.510638297872259E-3</v>
      </c>
    </row>
    <row r="327" spans="1:7">
      <c r="A327" s="118">
        <v>2454</v>
      </c>
      <c r="B327" s="60" t="s">
        <v>3960</v>
      </c>
      <c r="C327" s="125" t="s">
        <v>5568</v>
      </c>
      <c r="D327" s="118">
        <v>2454</v>
      </c>
      <c r="E327" s="60">
        <f>[1]!'2454.TW-PreClose'</f>
        <v>1055</v>
      </c>
      <c r="F327" s="141" t="str">
        <f>IFERROR(STOCKS!$E327-STOCKS昨天!$E327,"0")</f>
        <v>0</v>
      </c>
      <c r="G327" s="63">
        <f t="shared" si="5"/>
        <v>0</v>
      </c>
    </row>
    <row r="328" spans="1:7">
      <c r="A328" s="118">
        <v>2458</v>
      </c>
      <c r="B328" s="60" t="s">
        <v>3961</v>
      </c>
      <c r="C328" s="125" t="s">
        <v>5568</v>
      </c>
      <c r="D328" s="118">
        <v>2458</v>
      </c>
      <c r="E328" s="60" t="str">
        <f>[1]!'2458.TW-PreClose'</f>
        <v>--</v>
      </c>
      <c r="F328" s="141" t="str">
        <f>IFERROR(STOCKS!$E328-STOCKS昨天!$E328,"0")</f>
        <v>0</v>
      </c>
      <c r="G328" s="63" t="str">
        <f t="shared" si="5"/>
        <v>0</v>
      </c>
    </row>
    <row r="329" spans="1:7">
      <c r="A329" s="118">
        <v>2481</v>
      </c>
      <c r="B329" s="60" t="s">
        <v>3962</v>
      </c>
      <c r="C329" s="125" t="s">
        <v>5568</v>
      </c>
      <c r="D329" s="118">
        <v>2481</v>
      </c>
      <c r="E329" s="60">
        <f>[1]!'2481.TW-PreClose'</f>
        <v>106</v>
      </c>
      <c r="F329" s="141">
        <f>IFERROR(STOCKS!$E329-STOCKS昨天!$E329,"0")</f>
        <v>4.5</v>
      </c>
      <c r="G329" s="63">
        <f t="shared" si="5"/>
        <v>4.2452830188679243E-2</v>
      </c>
    </row>
    <row r="330" spans="1:7">
      <c r="A330" s="118">
        <v>3006</v>
      </c>
      <c r="B330" s="60" t="s">
        <v>3625</v>
      </c>
      <c r="C330" s="125" t="s">
        <v>5568</v>
      </c>
      <c r="D330" s="118">
        <v>3006</v>
      </c>
      <c r="E330" s="60">
        <f>[1]!'3006.TW-PreClose'</f>
        <v>161</v>
      </c>
      <c r="F330" s="141">
        <f>IFERROR(STOCKS!$E330-STOCKS昨天!$E330,"0")</f>
        <v>1</v>
      </c>
      <c r="G330" s="63">
        <f t="shared" si="5"/>
        <v>6.2111801242236021E-3</v>
      </c>
    </row>
    <row r="331" spans="1:7">
      <c r="A331" s="118">
        <v>3014</v>
      </c>
      <c r="B331" s="60" t="s">
        <v>3963</v>
      </c>
      <c r="C331" s="125" t="s">
        <v>5568</v>
      </c>
      <c r="D331" s="118">
        <v>3014</v>
      </c>
      <c r="E331" s="60">
        <f>[1]!'3014.TW-PreClose'</f>
        <v>106.5</v>
      </c>
      <c r="F331" s="141" t="str">
        <f>IFERROR(STOCKS!$E331-STOCKS昨天!$E331,"0")</f>
        <v>0</v>
      </c>
      <c r="G331" s="63">
        <f t="shared" si="5"/>
        <v>0</v>
      </c>
    </row>
    <row r="332" spans="1:7">
      <c r="A332" s="118">
        <v>3016</v>
      </c>
      <c r="B332" s="60" t="s">
        <v>3964</v>
      </c>
      <c r="C332" s="125" t="s">
        <v>5568</v>
      </c>
      <c r="D332" s="118">
        <v>3016</v>
      </c>
      <c r="E332" s="60">
        <f>[1]!'3016.TW-PreClose'</f>
        <v>135.5</v>
      </c>
      <c r="F332" s="141" t="str">
        <f>IFERROR(STOCKS!$E332-STOCKS昨天!$E332,"0")</f>
        <v>0</v>
      </c>
      <c r="G332" s="63">
        <f t="shared" si="5"/>
        <v>0</v>
      </c>
    </row>
    <row r="333" spans="1:7">
      <c r="A333" s="118">
        <v>3034</v>
      </c>
      <c r="B333" s="60" t="s">
        <v>3965</v>
      </c>
      <c r="C333" s="125" t="s">
        <v>5568</v>
      </c>
      <c r="D333" s="118">
        <v>3034</v>
      </c>
      <c r="E333" s="60">
        <f>[1]!'3034.TW-PreClose'</f>
        <v>485.5</v>
      </c>
      <c r="F333" s="141">
        <f>IFERROR(STOCKS!$E333-STOCKS昨天!$E333,"0")</f>
        <v>2</v>
      </c>
      <c r="G333" s="63">
        <f t="shared" si="5"/>
        <v>4.1194644696189494E-3</v>
      </c>
    </row>
    <row r="334" spans="1:7">
      <c r="A334" s="118">
        <v>3035</v>
      </c>
      <c r="B334" s="60" t="s">
        <v>3966</v>
      </c>
      <c r="C334" s="125" t="s">
        <v>5568</v>
      </c>
      <c r="D334" s="118">
        <v>3035</v>
      </c>
      <c r="E334" s="60" t="str">
        <f>[1]!'3035.TW-PreClose'</f>
        <v>--</v>
      </c>
      <c r="F334" s="141" t="str">
        <f>IFERROR(STOCKS!$E334-STOCKS昨天!$E334,"0")</f>
        <v>0</v>
      </c>
      <c r="G334" s="63" t="str">
        <f t="shared" si="5"/>
        <v>0</v>
      </c>
    </row>
    <row r="335" spans="1:7">
      <c r="A335" s="118">
        <v>3041</v>
      </c>
      <c r="B335" s="60" t="s">
        <v>3967</v>
      </c>
      <c r="C335" s="125" t="s">
        <v>5568</v>
      </c>
      <c r="D335" s="118">
        <v>3041</v>
      </c>
      <c r="E335" s="60">
        <f>[1]!'3041.TW-PreClose'</f>
        <v>34.950000000000003</v>
      </c>
      <c r="F335" s="141" t="str">
        <f>IFERROR(STOCKS!$E335-STOCKS昨天!$E335,"0")</f>
        <v>0</v>
      </c>
      <c r="G335" s="63">
        <f t="shared" si="5"/>
        <v>0</v>
      </c>
    </row>
    <row r="336" spans="1:7">
      <c r="A336" s="118">
        <v>3054</v>
      </c>
      <c r="B336" s="60" t="s">
        <v>3968</v>
      </c>
      <c r="C336" s="125" t="s">
        <v>5568</v>
      </c>
      <c r="D336" s="118">
        <v>3054</v>
      </c>
      <c r="E336" s="60">
        <f>[1]!'3054.TW-PreClose'</f>
        <v>25.7</v>
      </c>
      <c r="F336" s="141" t="str">
        <f>IFERROR(STOCKS!$E336-STOCKS昨天!$E336,"0")</f>
        <v>0</v>
      </c>
      <c r="G336" s="63">
        <f t="shared" si="5"/>
        <v>0</v>
      </c>
    </row>
    <row r="337" spans="1:7">
      <c r="A337" s="118">
        <v>3094</v>
      </c>
      <c r="B337" s="60" t="s">
        <v>3969</v>
      </c>
      <c r="C337" s="125" t="s">
        <v>5568</v>
      </c>
      <c r="D337" s="118">
        <v>3094</v>
      </c>
      <c r="E337" s="60">
        <f>[1]!'3094.TW-PreClose'</f>
        <v>34.950000000000003</v>
      </c>
      <c r="F337" s="141" t="str">
        <f>IFERROR(STOCKS!$E337-STOCKS昨天!$E337,"0")</f>
        <v>0</v>
      </c>
      <c r="G337" s="63">
        <f t="shared" si="5"/>
        <v>0</v>
      </c>
    </row>
    <row r="338" spans="1:7">
      <c r="A338" s="118">
        <v>3189</v>
      </c>
      <c r="B338" s="60" t="s">
        <v>3675</v>
      </c>
      <c r="C338" s="125" t="s">
        <v>5568</v>
      </c>
      <c r="D338" s="118">
        <v>3189</v>
      </c>
      <c r="E338" s="60">
        <f>[1]!'3189.TW-PreClose'</f>
        <v>232</v>
      </c>
      <c r="F338" s="141" t="str">
        <f>IFERROR(STOCKS!$E338-STOCKS昨天!$E338,"0")</f>
        <v>0</v>
      </c>
      <c r="G338" s="63">
        <f t="shared" si="5"/>
        <v>0</v>
      </c>
    </row>
    <row r="339" spans="1:7">
      <c r="A339" s="118">
        <v>3257</v>
      </c>
      <c r="B339" s="60" t="s">
        <v>3970</v>
      </c>
      <c r="C339" s="125" t="s">
        <v>5568</v>
      </c>
      <c r="D339" s="118">
        <v>3257</v>
      </c>
      <c r="E339" s="60" t="str">
        <f>[1]!'3257.TW-PreClose'</f>
        <v>--</v>
      </c>
      <c r="F339" s="141" t="str">
        <f>IFERROR(STOCKS!$E339-STOCKS昨天!$E339,"0")</f>
        <v>0</v>
      </c>
      <c r="G339" s="63" t="str">
        <f t="shared" si="5"/>
        <v>0</v>
      </c>
    </row>
    <row r="340" spans="1:7">
      <c r="A340" s="118">
        <v>3413</v>
      </c>
      <c r="B340" s="60" t="s">
        <v>3971</v>
      </c>
      <c r="C340" s="125" t="s">
        <v>5568</v>
      </c>
      <c r="D340" s="118">
        <v>3413</v>
      </c>
      <c r="E340" s="60">
        <f>[1]!'3413.TW-PreClose'</f>
        <v>214.5</v>
      </c>
      <c r="F340" s="141" t="str">
        <f>IFERROR(STOCKS!$E340-STOCKS昨天!$E340,"0")</f>
        <v>0</v>
      </c>
      <c r="G340" s="63">
        <f t="shared" si="5"/>
        <v>0</v>
      </c>
    </row>
    <row r="341" spans="1:7">
      <c r="A341" s="118">
        <v>3443</v>
      </c>
      <c r="B341" s="60" t="s">
        <v>3652</v>
      </c>
      <c r="C341" s="125" t="s">
        <v>5568</v>
      </c>
      <c r="D341" s="118">
        <v>3443</v>
      </c>
      <c r="E341" s="60">
        <f>[1]!'3443.TW-PreClose'</f>
        <v>582</v>
      </c>
      <c r="F341" s="141" t="str">
        <f>IFERROR(STOCKS!$E341-STOCKS昨天!$E341,"0")</f>
        <v>0</v>
      </c>
      <c r="G341" s="63">
        <f t="shared" si="5"/>
        <v>0</v>
      </c>
    </row>
    <row r="342" spans="1:7">
      <c r="A342" s="118">
        <v>3450</v>
      </c>
      <c r="B342" s="60" t="s">
        <v>4281</v>
      </c>
      <c r="C342" s="125" t="s">
        <v>5568</v>
      </c>
      <c r="D342" s="118">
        <v>3450</v>
      </c>
      <c r="E342" s="60">
        <f>[1]!'3450.TW-PreClose'</f>
        <v>57.8</v>
      </c>
      <c r="F342" s="141" t="str">
        <f>IFERROR(STOCKS!$E342-STOCKS昨天!$E342,"0")</f>
        <v>0</v>
      </c>
      <c r="G342" s="63">
        <f t="shared" si="5"/>
        <v>0</v>
      </c>
    </row>
    <row r="343" spans="1:7">
      <c r="A343" s="118">
        <v>3530</v>
      </c>
      <c r="B343" s="60" t="s">
        <v>3972</v>
      </c>
      <c r="C343" s="125" t="s">
        <v>5568</v>
      </c>
      <c r="D343" s="118">
        <v>3530</v>
      </c>
      <c r="E343" s="60">
        <f>[1]!'3530.TW-PreClose'</f>
        <v>147.5</v>
      </c>
      <c r="F343" s="141" t="str">
        <f>IFERROR(STOCKS!$E343-STOCKS昨天!$E343,"0")</f>
        <v>0</v>
      </c>
      <c r="G343" s="63">
        <f t="shared" si="5"/>
        <v>0</v>
      </c>
    </row>
    <row r="344" spans="1:7">
      <c r="A344" s="118">
        <v>3532</v>
      </c>
      <c r="B344" s="60" t="s">
        <v>3681</v>
      </c>
      <c r="C344" s="125" t="s">
        <v>5568</v>
      </c>
      <c r="D344" s="118">
        <v>3532</v>
      </c>
      <c r="E344" s="60">
        <f>[1]!'3532.TW-PreClose'</f>
        <v>211</v>
      </c>
      <c r="F344" s="141" t="str">
        <f>IFERROR(STOCKS!$E344-STOCKS昨天!$E344,"0")</f>
        <v>0</v>
      </c>
      <c r="G344" s="63">
        <f t="shared" si="5"/>
        <v>0</v>
      </c>
    </row>
    <row r="345" spans="1:7">
      <c r="A345" s="118">
        <v>3536</v>
      </c>
      <c r="B345" s="60" t="s">
        <v>3612</v>
      </c>
      <c r="C345" s="125" t="s">
        <v>5568</v>
      </c>
      <c r="D345" s="118">
        <v>3536</v>
      </c>
      <c r="E345" s="60">
        <f>[1]!'3536.TW-PreClose'</f>
        <v>6.1</v>
      </c>
      <c r="F345" s="141" t="str">
        <f>IFERROR(STOCKS!$E345-STOCKS昨天!$E345,"0")</f>
        <v>0</v>
      </c>
      <c r="G345" s="63">
        <f t="shared" si="5"/>
        <v>0</v>
      </c>
    </row>
    <row r="346" spans="1:7">
      <c r="A346" s="118">
        <v>3545</v>
      </c>
      <c r="B346" s="60" t="s">
        <v>3973</v>
      </c>
      <c r="C346" s="125" t="s">
        <v>5568</v>
      </c>
      <c r="D346" s="118">
        <v>3545</v>
      </c>
      <c r="E346" s="60">
        <f>[1]!'3545.TW-PreClose'</f>
        <v>169</v>
      </c>
      <c r="F346" s="141">
        <f>IFERROR(STOCKS!$E346-STOCKS昨天!$E346,"0")</f>
        <v>1.5</v>
      </c>
      <c r="G346" s="63">
        <f t="shared" si="5"/>
        <v>8.8757396449704144E-3</v>
      </c>
    </row>
    <row r="347" spans="1:7">
      <c r="A347" s="118">
        <v>3583</v>
      </c>
      <c r="B347" s="60" t="s">
        <v>3974</v>
      </c>
      <c r="C347" s="125" t="s">
        <v>5568</v>
      </c>
      <c r="D347" s="118">
        <v>3583</v>
      </c>
      <c r="E347" s="60">
        <f>[1]!'3583.TW-PreClose'</f>
        <v>78.2</v>
      </c>
      <c r="F347" s="141">
        <f>IFERROR(STOCKS!$E347-STOCKS昨天!$E347,"0")</f>
        <v>1.7999999999999972</v>
      </c>
      <c r="G347" s="63">
        <f t="shared" si="5"/>
        <v>2.3017902813299195E-2</v>
      </c>
    </row>
    <row r="348" spans="1:7">
      <c r="A348" s="118">
        <v>3588</v>
      </c>
      <c r="B348" s="60" t="s">
        <v>3975</v>
      </c>
      <c r="C348" s="125" t="s">
        <v>5568</v>
      </c>
      <c r="D348" s="118">
        <v>3588</v>
      </c>
      <c r="E348" s="60">
        <f>[1]!'3588.TW-PreClose'</f>
        <v>152</v>
      </c>
      <c r="F348" s="141">
        <f>IFERROR(STOCKS!$E348-STOCKS昨天!$E348,"0")</f>
        <v>2</v>
      </c>
      <c r="G348" s="63">
        <f t="shared" si="5"/>
        <v>1.3157894736842105E-2</v>
      </c>
    </row>
    <row r="349" spans="1:7">
      <c r="A349" s="118">
        <v>3661</v>
      </c>
      <c r="B349" s="60" t="s">
        <v>3976</v>
      </c>
      <c r="C349" s="125" t="s">
        <v>5569</v>
      </c>
      <c r="D349" s="118">
        <v>3661</v>
      </c>
      <c r="E349" s="60" t="str">
        <f>[1]!'3661.TW-PreClose'</f>
        <v>--</v>
      </c>
      <c r="F349" s="141" t="str">
        <f>IFERROR(STOCKS!$E349-STOCKS昨天!$E349,"0")</f>
        <v>0</v>
      </c>
      <c r="G349" s="63" t="str">
        <f t="shared" si="5"/>
        <v>0</v>
      </c>
    </row>
    <row r="350" spans="1:7">
      <c r="A350" s="118">
        <v>3686</v>
      </c>
      <c r="B350" s="60" t="s">
        <v>3639</v>
      </c>
      <c r="C350" s="125" t="s">
        <v>5568</v>
      </c>
      <c r="D350" s="118">
        <v>3686</v>
      </c>
      <c r="E350" s="60">
        <f>[1]!'3686.TW-PreClose'</f>
        <v>15.6</v>
      </c>
      <c r="F350" s="141" t="str">
        <f>IFERROR(STOCKS!$E350-STOCKS昨天!$E350,"0")</f>
        <v>0</v>
      </c>
      <c r="G350" s="63">
        <f t="shared" si="5"/>
        <v>0</v>
      </c>
    </row>
    <row r="351" spans="1:7">
      <c r="A351" s="118">
        <v>3711</v>
      </c>
      <c r="B351" s="60" t="s">
        <v>3655</v>
      </c>
      <c r="C351" s="125" t="s">
        <v>5568</v>
      </c>
      <c r="D351" s="118">
        <v>3711</v>
      </c>
      <c r="E351" s="60">
        <f>[1]!'3711.TW-PreClose'</f>
        <v>105</v>
      </c>
      <c r="F351" s="141" t="str">
        <f>IFERROR(STOCKS!$E351-STOCKS昨天!$E351,"0")</f>
        <v>0</v>
      </c>
      <c r="G351" s="63">
        <f t="shared" si="5"/>
        <v>0</v>
      </c>
    </row>
    <row r="352" spans="1:7">
      <c r="A352" s="118">
        <v>4919</v>
      </c>
      <c r="B352" s="60" t="s">
        <v>3977</v>
      </c>
      <c r="C352" s="125" t="s">
        <v>5568</v>
      </c>
      <c r="D352" s="118">
        <v>4919</v>
      </c>
      <c r="E352" s="60" t="str">
        <f>[1]!'4919.TW-PreClose'</f>
        <v>--</v>
      </c>
      <c r="F352" s="141" t="str">
        <f>IFERROR(STOCKS!$E352-STOCKS昨天!$E352,"0")</f>
        <v>0</v>
      </c>
      <c r="G352" s="63" t="str">
        <f t="shared" si="5"/>
        <v>0</v>
      </c>
    </row>
    <row r="353" spans="1:7">
      <c r="A353" s="118">
        <v>4952</v>
      </c>
      <c r="B353" s="60" t="s">
        <v>3978</v>
      </c>
      <c r="C353" s="125" t="s">
        <v>5568</v>
      </c>
      <c r="D353" s="118">
        <v>4952</v>
      </c>
      <c r="E353" s="60">
        <f>[1]!'4952.TW-PreClose'</f>
        <v>73</v>
      </c>
      <c r="F353" s="141" t="str">
        <f>IFERROR(STOCKS!$E353-STOCKS昨天!$E353,"0")</f>
        <v>0</v>
      </c>
      <c r="G353" s="63">
        <f t="shared" si="5"/>
        <v>0</v>
      </c>
    </row>
    <row r="354" spans="1:7">
      <c r="A354" s="118">
        <v>4961</v>
      </c>
      <c r="B354" s="60" t="s">
        <v>3979</v>
      </c>
      <c r="C354" s="125" t="s">
        <v>5568</v>
      </c>
      <c r="D354" s="118">
        <v>4961</v>
      </c>
      <c r="E354" s="60">
        <f>[1]!'4961.TW-PreClose'</f>
        <v>256.5</v>
      </c>
      <c r="F354" s="141">
        <f>IFERROR(STOCKS!$E354-STOCKS昨天!$E354,"0")</f>
        <v>3.5</v>
      </c>
      <c r="G354" s="63">
        <f t="shared" si="5"/>
        <v>1.364522417153996E-2</v>
      </c>
    </row>
    <row r="355" spans="1:7">
      <c r="A355" s="118">
        <v>4967</v>
      </c>
      <c r="B355" s="60" t="s">
        <v>3980</v>
      </c>
      <c r="C355" s="125" t="s">
        <v>5568</v>
      </c>
      <c r="D355" s="118">
        <v>4967</v>
      </c>
      <c r="E355" s="60">
        <f>[1]!'4967.TW-PreClose'</f>
        <v>48</v>
      </c>
      <c r="F355" s="141" t="str">
        <f>IFERROR(STOCKS!$E355-STOCKS昨天!$E355,"0")</f>
        <v>0</v>
      </c>
      <c r="G355" s="63">
        <f t="shared" si="5"/>
        <v>0</v>
      </c>
    </row>
    <row r="356" spans="1:7">
      <c r="A356" s="118">
        <v>4968</v>
      </c>
      <c r="B356" s="60" t="s">
        <v>3981</v>
      </c>
      <c r="C356" s="125" t="s">
        <v>5568</v>
      </c>
      <c r="D356" s="118">
        <v>4968</v>
      </c>
      <c r="E356" s="60">
        <f>[1]!'4968.TW-PreClose'</f>
        <v>309.5</v>
      </c>
      <c r="F356" s="141" t="str">
        <f>IFERROR(STOCKS!$E356-STOCKS昨天!$E356,"0")</f>
        <v>0</v>
      </c>
      <c r="G356" s="63">
        <f t="shared" si="5"/>
        <v>0</v>
      </c>
    </row>
    <row r="357" spans="1:7">
      <c r="A357" s="118">
        <v>5222</v>
      </c>
      <c r="B357" s="60" t="s">
        <v>5303</v>
      </c>
      <c r="C357" s="125" t="s">
        <v>5568</v>
      </c>
      <c r="D357" s="118">
        <v>5222</v>
      </c>
      <c r="E357" s="60" t="str">
        <f>[1]!'5222.TW-PreClose'</f>
        <v>--</v>
      </c>
      <c r="F357" s="141" t="str">
        <f>IFERROR(STOCKS!$E357-STOCKS昨天!$E357,"0")</f>
        <v>0</v>
      </c>
      <c r="G357" s="63" t="str">
        <f t="shared" si="5"/>
        <v>0</v>
      </c>
    </row>
    <row r="358" spans="1:7">
      <c r="A358" s="118">
        <v>5269</v>
      </c>
      <c r="B358" s="60" t="s">
        <v>3519</v>
      </c>
      <c r="C358" s="125" t="s">
        <v>5568</v>
      </c>
      <c r="D358" s="118">
        <v>5269</v>
      </c>
      <c r="E358" s="60">
        <f>[1]!'5269.TW-PreClose'</f>
        <v>1955</v>
      </c>
      <c r="F358" s="141" t="str">
        <f>IFERROR(STOCKS!$E358-STOCKS昨天!$E358,"0")</f>
        <v>0</v>
      </c>
      <c r="G358" s="63">
        <f t="shared" si="5"/>
        <v>0</v>
      </c>
    </row>
    <row r="359" spans="1:7">
      <c r="A359" s="118">
        <v>5285</v>
      </c>
      <c r="B359" s="60" t="s">
        <v>3982</v>
      </c>
      <c r="C359" s="125" t="s">
        <v>5568</v>
      </c>
      <c r="D359" s="118">
        <v>5285</v>
      </c>
      <c r="E359" s="60">
        <f>[1]!'5285.TW-PreClose'</f>
        <v>112.5</v>
      </c>
      <c r="F359" s="141" t="str">
        <f>IFERROR(STOCKS!$E359-STOCKS昨天!$E359,"0")</f>
        <v>0</v>
      </c>
      <c r="G359" s="63">
        <f t="shared" si="5"/>
        <v>0</v>
      </c>
    </row>
    <row r="360" spans="1:7">
      <c r="A360" s="118">
        <v>5471</v>
      </c>
      <c r="B360" s="60" t="s">
        <v>3983</v>
      </c>
      <c r="C360" s="125" t="s">
        <v>5568</v>
      </c>
      <c r="D360" s="118">
        <v>5471</v>
      </c>
      <c r="E360" s="60">
        <f>[1]!'5471.TW-PreClose'</f>
        <v>91.6</v>
      </c>
      <c r="F360" s="141" t="str">
        <f>IFERROR(STOCKS!$E360-STOCKS昨天!$E360,"0")</f>
        <v>0</v>
      </c>
      <c r="G360" s="63">
        <f t="shared" si="5"/>
        <v>0</v>
      </c>
    </row>
    <row r="361" spans="1:7">
      <c r="A361" s="118">
        <v>6202</v>
      </c>
      <c r="B361" s="60" t="s">
        <v>3984</v>
      </c>
      <c r="C361" s="125" t="s">
        <v>5568</v>
      </c>
      <c r="D361" s="118">
        <v>6202</v>
      </c>
      <c r="E361" s="60">
        <f>[1]!'6202.TW-PreClose'</f>
        <v>108.5</v>
      </c>
      <c r="F361" s="141" t="str">
        <f>IFERROR(STOCKS!$E361-STOCKS昨天!$E361,"0")</f>
        <v>0</v>
      </c>
      <c r="G361" s="63">
        <f t="shared" si="5"/>
        <v>0</v>
      </c>
    </row>
    <row r="362" spans="1:7">
      <c r="A362" s="118">
        <v>6239</v>
      </c>
      <c r="B362" s="60" t="s">
        <v>3687</v>
      </c>
      <c r="C362" s="125" t="s">
        <v>5568</v>
      </c>
      <c r="D362" s="118">
        <v>6239</v>
      </c>
      <c r="E362" s="60">
        <f>[1]!'6239.TW-PreClose'</f>
        <v>99.1</v>
      </c>
      <c r="F362" s="141" t="str">
        <f>IFERROR(STOCKS!$E362-STOCKS昨天!$E362,"0")</f>
        <v>0</v>
      </c>
      <c r="G362" s="63">
        <f t="shared" si="5"/>
        <v>0</v>
      </c>
    </row>
    <row r="363" spans="1:7">
      <c r="A363" s="118">
        <v>6257</v>
      </c>
      <c r="B363" s="60" t="s">
        <v>3985</v>
      </c>
      <c r="C363" s="125" t="s">
        <v>5568</v>
      </c>
      <c r="D363" s="118">
        <v>6257</v>
      </c>
      <c r="E363" s="60">
        <f>[1]!'6257.TW-PreClose'</f>
        <v>60.6</v>
      </c>
      <c r="F363" s="141" t="str">
        <f>IFERROR(STOCKS!$E363-STOCKS昨天!$E363,"0")</f>
        <v>0</v>
      </c>
      <c r="G363" s="63">
        <f t="shared" si="5"/>
        <v>0</v>
      </c>
    </row>
    <row r="364" spans="1:7">
      <c r="A364" s="118">
        <v>6271</v>
      </c>
      <c r="B364" s="60" t="s">
        <v>3986</v>
      </c>
      <c r="C364" s="125" t="s">
        <v>5568</v>
      </c>
      <c r="D364" s="118">
        <v>6271</v>
      </c>
      <c r="E364" s="60">
        <f>[1]!'6271.TW-PreClose'</f>
        <v>313.5</v>
      </c>
      <c r="F364" s="141">
        <f>IFERROR(STOCKS!$E364-STOCKS昨天!$E364,"0")</f>
        <v>3.5</v>
      </c>
      <c r="G364" s="63">
        <f t="shared" si="5"/>
        <v>1.1164274322169059E-2</v>
      </c>
    </row>
    <row r="365" spans="1:7">
      <c r="A365" s="118">
        <v>6415</v>
      </c>
      <c r="B365" s="60" t="s">
        <v>3987</v>
      </c>
      <c r="C365" s="125" t="s">
        <v>5569</v>
      </c>
      <c r="D365" s="118">
        <v>6415</v>
      </c>
      <c r="E365" s="60">
        <f>[1]!'6415.TW-PreClose'</f>
        <v>4705</v>
      </c>
      <c r="F365" s="141" t="str">
        <f>IFERROR(STOCKS!$E365-STOCKS昨天!$E365,"0")</f>
        <v>0</v>
      </c>
      <c r="G365" s="63">
        <f t="shared" si="5"/>
        <v>0</v>
      </c>
    </row>
    <row r="366" spans="1:7">
      <c r="A366" s="118">
        <v>6451</v>
      </c>
      <c r="B366" s="60" t="s">
        <v>3636</v>
      </c>
      <c r="C366" s="125" t="s">
        <v>5569</v>
      </c>
      <c r="D366" s="118">
        <v>6451</v>
      </c>
      <c r="E366" s="60">
        <f>[1]!'6451.TW-PreClose'</f>
        <v>101.5</v>
      </c>
      <c r="F366" s="141" t="str">
        <f>IFERROR(STOCKS!$E366-STOCKS昨天!$E366,"0")</f>
        <v>0</v>
      </c>
      <c r="G366" s="63">
        <f t="shared" si="5"/>
        <v>0</v>
      </c>
    </row>
    <row r="367" spans="1:7">
      <c r="A367" s="118">
        <v>6515</v>
      </c>
      <c r="B367" s="60" t="s">
        <v>3988</v>
      </c>
      <c r="C367" s="125" t="s">
        <v>5568</v>
      </c>
      <c r="D367" s="118">
        <v>6515</v>
      </c>
      <c r="E367" s="60" t="str">
        <f>[1]!'6515.TW-PreClose'</f>
        <v>--</v>
      </c>
      <c r="F367" s="141" t="str">
        <f>IFERROR(STOCKS!$E367-STOCKS昨天!$E367,"0")</f>
        <v>0</v>
      </c>
      <c r="G367" s="63" t="str">
        <f t="shared" si="5"/>
        <v>0</v>
      </c>
    </row>
    <row r="368" spans="1:7">
      <c r="A368" s="118">
        <v>6525</v>
      </c>
      <c r="B368" s="60" t="s">
        <v>3669</v>
      </c>
      <c r="C368" s="125" t="s">
        <v>5569</v>
      </c>
      <c r="D368" s="118">
        <v>6525</v>
      </c>
      <c r="E368" s="60" t="str">
        <f>[1]!'6525.TW-PreClose'</f>
        <v>--</v>
      </c>
      <c r="F368" s="141" t="str">
        <f>IFERROR(STOCKS!$E368-STOCKS昨天!$E368,"0")</f>
        <v>0</v>
      </c>
      <c r="G368" s="63" t="str">
        <f t="shared" si="5"/>
        <v>0</v>
      </c>
    </row>
    <row r="369" spans="1:7">
      <c r="A369" s="118">
        <v>6531</v>
      </c>
      <c r="B369" s="60" t="s">
        <v>5513</v>
      </c>
      <c r="C369" s="125" t="s">
        <v>5568</v>
      </c>
      <c r="D369" s="118">
        <v>6531</v>
      </c>
      <c r="E369" s="60">
        <f>[1]!'6531.TW-PreClose'</f>
        <v>515</v>
      </c>
      <c r="F369" s="141" t="str">
        <f>IFERROR(STOCKS!$E369-STOCKS昨天!$E369,"0")</f>
        <v>0</v>
      </c>
      <c r="G369" s="63">
        <f t="shared" si="5"/>
        <v>0</v>
      </c>
    </row>
    <row r="370" spans="1:7">
      <c r="A370" s="118">
        <v>6533</v>
      </c>
      <c r="B370" s="60" t="s">
        <v>3989</v>
      </c>
      <c r="C370" s="125" t="s">
        <v>5568</v>
      </c>
      <c r="D370" s="118">
        <v>6533</v>
      </c>
      <c r="E370" s="60">
        <f>[1]!'6533.TW-PreClose'</f>
        <v>577</v>
      </c>
      <c r="F370" s="141" t="str">
        <f>IFERROR(STOCKS!$E370-STOCKS昨天!$E370,"0")</f>
        <v>0</v>
      </c>
      <c r="G370" s="63">
        <f t="shared" si="5"/>
        <v>0</v>
      </c>
    </row>
    <row r="371" spans="1:7">
      <c r="A371" s="118">
        <v>6552</v>
      </c>
      <c r="B371" s="60" t="s">
        <v>3990</v>
      </c>
      <c r="C371" s="125" t="s">
        <v>5568</v>
      </c>
      <c r="D371" s="118">
        <v>6552</v>
      </c>
      <c r="E371" s="60">
        <f>[1]!'6552.TW-PreClose'</f>
        <v>55.8</v>
      </c>
      <c r="F371" s="141" t="str">
        <f>IFERROR(STOCKS!$E371-STOCKS昨天!$E371,"0")</f>
        <v>0</v>
      </c>
      <c r="G371" s="63">
        <f t="shared" si="5"/>
        <v>0</v>
      </c>
    </row>
    <row r="372" spans="1:7">
      <c r="A372" s="118">
        <v>6573</v>
      </c>
      <c r="B372" s="60" t="s">
        <v>3991</v>
      </c>
      <c r="C372" s="125" t="s">
        <v>5569</v>
      </c>
      <c r="D372" s="118">
        <v>6573</v>
      </c>
      <c r="E372" s="60">
        <f>[1]!'6573.TW-PreClose'</f>
        <v>22.8</v>
      </c>
      <c r="F372" s="141" t="str">
        <f>IFERROR(STOCKS!$E372-STOCKS昨天!$E372,"0")</f>
        <v>0</v>
      </c>
      <c r="G372" s="63">
        <f t="shared" si="5"/>
        <v>0</v>
      </c>
    </row>
    <row r="373" spans="1:7">
      <c r="A373" s="118">
        <v>6756</v>
      </c>
      <c r="B373" s="60" t="s">
        <v>3992</v>
      </c>
      <c r="C373" s="125" t="s">
        <v>5568</v>
      </c>
      <c r="D373" s="118">
        <v>6756</v>
      </c>
      <c r="E373" s="60">
        <f>[1]!'6756.TW-PreClose'</f>
        <v>565</v>
      </c>
      <c r="F373" s="141">
        <f>IFERROR(STOCKS!$E373-STOCKS昨天!$E373,"0")</f>
        <v>5</v>
      </c>
      <c r="G373" s="63">
        <f t="shared" si="5"/>
        <v>8.8495575221238937E-3</v>
      </c>
    </row>
    <row r="374" spans="1:7">
      <c r="A374" s="118">
        <v>8016</v>
      </c>
      <c r="B374" s="60" t="s">
        <v>3993</v>
      </c>
      <c r="C374" s="125" t="s">
        <v>5568</v>
      </c>
      <c r="D374" s="118">
        <v>8016</v>
      </c>
      <c r="E374" s="60">
        <f>[1]!'8016.TW-PreClose'</f>
        <v>281.5</v>
      </c>
      <c r="F374" s="141" t="str">
        <f>IFERROR(STOCKS!$E374-STOCKS昨天!$E374,"0")</f>
        <v>0</v>
      </c>
      <c r="G374" s="63">
        <f t="shared" si="5"/>
        <v>0</v>
      </c>
    </row>
    <row r="375" spans="1:7">
      <c r="A375" s="118">
        <v>8028</v>
      </c>
      <c r="B375" s="60" t="s">
        <v>3994</v>
      </c>
      <c r="C375" s="125" t="s">
        <v>5568</v>
      </c>
      <c r="D375" s="118">
        <v>8028</v>
      </c>
      <c r="E375" s="60">
        <f>[1]!'8028.TW-PreClose'</f>
        <v>50.5</v>
      </c>
      <c r="F375" s="141" t="str">
        <f>IFERROR(STOCKS!$E375-STOCKS昨天!$E375,"0")</f>
        <v>0</v>
      </c>
      <c r="G375" s="63">
        <f t="shared" si="5"/>
        <v>0</v>
      </c>
    </row>
    <row r="376" spans="1:7">
      <c r="A376" s="118">
        <v>8081</v>
      </c>
      <c r="B376" s="60" t="s">
        <v>3594</v>
      </c>
      <c r="C376" s="125" t="s">
        <v>5568</v>
      </c>
      <c r="D376" s="118">
        <v>8081</v>
      </c>
      <c r="E376" s="60" t="str">
        <f>[1]!'8081.TW-PreClose'</f>
        <v>--</v>
      </c>
      <c r="F376" s="141" t="str">
        <f>IFERROR(STOCKS!$E376-STOCKS昨天!$E376,"0")</f>
        <v>0</v>
      </c>
      <c r="G376" s="63" t="str">
        <f t="shared" si="5"/>
        <v>0</v>
      </c>
    </row>
    <row r="377" spans="1:7">
      <c r="A377" s="118">
        <v>8110</v>
      </c>
      <c r="B377" s="60" t="s">
        <v>3995</v>
      </c>
      <c r="C377" s="125" t="s">
        <v>5568</v>
      </c>
      <c r="D377" s="118">
        <v>8110</v>
      </c>
      <c r="E377" s="60">
        <f>[1]!'8110.TW-PreClose'</f>
        <v>18.5</v>
      </c>
      <c r="F377" s="141" t="str">
        <f>IFERROR(STOCKS!$E377-STOCKS昨天!$E377,"0")</f>
        <v>0</v>
      </c>
      <c r="G377" s="63">
        <f t="shared" si="5"/>
        <v>0</v>
      </c>
    </row>
    <row r="378" spans="1:7">
      <c r="A378" s="118">
        <v>8131</v>
      </c>
      <c r="B378" s="60" t="s">
        <v>3996</v>
      </c>
      <c r="C378" s="125" t="s">
        <v>5568</v>
      </c>
      <c r="D378" s="118">
        <v>8131</v>
      </c>
      <c r="E378" s="60">
        <f>[1]!'8131.TW-PreClose'</f>
        <v>39.200000000000003</v>
      </c>
      <c r="F378" s="141" t="str">
        <f>IFERROR(STOCKS!$E378-STOCKS昨天!$E378,"0")</f>
        <v>0</v>
      </c>
      <c r="G378" s="63">
        <f t="shared" si="5"/>
        <v>0</v>
      </c>
    </row>
    <row r="379" spans="1:7">
      <c r="A379" s="118">
        <v>8150</v>
      </c>
      <c r="B379" s="60" t="s">
        <v>3997</v>
      </c>
      <c r="C379" s="125" t="s">
        <v>5568</v>
      </c>
      <c r="D379" s="118">
        <v>8150</v>
      </c>
      <c r="E379" s="60">
        <f>[1]!'8150.TW-PreClose'</f>
        <v>46.25</v>
      </c>
      <c r="F379" s="141" t="str">
        <f>IFERROR(STOCKS!$E379-STOCKS昨天!$E379,"0")</f>
        <v>0</v>
      </c>
      <c r="G379" s="63">
        <f t="shared" si="5"/>
        <v>0</v>
      </c>
    </row>
    <row r="380" spans="1:7">
      <c r="A380" s="118">
        <v>8261</v>
      </c>
      <c r="B380" s="60" t="s">
        <v>3998</v>
      </c>
      <c r="C380" s="125" t="s">
        <v>5568</v>
      </c>
      <c r="D380" s="118">
        <v>8261</v>
      </c>
      <c r="E380" s="60" t="str">
        <f>[1]!'8261.TW-PreClose'</f>
        <v>--</v>
      </c>
      <c r="F380" s="141" t="str">
        <f>IFERROR(STOCKS!$E380-STOCKS昨天!$E380,"0")</f>
        <v>0</v>
      </c>
      <c r="G380" s="63" t="str">
        <f t="shared" si="5"/>
        <v>0</v>
      </c>
    </row>
    <row r="381" spans="1:7">
      <c r="A381" s="118">
        <v>8271</v>
      </c>
      <c r="B381" s="60" t="s">
        <v>3999</v>
      </c>
      <c r="C381" s="125" t="s">
        <v>5568</v>
      </c>
      <c r="D381" s="118">
        <v>8271</v>
      </c>
      <c r="E381" s="60" t="str">
        <f>[1]!'8271.TW-PreClose'</f>
        <v>--</v>
      </c>
      <c r="F381" s="141" t="str">
        <f>IFERROR(STOCKS!$E381-STOCKS昨天!$E381,"0")</f>
        <v>0</v>
      </c>
      <c r="G381" s="63" t="str">
        <f t="shared" si="5"/>
        <v>0</v>
      </c>
    </row>
    <row r="382" spans="1:7">
      <c r="A382" s="118">
        <v>2301</v>
      </c>
      <c r="B382" s="60" t="s">
        <v>4000</v>
      </c>
      <c r="C382" s="125" t="s">
        <v>5570</v>
      </c>
      <c r="D382" s="118">
        <v>2301</v>
      </c>
      <c r="E382" s="60">
        <f>[1]!'2301.TW-PreClose'</f>
        <v>60.4</v>
      </c>
      <c r="F382" s="141">
        <f>IFERROR(STOCKS!$E382-STOCKS昨天!$E382,"0")</f>
        <v>0.60000000000000142</v>
      </c>
      <c r="G382" s="63">
        <f t="shared" si="5"/>
        <v>9.9337748344371091E-3</v>
      </c>
    </row>
    <row r="383" spans="1:7">
      <c r="A383" s="118">
        <v>2305</v>
      </c>
      <c r="B383" s="60" t="s">
        <v>4001</v>
      </c>
      <c r="C383" s="125" t="s">
        <v>5570</v>
      </c>
      <c r="D383" s="118">
        <v>2305</v>
      </c>
      <c r="E383" s="60">
        <f>[1]!'2305.TW-PreClose'</f>
        <v>8.31</v>
      </c>
      <c r="F383" s="141" t="str">
        <f>IFERROR(STOCKS!$E383-STOCKS昨天!$E383,"0")</f>
        <v>0</v>
      </c>
      <c r="G383" s="63">
        <f t="shared" si="5"/>
        <v>0</v>
      </c>
    </row>
    <row r="384" spans="1:7">
      <c r="A384" s="118">
        <v>2324</v>
      </c>
      <c r="B384" s="60" t="s">
        <v>4002</v>
      </c>
      <c r="C384" s="125" t="s">
        <v>5570</v>
      </c>
      <c r="D384" s="118">
        <v>2324</v>
      </c>
      <c r="E384" s="60">
        <f>[1]!'2324.TW-PreClose'</f>
        <v>23.55</v>
      </c>
      <c r="F384" s="141">
        <f>IFERROR(STOCKS!$E384-STOCKS昨天!$E384,"0")</f>
        <v>0.14999999999999858</v>
      </c>
      <c r="G384" s="63">
        <f t="shared" si="5"/>
        <v>6.3694267515922963E-3</v>
      </c>
    </row>
    <row r="385" spans="1:7">
      <c r="A385" s="118">
        <v>2331</v>
      </c>
      <c r="B385" s="60" t="s">
        <v>4003</v>
      </c>
      <c r="C385" s="125" t="s">
        <v>5570</v>
      </c>
      <c r="D385" s="118">
        <v>2331</v>
      </c>
      <c r="E385" s="60">
        <f>[1]!'2331.TW-PreClose'</f>
        <v>23.15</v>
      </c>
      <c r="F385" s="141" t="str">
        <f>IFERROR(STOCKS!$E385-STOCKS昨天!$E385,"0")</f>
        <v>0</v>
      </c>
      <c r="G385" s="63">
        <f t="shared" si="5"/>
        <v>0</v>
      </c>
    </row>
    <row r="386" spans="1:7">
      <c r="A386" s="118">
        <v>2352</v>
      </c>
      <c r="B386" s="60" t="s">
        <v>4004</v>
      </c>
      <c r="C386" s="125" t="s">
        <v>5570</v>
      </c>
      <c r="D386" s="118">
        <v>2352</v>
      </c>
      <c r="E386" s="60">
        <f>[1]!'2352.TW-PreClose'</f>
        <v>29.9</v>
      </c>
      <c r="F386" s="141" t="str">
        <f>IFERROR(STOCKS!$E386-STOCKS昨天!$E386,"0")</f>
        <v>0</v>
      </c>
      <c r="G386" s="63">
        <f t="shared" si="5"/>
        <v>0</v>
      </c>
    </row>
    <row r="387" spans="1:7">
      <c r="A387" s="118">
        <v>2353</v>
      </c>
      <c r="B387" s="60" t="s">
        <v>4005</v>
      </c>
      <c r="C387" s="125" t="s">
        <v>5570</v>
      </c>
      <c r="D387" s="118">
        <v>2353</v>
      </c>
      <c r="E387" s="60" t="str">
        <f>[1]!'2353.TW-PreClose'</f>
        <v>--</v>
      </c>
      <c r="F387" s="141" t="str">
        <f>IFERROR(STOCKS!$E387-STOCKS昨天!$E387,"0")</f>
        <v>0</v>
      </c>
      <c r="G387" s="63" t="str">
        <f t="shared" ref="G387:G450" si="6">IFERROR($F387/$E387,"0")</f>
        <v>0</v>
      </c>
    </row>
    <row r="388" spans="1:7">
      <c r="A388" s="118">
        <v>2356</v>
      </c>
      <c r="B388" s="60" t="s">
        <v>4006</v>
      </c>
      <c r="C388" s="125" t="s">
        <v>5570</v>
      </c>
      <c r="D388" s="118">
        <v>2356</v>
      </c>
      <c r="E388" s="60">
        <f>[1]!'2356.TW-PreClose'</f>
        <v>25.8</v>
      </c>
      <c r="F388" s="141" t="str">
        <f>IFERROR(STOCKS!$E388-STOCKS昨天!$E388,"0")</f>
        <v>0</v>
      </c>
      <c r="G388" s="63">
        <f t="shared" si="6"/>
        <v>0</v>
      </c>
    </row>
    <row r="389" spans="1:7">
      <c r="A389" s="118">
        <v>2357</v>
      </c>
      <c r="B389" s="60" t="s">
        <v>4007</v>
      </c>
      <c r="C389" s="125" t="s">
        <v>5570</v>
      </c>
      <c r="D389" s="118">
        <v>2357</v>
      </c>
      <c r="E389" s="60">
        <f>[1]!'2357.TW-PreClose'</f>
        <v>352.5</v>
      </c>
      <c r="F389" s="141" t="str">
        <f>IFERROR(STOCKS!$E389-STOCKS昨天!$E389,"0")</f>
        <v>0</v>
      </c>
      <c r="G389" s="63">
        <f t="shared" si="6"/>
        <v>0</v>
      </c>
    </row>
    <row r="390" spans="1:7">
      <c r="A390" s="118">
        <v>2362</v>
      </c>
      <c r="B390" s="60" t="s">
        <v>4008</v>
      </c>
      <c r="C390" s="125" t="s">
        <v>5570</v>
      </c>
      <c r="D390" s="118">
        <v>2362</v>
      </c>
      <c r="E390" s="60">
        <f>[1]!'2362.TW-PreClose'</f>
        <v>32.1</v>
      </c>
      <c r="F390" s="141" t="str">
        <f>IFERROR(STOCKS!$E390-STOCKS昨天!$E390,"0")</f>
        <v>0</v>
      </c>
      <c r="G390" s="63">
        <f t="shared" si="6"/>
        <v>0</v>
      </c>
    </row>
    <row r="391" spans="1:7">
      <c r="A391" s="118">
        <v>2364</v>
      </c>
      <c r="B391" s="60" t="s">
        <v>4009</v>
      </c>
      <c r="C391" s="125" t="s">
        <v>5570</v>
      </c>
      <c r="D391" s="118">
        <v>2364</v>
      </c>
      <c r="E391" s="60" t="str">
        <f>[1]!'2364.TW-PreClose'</f>
        <v>--</v>
      </c>
      <c r="F391" s="141" t="str">
        <f>IFERROR(STOCKS!$E391-STOCKS昨天!$E391,"0")</f>
        <v>0</v>
      </c>
      <c r="G391" s="63" t="str">
        <f t="shared" si="6"/>
        <v>0</v>
      </c>
    </row>
    <row r="392" spans="1:7">
      <c r="A392" s="118">
        <v>2365</v>
      </c>
      <c r="B392" s="60" t="s">
        <v>4010</v>
      </c>
      <c r="C392" s="125" t="s">
        <v>5570</v>
      </c>
      <c r="D392" s="118">
        <v>2365</v>
      </c>
      <c r="E392" s="60">
        <f>[1]!'2365.TW-PreClose'</f>
        <v>10.8</v>
      </c>
      <c r="F392" s="141" t="str">
        <f>IFERROR(STOCKS!$E392-STOCKS昨天!$E392,"0")</f>
        <v>0</v>
      </c>
      <c r="G392" s="63">
        <f t="shared" si="6"/>
        <v>0</v>
      </c>
    </row>
    <row r="393" spans="1:7">
      <c r="A393" s="118">
        <v>2376</v>
      </c>
      <c r="B393" s="60" t="s">
        <v>3690</v>
      </c>
      <c r="C393" s="125" t="s">
        <v>5570</v>
      </c>
      <c r="D393" s="118">
        <v>2376</v>
      </c>
      <c r="E393" s="60">
        <f>[1]!'2376.TW-PreClose'</f>
        <v>134.5</v>
      </c>
      <c r="F393" s="141">
        <f>IFERROR(STOCKS!$E393-STOCKS昨天!$E393,"0")</f>
        <v>0.5</v>
      </c>
      <c r="G393" s="63">
        <f t="shared" si="6"/>
        <v>3.7174721189591076E-3</v>
      </c>
    </row>
    <row r="394" spans="1:7">
      <c r="A394" s="118">
        <v>2377</v>
      </c>
      <c r="B394" s="60" t="s">
        <v>4011</v>
      </c>
      <c r="C394" s="125" t="s">
        <v>5570</v>
      </c>
      <c r="D394" s="118">
        <v>2377</v>
      </c>
      <c r="E394" s="60">
        <f>[1]!'2377.TW-PreClose'</f>
        <v>161</v>
      </c>
      <c r="F394" s="141" t="str">
        <f>IFERROR(STOCKS!$E394-STOCKS昨天!$E394,"0")</f>
        <v>0</v>
      </c>
      <c r="G394" s="63">
        <f t="shared" si="6"/>
        <v>0</v>
      </c>
    </row>
    <row r="395" spans="1:7">
      <c r="A395" s="118">
        <v>2380</v>
      </c>
      <c r="B395" s="60" t="s">
        <v>3635</v>
      </c>
      <c r="C395" s="125" t="s">
        <v>5570</v>
      </c>
      <c r="D395" s="118">
        <v>2380</v>
      </c>
      <c r="E395" s="60">
        <f>[1]!'2380.TW-PreClose'</f>
        <v>10.7</v>
      </c>
      <c r="F395" s="141" t="str">
        <f>IFERROR(STOCKS!$E395-STOCKS昨天!$E395,"0")</f>
        <v>0</v>
      </c>
      <c r="G395" s="63">
        <f t="shared" si="6"/>
        <v>0</v>
      </c>
    </row>
    <row r="396" spans="1:7">
      <c r="A396" s="118">
        <v>2382</v>
      </c>
      <c r="B396" s="60" t="s">
        <v>4012</v>
      </c>
      <c r="C396" s="125" t="s">
        <v>5570</v>
      </c>
      <c r="D396" s="118">
        <v>2382</v>
      </c>
      <c r="E396" s="60">
        <f>[1]!'2382.TW-PreClose'</f>
        <v>87.6</v>
      </c>
      <c r="F396" s="141" t="str">
        <f>IFERROR(STOCKS!$E396-STOCKS昨天!$E396,"0")</f>
        <v>0</v>
      </c>
      <c r="G396" s="63">
        <f t="shared" si="6"/>
        <v>0</v>
      </c>
    </row>
    <row r="397" spans="1:7">
      <c r="A397" s="118">
        <v>2387</v>
      </c>
      <c r="B397" s="60" t="s">
        <v>4013</v>
      </c>
      <c r="C397" s="125" t="s">
        <v>5570</v>
      </c>
      <c r="D397" s="118">
        <v>2387</v>
      </c>
      <c r="E397" s="60" t="str">
        <f>[1]!'2387.TW-PreClose'</f>
        <v>--</v>
      </c>
      <c r="F397" s="141" t="str">
        <f>IFERROR(STOCKS!$E397-STOCKS昨天!$E397,"0")</f>
        <v>0</v>
      </c>
      <c r="G397" s="63" t="str">
        <f t="shared" si="6"/>
        <v>0</v>
      </c>
    </row>
    <row r="398" spans="1:7">
      <c r="A398" s="118">
        <v>2395</v>
      </c>
      <c r="B398" s="60" t="s">
        <v>3664</v>
      </c>
      <c r="C398" s="125" t="s">
        <v>5570</v>
      </c>
      <c r="D398" s="118">
        <v>2395</v>
      </c>
      <c r="E398" s="60">
        <f>[1]!'2395.TW-PreClose'</f>
        <v>387</v>
      </c>
      <c r="F398" s="141" t="str">
        <f>IFERROR(STOCKS!$E398-STOCKS昨天!$E398,"0")</f>
        <v>0</v>
      </c>
      <c r="G398" s="63">
        <f t="shared" si="6"/>
        <v>0</v>
      </c>
    </row>
    <row r="399" spans="1:7">
      <c r="A399" s="118">
        <v>2397</v>
      </c>
      <c r="B399" s="60" t="s">
        <v>4014</v>
      </c>
      <c r="C399" s="125" t="s">
        <v>5570</v>
      </c>
      <c r="D399" s="118">
        <v>2397</v>
      </c>
      <c r="E399" s="60">
        <f>[1]!'2397.TW-PreClose'</f>
        <v>57.1</v>
      </c>
      <c r="F399" s="141" t="str">
        <f>IFERROR(STOCKS!$E399-STOCKS昨天!$E399,"0")</f>
        <v>0</v>
      </c>
      <c r="G399" s="63">
        <f t="shared" si="6"/>
        <v>0</v>
      </c>
    </row>
    <row r="400" spans="1:7">
      <c r="A400" s="118">
        <v>2399</v>
      </c>
      <c r="B400" s="60" t="s">
        <v>3570</v>
      </c>
      <c r="C400" s="125" t="s">
        <v>5570</v>
      </c>
      <c r="D400" s="118">
        <v>2399</v>
      </c>
      <c r="E400" s="60">
        <f>[1]!'2399.TW-PreClose'</f>
        <v>22.55</v>
      </c>
      <c r="F400" s="141">
        <f>IFERROR(STOCKS!$E400-STOCKS昨天!$E400,"0")</f>
        <v>0.30000000000000071</v>
      </c>
      <c r="G400" s="63">
        <f t="shared" si="6"/>
        <v>1.3303769401330408E-2</v>
      </c>
    </row>
    <row r="401" spans="1:7">
      <c r="A401" s="118">
        <v>2405</v>
      </c>
      <c r="B401" s="60" t="s">
        <v>4015</v>
      </c>
      <c r="C401" s="125" t="s">
        <v>5570</v>
      </c>
      <c r="D401" s="118">
        <v>2405</v>
      </c>
      <c r="E401" s="60">
        <f>[1]!'2405.TW-PreClose'</f>
        <v>12.2</v>
      </c>
      <c r="F401" s="141" t="str">
        <f>IFERROR(STOCKS!$E401-STOCKS昨天!$E401,"0")</f>
        <v>0</v>
      </c>
      <c r="G401" s="63">
        <f t="shared" si="6"/>
        <v>0</v>
      </c>
    </row>
    <row r="402" spans="1:7">
      <c r="A402" s="118">
        <v>2417</v>
      </c>
      <c r="B402" s="60" t="s">
        <v>3595</v>
      </c>
      <c r="C402" s="125" t="s">
        <v>5570</v>
      </c>
      <c r="D402" s="118">
        <v>2417</v>
      </c>
      <c r="E402" s="60">
        <f>[1]!'2417.TW-PreClose'</f>
        <v>25</v>
      </c>
      <c r="F402" s="141" t="str">
        <f>IFERROR(STOCKS!$E402-STOCKS昨天!$E402,"0")</f>
        <v>0</v>
      </c>
      <c r="G402" s="63">
        <f t="shared" si="6"/>
        <v>0</v>
      </c>
    </row>
    <row r="403" spans="1:7">
      <c r="A403" s="118">
        <v>2424</v>
      </c>
      <c r="B403" s="60" t="s">
        <v>4016</v>
      </c>
      <c r="C403" s="125" t="s">
        <v>5570</v>
      </c>
      <c r="D403" s="118">
        <v>2424</v>
      </c>
      <c r="E403" s="60" t="str">
        <f>[1]!'2424.TW-PreClose'</f>
        <v>--</v>
      </c>
      <c r="F403" s="141" t="str">
        <f>IFERROR(STOCKS!$E403-STOCKS昨天!$E403,"0")</f>
        <v>0</v>
      </c>
      <c r="G403" s="63" t="str">
        <f t="shared" si="6"/>
        <v>0</v>
      </c>
    </row>
    <row r="404" spans="1:7">
      <c r="A404" s="118">
        <v>2425</v>
      </c>
      <c r="B404" s="60" t="s">
        <v>4017</v>
      </c>
      <c r="C404" s="125" t="s">
        <v>5570</v>
      </c>
      <c r="D404" s="118">
        <v>2425</v>
      </c>
      <c r="E404" s="60" t="str">
        <f>[1]!'2425.TW-PreClose'</f>
        <v>--</v>
      </c>
      <c r="F404" s="141" t="str">
        <f>IFERROR(STOCKS!$E404-STOCKS昨天!$E404,"0")</f>
        <v>0</v>
      </c>
      <c r="G404" s="63" t="str">
        <f t="shared" si="6"/>
        <v>0</v>
      </c>
    </row>
    <row r="405" spans="1:7">
      <c r="A405" s="118">
        <v>2442</v>
      </c>
      <c r="B405" s="60" t="s">
        <v>4018</v>
      </c>
      <c r="C405" s="125" t="s">
        <v>5570</v>
      </c>
      <c r="D405" s="118">
        <v>2442</v>
      </c>
      <c r="E405" s="60">
        <f>[1]!'2442.TW-PreClose'</f>
        <v>11.55</v>
      </c>
      <c r="F405" s="141" t="str">
        <f>IFERROR(STOCKS!$E405-STOCKS昨天!$E405,"0")</f>
        <v>0</v>
      </c>
      <c r="G405" s="63">
        <f t="shared" si="6"/>
        <v>0</v>
      </c>
    </row>
    <row r="406" spans="1:7">
      <c r="A406" s="118">
        <v>2465</v>
      </c>
      <c r="B406" s="60" t="s">
        <v>3538</v>
      </c>
      <c r="C406" s="125" t="s">
        <v>5570</v>
      </c>
      <c r="D406" s="118">
        <v>2465</v>
      </c>
      <c r="E406" s="60">
        <f>[1]!'2465.TW-PreClose'</f>
        <v>69.400000000000006</v>
      </c>
      <c r="F406" s="141">
        <f>IFERROR(STOCKS!$E406-STOCKS昨天!$E406,"0")</f>
        <v>0.79999999999999716</v>
      </c>
      <c r="G406" s="63">
        <f t="shared" si="6"/>
        <v>1.152737752161379E-2</v>
      </c>
    </row>
    <row r="407" spans="1:7">
      <c r="A407" s="118">
        <v>3002</v>
      </c>
      <c r="B407" s="60" t="s">
        <v>4019</v>
      </c>
      <c r="C407" s="125" t="s">
        <v>5570</v>
      </c>
      <c r="D407" s="118">
        <v>3002</v>
      </c>
      <c r="E407" s="60">
        <f>[1]!'3002.TW-PreClose'</f>
        <v>11.95</v>
      </c>
      <c r="F407" s="141" t="str">
        <f>IFERROR(STOCKS!$E407-STOCKS昨天!$E407,"0")</f>
        <v>0</v>
      </c>
      <c r="G407" s="63">
        <f t="shared" si="6"/>
        <v>0</v>
      </c>
    </row>
    <row r="408" spans="1:7">
      <c r="A408" s="118">
        <v>3005</v>
      </c>
      <c r="B408" s="60" t="s">
        <v>4020</v>
      </c>
      <c r="C408" s="125" t="s">
        <v>5570</v>
      </c>
      <c r="D408" s="118">
        <v>3005</v>
      </c>
      <c r="E408" s="60">
        <f>[1]!'3005.TW-PreClose'</f>
        <v>54</v>
      </c>
      <c r="F408" s="141" t="str">
        <f>IFERROR(STOCKS!$E408-STOCKS昨天!$E408,"0")</f>
        <v>0</v>
      </c>
      <c r="G408" s="63">
        <f t="shared" si="6"/>
        <v>0</v>
      </c>
    </row>
    <row r="409" spans="1:7">
      <c r="A409" s="118">
        <v>3013</v>
      </c>
      <c r="B409" s="60" t="s">
        <v>4021</v>
      </c>
      <c r="C409" s="125" t="s">
        <v>5570</v>
      </c>
      <c r="D409" s="118">
        <v>3013</v>
      </c>
      <c r="E409" s="60">
        <f>[1]!'3013.TW-PreClose'</f>
        <v>13.35</v>
      </c>
      <c r="F409" s="141" t="str">
        <f>IFERROR(STOCKS!$E409-STOCKS昨天!$E409,"0")</f>
        <v>0</v>
      </c>
      <c r="G409" s="63">
        <f t="shared" si="6"/>
        <v>0</v>
      </c>
    </row>
    <row r="410" spans="1:7">
      <c r="A410" s="118">
        <v>3017</v>
      </c>
      <c r="B410" s="60" t="s">
        <v>3517</v>
      </c>
      <c r="C410" s="125" t="s">
        <v>5570</v>
      </c>
      <c r="D410" s="118">
        <v>3017</v>
      </c>
      <c r="E410" s="60">
        <f>[1]!'3017.TW-PreClose'</f>
        <v>89.5</v>
      </c>
      <c r="F410" s="141">
        <f>IFERROR(STOCKS!$E410-STOCKS昨天!$E410,"0")</f>
        <v>-9.9999999999994316E-2</v>
      </c>
      <c r="G410" s="63">
        <f t="shared" si="6"/>
        <v>-1.1173184357541265E-3</v>
      </c>
    </row>
    <row r="411" spans="1:7">
      <c r="A411" s="118">
        <v>3022</v>
      </c>
      <c r="B411" s="60" t="s">
        <v>4022</v>
      </c>
      <c r="C411" s="125" t="s">
        <v>5570</v>
      </c>
      <c r="D411" s="118">
        <v>3022</v>
      </c>
      <c r="E411" s="60" t="str">
        <f>[1]!'3022.TW-PreClose'</f>
        <v>--</v>
      </c>
      <c r="F411" s="141" t="str">
        <f>IFERROR(STOCKS!$E411-STOCKS昨天!$E411,"0")</f>
        <v>0</v>
      </c>
      <c r="G411" s="63" t="str">
        <f t="shared" si="6"/>
        <v>0</v>
      </c>
    </row>
    <row r="412" spans="1:7">
      <c r="A412" s="118">
        <v>3046</v>
      </c>
      <c r="B412" s="60" t="s">
        <v>4023</v>
      </c>
      <c r="C412" s="125" t="s">
        <v>5570</v>
      </c>
      <c r="D412" s="118">
        <v>3046</v>
      </c>
      <c r="E412" s="60">
        <f>[1]!'3046.TW-PreClose'</f>
        <v>36.700000000000003</v>
      </c>
      <c r="F412" s="141" t="str">
        <f>IFERROR(STOCKS!$E412-STOCKS昨天!$E412,"0")</f>
        <v>0</v>
      </c>
      <c r="G412" s="63">
        <f t="shared" si="6"/>
        <v>0</v>
      </c>
    </row>
    <row r="413" spans="1:7">
      <c r="A413" s="118">
        <v>3057</v>
      </c>
      <c r="B413" s="60" t="s">
        <v>3580</v>
      </c>
      <c r="C413" s="125" t="s">
        <v>5570</v>
      </c>
      <c r="D413" s="118">
        <v>3057</v>
      </c>
      <c r="E413" s="60" t="str">
        <f>[1]!'3057.TW-PreClose'</f>
        <v>--</v>
      </c>
      <c r="F413" s="141" t="str">
        <f>IFERROR(STOCKS!$E413-STOCKS昨天!$E413,"0")</f>
        <v>0</v>
      </c>
      <c r="G413" s="63" t="str">
        <f t="shared" si="6"/>
        <v>0</v>
      </c>
    </row>
    <row r="414" spans="1:7">
      <c r="A414" s="118">
        <v>3060</v>
      </c>
      <c r="B414" s="60" t="s">
        <v>4024</v>
      </c>
      <c r="C414" s="125" t="s">
        <v>5570</v>
      </c>
      <c r="D414" s="118">
        <v>3060</v>
      </c>
      <c r="E414" s="60">
        <f>[1]!'3060.TW-PreClose'</f>
        <v>24.75</v>
      </c>
      <c r="F414" s="141" t="str">
        <f>IFERROR(STOCKS!$E414-STOCKS昨天!$E414,"0")</f>
        <v>0</v>
      </c>
      <c r="G414" s="63">
        <f t="shared" si="6"/>
        <v>0</v>
      </c>
    </row>
    <row r="415" spans="1:7">
      <c r="A415" s="118">
        <v>3231</v>
      </c>
      <c r="B415" s="60" t="s">
        <v>4025</v>
      </c>
      <c r="C415" s="125" t="s">
        <v>5570</v>
      </c>
      <c r="D415" s="118">
        <v>3231</v>
      </c>
      <c r="E415" s="60">
        <f>[1]!'3231.TW-PreClose'</f>
        <v>29.1</v>
      </c>
      <c r="F415" s="141">
        <f>IFERROR(STOCKS!$E415-STOCKS昨天!$E415,"0")</f>
        <v>9.9999999999997868E-2</v>
      </c>
      <c r="G415" s="63">
        <f t="shared" si="6"/>
        <v>3.4364261168384146E-3</v>
      </c>
    </row>
    <row r="416" spans="1:7">
      <c r="A416" s="118">
        <v>3416</v>
      </c>
      <c r="B416" s="60" t="s">
        <v>4026</v>
      </c>
      <c r="C416" s="125" t="s">
        <v>5570</v>
      </c>
      <c r="D416" s="118">
        <v>3416</v>
      </c>
      <c r="E416" s="60">
        <f>[1]!'3416.TW-PreClose'</f>
        <v>79.3</v>
      </c>
      <c r="F416" s="141" t="str">
        <f>IFERROR(STOCKS!$E416-STOCKS昨天!$E416,"0")</f>
        <v>0</v>
      </c>
      <c r="G416" s="63">
        <f t="shared" si="6"/>
        <v>0</v>
      </c>
    </row>
    <row r="417" spans="1:7">
      <c r="A417" s="118">
        <v>3494</v>
      </c>
      <c r="B417" s="60" t="s">
        <v>4027</v>
      </c>
      <c r="C417" s="125" t="s">
        <v>5570</v>
      </c>
      <c r="D417" s="118">
        <v>3494</v>
      </c>
      <c r="E417" s="60" t="str">
        <f>[1]!'3494.TW-PreClose'</f>
        <v>--</v>
      </c>
      <c r="F417" s="141" t="str">
        <f>IFERROR(STOCKS!$E417-STOCKS昨天!$E417,"0")</f>
        <v>0</v>
      </c>
      <c r="G417" s="63" t="str">
        <f t="shared" si="6"/>
        <v>0</v>
      </c>
    </row>
    <row r="418" spans="1:7">
      <c r="A418" s="118">
        <v>3515</v>
      </c>
      <c r="B418" s="60" t="s">
        <v>4028</v>
      </c>
      <c r="C418" s="125" t="s">
        <v>5570</v>
      </c>
      <c r="D418" s="118">
        <v>3515</v>
      </c>
      <c r="E418" s="60">
        <f>[1]!'3515.TW-PreClose'</f>
        <v>231</v>
      </c>
      <c r="F418" s="141" t="str">
        <f>IFERROR(STOCKS!$E418-STOCKS昨天!$E418,"0")</f>
        <v>0</v>
      </c>
      <c r="G418" s="63">
        <f t="shared" si="6"/>
        <v>0</v>
      </c>
    </row>
    <row r="419" spans="1:7">
      <c r="A419" s="118">
        <v>3701</v>
      </c>
      <c r="B419" s="60" t="s">
        <v>4029</v>
      </c>
      <c r="C419" s="125" t="s">
        <v>5570</v>
      </c>
      <c r="D419" s="118">
        <v>3701</v>
      </c>
      <c r="E419" s="60">
        <f>[1]!'3701.TW-PreClose'</f>
        <v>61.5</v>
      </c>
      <c r="F419" s="141">
        <f>IFERROR(STOCKS!$E419-STOCKS昨天!$E419,"0")</f>
        <v>3.7999999999999972</v>
      </c>
      <c r="G419" s="63">
        <f t="shared" si="6"/>
        <v>6.1788617886178815E-2</v>
      </c>
    </row>
    <row r="420" spans="1:7">
      <c r="A420" s="118">
        <v>3706</v>
      </c>
      <c r="B420" s="60" t="s">
        <v>4030</v>
      </c>
      <c r="C420" s="125" t="s">
        <v>5570</v>
      </c>
      <c r="D420" s="118">
        <v>3706</v>
      </c>
      <c r="E420" s="60" t="str">
        <f>[1]!'3706.TW-PreClose'</f>
        <v>--</v>
      </c>
      <c r="F420" s="141" t="str">
        <f>IFERROR(STOCKS!$E420-STOCKS昨天!$E420,"0")</f>
        <v>0</v>
      </c>
      <c r="G420" s="63" t="str">
        <f t="shared" si="6"/>
        <v>0</v>
      </c>
    </row>
    <row r="421" spans="1:7">
      <c r="A421" s="118">
        <v>3712</v>
      </c>
      <c r="B421" s="60" t="s">
        <v>4031</v>
      </c>
      <c r="C421" s="125" t="s">
        <v>5570</v>
      </c>
      <c r="D421" s="118">
        <v>3712</v>
      </c>
      <c r="E421" s="60">
        <f>[1]!'3712.TW-PreClose'</f>
        <v>32.35</v>
      </c>
      <c r="F421" s="141" t="str">
        <f>IFERROR(STOCKS!$E421-STOCKS昨天!$E421,"0")</f>
        <v>0</v>
      </c>
      <c r="G421" s="63">
        <f t="shared" si="6"/>
        <v>0</v>
      </c>
    </row>
    <row r="422" spans="1:7">
      <c r="A422" s="118">
        <v>4916</v>
      </c>
      <c r="B422" s="60" t="s">
        <v>4032</v>
      </c>
      <c r="C422" s="125" t="s">
        <v>5570</v>
      </c>
      <c r="D422" s="118">
        <v>4916</v>
      </c>
      <c r="E422" s="60">
        <f>[1]!'4916.TW-PreClose'</f>
        <v>34.549999999999997</v>
      </c>
      <c r="F422" s="141" t="str">
        <f>IFERROR(STOCKS!$E422-STOCKS昨天!$E422,"0")</f>
        <v>0</v>
      </c>
      <c r="G422" s="63">
        <f t="shared" si="6"/>
        <v>0</v>
      </c>
    </row>
    <row r="423" spans="1:7">
      <c r="A423" s="118">
        <v>4938</v>
      </c>
      <c r="B423" s="60" t="s">
        <v>4033</v>
      </c>
      <c r="C423" s="125" t="s">
        <v>5570</v>
      </c>
      <c r="D423" s="118">
        <v>4938</v>
      </c>
      <c r="E423" s="60">
        <f>[1]!'4938.TW-PreClose'</f>
        <v>68.3</v>
      </c>
      <c r="F423" s="141" t="str">
        <f>IFERROR(STOCKS!$E423-STOCKS昨天!$E423,"0")</f>
        <v>0</v>
      </c>
      <c r="G423" s="63">
        <f t="shared" si="6"/>
        <v>0</v>
      </c>
    </row>
    <row r="424" spans="1:7">
      <c r="A424" s="118">
        <v>5215</v>
      </c>
      <c r="B424" s="60" t="s">
        <v>4034</v>
      </c>
      <c r="C424" s="125" t="s">
        <v>5571</v>
      </c>
      <c r="D424" s="118">
        <v>5215</v>
      </c>
      <c r="E424" s="60">
        <f>[1]!'5215.TW-PreClose'</f>
        <v>70.900000000000006</v>
      </c>
      <c r="F424" s="141" t="str">
        <f>IFERROR(STOCKS!$E424-STOCKS昨天!$E424,"0")</f>
        <v>0</v>
      </c>
      <c r="G424" s="63">
        <f t="shared" si="6"/>
        <v>0</v>
      </c>
    </row>
    <row r="425" spans="1:7">
      <c r="A425" s="118">
        <v>5258</v>
      </c>
      <c r="B425" s="60" t="s">
        <v>4035</v>
      </c>
      <c r="C425" s="125" t="s">
        <v>5570</v>
      </c>
      <c r="D425" s="118">
        <v>5258</v>
      </c>
      <c r="E425" s="60">
        <f>[1]!'5258.TW-PreClose'</f>
        <v>33.950000000000003</v>
      </c>
      <c r="F425" s="141" t="str">
        <f>IFERROR(STOCKS!$E425-STOCKS昨天!$E425,"0")</f>
        <v>0</v>
      </c>
      <c r="G425" s="63">
        <f t="shared" si="6"/>
        <v>0</v>
      </c>
    </row>
    <row r="426" spans="1:7">
      <c r="A426" s="118">
        <v>6117</v>
      </c>
      <c r="B426" s="60" t="s">
        <v>4036</v>
      </c>
      <c r="C426" s="125" t="s">
        <v>5570</v>
      </c>
      <c r="D426" s="118">
        <v>6117</v>
      </c>
      <c r="E426" s="60">
        <f>[1]!'6117.TW-PreClose'</f>
        <v>16.8</v>
      </c>
      <c r="F426" s="141" t="str">
        <f>IFERROR(STOCKS!$E426-STOCKS昨天!$E426,"0")</f>
        <v>0</v>
      </c>
      <c r="G426" s="63">
        <f t="shared" si="6"/>
        <v>0</v>
      </c>
    </row>
    <row r="427" spans="1:7">
      <c r="A427" s="118">
        <v>6128</v>
      </c>
      <c r="B427" s="60" t="s">
        <v>4037</v>
      </c>
      <c r="C427" s="125" t="s">
        <v>5570</v>
      </c>
      <c r="D427" s="118">
        <v>6128</v>
      </c>
      <c r="E427" s="60">
        <f>[1]!'6128.TW-PreClose'</f>
        <v>28.7</v>
      </c>
      <c r="F427" s="141" t="str">
        <f>IFERROR(STOCKS!$E427-STOCKS昨天!$E427,"0")</f>
        <v>0</v>
      </c>
      <c r="G427" s="63">
        <f t="shared" si="6"/>
        <v>0</v>
      </c>
    </row>
    <row r="428" spans="1:7">
      <c r="A428" s="118">
        <v>6166</v>
      </c>
      <c r="B428" s="60" t="s">
        <v>4038</v>
      </c>
      <c r="C428" s="125" t="s">
        <v>5570</v>
      </c>
      <c r="D428" s="118">
        <v>6166</v>
      </c>
      <c r="E428" s="60" t="str">
        <f>[1]!'6166.TW-PreClose'</f>
        <v>--</v>
      </c>
      <c r="F428" s="141" t="str">
        <f>IFERROR(STOCKS!$E428-STOCKS昨天!$E428,"0")</f>
        <v>0</v>
      </c>
      <c r="G428" s="63" t="str">
        <f t="shared" si="6"/>
        <v>0</v>
      </c>
    </row>
    <row r="429" spans="1:7">
      <c r="A429" s="118">
        <v>6172</v>
      </c>
      <c r="B429" s="60" t="s">
        <v>4039</v>
      </c>
      <c r="C429" s="125" t="s">
        <v>5570</v>
      </c>
      <c r="D429" s="118">
        <v>6172</v>
      </c>
      <c r="E429" s="60" t="str">
        <f>[1]!'6172.TW-PreClose'</f>
        <v>--</v>
      </c>
      <c r="F429" s="141" t="str">
        <f>IFERROR(STOCKS!$E429-STOCKS昨天!$E429,"0")</f>
        <v>0</v>
      </c>
      <c r="G429" s="63" t="str">
        <f t="shared" si="6"/>
        <v>0</v>
      </c>
    </row>
    <row r="430" spans="1:7">
      <c r="A430" s="118">
        <v>6206</v>
      </c>
      <c r="B430" s="60" t="s">
        <v>4040</v>
      </c>
      <c r="C430" s="125" t="s">
        <v>5570</v>
      </c>
      <c r="D430" s="118">
        <v>6206</v>
      </c>
      <c r="E430" s="60">
        <f>[1]!'6206.TW-PreClose'</f>
        <v>70.2</v>
      </c>
      <c r="F430" s="141" t="str">
        <f>IFERROR(STOCKS!$E430-STOCKS昨天!$E430,"0")</f>
        <v>0</v>
      </c>
      <c r="G430" s="63">
        <f t="shared" si="6"/>
        <v>0</v>
      </c>
    </row>
    <row r="431" spans="1:7">
      <c r="A431" s="118">
        <v>6230</v>
      </c>
      <c r="B431" s="60" t="s">
        <v>4041</v>
      </c>
      <c r="C431" s="125" t="s">
        <v>5570</v>
      </c>
      <c r="D431" s="118">
        <v>6230</v>
      </c>
      <c r="E431" s="60">
        <f>[1]!'6230.TW-PreClose'</f>
        <v>172.5</v>
      </c>
      <c r="F431" s="141" t="str">
        <f>IFERROR(STOCKS!$E431-STOCKS昨天!$E431,"0")</f>
        <v>0</v>
      </c>
      <c r="G431" s="63">
        <f t="shared" si="6"/>
        <v>0</v>
      </c>
    </row>
    <row r="432" spans="1:7">
      <c r="A432" s="118">
        <v>6235</v>
      </c>
      <c r="B432" s="60" t="s">
        <v>4042</v>
      </c>
      <c r="C432" s="125" t="s">
        <v>5570</v>
      </c>
      <c r="D432" s="118">
        <v>6235</v>
      </c>
      <c r="E432" s="60">
        <f>[1]!'6235.TW-PreClose'</f>
        <v>19.100000000000001</v>
      </c>
      <c r="F432" s="141" t="str">
        <f>IFERROR(STOCKS!$E432-STOCKS昨天!$E432,"0")</f>
        <v>0</v>
      </c>
      <c r="G432" s="63">
        <f t="shared" si="6"/>
        <v>0</v>
      </c>
    </row>
    <row r="433" spans="1:7">
      <c r="A433" s="118">
        <v>6277</v>
      </c>
      <c r="B433" s="60" t="s">
        <v>4043</v>
      </c>
      <c r="C433" s="125" t="s">
        <v>5570</v>
      </c>
      <c r="D433" s="118">
        <v>6277</v>
      </c>
      <c r="E433" s="60">
        <f>[1]!'6277.TW-PreClose'</f>
        <v>82</v>
      </c>
      <c r="F433" s="141" t="str">
        <f>IFERROR(STOCKS!$E433-STOCKS昨天!$E433,"0")</f>
        <v>0</v>
      </c>
      <c r="G433" s="63">
        <f t="shared" si="6"/>
        <v>0</v>
      </c>
    </row>
    <row r="434" spans="1:7">
      <c r="A434" s="118">
        <v>6414</v>
      </c>
      <c r="B434" s="60" t="s">
        <v>3524</v>
      </c>
      <c r="C434" s="125" t="s">
        <v>5570</v>
      </c>
      <c r="D434" s="118">
        <v>6414</v>
      </c>
      <c r="E434" s="60">
        <f>[1]!'6414.TW-PreClose'</f>
        <v>212</v>
      </c>
      <c r="F434" s="141" t="str">
        <f>IFERROR(STOCKS!$E434-STOCKS昨天!$E434,"0")</f>
        <v>0</v>
      </c>
      <c r="G434" s="63">
        <f t="shared" si="6"/>
        <v>0</v>
      </c>
    </row>
    <row r="435" spans="1:7">
      <c r="A435" s="118">
        <v>6579</v>
      </c>
      <c r="B435" s="60" t="s">
        <v>4044</v>
      </c>
      <c r="C435" s="125" t="s">
        <v>5570</v>
      </c>
      <c r="D435" s="118">
        <v>6579</v>
      </c>
      <c r="E435" s="60">
        <f>[1]!'6579.TW-PreClose'</f>
        <v>63.8</v>
      </c>
      <c r="F435" s="141" t="str">
        <f>IFERROR(STOCKS!$E435-STOCKS昨天!$E435,"0")</f>
        <v>0</v>
      </c>
      <c r="G435" s="63">
        <f t="shared" si="6"/>
        <v>0</v>
      </c>
    </row>
    <row r="436" spans="1:7">
      <c r="A436" s="118">
        <v>6591</v>
      </c>
      <c r="B436" s="60" t="s">
        <v>4045</v>
      </c>
      <c r="C436" s="125" t="s">
        <v>5571</v>
      </c>
      <c r="D436" s="118">
        <v>6591</v>
      </c>
      <c r="E436" s="60">
        <f>[1]!'6591.TW-PreClose'</f>
        <v>54.4</v>
      </c>
      <c r="F436" s="141" t="str">
        <f>IFERROR(STOCKS!$E436-STOCKS昨天!$E436,"0")</f>
        <v>0</v>
      </c>
      <c r="G436" s="63">
        <f t="shared" si="6"/>
        <v>0</v>
      </c>
    </row>
    <row r="437" spans="1:7">
      <c r="A437" s="118">
        <v>6669</v>
      </c>
      <c r="B437" s="60" t="s">
        <v>4046</v>
      </c>
      <c r="C437" s="125" t="s">
        <v>5570</v>
      </c>
      <c r="D437" s="118">
        <v>6669</v>
      </c>
      <c r="E437" s="60" t="str">
        <f>[1]!'6669.TW-PreClose'</f>
        <v>--</v>
      </c>
      <c r="F437" s="141" t="str">
        <f>IFERROR(STOCKS!$E437-STOCKS昨天!$E437,"0")</f>
        <v>0</v>
      </c>
      <c r="G437" s="63" t="str">
        <f t="shared" si="6"/>
        <v>0</v>
      </c>
    </row>
    <row r="438" spans="1:7">
      <c r="A438" s="118">
        <v>8114</v>
      </c>
      <c r="B438" s="60" t="s">
        <v>4047</v>
      </c>
      <c r="C438" s="125" t="s">
        <v>5570</v>
      </c>
      <c r="D438" s="118">
        <v>8114</v>
      </c>
      <c r="E438" s="60" t="str">
        <f>[1]!'8114.TW-PreClose'</f>
        <v>--</v>
      </c>
      <c r="F438" s="141" t="str">
        <f>IFERROR(STOCKS!$E438-STOCKS昨天!$E438,"0")</f>
        <v>0</v>
      </c>
      <c r="G438" s="63" t="str">
        <f t="shared" si="6"/>
        <v>0</v>
      </c>
    </row>
    <row r="439" spans="1:7">
      <c r="A439" s="118">
        <v>8163</v>
      </c>
      <c r="B439" s="60" t="s">
        <v>4048</v>
      </c>
      <c r="C439" s="125" t="s">
        <v>5570</v>
      </c>
      <c r="D439" s="118">
        <v>8163</v>
      </c>
      <c r="E439" s="60" t="str">
        <f>[1]!'8163.TW-PreClose'</f>
        <v>--</v>
      </c>
      <c r="F439" s="141" t="str">
        <f>IFERROR(STOCKS!$E439-STOCKS昨天!$E439,"0")</f>
        <v>0</v>
      </c>
      <c r="G439" s="63" t="str">
        <f t="shared" si="6"/>
        <v>0</v>
      </c>
    </row>
    <row r="440" spans="1:7">
      <c r="A440" s="118">
        <v>8210</v>
      </c>
      <c r="B440" s="60" t="s">
        <v>4049</v>
      </c>
      <c r="C440" s="125" t="s">
        <v>5570</v>
      </c>
      <c r="D440" s="118">
        <v>8210</v>
      </c>
      <c r="E440" s="60">
        <f>[1]!'8210.TW-PreClose'</f>
        <v>77</v>
      </c>
      <c r="F440" s="141" t="str">
        <f>IFERROR(STOCKS!$E440-STOCKS昨天!$E440,"0")</f>
        <v>0</v>
      </c>
      <c r="G440" s="63">
        <f t="shared" si="6"/>
        <v>0</v>
      </c>
    </row>
    <row r="441" spans="1:7">
      <c r="A441" s="118">
        <v>9912</v>
      </c>
      <c r="B441" s="60" t="s">
        <v>4050</v>
      </c>
      <c r="C441" s="125" t="s">
        <v>5570</v>
      </c>
      <c r="D441" s="118">
        <v>9912</v>
      </c>
      <c r="E441" s="60">
        <f>[1]!'9912.TW-PreClose'</f>
        <v>8.83</v>
      </c>
      <c r="F441" s="141" t="str">
        <f>IFERROR(STOCKS!$E441-STOCKS昨天!$E441,"0")</f>
        <v>0</v>
      </c>
      <c r="G441" s="63">
        <f t="shared" si="6"/>
        <v>0</v>
      </c>
    </row>
    <row r="442" spans="1:7">
      <c r="A442" s="118">
        <v>2323</v>
      </c>
      <c r="B442" s="60" t="s">
        <v>4051</v>
      </c>
      <c r="C442" s="125" t="s">
        <v>5572</v>
      </c>
      <c r="D442" s="118">
        <v>2323</v>
      </c>
      <c r="E442" s="60">
        <f>[1]!'2323.TW-PreClose'</f>
        <v>9.02</v>
      </c>
      <c r="F442" s="141" t="str">
        <f>IFERROR(STOCKS!$E442-STOCKS昨天!$E442,"0")</f>
        <v>0</v>
      </c>
      <c r="G442" s="63">
        <f t="shared" si="6"/>
        <v>0</v>
      </c>
    </row>
    <row r="443" spans="1:7">
      <c r="A443" s="118">
        <v>2340</v>
      </c>
      <c r="B443" s="60" t="s">
        <v>4052</v>
      </c>
      <c r="C443" s="125" t="s">
        <v>5572</v>
      </c>
      <c r="D443" s="118">
        <v>2340</v>
      </c>
      <c r="E443" s="60">
        <f>[1]!'2340.TW-PreClose'</f>
        <v>58</v>
      </c>
      <c r="F443" s="141">
        <f>IFERROR(STOCKS!$E443-STOCKS昨天!$E443,"0")</f>
        <v>2.3999999999999986</v>
      </c>
      <c r="G443" s="63">
        <f t="shared" si="6"/>
        <v>4.1379310344827565E-2</v>
      </c>
    </row>
    <row r="444" spans="1:7">
      <c r="A444" s="118">
        <v>2349</v>
      </c>
      <c r="B444" s="60" t="s">
        <v>4053</v>
      </c>
      <c r="C444" s="125" t="s">
        <v>5572</v>
      </c>
      <c r="D444" s="118">
        <v>2349</v>
      </c>
      <c r="E444" s="60">
        <f>[1]!'2349.TW-PreClose'</f>
        <v>9.59</v>
      </c>
      <c r="F444" s="141" t="str">
        <f>IFERROR(STOCKS!$E444-STOCKS昨天!$E444,"0")</f>
        <v>0</v>
      </c>
      <c r="G444" s="63">
        <f t="shared" si="6"/>
        <v>0</v>
      </c>
    </row>
    <row r="445" spans="1:7">
      <c r="A445" s="118">
        <v>2374</v>
      </c>
      <c r="B445" s="60" t="s">
        <v>4054</v>
      </c>
      <c r="C445" s="125" t="s">
        <v>5572</v>
      </c>
      <c r="D445" s="118">
        <v>2374</v>
      </c>
      <c r="E445" s="60">
        <f>[1]!'2374.TW-PreClose'</f>
        <v>21.95</v>
      </c>
      <c r="F445" s="141">
        <f>IFERROR(STOCKS!$E445-STOCKS昨天!$E445,"0")</f>
        <v>-0.44999999999999929</v>
      </c>
      <c r="G445" s="63">
        <f t="shared" si="6"/>
        <v>-2.0501138952163978E-2</v>
      </c>
    </row>
    <row r="446" spans="1:7">
      <c r="A446" s="118">
        <v>2393</v>
      </c>
      <c r="B446" s="60" t="s">
        <v>3660</v>
      </c>
      <c r="C446" s="125" t="s">
        <v>5572</v>
      </c>
      <c r="D446" s="118">
        <v>2393</v>
      </c>
      <c r="E446" s="60" t="str">
        <f>[1]!'2393.TW-PreClose'</f>
        <v>--</v>
      </c>
      <c r="F446" s="141" t="str">
        <f>IFERROR(STOCKS!$E446-STOCKS昨天!$E446,"0")</f>
        <v>0</v>
      </c>
      <c r="G446" s="63" t="str">
        <f t="shared" si="6"/>
        <v>0</v>
      </c>
    </row>
    <row r="447" spans="1:7">
      <c r="A447" s="118">
        <v>2406</v>
      </c>
      <c r="B447" s="60" t="s">
        <v>49</v>
      </c>
      <c r="C447" s="125" t="s">
        <v>5572</v>
      </c>
      <c r="D447" s="118">
        <v>2406</v>
      </c>
      <c r="E447" s="60">
        <f>[1]!'2406.TW-PreClose'</f>
        <v>23.3</v>
      </c>
      <c r="F447" s="141">
        <f>IFERROR(STOCKS!$E447-STOCKS昨天!$E447,"0")</f>
        <v>0.59999999999999787</v>
      </c>
      <c r="G447" s="63">
        <f t="shared" si="6"/>
        <v>2.5751072961373297E-2</v>
      </c>
    </row>
    <row r="448" spans="1:7">
      <c r="A448" s="118">
        <v>2409</v>
      </c>
      <c r="B448" s="60" t="s">
        <v>4055</v>
      </c>
      <c r="C448" s="125" t="s">
        <v>5572</v>
      </c>
      <c r="D448" s="118">
        <v>2409</v>
      </c>
      <c r="E448" s="60">
        <f>[1]!'2409.TW-PreClose'</f>
        <v>21.05</v>
      </c>
      <c r="F448" s="141">
        <f>IFERROR(STOCKS!$E448-STOCKS昨天!$E448,"0")</f>
        <v>0.14999999999999858</v>
      </c>
      <c r="G448" s="63">
        <f t="shared" si="6"/>
        <v>7.1258907363419754E-3</v>
      </c>
    </row>
    <row r="449" spans="1:7">
      <c r="A449" s="118">
        <v>2426</v>
      </c>
      <c r="B449" s="60" t="s">
        <v>4056</v>
      </c>
      <c r="C449" s="125" t="s">
        <v>5572</v>
      </c>
      <c r="D449" s="118">
        <v>2426</v>
      </c>
      <c r="E449" s="60">
        <f>[1]!'2426.TW-PreClose'</f>
        <v>28.2</v>
      </c>
      <c r="F449" s="141">
        <f>IFERROR(STOCKS!$E449-STOCKS昨天!$E449,"0")</f>
        <v>0.60000000000000142</v>
      </c>
      <c r="G449" s="63">
        <f t="shared" si="6"/>
        <v>2.1276595744680903E-2</v>
      </c>
    </row>
    <row r="450" spans="1:7">
      <c r="A450" s="118">
        <v>2429</v>
      </c>
      <c r="B450" s="60" t="s">
        <v>4161</v>
      </c>
      <c r="C450" s="125" t="s">
        <v>5572</v>
      </c>
      <c r="D450" s="118">
        <v>2429</v>
      </c>
      <c r="E450" s="60">
        <f>[1]!'2429.TW-PreClose'</f>
        <v>18.600000000000001</v>
      </c>
      <c r="F450" s="141" t="str">
        <f>IFERROR(STOCKS!$E450-STOCKS昨天!$E450,"0")</f>
        <v>0</v>
      </c>
      <c r="G450" s="63">
        <f t="shared" si="6"/>
        <v>0</v>
      </c>
    </row>
    <row r="451" spans="1:7">
      <c r="A451" s="118">
        <v>2438</v>
      </c>
      <c r="B451" s="60" t="s">
        <v>4057</v>
      </c>
      <c r="C451" s="125" t="s">
        <v>5572</v>
      </c>
      <c r="D451" s="118">
        <v>2438</v>
      </c>
      <c r="E451" s="60" t="str">
        <f>[1]!'2438.TW-PreClose'</f>
        <v>--</v>
      </c>
      <c r="F451" s="141" t="str">
        <f>IFERROR(STOCKS!$E451-STOCKS昨天!$E451,"0")</f>
        <v>0</v>
      </c>
      <c r="G451" s="63" t="str">
        <f t="shared" ref="G451:G514" si="7">IFERROR($F451/$E451,"0")</f>
        <v>0</v>
      </c>
    </row>
    <row r="452" spans="1:7">
      <c r="A452" s="118">
        <v>2466</v>
      </c>
      <c r="B452" s="60" t="s">
        <v>4058</v>
      </c>
      <c r="C452" s="125" t="s">
        <v>5572</v>
      </c>
      <c r="D452" s="118">
        <v>2466</v>
      </c>
      <c r="E452" s="60">
        <f>[1]!'2466.TW-PreClose'</f>
        <v>36.9</v>
      </c>
      <c r="F452" s="141" t="str">
        <f>IFERROR(STOCKS!$E452-STOCKS昨天!$E452,"0")</f>
        <v>0</v>
      </c>
      <c r="G452" s="63">
        <f t="shared" si="7"/>
        <v>0</v>
      </c>
    </row>
    <row r="453" spans="1:7">
      <c r="A453" s="118">
        <v>2486</v>
      </c>
      <c r="B453" s="60" t="s">
        <v>4059</v>
      </c>
      <c r="C453" s="125" t="s">
        <v>5572</v>
      </c>
      <c r="D453" s="118">
        <v>2486</v>
      </c>
      <c r="E453" s="60">
        <f>[1]!'2486.TW-PreClose'</f>
        <v>56.4</v>
      </c>
      <c r="F453" s="141">
        <f>IFERROR(STOCKS!$E453-STOCKS昨天!$E453,"0")</f>
        <v>-0.19999999999999574</v>
      </c>
      <c r="G453" s="63">
        <f t="shared" si="7"/>
        <v>-3.5460992907800663E-3</v>
      </c>
    </row>
    <row r="454" spans="1:7">
      <c r="A454" s="118">
        <v>2491</v>
      </c>
      <c r="B454" s="60" t="s">
        <v>3541</v>
      </c>
      <c r="C454" s="125" t="s">
        <v>5572</v>
      </c>
      <c r="D454" s="118">
        <v>2491</v>
      </c>
      <c r="E454" s="60" t="str">
        <f>[1]!'2491.TW-PreClose'</f>
        <v>--</v>
      </c>
      <c r="F454" s="141" t="str">
        <f>IFERROR(STOCKS!$E454-STOCKS昨天!$E454,"0")</f>
        <v>0</v>
      </c>
      <c r="G454" s="63" t="str">
        <f t="shared" si="7"/>
        <v>0</v>
      </c>
    </row>
    <row r="455" spans="1:7">
      <c r="A455" s="118">
        <v>3008</v>
      </c>
      <c r="B455" s="60" t="s">
        <v>4060</v>
      </c>
      <c r="C455" s="125" t="s">
        <v>5572</v>
      </c>
      <c r="D455" s="118">
        <v>3008</v>
      </c>
      <c r="E455" s="60">
        <f>[1]!'3008.TW-PreClose'</f>
        <v>2035</v>
      </c>
      <c r="F455" s="141" t="str">
        <f>IFERROR(STOCKS!$E455-STOCKS昨天!$E455,"0")</f>
        <v>0</v>
      </c>
      <c r="G455" s="63">
        <f t="shared" si="7"/>
        <v>0</v>
      </c>
    </row>
    <row r="456" spans="1:7">
      <c r="A456" s="118">
        <v>3019</v>
      </c>
      <c r="B456" s="60" t="s">
        <v>4061</v>
      </c>
      <c r="C456" s="125" t="s">
        <v>5572</v>
      </c>
      <c r="D456" s="118">
        <v>3019</v>
      </c>
      <c r="E456" s="60">
        <f>[1]!'3019.TW-PreClose'</f>
        <v>92.7</v>
      </c>
      <c r="F456" s="141" t="str">
        <f>IFERROR(STOCKS!$E456-STOCKS昨天!$E456,"0")</f>
        <v>0</v>
      </c>
      <c r="G456" s="63">
        <f t="shared" si="7"/>
        <v>0</v>
      </c>
    </row>
    <row r="457" spans="1:7">
      <c r="A457" s="118">
        <v>3024</v>
      </c>
      <c r="B457" s="60" t="s">
        <v>4062</v>
      </c>
      <c r="C457" s="125" t="s">
        <v>5572</v>
      </c>
      <c r="D457" s="118">
        <v>3024</v>
      </c>
      <c r="E457" s="60">
        <f>[1]!'3024.TW-PreClose'</f>
        <v>13.7</v>
      </c>
      <c r="F457" s="141" t="str">
        <f>IFERROR(STOCKS!$E457-STOCKS昨天!$E457,"0")</f>
        <v>0</v>
      </c>
      <c r="G457" s="63">
        <f t="shared" si="7"/>
        <v>0</v>
      </c>
    </row>
    <row r="458" spans="1:7">
      <c r="A458" s="118">
        <v>3031</v>
      </c>
      <c r="B458" s="60" t="s">
        <v>4063</v>
      </c>
      <c r="C458" s="125" t="s">
        <v>5572</v>
      </c>
      <c r="D458" s="118">
        <v>3031</v>
      </c>
      <c r="E458" s="60">
        <f>[1]!'3031.TW-PreClose'</f>
        <v>25.1</v>
      </c>
      <c r="F458" s="141">
        <f>IFERROR(STOCKS!$E458-STOCKS昨天!$E458,"0")</f>
        <v>0.44999999999999929</v>
      </c>
      <c r="G458" s="63">
        <f t="shared" si="7"/>
        <v>1.7928286852589612E-2</v>
      </c>
    </row>
    <row r="459" spans="1:7">
      <c r="A459" s="118">
        <v>3038</v>
      </c>
      <c r="B459" s="60" t="s">
        <v>4064</v>
      </c>
      <c r="C459" s="125" t="s">
        <v>5572</v>
      </c>
      <c r="D459" s="118">
        <v>3038</v>
      </c>
      <c r="E459" s="60">
        <f>[1]!'3038.TW-PreClose'</f>
        <v>18.95</v>
      </c>
      <c r="F459" s="141" t="str">
        <f>IFERROR(STOCKS!$E459-STOCKS昨天!$E459,"0")</f>
        <v>0</v>
      </c>
      <c r="G459" s="63">
        <f t="shared" si="7"/>
        <v>0</v>
      </c>
    </row>
    <row r="460" spans="1:7">
      <c r="A460" s="118">
        <v>3049</v>
      </c>
      <c r="B460" s="60" t="s">
        <v>4065</v>
      </c>
      <c r="C460" s="125" t="s">
        <v>5572</v>
      </c>
      <c r="D460" s="118">
        <v>3049</v>
      </c>
      <c r="E460" s="60">
        <f>[1]!'3049.TW-PreClose'</f>
        <v>14.7</v>
      </c>
      <c r="F460" s="141">
        <f>IFERROR(STOCKS!$E460-STOCKS昨天!$E460,"0")</f>
        <v>0.10000000000000142</v>
      </c>
      <c r="G460" s="63">
        <f t="shared" si="7"/>
        <v>6.802721088435471E-3</v>
      </c>
    </row>
    <row r="461" spans="1:7">
      <c r="A461" s="118">
        <v>3050</v>
      </c>
      <c r="B461" s="60" t="s">
        <v>4066</v>
      </c>
      <c r="C461" s="125" t="s">
        <v>5572</v>
      </c>
      <c r="D461" s="118">
        <v>3050</v>
      </c>
      <c r="E461" s="60">
        <f>[1]!'3050.TW-PreClose'</f>
        <v>17.5</v>
      </c>
      <c r="F461" s="141" t="str">
        <f>IFERROR(STOCKS!$E461-STOCKS昨天!$E461,"0")</f>
        <v>0</v>
      </c>
      <c r="G461" s="63">
        <f t="shared" si="7"/>
        <v>0</v>
      </c>
    </row>
    <row r="462" spans="1:7">
      <c r="A462" s="118">
        <v>3051</v>
      </c>
      <c r="B462" s="60" t="s">
        <v>4067</v>
      </c>
      <c r="C462" s="125" t="s">
        <v>5572</v>
      </c>
      <c r="D462" s="118">
        <v>3051</v>
      </c>
      <c r="E462" s="60">
        <f>[1]!'3051.TW-PreClose'</f>
        <v>11.1</v>
      </c>
      <c r="F462" s="141" t="str">
        <f>IFERROR(STOCKS!$E462-STOCKS昨天!$E462,"0")</f>
        <v>0</v>
      </c>
      <c r="G462" s="63">
        <f t="shared" si="7"/>
        <v>0</v>
      </c>
    </row>
    <row r="463" spans="1:7">
      <c r="A463" s="118">
        <v>3059</v>
      </c>
      <c r="B463" s="60" t="s">
        <v>4068</v>
      </c>
      <c r="C463" s="125" t="s">
        <v>5572</v>
      </c>
      <c r="D463" s="118">
        <v>3059</v>
      </c>
      <c r="E463" s="60">
        <f>[1]!'3059.TW-PreClose'</f>
        <v>38.75</v>
      </c>
      <c r="F463" s="141" t="str">
        <f>IFERROR(STOCKS!$E463-STOCKS昨天!$E463,"0")</f>
        <v>0</v>
      </c>
      <c r="G463" s="63">
        <f t="shared" si="7"/>
        <v>0</v>
      </c>
    </row>
    <row r="464" spans="1:7">
      <c r="A464" s="118">
        <v>3149</v>
      </c>
      <c r="B464" s="60" t="s">
        <v>4069</v>
      </c>
      <c r="C464" s="125" t="s">
        <v>5572</v>
      </c>
      <c r="D464" s="118">
        <v>3149</v>
      </c>
      <c r="E464" s="60">
        <f>[1]!'3149.TW-PreClose'</f>
        <v>32.75</v>
      </c>
      <c r="F464" s="141" t="str">
        <f>IFERROR(STOCKS!$E464-STOCKS昨天!$E464,"0")</f>
        <v>0</v>
      </c>
      <c r="G464" s="63">
        <f t="shared" si="7"/>
        <v>0</v>
      </c>
    </row>
    <row r="465" spans="1:7">
      <c r="A465" s="118">
        <v>3356</v>
      </c>
      <c r="B465" s="60" t="s">
        <v>4070</v>
      </c>
      <c r="C465" s="125" t="s">
        <v>5572</v>
      </c>
      <c r="D465" s="118">
        <v>3356</v>
      </c>
      <c r="E465" s="60" t="str">
        <f>[1]!'3356.TW-PreClose'</f>
        <v>--</v>
      </c>
      <c r="F465" s="141" t="str">
        <f>IFERROR(STOCKS!$E465-STOCKS昨天!$E465,"0")</f>
        <v>0</v>
      </c>
      <c r="G465" s="63" t="str">
        <f t="shared" si="7"/>
        <v>0</v>
      </c>
    </row>
    <row r="466" spans="1:7">
      <c r="A466" s="118">
        <v>3383</v>
      </c>
      <c r="B466" s="60" t="s">
        <v>4071</v>
      </c>
      <c r="C466" s="125" t="s">
        <v>5572</v>
      </c>
      <c r="D466" s="118">
        <v>3383</v>
      </c>
      <c r="E466" s="60">
        <f>[1]!'3383.TW-PreClose'</f>
        <v>4.0599999999999996</v>
      </c>
      <c r="F466" s="141" t="str">
        <f>IFERROR(STOCKS!$E466-STOCKS昨天!$E466,"0")</f>
        <v>0</v>
      </c>
      <c r="G466" s="63">
        <f t="shared" si="7"/>
        <v>0</v>
      </c>
    </row>
    <row r="467" spans="1:7">
      <c r="A467" s="118">
        <v>3406</v>
      </c>
      <c r="B467" s="60" t="s">
        <v>4072</v>
      </c>
      <c r="C467" s="125" t="s">
        <v>5572</v>
      </c>
      <c r="D467" s="118">
        <v>3406</v>
      </c>
      <c r="E467" s="60">
        <f>[1]!'3406.TW-PreClose'</f>
        <v>514</v>
      </c>
      <c r="F467" s="141">
        <f>IFERROR(STOCKS!$E467-STOCKS昨天!$E467,"0")</f>
        <v>7</v>
      </c>
      <c r="G467" s="63">
        <f t="shared" si="7"/>
        <v>1.3618677042801557E-2</v>
      </c>
    </row>
    <row r="468" spans="1:7">
      <c r="A468" s="118">
        <v>3437</v>
      </c>
      <c r="B468" s="60" t="s">
        <v>4073</v>
      </c>
      <c r="C468" s="125" t="s">
        <v>5572</v>
      </c>
      <c r="D468" s="118">
        <v>3437</v>
      </c>
      <c r="E468" s="60">
        <f>[1]!'3437.TW-PreClose'</f>
        <v>26.15</v>
      </c>
      <c r="F468" s="141">
        <f>IFERROR(STOCKS!$E468-STOCKS昨天!$E468,"0")</f>
        <v>-0.25</v>
      </c>
      <c r="G468" s="63">
        <f t="shared" si="7"/>
        <v>-9.5602294455066923E-3</v>
      </c>
    </row>
    <row r="469" spans="1:7">
      <c r="A469" s="118">
        <v>3454</v>
      </c>
      <c r="B469" s="60" t="s">
        <v>4074</v>
      </c>
      <c r="C469" s="125" t="s">
        <v>5572</v>
      </c>
      <c r="D469" s="118">
        <v>3454</v>
      </c>
      <c r="E469" s="60">
        <f>[1]!'3454.TW-PreClose'</f>
        <v>71.2</v>
      </c>
      <c r="F469" s="141" t="str">
        <f>IFERROR(STOCKS!$E469-STOCKS昨天!$E469,"0")</f>
        <v>0</v>
      </c>
      <c r="G469" s="63">
        <f t="shared" si="7"/>
        <v>0</v>
      </c>
    </row>
    <row r="470" spans="1:7">
      <c r="A470" s="118">
        <v>3481</v>
      </c>
      <c r="B470" s="60" t="s">
        <v>4075</v>
      </c>
      <c r="C470" s="125" t="s">
        <v>5572</v>
      </c>
      <c r="D470" s="118">
        <v>3481</v>
      </c>
      <c r="E470" s="60">
        <f>[1]!'3481.TW-PreClose'</f>
        <v>18.5</v>
      </c>
      <c r="F470" s="141">
        <f>IFERROR(STOCKS!$E470-STOCKS昨天!$E470,"0")</f>
        <v>0.25</v>
      </c>
      <c r="G470" s="63">
        <f t="shared" si="7"/>
        <v>1.3513513513513514E-2</v>
      </c>
    </row>
    <row r="471" spans="1:7">
      <c r="A471" s="118">
        <v>3504</v>
      </c>
      <c r="B471" s="60" t="s">
        <v>4076</v>
      </c>
      <c r="C471" s="125" t="s">
        <v>5572</v>
      </c>
      <c r="D471" s="118">
        <v>3504</v>
      </c>
      <c r="E471" s="60">
        <f>[1]!'3504.TW-PreClose'</f>
        <v>131.5</v>
      </c>
      <c r="F471" s="141" t="str">
        <f>IFERROR(STOCKS!$E471-STOCKS昨天!$E471,"0")</f>
        <v>0</v>
      </c>
      <c r="G471" s="63">
        <f t="shared" si="7"/>
        <v>0</v>
      </c>
    </row>
    <row r="472" spans="1:7">
      <c r="A472" s="118">
        <v>3535</v>
      </c>
      <c r="B472" s="60" t="s">
        <v>4077</v>
      </c>
      <c r="C472" s="125" t="s">
        <v>5572</v>
      </c>
      <c r="D472" s="118">
        <v>3535</v>
      </c>
      <c r="E472" s="60">
        <f>[1]!'3535.TW-PreClose'</f>
        <v>17.75</v>
      </c>
      <c r="F472" s="141" t="str">
        <f>IFERROR(STOCKS!$E472-STOCKS昨天!$E472,"0")</f>
        <v>0</v>
      </c>
      <c r="G472" s="63">
        <f t="shared" si="7"/>
        <v>0</v>
      </c>
    </row>
    <row r="473" spans="1:7">
      <c r="A473" s="118">
        <v>3543</v>
      </c>
      <c r="B473" s="60" t="s">
        <v>4078</v>
      </c>
      <c r="C473" s="125" t="s">
        <v>5572</v>
      </c>
      <c r="D473" s="118">
        <v>3543</v>
      </c>
      <c r="E473" s="60" t="str">
        <f>[1]!'3543.TW-PreClose'</f>
        <v>--</v>
      </c>
      <c r="F473" s="141" t="str">
        <f>IFERROR(STOCKS!$E473-STOCKS昨天!$E473,"0")</f>
        <v>0</v>
      </c>
      <c r="G473" s="63" t="str">
        <f t="shared" si="7"/>
        <v>0</v>
      </c>
    </row>
    <row r="474" spans="1:7">
      <c r="A474" s="118">
        <v>3563</v>
      </c>
      <c r="B474" s="60" t="s">
        <v>4079</v>
      </c>
      <c r="C474" s="125" t="s">
        <v>5572</v>
      </c>
      <c r="D474" s="118">
        <v>3563</v>
      </c>
      <c r="E474" s="60">
        <f>[1]!'3563.TW-PreClose'</f>
        <v>239</v>
      </c>
      <c r="F474" s="141" t="str">
        <f>IFERROR(STOCKS!$E474-STOCKS昨天!$E474,"0")</f>
        <v>0</v>
      </c>
      <c r="G474" s="63">
        <f t="shared" si="7"/>
        <v>0</v>
      </c>
    </row>
    <row r="475" spans="1:7">
      <c r="A475" s="118">
        <v>3576</v>
      </c>
      <c r="B475" s="60" t="s">
        <v>3646</v>
      </c>
      <c r="C475" s="125" t="s">
        <v>5572</v>
      </c>
      <c r="D475" s="118">
        <v>3576</v>
      </c>
      <c r="E475" s="60">
        <f>[1]!'3576.TW-PreClose'</f>
        <v>21.7</v>
      </c>
      <c r="F475" s="141" t="str">
        <f>IFERROR(STOCKS!$E475-STOCKS昨天!$E475,"0")</f>
        <v>0</v>
      </c>
      <c r="G475" s="63">
        <f t="shared" si="7"/>
        <v>0</v>
      </c>
    </row>
    <row r="476" spans="1:7">
      <c r="A476" s="118">
        <v>3591</v>
      </c>
      <c r="B476" s="60" t="s">
        <v>3649</v>
      </c>
      <c r="C476" s="125" t="s">
        <v>5572</v>
      </c>
      <c r="D476" s="118">
        <v>3591</v>
      </c>
      <c r="E476" s="60">
        <f>[1]!'3591.TW-PreClose'</f>
        <v>22.3</v>
      </c>
      <c r="F476" s="141" t="str">
        <f>IFERROR(STOCKS!$E476-STOCKS昨天!$E476,"0")</f>
        <v>0</v>
      </c>
      <c r="G476" s="63">
        <f t="shared" si="7"/>
        <v>0</v>
      </c>
    </row>
    <row r="477" spans="1:7">
      <c r="A477" s="118">
        <v>3622</v>
      </c>
      <c r="B477" s="60" t="s">
        <v>4080</v>
      </c>
      <c r="C477" s="125" t="s">
        <v>5572</v>
      </c>
      <c r="D477" s="118">
        <v>3622</v>
      </c>
      <c r="E477" s="60">
        <f>[1]!'3622.TW-PreClose'</f>
        <v>29.5</v>
      </c>
      <c r="F477" s="141" t="str">
        <f>IFERROR(STOCKS!$E477-STOCKS昨天!$E477,"0")</f>
        <v>0</v>
      </c>
      <c r="G477" s="63">
        <f t="shared" si="7"/>
        <v>0</v>
      </c>
    </row>
    <row r="478" spans="1:7">
      <c r="A478" s="118">
        <v>3673</v>
      </c>
      <c r="B478" s="60" t="s">
        <v>1813</v>
      </c>
      <c r="C478" s="125" t="s">
        <v>5573</v>
      </c>
      <c r="D478" s="118">
        <v>3673</v>
      </c>
      <c r="E478" s="60">
        <f>[1]!'3673.TW-PreClose'</f>
        <v>41.8</v>
      </c>
      <c r="F478" s="141" t="str">
        <f>IFERROR(STOCKS!$E478-STOCKS昨天!$E478,"0")</f>
        <v>0</v>
      </c>
      <c r="G478" s="63">
        <f t="shared" si="7"/>
        <v>0</v>
      </c>
    </row>
    <row r="479" spans="1:7">
      <c r="A479" s="118">
        <v>3714</v>
      </c>
      <c r="B479" s="60" t="s">
        <v>4082</v>
      </c>
      <c r="C479" s="125" t="s">
        <v>5572</v>
      </c>
      <c r="D479" s="118">
        <v>3714</v>
      </c>
      <c r="E479" s="60">
        <f>[1]!'3714.TW-PreClose'</f>
        <v>80.2</v>
      </c>
      <c r="F479" s="141">
        <f>IFERROR(STOCKS!$E479-STOCKS昨天!$E479,"0")</f>
        <v>0.39999999999999147</v>
      </c>
      <c r="G479" s="63">
        <f t="shared" si="7"/>
        <v>4.9875311720697186E-3</v>
      </c>
    </row>
    <row r="480" spans="1:7">
      <c r="A480" s="118">
        <v>4934</v>
      </c>
      <c r="B480" s="60" t="s">
        <v>4083</v>
      </c>
      <c r="C480" s="125" t="s">
        <v>5572</v>
      </c>
      <c r="D480" s="118">
        <v>4934</v>
      </c>
      <c r="E480" s="60">
        <f>[1]!'4934.TW-PreClose'</f>
        <v>35.6</v>
      </c>
      <c r="F480" s="141" t="str">
        <f>IFERROR(STOCKS!$E480-STOCKS昨天!$E480,"0")</f>
        <v>0</v>
      </c>
      <c r="G480" s="63">
        <f t="shared" si="7"/>
        <v>0</v>
      </c>
    </row>
    <row r="481" spans="1:7">
      <c r="A481" s="118">
        <v>4935</v>
      </c>
      <c r="B481" s="60" t="s">
        <v>4084</v>
      </c>
      <c r="C481" s="125" t="s">
        <v>5573</v>
      </c>
      <c r="D481" s="118">
        <v>4935</v>
      </c>
      <c r="E481" s="60">
        <f>[1]!'4935.TW-PreClose'</f>
        <v>78.5</v>
      </c>
      <c r="F481" s="141" t="str">
        <f>IFERROR(STOCKS!$E481-STOCKS昨天!$E481,"0")</f>
        <v>0</v>
      </c>
      <c r="G481" s="63">
        <f t="shared" si="7"/>
        <v>0</v>
      </c>
    </row>
    <row r="482" spans="1:7">
      <c r="A482" s="118">
        <v>4942</v>
      </c>
      <c r="B482" s="60" t="s">
        <v>4085</v>
      </c>
      <c r="C482" s="125" t="s">
        <v>5572</v>
      </c>
      <c r="D482" s="118">
        <v>4942</v>
      </c>
      <c r="E482" s="60">
        <f>[1]!'4942.TW-PreClose'</f>
        <v>46.2</v>
      </c>
      <c r="F482" s="141" t="str">
        <f>IFERROR(STOCKS!$E482-STOCKS昨天!$E482,"0")</f>
        <v>0</v>
      </c>
      <c r="G482" s="63">
        <f t="shared" si="7"/>
        <v>0</v>
      </c>
    </row>
    <row r="483" spans="1:7">
      <c r="A483" s="118">
        <v>4956</v>
      </c>
      <c r="B483" s="60" t="s">
        <v>4086</v>
      </c>
      <c r="C483" s="125" t="s">
        <v>5572</v>
      </c>
      <c r="D483" s="118">
        <v>4956</v>
      </c>
      <c r="E483" s="60" t="str">
        <f>[1]!'4956.TW-PreClose'</f>
        <v>--</v>
      </c>
      <c r="F483" s="141" t="str">
        <f>IFERROR(STOCKS!$E483-STOCKS昨天!$E483,"0")</f>
        <v>0</v>
      </c>
      <c r="G483" s="63" t="str">
        <f t="shared" si="7"/>
        <v>0</v>
      </c>
    </row>
    <row r="484" spans="1:7">
      <c r="A484" s="118">
        <v>4960</v>
      </c>
      <c r="B484" s="60" t="s">
        <v>4087</v>
      </c>
      <c r="C484" s="125" t="s">
        <v>5572</v>
      </c>
      <c r="D484" s="118">
        <v>4960</v>
      </c>
      <c r="E484" s="60">
        <f>[1]!'4960.TW-PreClose'</f>
        <v>13.15</v>
      </c>
      <c r="F484" s="141">
        <f>IFERROR(STOCKS!$E484-STOCKS昨天!$E484,"0")</f>
        <v>-5.0000000000000711E-2</v>
      </c>
      <c r="G484" s="63">
        <f t="shared" si="7"/>
        <v>-3.8022813688213465E-3</v>
      </c>
    </row>
    <row r="485" spans="1:7">
      <c r="A485" s="118">
        <v>4976</v>
      </c>
      <c r="B485" s="60" t="s">
        <v>3596</v>
      </c>
      <c r="C485" s="125" t="s">
        <v>5572</v>
      </c>
      <c r="D485" s="118">
        <v>4976</v>
      </c>
      <c r="E485" s="60">
        <f>[1]!'4976.TW-PreClose'</f>
        <v>76.099999999999994</v>
      </c>
      <c r="F485" s="141" t="str">
        <f>IFERROR(STOCKS!$E485-STOCKS昨天!$E485,"0")</f>
        <v>0</v>
      </c>
      <c r="G485" s="63">
        <f t="shared" si="7"/>
        <v>0</v>
      </c>
    </row>
    <row r="486" spans="1:7">
      <c r="A486" s="118">
        <v>5234</v>
      </c>
      <c r="B486" s="60" t="s">
        <v>4088</v>
      </c>
      <c r="C486" s="125" t="s">
        <v>5572</v>
      </c>
      <c r="D486" s="118">
        <v>5234</v>
      </c>
      <c r="E486" s="60">
        <f>[1]!'5234.TW-PreClose'</f>
        <v>111</v>
      </c>
      <c r="F486" s="141" t="str">
        <f>IFERROR(STOCKS!$E486-STOCKS昨天!$E486,"0")</f>
        <v>0</v>
      </c>
      <c r="G486" s="63">
        <f t="shared" si="7"/>
        <v>0</v>
      </c>
    </row>
    <row r="487" spans="1:7">
      <c r="A487" s="118">
        <v>5243</v>
      </c>
      <c r="B487" s="60" t="s">
        <v>4089</v>
      </c>
      <c r="C487" s="125" t="s">
        <v>5573</v>
      </c>
      <c r="D487" s="118">
        <v>5243</v>
      </c>
      <c r="E487" s="60">
        <f>[1]!'5243.TW-PreClose'</f>
        <v>68.8</v>
      </c>
      <c r="F487" s="141" t="str">
        <f>IFERROR(STOCKS!$E487-STOCKS昨天!$E487,"0")</f>
        <v>0</v>
      </c>
      <c r="G487" s="63">
        <f t="shared" si="7"/>
        <v>0</v>
      </c>
    </row>
    <row r="488" spans="1:7">
      <c r="A488" s="118">
        <v>6116</v>
      </c>
      <c r="B488" s="60" t="s">
        <v>4090</v>
      </c>
      <c r="C488" s="125" t="s">
        <v>5572</v>
      </c>
      <c r="D488" s="118">
        <v>6116</v>
      </c>
      <c r="E488" s="60">
        <f>[1]!'6116.TW-PreClose'</f>
        <v>16.100000000000001</v>
      </c>
      <c r="F488" s="141" t="str">
        <f>IFERROR(STOCKS!$E488-STOCKS昨天!$E488,"0")</f>
        <v>0</v>
      </c>
      <c r="G488" s="63">
        <f t="shared" si="7"/>
        <v>0</v>
      </c>
    </row>
    <row r="489" spans="1:7">
      <c r="A489" s="118">
        <v>6120</v>
      </c>
      <c r="B489" s="60" t="s">
        <v>4091</v>
      </c>
      <c r="C489" s="125" t="s">
        <v>5572</v>
      </c>
      <c r="D489" s="118">
        <v>6120</v>
      </c>
      <c r="E489" s="60">
        <f>[1]!'6120.TW-PreClose'</f>
        <v>11.25</v>
      </c>
      <c r="F489" s="141" t="str">
        <f>IFERROR(STOCKS!$E489-STOCKS昨天!$E489,"0")</f>
        <v>0</v>
      </c>
      <c r="G489" s="63">
        <f t="shared" si="7"/>
        <v>0</v>
      </c>
    </row>
    <row r="490" spans="1:7">
      <c r="A490" s="118">
        <v>6164</v>
      </c>
      <c r="B490" s="60" t="s">
        <v>4092</v>
      </c>
      <c r="C490" s="125" t="s">
        <v>5572</v>
      </c>
      <c r="D490" s="118">
        <v>6164</v>
      </c>
      <c r="E490" s="60" t="str">
        <f>[1]!'6164.TW-PreClose'</f>
        <v>--</v>
      </c>
      <c r="F490" s="141" t="str">
        <f>IFERROR(STOCKS!$E490-STOCKS昨天!$E490,"0")</f>
        <v>0</v>
      </c>
      <c r="G490" s="63" t="str">
        <f t="shared" si="7"/>
        <v>0</v>
      </c>
    </row>
    <row r="491" spans="1:7">
      <c r="A491" s="118">
        <v>6168</v>
      </c>
      <c r="B491" s="60" t="s">
        <v>4093</v>
      </c>
      <c r="C491" s="125" t="s">
        <v>5572</v>
      </c>
      <c r="D491" s="118">
        <v>6168</v>
      </c>
      <c r="E491" s="60" t="str">
        <f>[1]!'6168.TW-PreClose'</f>
        <v>--</v>
      </c>
      <c r="F491" s="141" t="str">
        <f>IFERROR(STOCKS!$E491-STOCKS昨天!$E491,"0")</f>
        <v>0</v>
      </c>
      <c r="G491" s="63" t="str">
        <f t="shared" si="7"/>
        <v>0</v>
      </c>
    </row>
    <row r="492" spans="1:7">
      <c r="A492" s="118">
        <v>6176</v>
      </c>
      <c r="B492" s="60" t="s">
        <v>4094</v>
      </c>
      <c r="C492" s="125" t="s">
        <v>5572</v>
      </c>
      <c r="D492" s="118">
        <v>6176</v>
      </c>
      <c r="E492" s="60" t="str">
        <f>[1]!'6176.TW-PreClose'</f>
        <v>--</v>
      </c>
      <c r="F492" s="141" t="str">
        <f>IFERROR(STOCKS!$E492-STOCKS昨天!$E492,"0")</f>
        <v>0</v>
      </c>
      <c r="G492" s="63" t="str">
        <f t="shared" si="7"/>
        <v>0</v>
      </c>
    </row>
    <row r="493" spans="1:7">
      <c r="A493" s="118">
        <v>6209</v>
      </c>
      <c r="B493" s="60" t="s">
        <v>4095</v>
      </c>
      <c r="C493" s="125" t="s">
        <v>5572</v>
      </c>
      <c r="D493" s="118">
        <v>6209</v>
      </c>
      <c r="E493" s="60" t="str">
        <f>[1]!'6209.TW-PreClose'</f>
        <v>--</v>
      </c>
      <c r="F493" s="141" t="str">
        <f>IFERROR(STOCKS!$E493-STOCKS昨天!$E493,"0")</f>
        <v>0</v>
      </c>
      <c r="G493" s="63" t="str">
        <f t="shared" si="7"/>
        <v>0</v>
      </c>
    </row>
    <row r="494" spans="1:7">
      <c r="A494" s="118">
        <v>6225</v>
      </c>
      <c r="B494" s="60" t="s">
        <v>4096</v>
      </c>
      <c r="C494" s="125" t="s">
        <v>5572</v>
      </c>
      <c r="D494" s="118">
        <v>6225</v>
      </c>
      <c r="E494" s="60" t="str">
        <f>[1]!'6225.TW-PreClose'</f>
        <v>--</v>
      </c>
      <c r="F494" s="141" t="str">
        <f>IFERROR(STOCKS!$E494-STOCKS昨天!$E494,"0")</f>
        <v>0</v>
      </c>
      <c r="G494" s="63" t="str">
        <f t="shared" si="7"/>
        <v>0</v>
      </c>
    </row>
    <row r="495" spans="1:7">
      <c r="A495" s="118">
        <v>6226</v>
      </c>
      <c r="B495" s="60" t="s">
        <v>4097</v>
      </c>
      <c r="C495" s="125" t="s">
        <v>5572</v>
      </c>
      <c r="D495" s="118">
        <v>6226</v>
      </c>
      <c r="E495" s="60">
        <f>[1]!'6226.TW-PreClose'</f>
        <v>15</v>
      </c>
      <c r="F495" s="141" t="str">
        <f>IFERROR(STOCKS!$E495-STOCKS昨天!$E495,"0")</f>
        <v>0</v>
      </c>
      <c r="G495" s="63">
        <f t="shared" si="7"/>
        <v>0</v>
      </c>
    </row>
    <row r="496" spans="1:7">
      <c r="A496" s="118">
        <v>6278</v>
      </c>
      <c r="B496" s="60" t="s">
        <v>4098</v>
      </c>
      <c r="C496" s="125" t="s">
        <v>5572</v>
      </c>
      <c r="D496" s="118">
        <v>6278</v>
      </c>
      <c r="E496" s="60">
        <f>[1]!'6278.TW-PreClose'</f>
        <v>119</v>
      </c>
      <c r="F496" s="141">
        <f>IFERROR(STOCKS!$E496-STOCKS昨天!$E496,"0")</f>
        <v>0</v>
      </c>
      <c r="G496" s="63">
        <f t="shared" si="7"/>
        <v>0</v>
      </c>
    </row>
    <row r="497" spans="1:7">
      <c r="A497" s="118">
        <v>6289</v>
      </c>
      <c r="B497" s="60" t="s">
        <v>4099</v>
      </c>
      <c r="C497" s="125" t="s">
        <v>5572</v>
      </c>
      <c r="D497" s="118">
        <v>6289</v>
      </c>
      <c r="E497" s="60">
        <f>[1]!'6289.TW-PreClose'</f>
        <v>2.46</v>
      </c>
      <c r="F497" s="141" t="str">
        <f>IFERROR(STOCKS!$E497-STOCKS昨天!$E497,"0")</f>
        <v>0</v>
      </c>
      <c r="G497" s="63">
        <f t="shared" si="7"/>
        <v>0</v>
      </c>
    </row>
    <row r="498" spans="1:7">
      <c r="A498" s="118">
        <v>6405</v>
      </c>
      <c r="B498" s="60" t="s">
        <v>4100</v>
      </c>
      <c r="C498" s="125" t="s">
        <v>5572</v>
      </c>
      <c r="D498" s="118">
        <v>6405</v>
      </c>
      <c r="E498" s="60">
        <f>[1]!'6405.TW-PreClose'</f>
        <v>29</v>
      </c>
      <c r="F498" s="141" t="str">
        <f>IFERROR(STOCKS!$E498-STOCKS昨天!$E498,"0")</f>
        <v>0</v>
      </c>
      <c r="G498" s="63">
        <f t="shared" si="7"/>
        <v>0</v>
      </c>
    </row>
    <row r="499" spans="1:7">
      <c r="A499" s="118">
        <v>6431</v>
      </c>
      <c r="B499" s="60" t="s">
        <v>4101</v>
      </c>
      <c r="C499" s="125" t="s">
        <v>5573</v>
      </c>
      <c r="D499" s="118">
        <v>6431</v>
      </c>
      <c r="E499" s="60">
        <f>[1]!'6431.TW-PreClose'</f>
        <v>29.45</v>
      </c>
      <c r="F499" s="141" t="str">
        <f>IFERROR(STOCKS!$E499-STOCKS昨天!$E499,"0")</f>
        <v>0</v>
      </c>
      <c r="G499" s="63">
        <f t="shared" si="7"/>
        <v>0</v>
      </c>
    </row>
    <row r="500" spans="1:7">
      <c r="A500" s="118">
        <v>6443</v>
      </c>
      <c r="B500" s="60" t="s">
        <v>44</v>
      </c>
      <c r="C500" s="125" t="s">
        <v>5572</v>
      </c>
      <c r="D500" s="118">
        <v>6443</v>
      </c>
      <c r="E500" s="60">
        <f>[1]!'6443.TW-PreClose'</f>
        <v>37.6</v>
      </c>
      <c r="F500" s="141">
        <f>IFERROR(STOCKS!$E500-STOCKS昨天!$E500,"0")</f>
        <v>0.25</v>
      </c>
      <c r="G500" s="63">
        <f t="shared" si="7"/>
        <v>6.648936170212766E-3</v>
      </c>
    </row>
    <row r="501" spans="1:7">
      <c r="A501" s="118">
        <v>6456</v>
      </c>
      <c r="B501" s="60" t="s">
        <v>2772</v>
      </c>
      <c r="C501" s="125" t="s">
        <v>5573</v>
      </c>
      <c r="D501" s="118">
        <v>6456</v>
      </c>
      <c r="E501" s="60">
        <f>[1]!'6456.TW-PreClose'</f>
        <v>101.5</v>
      </c>
      <c r="F501" s="141" t="str">
        <f>IFERROR(STOCKS!$E501-STOCKS昨天!$E501,"0")</f>
        <v>0</v>
      </c>
      <c r="G501" s="63">
        <f t="shared" si="7"/>
        <v>0</v>
      </c>
    </row>
    <row r="502" spans="1:7">
      <c r="A502" s="118">
        <v>6477</v>
      </c>
      <c r="B502" s="60" t="s">
        <v>4102</v>
      </c>
      <c r="C502" s="125" t="s">
        <v>5572</v>
      </c>
      <c r="D502" s="118">
        <v>6477</v>
      </c>
      <c r="E502" s="60">
        <f>[1]!'6477.TW-PreClose'</f>
        <v>42.75</v>
      </c>
      <c r="F502" s="141" t="str">
        <f>IFERROR(STOCKS!$E502-STOCKS昨天!$E502,"0")</f>
        <v>0</v>
      </c>
      <c r="G502" s="63">
        <f t="shared" si="7"/>
        <v>0</v>
      </c>
    </row>
    <row r="503" spans="1:7">
      <c r="A503" s="118">
        <v>6668</v>
      </c>
      <c r="B503" s="60" t="s">
        <v>4103</v>
      </c>
      <c r="C503" s="125" t="s">
        <v>5572</v>
      </c>
      <c r="D503" s="118">
        <v>6668</v>
      </c>
      <c r="E503" s="60" t="str">
        <f>[1]!'6668.TW-PreClose'</f>
        <v>--</v>
      </c>
      <c r="F503" s="141" t="str">
        <f>IFERROR(STOCKS!$E503-STOCKS昨天!$E503,"0")</f>
        <v>0</v>
      </c>
      <c r="G503" s="63" t="str">
        <f t="shared" si="7"/>
        <v>0</v>
      </c>
    </row>
    <row r="504" spans="1:7">
      <c r="A504" s="118">
        <v>6706</v>
      </c>
      <c r="B504" s="60" t="s">
        <v>4104</v>
      </c>
      <c r="C504" s="125" t="s">
        <v>5572</v>
      </c>
      <c r="D504" s="118">
        <v>6706</v>
      </c>
      <c r="E504" s="60">
        <f>[1]!'6706.TW-PreClose'</f>
        <v>222</v>
      </c>
      <c r="F504" s="141" t="str">
        <f>IFERROR(STOCKS!$E504-STOCKS昨天!$E504,"0")</f>
        <v>0</v>
      </c>
      <c r="G504" s="63">
        <f t="shared" si="7"/>
        <v>0</v>
      </c>
    </row>
    <row r="505" spans="1:7">
      <c r="A505" s="118">
        <v>8104</v>
      </c>
      <c r="B505" s="60" t="s">
        <v>4105</v>
      </c>
      <c r="C505" s="125" t="s">
        <v>5572</v>
      </c>
      <c r="D505" s="118">
        <v>8104</v>
      </c>
      <c r="E505" s="60" t="str">
        <f>[1]!'8104.TW-PreClose'</f>
        <v>--</v>
      </c>
      <c r="F505" s="141" t="str">
        <f>IFERROR(STOCKS!$E505-STOCKS昨天!$E505,"0")</f>
        <v>0</v>
      </c>
      <c r="G505" s="63" t="str">
        <f t="shared" si="7"/>
        <v>0</v>
      </c>
    </row>
    <row r="506" spans="1:7">
      <c r="A506" s="118">
        <v>8105</v>
      </c>
      <c r="B506" s="60" t="s">
        <v>4106</v>
      </c>
      <c r="C506" s="125" t="s">
        <v>5572</v>
      </c>
      <c r="D506" s="118">
        <v>8105</v>
      </c>
      <c r="E506" s="60" t="str">
        <f>[1]!'8105.TW-PreClose'</f>
        <v>--</v>
      </c>
      <c r="F506" s="141" t="str">
        <f>IFERROR(STOCKS!$E506-STOCKS昨天!$E506,"0")</f>
        <v>0</v>
      </c>
      <c r="G506" s="63" t="str">
        <f t="shared" si="7"/>
        <v>0</v>
      </c>
    </row>
    <row r="507" spans="1:7">
      <c r="A507" s="118">
        <v>8215</v>
      </c>
      <c r="B507" s="60" t="s">
        <v>4107</v>
      </c>
      <c r="C507" s="125" t="s">
        <v>5572</v>
      </c>
      <c r="D507" s="118">
        <v>8215</v>
      </c>
      <c r="E507" s="60" t="str">
        <f>[1]!'8215.TW-PreClose'</f>
        <v>--</v>
      </c>
      <c r="F507" s="141" t="str">
        <f>IFERROR(STOCKS!$E507-STOCKS昨天!$E507,"0")</f>
        <v>0</v>
      </c>
      <c r="G507" s="63" t="str">
        <f t="shared" si="7"/>
        <v>0</v>
      </c>
    </row>
    <row r="508" spans="1:7">
      <c r="A508" s="118">
        <v>2314</v>
      </c>
      <c r="B508" s="60" t="s">
        <v>4108</v>
      </c>
      <c r="C508" s="125" t="s">
        <v>5574</v>
      </c>
      <c r="D508" s="118">
        <v>2314</v>
      </c>
      <c r="E508" s="60">
        <f>[1]!'2314.TW-PreClose'</f>
        <v>83.3</v>
      </c>
      <c r="F508" s="141">
        <f>IFERROR(STOCKS!$E508-STOCKS昨天!$E508,"0")</f>
        <v>0.60000000000000853</v>
      </c>
      <c r="G508" s="63">
        <f t="shared" si="7"/>
        <v>7.2028811524610867E-3</v>
      </c>
    </row>
    <row r="509" spans="1:7">
      <c r="A509" s="118">
        <v>2321</v>
      </c>
      <c r="B509" s="60" t="s">
        <v>4109</v>
      </c>
      <c r="C509" s="125" t="s">
        <v>5574</v>
      </c>
      <c r="D509" s="118">
        <v>2321</v>
      </c>
      <c r="E509" s="60">
        <f>[1]!'2321.TW-PreClose'</f>
        <v>6.36</v>
      </c>
      <c r="F509" s="141" t="str">
        <f>IFERROR(STOCKS!$E509-STOCKS昨天!$E509,"0")</f>
        <v>0</v>
      </c>
      <c r="G509" s="63">
        <f t="shared" si="7"/>
        <v>0</v>
      </c>
    </row>
    <row r="510" spans="1:7">
      <c r="A510" s="118">
        <v>2332</v>
      </c>
      <c r="B510" s="60" t="s">
        <v>4110</v>
      </c>
      <c r="C510" s="125" t="s">
        <v>5574</v>
      </c>
      <c r="D510" s="118">
        <v>2332</v>
      </c>
      <c r="E510" s="60">
        <f>[1]!'2332.TW-PreClose'</f>
        <v>20.2</v>
      </c>
      <c r="F510" s="141">
        <f>IFERROR(STOCKS!$E510-STOCKS昨天!$E510,"0")</f>
        <v>5.0000000000000711E-2</v>
      </c>
      <c r="G510" s="63">
        <f t="shared" si="7"/>
        <v>2.4752475247525104E-3</v>
      </c>
    </row>
    <row r="511" spans="1:7">
      <c r="A511" s="118">
        <v>2345</v>
      </c>
      <c r="B511" s="60" t="s">
        <v>4111</v>
      </c>
      <c r="C511" s="125" t="s">
        <v>5574</v>
      </c>
      <c r="D511" s="118">
        <v>2345</v>
      </c>
      <c r="E511" s="60">
        <f>[1]!'2345.TW-PreClose'</f>
        <v>295</v>
      </c>
      <c r="F511" s="141" t="str">
        <f>IFERROR(STOCKS!$E511-STOCKS昨天!$E511,"0")</f>
        <v>0</v>
      </c>
      <c r="G511" s="63">
        <f t="shared" si="7"/>
        <v>0</v>
      </c>
    </row>
    <row r="512" spans="1:7">
      <c r="A512" s="118">
        <v>2412</v>
      </c>
      <c r="B512" s="60" t="s">
        <v>4112</v>
      </c>
      <c r="C512" s="125" t="s">
        <v>5574</v>
      </c>
      <c r="D512" s="118">
        <v>2412</v>
      </c>
      <c r="E512" s="60">
        <f>[1]!'2412.TW-PreClose'</f>
        <v>113.5</v>
      </c>
      <c r="F512" s="141" t="str">
        <f>IFERROR(STOCKS!$E512-STOCKS昨天!$E512,"0")</f>
        <v>0</v>
      </c>
      <c r="G512" s="63">
        <f t="shared" si="7"/>
        <v>0</v>
      </c>
    </row>
    <row r="513" spans="1:7">
      <c r="A513" s="118">
        <v>2419</v>
      </c>
      <c r="B513" s="60" t="s">
        <v>4113</v>
      </c>
      <c r="C513" s="125" t="s">
        <v>5574</v>
      </c>
      <c r="D513" s="118">
        <v>2419</v>
      </c>
      <c r="E513" s="60">
        <f>[1]!'2419.TW-PreClose'</f>
        <v>23.55</v>
      </c>
      <c r="F513" s="141">
        <f>IFERROR(STOCKS!$E513-STOCKS昨天!$E513,"0")</f>
        <v>5.0000000000000711E-2</v>
      </c>
      <c r="G513" s="63">
        <f t="shared" si="7"/>
        <v>2.1231422505308159E-3</v>
      </c>
    </row>
    <row r="514" spans="1:7">
      <c r="A514" s="118">
        <v>2439</v>
      </c>
      <c r="B514" s="60" t="s">
        <v>4114</v>
      </c>
      <c r="C514" s="125" t="s">
        <v>5574</v>
      </c>
      <c r="D514" s="118">
        <v>2439</v>
      </c>
      <c r="E514" s="60">
        <f>[1]!'2439.TW-PreClose'</f>
        <v>92.9</v>
      </c>
      <c r="F514" s="141" t="str">
        <f>IFERROR(STOCKS!$E514-STOCKS昨天!$E514,"0")</f>
        <v>0</v>
      </c>
      <c r="G514" s="63">
        <f t="shared" si="7"/>
        <v>0</v>
      </c>
    </row>
    <row r="515" spans="1:7">
      <c r="A515" s="118">
        <v>2444</v>
      </c>
      <c r="B515" s="60" t="s">
        <v>4115</v>
      </c>
      <c r="C515" s="125" t="s">
        <v>5574</v>
      </c>
      <c r="D515" s="118">
        <v>2444</v>
      </c>
      <c r="E515" s="60" t="str">
        <f>[1]!'2444.TW-PreClose'</f>
        <v>--</v>
      </c>
      <c r="F515" s="141" t="str">
        <f>IFERROR(STOCKS!$E515-STOCKS昨天!$E515,"0")</f>
        <v>0</v>
      </c>
      <c r="G515" s="63" t="str">
        <f t="shared" ref="G515:G578" si="8">IFERROR($F515/$E515,"0")</f>
        <v>0</v>
      </c>
    </row>
    <row r="516" spans="1:7">
      <c r="A516" s="118">
        <v>2450</v>
      </c>
      <c r="B516" s="60" t="s">
        <v>4116</v>
      </c>
      <c r="C516" s="125" t="s">
        <v>5574</v>
      </c>
      <c r="D516" s="118">
        <v>2450</v>
      </c>
      <c r="E516" s="60">
        <f>[1]!'2450.TW-PreClose'</f>
        <v>33.15</v>
      </c>
      <c r="F516" s="141" t="str">
        <f>IFERROR(STOCKS!$E516-STOCKS昨天!$E516,"0")</f>
        <v>0</v>
      </c>
      <c r="G516" s="63">
        <f t="shared" si="8"/>
        <v>0</v>
      </c>
    </row>
    <row r="517" spans="1:7">
      <c r="A517" s="118">
        <v>2455</v>
      </c>
      <c r="B517" s="60" t="s">
        <v>4117</v>
      </c>
      <c r="C517" s="125" t="s">
        <v>5574</v>
      </c>
      <c r="D517" s="118">
        <v>2455</v>
      </c>
      <c r="E517" s="60">
        <f>[1]!'2455.TW-PreClose'</f>
        <v>144</v>
      </c>
      <c r="F517" s="141">
        <f>IFERROR(STOCKS!$E517-STOCKS昨天!$E517,"0")</f>
        <v>2</v>
      </c>
      <c r="G517" s="63">
        <f t="shared" si="8"/>
        <v>1.3888888888888888E-2</v>
      </c>
    </row>
    <row r="518" spans="1:7">
      <c r="A518" s="118">
        <v>2485</v>
      </c>
      <c r="B518" s="60" t="s">
        <v>3624</v>
      </c>
      <c r="C518" s="125" t="s">
        <v>5574</v>
      </c>
      <c r="D518" s="118">
        <v>2485</v>
      </c>
      <c r="E518" s="60">
        <f>[1]!'2485.TW-PreClose'</f>
        <v>21.4</v>
      </c>
      <c r="F518" s="141">
        <f>IFERROR(STOCKS!$E518-STOCKS昨天!$E518,"0")</f>
        <v>0.30000000000000071</v>
      </c>
      <c r="G518" s="63">
        <f t="shared" si="8"/>
        <v>1.4018691588785081E-2</v>
      </c>
    </row>
    <row r="519" spans="1:7">
      <c r="A519" s="118">
        <v>2498</v>
      </c>
      <c r="B519" s="60" t="s">
        <v>4118</v>
      </c>
      <c r="C519" s="125" t="s">
        <v>5574</v>
      </c>
      <c r="D519" s="118">
        <v>2498</v>
      </c>
      <c r="E519" s="60">
        <f>[1]!'2498.TW-PreClose'</f>
        <v>78.400000000000006</v>
      </c>
      <c r="F519" s="141">
        <f>IFERROR(STOCKS!$E519-STOCKS昨天!$E519,"0")</f>
        <v>1.2999999999999972</v>
      </c>
      <c r="G519" s="63">
        <f t="shared" si="8"/>
        <v>1.6581632653061187E-2</v>
      </c>
    </row>
    <row r="520" spans="1:7">
      <c r="A520" s="118">
        <v>3025</v>
      </c>
      <c r="B520" s="60" t="s">
        <v>4119</v>
      </c>
      <c r="C520" s="125" t="s">
        <v>5574</v>
      </c>
      <c r="D520" s="118">
        <v>3025</v>
      </c>
      <c r="E520" s="60" t="str">
        <f>[1]!'3025.TW-PreClose'</f>
        <v>--</v>
      </c>
      <c r="F520" s="141" t="str">
        <f>IFERROR(STOCKS!$E520-STOCKS昨天!$E520,"0")</f>
        <v>0</v>
      </c>
      <c r="G520" s="63" t="str">
        <f t="shared" si="8"/>
        <v>0</v>
      </c>
    </row>
    <row r="521" spans="1:7">
      <c r="A521" s="118">
        <v>3027</v>
      </c>
      <c r="B521" s="60" t="s">
        <v>4120</v>
      </c>
      <c r="C521" s="125" t="s">
        <v>5574</v>
      </c>
      <c r="D521" s="118">
        <v>3027</v>
      </c>
      <c r="E521" s="60">
        <f>[1]!'3027.TW-PreClose'</f>
        <v>25.3</v>
      </c>
      <c r="F521" s="141" t="str">
        <f>IFERROR(STOCKS!$E521-STOCKS昨天!$E521,"0")</f>
        <v>0</v>
      </c>
      <c r="G521" s="63">
        <f t="shared" si="8"/>
        <v>0</v>
      </c>
    </row>
    <row r="522" spans="1:7">
      <c r="A522" s="118">
        <v>3045</v>
      </c>
      <c r="B522" s="60" t="s">
        <v>4121</v>
      </c>
      <c r="C522" s="125" t="s">
        <v>5574</v>
      </c>
      <c r="D522" s="118">
        <v>3045</v>
      </c>
      <c r="E522" s="60">
        <f>[1]!'3045.TW-PreClose'</f>
        <v>99.2</v>
      </c>
      <c r="F522" s="141" t="str">
        <f>IFERROR(STOCKS!$E522-STOCKS昨天!$E522,"0")</f>
        <v>0</v>
      </c>
      <c r="G522" s="63">
        <f t="shared" si="8"/>
        <v>0</v>
      </c>
    </row>
    <row r="523" spans="1:7">
      <c r="A523" s="118">
        <v>3047</v>
      </c>
      <c r="B523" s="60" t="s">
        <v>4122</v>
      </c>
      <c r="C523" s="125" t="s">
        <v>5574</v>
      </c>
      <c r="D523" s="118">
        <v>3047</v>
      </c>
      <c r="E523" s="60">
        <f>[1]!'3047.TW-PreClose'</f>
        <v>11.05</v>
      </c>
      <c r="F523" s="141" t="str">
        <f>IFERROR(STOCKS!$E523-STOCKS昨天!$E523,"0")</f>
        <v>0</v>
      </c>
      <c r="G523" s="63">
        <f t="shared" si="8"/>
        <v>0</v>
      </c>
    </row>
    <row r="524" spans="1:7">
      <c r="A524" s="118">
        <v>3062</v>
      </c>
      <c r="B524" s="60" t="s">
        <v>4123</v>
      </c>
      <c r="C524" s="125" t="s">
        <v>5574</v>
      </c>
      <c r="D524" s="118">
        <v>3062</v>
      </c>
      <c r="E524" s="60" t="str">
        <f>[1]!'3062.TW-PreClose'</f>
        <v>--</v>
      </c>
      <c r="F524" s="141" t="str">
        <f>IFERROR(STOCKS!$E524-STOCKS昨天!$E524,"0")</f>
        <v>0</v>
      </c>
      <c r="G524" s="63" t="str">
        <f t="shared" si="8"/>
        <v>0</v>
      </c>
    </row>
    <row r="525" spans="1:7">
      <c r="A525" s="118">
        <v>3138</v>
      </c>
      <c r="B525" s="60" t="s">
        <v>43</v>
      </c>
      <c r="C525" s="125" t="s">
        <v>5574</v>
      </c>
      <c r="D525" s="118">
        <v>3138</v>
      </c>
      <c r="E525" s="60">
        <f>[1]!'3138.TW-PreClose'</f>
        <v>229</v>
      </c>
      <c r="F525" s="141" t="str">
        <f>IFERROR(STOCKS!$E525-STOCKS昨天!$E525,"0")</f>
        <v>0</v>
      </c>
      <c r="G525" s="63">
        <f t="shared" si="8"/>
        <v>0</v>
      </c>
    </row>
    <row r="526" spans="1:7">
      <c r="A526" s="118">
        <v>3311</v>
      </c>
      <c r="B526" s="60" t="s">
        <v>4124</v>
      </c>
      <c r="C526" s="125" t="s">
        <v>5574</v>
      </c>
      <c r="D526" s="118">
        <v>3311</v>
      </c>
      <c r="E526" s="60">
        <f>[1]!'3311.TW-PreClose'</f>
        <v>33.75</v>
      </c>
      <c r="F526" s="141" t="str">
        <f>IFERROR(STOCKS!$E526-STOCKS昨天!$E526,"0")</f>
        <v>0</v>
      </c>
      <c r="G526" s="63">
        <f t="shared" si="8"/>
        <v>0</v>
      </c>
    </row>
    <row r="527" spans="1:7">
      <c r="A527" s="118">
        <v>3380</v>
      </c>
      <c r="B527" s="60" t="s">
        <v>4125</v>
      </c>
      <c r="C527" s="125" t="s">
        <v>5574</v>
      </c>
      <c r="D527" s="118">
        <v>3380</v>
      </c>
      <c r="E527" s="60" t="str">
        <f>[1]!'3380.TW-PreClose'</f>
        <v>--</v>
      </c>
      <c r="F527" s="141" t="str">
        <f>IFERROR(STOCKS!$E527-STOCKS昨天!$E527,"0")</f>
        <v>0</v>
      </c>
      <c r="G527" s="63" t="str">
        <f t="shared" si="8"/>
        <v>0</v>
      </c>
    </row>
    <row r="528" spans="1:7">
      <c r="A528" s="118">
        <v>3419</v>
      </c>
      <c r="B528" s="60" t="s">
        <v>4126</v>
      </c>
      <c r="C528" s="125" t="s">
        <v>5574</v>
      </c>
      <c r="D528" s="118">
        <v>3419</v>
      </c>
      <c r="E528" s="60" t="str">
        <f>[1]!'3419.TW-PreClose'</f>
        <v>--</v>
      </c>
      <c r="F528" s="141" t="str">
        <f>IFERROR(STOCKS!$E528-STOCKS昨天!$E528,"0")</f>
        <v>0</v>
      </c>
      <c r="G528" s="63" t="str">
        <f t="shared" si="8"/>
        <v>0</v>
      </c>
    </row>
    <row r="529" spans="1:7">
      <c r="A529" s="118">
        <v>3596</v>
      </c>
      <c r="B529" s="60" t="s">
        <v>4127</v>
      </c>
      <c r="C529" s="125" t="s">
        <v>5574</v>
      </c>
      <c r="D529" s="118">
        <v>3596</v>
      </c>
      <c r="E529" s="60">
        <f>[1]!'3596.TW-PreClose'</f>
        <v>110</v>
      </c>
      <c r="F529" s="141" t="str">
        <f>IFERROR(STOCKS!$E529-STOCKS昨天!$E529,"0")</f>
        <v>0</v>
      </c>
      <c r="G529" s="63">
        <f t="shared" si="8"/>
        <v>0</v>
      </c>
    </row>
    <row r="530" spans="1:7">
      <c r="A530" s="118">
        <v>3669</v>
      </c>
      <c r="B530" s="60" t="s">
        <v>4081</v>
      </c>
      <c r="C530" s="125" t="s">
        <v>5574</v>
      </c>
      <c r="D530" s="118">
        <v>3669</v>
      </c>
      <c r="E530" s="60">
        <f>[1]!'3669.TW-PreClose'</f>
        <v>50.9</v>
      </c>
      <c r="F530" s="141" t="str">
        <f>IFERROR(STOCKS!$E530-STOCKS昨天!$E530,"0")</f>
        <v>0</v>
      </c>
      <c r="G530" s="63">
        <f t="shared" si="8"/>
        <v>0</v>
      </c>
    </row>
    <row r="531" spans="1:7">
      <c r="A531" s="118">
        <v>3682</v>
      </c>
      <c r="B531" s="60" t="s">
        <v>4128</v>
      </c>
      <c r="C531" s="125" t="s">
        <v>5574</v>
      </c>
      <c r="D531" s="118">
        <v>3682</v>
      </c>
      <c r="E531" s="60">
        <f>[1]!'3682.TW-PreClose'</f>
        <v>8.5</v>
      </c>
      <c r="F531" s="141" t="str">
        <f>IFERROR(STOCKS!$E531-STOCKS昨天!$E531,"0")</f>
        <v>0</v>
      </c>
      <c r="G531" s="63">
        <f t="shared" si="8"/>
        <v>0</v>
      </c>
    </row>
    <row r="532" spans="1:7">
      <c r="A532" s="118">
        <v>3694</v>
      </c>
      <c r="B532" s="60" t="s">
        <v>4129</v>
      </c>
      <c r="C532" s="125" t="s">
        <v>5574</v>
      </c>
      <c r="D532" s="118">
        <v>3694</v>
      </c>
      <c r="E532" s="60">
        <f>[1]!'3694.TW-PreClose'</f>
        <v>24.7</v>
      </c>
      <c r="F532" s="141" t="str">
        <f>IFERROR(STOCKS!$E532-STOCKS昨天!$E532,"0")</f>
        <v>0</v>
      </c>
      <c r="G532" s="63">
        <f t="shared" si="8"/>
        <v>0</v>
      </c>
    </row>
    <row r="533" spans="1:7">
      <c r="A533" s="118">
        <v>3704</v>
      </c>
      <c r="B533" s="60" t="s">
        <v>4130</v>
      </c>
      <c r="C533" s="125" t="s">
        <v>5574</v>
      </c>
      <c r="D533" s="118">
        <v>3704</v>
      </c>
      <c r="E533" s="60">
        <f>[1]!'3704.TW-PreClose'</f>
        <v>32.9</v>
      </c>
      <c r="F533" s="141" t="str">
        <f>IFERROR(STOCKS!$E533-STOCKS昨天!$E533,"0")</f>
        <v>0</v>
      </c>
      <c r="G533" s="63">
        <f t="shared" si="8"/>
        <v>0</v>
      </c>
    </row>
    <row r="534" spans="1:7">
      <c r="A534" s="118">
        <v>4904</v>
      </c>
      <c r="B534" s="60" t="s">
        <v>4131</v>
      </c>
      <c r="C534" s="125" t="s">
        <v>5574</v>
      </c>
      <c r="D534" s="118">
        <v>4904</v>
      </c>
      <c r="E534" s="60">
        <f>[1]!'4904.TW-PreClose'</f>
        <v>63.8</v>
      </c>
      <c r="F534" s="141" t="str">
        <f>IFERROR(STOCKS!$E534-STOCKS昨天!$E534,"0")</f>
        <v>0</v>
      </c>
      <c r="G534" s="63">
        <f t="shared" si="8"/>
        <v>0</v>
      </c>
    </row>
    <row r="535" spans="1:7">
      <c r="A535" s="118">
        <v>4906</v>
      </c>
      <c r="B535" s="60" t="s">
        <v>4132</v>
      </c>
      <c r="C535" s="125" t="s">
        <v>5574</v>
      </c>
      <c r="D535" s="118">
        <v>4906</v>
      </c>
      <c r="E535" s="60">
        <f>[1]!'4906.TW-PreClose'</f>
        <v>27.65</v>
      </c>
      <c r="F535" s="141" t="str">
        <f>IFERROR(STOCKS!$E535-STOCKS昨天!$E535,"0")</f>
        <v>0</v>
      </c>
      <c r="G535" s="63">
        <f t="shared" si="8"/>
        <v>0</v>
      </c>
    </row>
    <row r="536" spans="1:7">
      <c r="A536" s="118">
        <v>4977</v>
      </c>
      <c r="B536" s="60" t="s">
        <v>4133</v>
      </c>
      <c r="C536" s="125" t="s">
        <v>5575</v>
      </c>
      <c r="D536" s="118">
        <v>4977</v>
      </c>
      <c r="E536" s="60">
        <f>[1]!'4977.TW-PreClose'</f>
        <v>87.5</v>
      </c>
      <c r="F536" s="141" t="str">
        <f>IFERROR(STOCKS!$E536-STOCKS昨天!$E536,"0")</f>
        <v>0</v>
      </c>
      <c r="G536" s="63">
        <f t="shared" si="8"/>
        <v>0</v>
      </c>
    </row>
    <row r="537" spans="1:7">
      <c r="A537" s="118">
        <v>5388</v>
      </c>
      <c r="B537" s="60" t="s">
        <v>3693</v>
      </c>
      <c r="C537" s="125" t="s">
        <v>5574</v>
      </c>
      <c r="D537" s="118">
        <v>5388</v>
      </c>
      <c r="E537" s="60" t="str">
        <f>[1]!'5388.TW-PreClose'</f>
        <v>--</v>
      </c>
      <c r="F537" s="141" t="str">
        <f>IFERROR(STOCKS!$E537-STOCKS昨天!$E537,"0")</f>
        <v>0</v>
      </c>
      <c r="G537" s="63" t="str">
        <f t="shared" si="8"/>
        <v>0</v>
      </c>
    </row>
    <row r="538" spans="1:7">
      <c r="A538" s="118">
        <v>6136</v>
      </c>
      <c r="B538" s="60" t="s">
        <v>4134</v>
      </c>
      <c r="C538" s="125" t="s">
        <v>5574</v>
      </c>
      <c r="D538" s="118">
        <v>6136</v>
      </c>
      <c r="E538" s="60">
        <f>[1]!'6136.TW-PreClose'</f>
        <v>19.149999999999999</v>
      </c>
      <c r="F538" s="141">
        <f>IFERROR(STOCKS!$E538-STOCKS昨天!$E538,"0")</f>
        <v>-4.9999999999997158E-2</v>
      </c>
      <c r="G538" s="63">
        <f t="shared" si="8"/>
        <v>-2.610966057441105E-3</v>
      </c>
    </row>
    <row r="539" spans="1:7">
      <c r="A539" s="118">
        <v>6142</v>
      </c>
      <c r="B539" s="60" t="s">
        <v>4135</v>
      </c>
      <c r="C539" s="125" t="s">
        <v>5574</v>
      </c>
      <c r="D539" s="118">
        <v>6142</v>
      </c>
      <c r="E539" s="60">
        <f>[1]!'6142.TW-PreClose'</f>
        <v>11.55</v>
      </c>
      <c r="F539" s="141" t="str">
        <f>IFERROR(STOCKS!$E539-STOCKS昨天!$E539,"0")</f>
        <v>0</v>
      </c>
      <c r="G539" s="63">
        <f t="shared" si="8"/>
        <v>0</v>
      </c>
    </row>
    <row r="540" spans="1:7">
      <c r="A540" s="118">
        <v>6152</v>
      </c>
      <c r="B540" s="60" t="s">
        <v>4136</v>
      </c>
      <c r="C540" s="125" t="s">
        <v>5574</v>
      </c>
      <c r="D540" s="118">
        <v>6152</v>
      </c>
      <c r="E540" s="60">
        <f>[1]!'6152.TW-PreClose'</f>
        <v>10.65</v>
      </c>
      <c r="F540" s="141" t="str">
        <f>IFERROR(STOCKS!$E540-STOCKS昨天!$E540,"0")</f>
        <v>0</v>
      </c>
      <c r="G540" s="63">
        <f t="shared" si="8"/>
        <v>0</v>
      </c>
    </row>
    <row r="541" spans="1:7">
      <c r="A541" s="118">
        <v>6216</v>
      </c>
      <c r="B541" s="60" t="s">
        <v>4137</v>
      </c>
      <c r="C541" s="125" t="s">
        <v>5574</v>
      </c>
      <c r="D541" s="118">
        <v>6216</v>
      </c>
      <c r="E541" s="60">
        <f>[1]!'6216.TW-PreClose'</f>
        <v>26.95</v>
      </c>
      <c r="F541" s="141" t="str">
        <f>IFERROR(STOCKS!$E541-STOCKS昨天!$E541,"0")</f>
        <v>0</v>
      </c>
      <c r="G541" s="63">
        <f t="shared" si="8"/>
        <v>0</v>
      </c>
    </row>
    <row r="542" spans="1:7">
      <c r="A542" s="118">
        <v>6285</v>
      </c>
      <c r="B542" s="60" t="s">
        <v>4138</v>
      </c>
      <c r="C542" s="125" t="s">
        <v>5574</v>
      </c>
      <c r="D542" s="118">
        <v>6285</v>
      </c>
      <c r="E542" s="60">
        <f>[1]!'6285.TW-PreClose'</f>
        <v>75.099999999999994</v>
      </c>
      <c r="F542" s="141" t="str">
        <f>IFERROR(STOCKS!$E542-STOCKS昨天!$E542,"0")</f>
        <v>0</v>
      </c>
      <c r="G542" s="63">
        <f t="shared" si="8"/>
        <v>0</v>
      </c>
    </row>
    <row r="543" spans="1:7">
      <c r="A543" s="118">
        <v>6416</v>
      </c>
      <c r="B543" s="60" t="s">
        <v>4139</v>
      </c>
      <c r="C543" s="125" t="s">
        <v>5574</v>
      </c>
      <c r="D543" s="118">
        <v>6416</v>
      </c>
      <c r="E543" s="60">
        <f>[1]!'6416.TW-PreClose'</f>
        <v>100</v>
      </c>
      <c r="F543" s="141" t="str">
        <f>IFERROR(STOCKS!$E543-STOCKS昨天!$E543,"0")</f>
        <v>0</v>
      </c>
      <c r="G543" s="63">
        <f t="shared" si="8"/>
        <v>0</v>
      </c>
    </row>
    <row r="544" spans="1:7">
      <c r="A544" s="118">
        <v>6426</v>
      </c>
      <c r="B544" s="60" t="s">
        <v>3680</v>
      </c>
      <c r="C544" s="125" t="s">
        <v>5574</v>
      </c>
      <c r="D544" s="118">
        <v>6426</v>
      </c>
      <c r="E544" s="60">
        <f>[1]!'6426.TW-PreClose'</f>
        <v>77.400000000000006</v>
      </c>
      <c r="F544" s="141" t="str">
        <f>IFERROR(STOCKS!$E544-STOCKS昨天!$E544,"0")</f>
        <v>0</v>
      </c>
      <c r="G544" s="63">
        <f t="shared" si="8"/>
        <v>0</v>
      </c>
    </row>
    <row r="545" spans="1:7">
      <c r="A545" s="118">
        <v>6442</v>
      </c>
      <c r="B545" s="60" t="s">
        <v>4140</v>
      </c>
      <c r="C545" s="125" t="s">
        <v>5574</v>
      </c>
      <c r="D545" s="118">
        <v>6442</v>
      </c>
      <c r="E545" s="60">
        <f>[1]!'6442.TW-PreClose'</f>
        <v>35.6</v>
      </c>
      <c r="F545" s="141" t="str">
        <f>IFERROR(STOCKS!$E545-STOCKS昨天!$E545,"0")</f>
        <v>0</v>
      </c>
      <c r="G545" s="63">
        <f t="shared" si="8"/>
        <v>0</v>
      </c>
    </row>
    <row r="546" spans="1:7">
      <c r="A546" s="118">
        <v>6674</v>
      </c>
      <c r="B546" s="60" t="s">
        <v>4141</v>
      </c>
      <c r="C546" s="125" t="s">
        <v>5574</v>
      </c>
      <c r="D546" s="118">
        <v>6674</v>
      </c>
      <c r="E546" s="60">
        <f>[1]!'6674.TW-PreClose'</f>
        <v>31</v>
      </c>
      <c r="F546" s="141" t="str">
        <f>IFERROR(STOCKS!$E546-STOCKS昨天!$E546,"0")</f>
        <v>0</v>
      </c>
      <c r="G546" s="63">
        <f t="shared" si="8"/>
        <v>0</v>
      </c>
    </row>
    <row r="547" spans="1:7">
      <c r="A547" s="118">
        <v>8011</v>
      </c>
      <c r="B547" s="60" t="s">
        <v>4142</v>
      </c>
      <c r="C547" s="125" t="s">
        <v>5574</v>
      </c>
      <c r="D547" s="118">
        <v>8011</v>
      </c>
      <c r="E547" s="60">
        <f>[1]!'8011.TW-PreClose'</f>
        <v>20</v>
      </c>
      <c r="F547" s="141">
        <f>IFERROR(STOCKS!$E547-STOCKS昨天!$E547,"0")</f>
        <v>0.19999999999999929</v>
      </c>
      <c r="G547" s="63">
        <f t="shared" si="8"/>
        <v>9.9999999999999638E-3</v>
      </c>
    </row>
    <row r="548" spans="1:7">
      <c r="A548" s="118">
        <v>8101</v>
      </c>
      <c r="B548" s="60" t="s">
        <v>4143</v>
      </c>
      <c r="C548" s="125" t="s">
        <v>5574</v>
      </c>
      <c r="D548" s="118">
        <v>8101</v>
      </c>
      <c r="E548" s="60">
        <f>[1]!'8101.TW-PreClose'</f>
        <v>2.4</v>
      </c>
      <c r="F548" s="141" t="str">
        <f>IFERROR(STOCKS!$E548-STOCKS昨天!$E548,"0")</f>
        <v>0</v>
      </c>
      <c r="G548" s="63">
        <f t="shared" si="8"/>
        <v>0</v>
      </c>
    </row>
    <row r="549" spans="1:7">
      <c r="A549" s="118">
        <v>1471</v>
      </c>
      <c r="B549" s="60" t="s">
        <v>4144</v>
      </c>
      <c r="C549" s="125" t="s">
        <v>5576</v>
      </c>
      <c r="D549" s="118">
        <v>1471</v>
      </c>
      <c r="E549" s="60">
        <f>[1]!'1471.TW-PreClose'</f>
        <v>7.43</v>
      </c>
      <c r="F549" s="141" t="str">
        <f>IFERROR(STOCKS!$E549-STOCKS昨天!$E549,"0")</f>
        <v>0</v>
      </c>
      <c r="G549" s="63">
        <f t="shared" si="8"/>
        <v>0</v>
      </c>
    </row>
    <row r="550" spans="1:7">
      <c r="A550" s="118">
        <v>1582</v>
      </c>
      <c r="B550" s="60" t="s">
        <v>4145</v>
      </c>
      <c r="C550" s="125" t="s">
        <v>5576</v>
      </c>
      <c r="D550" s="118">
        <v>1582</v>
      </c>
      <c r="E550" s="60">
        <f>[1]!'1582.TW-PreClose'</f>
        <v>69</v>
      </c>
      <c r="F550" s="141" t="str">
        <f>IFERROR(STOCKS!$E550-STOCKS昨天!$E550,"0")</f>
        <v>0</v>
      </c>
      <c r="G550" s="63">
        <f t="shared" si="8"/>
        <v>0</v>
      </c>
    </row>
    <row r="551" spans="1:7">
      <c r="A551" s="118">
        <v>2059</v>
      </c>
      <c r="B551" s="60" t="s">
        <v>4146</v>
      </c>
      <c r="C551" s="125" t="s">
        <v>5576</v>
      </c>
      <c r="D551" s="118">
        <v>2059</v>
      </c>
      <c r="E551" s="60">
        <f>[1]!'2059.TW-PreClose'</f>
        <v>482</v>
      </c>
      <c r="F551" s="141" t="str">
        <f>IFERROR(STOCKS!$E551-STOCKS昨天!$E551,"0")</f>
        <v>0</v>
      </c>
      <c r="G551" s="63">
        <f t="shared" si="8"/>
        <v>0</v>
      </c>
    </row>
    <row r="552" spans="1:7">
      <c r="A552" s="118">
        <v>2308</v>
      </c>
      <c r="B552" s="60" t="s">
        <v>4147</v>
      </c>
      <c r="C552" s="125" t="s">
        <v>5576</v>
      </c>
      <c r="D552" s="118">
        <v>2308</v>
      </c>
      <c r="E552" s="60">
        <f>[1]!'2308.TW-PreClose'</f>
        <v>255</v>
      </c>
      <c r="F552" s="141">
        <f>IFERROR(STOCKS!$E552-STOCKS昨天!$E552,"0")</f>
        <v>3</v>
      </c>
      <c r="G552" s="63">
        <f t="shared" si="8"/>
        <v>1.1764705882352941E-2</v>
      </c>
    </row>
    <row r="553" spans="1:7">
      <c r="A553" s="118">
        <v>2313</v>
      </c>
      <c r="B553" s="60" t="s">
        <v>4148</v>
      </c>
      <c r="C553" s="125" t="s">
        <v>5576</v>
      </c>
      <c r="D553" s="118">
        <v>2313</v>
      </c>
      <c r="E553" s="60">
        <f>[1]!'2313.TW-PreClose'</f>
        <v>42</v>
      </c>
      <c r="F553" s="141">
        <f>IFERROR(STOCKS!$E553-STOCKS昨天!$E553,"0")</f>
        <v>0.20000000000000284</v>
      </c>
      <c r="G553" s="63">
        <f t="shared" si="8"/>
        <v>4.76190476190483E-3</v>
      </c>
    </row>
    <row r="554" spans="1:7">
      <c r="A554" s="118">
        <v>2316</v>
      </c>
      <c r="B554" s="60" t="s">
        <v>4149</v>
      </c>
      <c r="C554" s="125" t="s">
        <v>5576</v>
      </c>
      <c r="D554" s="118">
        <v>2316</v>
      </c>
      <c r="E554" s="60">
        <f>[1]!'2316.TW-PreClose'</f>
        <v>29.35</v>
      </c>
      <c r="F554" s="141" t="str">
        <f>IFERROR(STOCKS!$E554-STOCKS昨天!$E554,"0")</f>
        <v>0</v>
      </c>
      <c r="G554" s="63">
        <f t="shared" si="8"/>
        <v>0</v>
      </c>
    </row>
    <row r="555" spans="1:7">
      <c r="A555" s="118">
        <v>2327</v>
      </c>
      <c r="B555" s="60" t="s">
        <v>3645</v>
      </c>
      <c r="C555" s="125" t="s">
        <v>5576</v>
      </c>
      <c r="D555" s="118">
        <v>2327</v>
      </c>
      <c r="E555" s="60">
        <f>[1]!'2327.TW-PreClose'</f>
        <v>463</v>
      </c>
      <c r="F555" s="141" t="str">
        <f>IFERROR(STOCKS!$E555-STOCKS昨天!$E555,"0")</f>
        <v>0</v>
      </c>
      <c r="G555" s="63">
        <f t="shared" si="8"/>
        <v>0</v>
      </c>
    </row>
    <row r="556" spans="1:7">
      <c r="A556" s="118">
        <v>2328</v>
      </c>
      <c r="B556" s="60" t="s">
        <v>4150</v>
      </c>
      <c r="C556" s="125" t="s">
        <v>5576</v>
      </c>
      <c r="D556" s="118">
        <v>2328</v>
      </c>
      <c r="E556" s="60">
        <f>[1]!'2328.TW-PreClose'</f>
        <v>39.15</v>
      </c>
      <c r="F556" s="141" t="str">
        <f>IFERROR(STOCKS!$E556-STOCKS昨天!$E556,"0")</f>
        <v>0</v>
      </c>
      <c r="G556" s="63">
        <f t="shared" si="8"/>
        <v>0</v>
      </c>
    </row>
    <row r="557" spans="1:7">
      <c r="A557" s="118">
        <v>2355</v>
      </c>
      <c r="B557" s="60" t="s">
        <v>3657</v>
      </c>
      <c r="C557" s="125" t="s">
        <v>5576</v>
      </c>
      <c r="D557" s="118">
        <v>2355</v>
      </c>
      <c r="E557" s="60">
        <f>[1]!'2355.TW-PreClose'</f>
        <v>31.35</v>
      </c>
      <c r="F557" s="141" t="str">
        <f>IFERROR(STOCKS!$E557-STOCKS昨天!$E557,"0")</f>
        <v>0</v>
      </c>
      <c r="G557" s="63">
        <f t="shared" si="8"/>
        <v>0</v>
      </c>
    </row>
    <row r="558" spans="1:7">
      <c r="A558" s="118">
        <v>2367</v>
      </c>
      <c r="B558" s="60" t="s">
        <v>4151</v>
      </c>
      <c r="C558" s="125" t="s">
        <v>5576</v>
      </c>
      <c r="D558" s="118">
        <v>2367</v>
      </c>
      <c r="E558" s="60">
        <f>[1]!'2367.TW-PreClose'</f>
        <v>20.100000000000001</v>
      </c>
      <c r="F558" s="141" t="str">
        <f>IFERROR(STOCKS!$E558-STOCKS昨天!$E558,"0")</f>
        <v>0</v>
      </c>
      <c r="G558" s="63">
        <f t="shared" si="8"/>
        <v>0</v>
      </c>
    </row>
    <row r="559" spans="1:7">
      <c r="A559" s="118">
        <v>2368</v>
      </c>
      <c r="B559" s="60" t="s">
        <v>3564</v>
      </c>
      <c r="C559" s="125" t="s">
        <v>5576</v>
      </c>
      <c r="D559" s="118">
        <v>2368</v>
      </c>
      <c r="E559" s="60">
        <f>[1]!'2368.TW-PreClose'</f>
        <v>69.5</v>
      </c>
      <c r="F559" s="141">
        <f>IFERROR(STOCKS!$E559-STOCKS昨天!$E559,"0")</f>
        <v>0.59999999999999432</v>
      </c>
      <c r="G559" s="63">
        <f t="shared" si="8"/>
        <v>8.6330935251797743E-3</v>
      </c>
    </row>
    <row r="560" spans="1:7">
      <c r="A560" s="118">
        <v>2375</v>
      </c>
      <c r="B560" s="60" t="s">
        <v>4152</v>
      </c>
      <c r="C560" s="125" t="s">
        <v>5576</v>
      </c>
      <c r="D560" s="118">
        <v>2375</v>
      </c>
      <c r="E560" s="60" t="str">
        <f>[1]!'2375.TW-PreClose'</f>
        <v>--</v>
      </c>
      <c r="F560" s="141" t="str">
        <f>IFERROR(STOCKS!$E560-STOCKS昨天!$E560,"0")</f>
        <v>0</v>
      </c>
      <c r="G560" s="63" t="str">
        <f t="shared" si="8"/>
        <v>0</v>
      </c>
    </row>
    <row r="561" spans="1:7">
      <c r="A561" s="118">
        <v>2383</v>
      </c>
      <c r="B561" s="60" t="s">
        <v>3673</v>
      </c>
      <c r="C561" s="125" t="s">
        <v>5576</v>
      </c>
      <c r="D561" s="118">
        <v>2383</v>
      </c>
      <c r="E561" s="60">
        <f>[1]!'2383.TW-PreClose'</f>
        <v>228.5</v>
      </c>
      <c r="F561" s="141">
        <f>IFERROR(STOCKS!$E561-STOCKS昨天!$E561,"0")</f>
        <v>8.5</v>
      </c>
      <c r="G561" s="63">
        <f t="shared" si="8"/>
        <v>3.7199124726477024E-2</v>
      </c>
    </row>
    <row r="562" spans="1:7">
      <c r="A562" s="118">
        <v>2385</v>
      </c>
      <c r="B562" s="60" t="s">
        <v>4153</v>
      </c>
      <c r="C562" s="125" t="s">
        <v>5576</v>
      </c>
      <c r="D562" s="118">
        <v>2385</v>
      </c>
      <c r="E562" s="60">
        <f>[1]!'2385.TW-PreClose'</f>
        <v>81.099999999999994</v>
      </c>
      <c r="F562" s="141" t="str">
        <f>IFERROR(STOCKS!$E562-STOCKS昨天!$E562,"0")</f>
        <v>0</v>
      </c>
      <c r="G562" s="63">
        <f t="shared" si="8"/>
        <v>0</v>
      </c>
    </row>
    <row r="563" spans="1:7">
      <c r="A563" s="118">
        <v>2392</v>
      </c>
      <c r="B563" s="60" t="s">
        <v>4154</v>
      </c>
      <c r="C563" s="125" t="s">
        <v>5576</v>
      </c>
      <c r="D563" s="118">
        <v>2392</v>
      </c>
      <c r="E563" s="60">
        <f>[1]!'2392.TW-PreClose'</f>
        <v>39.049999999999997</v>
      </c>
      <c r="F563" s="141" t="str">
        <f>IFERROR(STOCKS!$E563-STOCKS昨天!$E563,"0")</f>
        <v>0</v>
      </c>
      <c r="G563" s="63">
        <f t="shared" si="8"/>
        <v>0</v>
      </c>
    </row>
    <row r="564" spans="1:7">
      <c r="A564" s="118">
        <v>2402</v>
      </c>
      <c r="B564" s="60" t="s">
        <v>4155</v>
      </c>
      <c r="C564" s="125" t="s">
        <v>5576</v>
      </c>
      <c r="D564" s="118">
        <v>2402</v>
      </c>
      <c r="E564" s="60">
        <f>[1]!'2402.TW-PreClose'</f>
        <v>16.850000000000001</v>
      </c>
      <c r="F564" s="141" t="str">
        <f>IFERROR(STOCKS!$E564-STOCKS昨天!$E564,"0")</f>
        <v>0</v>
      </c>
      <c r="G564" s="63">
        <f t="shared" si="8"/>
        <v>0</v>
      </c>
    </row>
    <row r="565" spans="1:7">
      <c r="A565" s="118">
        <v>2413</v>
      </c>
      <c r="B565" s="60" t="s">
        <v>4156</v>
      </c>
      <c r="C565" s="125" t="s">
        <v>5576</v>
      </c>
      <c r="D565" s="118">
        <v>2413</v>
      </c>
      <c r="E565" s="60">
        <f>[1]!'2413.TW-PreClose'</f>
        <v>19.600000000000001</v>
      </c>
      <c r="F565" s="141" t="str">
        <f>IFERROR(STOCKS!$E565-STOCKS昨天!$E565,"0")</f>
        <v>0</v>
      </c>
      <c r="G565" s="63">
        <f t="shared" si="8"/>
        <v>0</v>
      </c>
    </row>
    <row r="566" spans="1:7">
      <c r="A566" s="118">
        <v>2415</v>
      </c>
      <c r="B566" s="60" t="s">
        <v>4157</v>
      </c>
      <c r="C566" s="125" t="s">
        <v>5576</v>
      </c>
      <c r="D566" s="118">
        <v>2415</v>
      </c>
      <c r="E566" s="60">
        <f>[1]!'2415.TW-PreClose'</f>
        <v>45.1</v>
      </c>
      <c r="F566" s="141" t="str">
        <f>IFERROR(STOCKS!$E566-STOCKS昨天!$E566,"0")</f>
        <v>0</v>
      </c>
      <c r="G566" s="63">
        <f t="shared" si="8"/>
        <v>0</v>
      </c>
    </row>
    <row r="567" spans="1:7">
      <c r="A567" s="118">
        <v>2420</v>
      </c>
      <c r="B567" s="60" t="s">
        <v>4158</v>
      </c>
      <c r="C567" s="125" t="s">
        <v>5576</v>
      </c>
      <c r="D567" s="118">
        <v>2420</v>
      </c>
      <c r="E567" s="60" t="str">
        <f>[1]!'2420.TW-PreClose'</f>
        <v>--</v>
      </c>
      <c r="F567" s="141" t="str">
        <f>IFERROR(STOCKS!$E567-STOCKS昨天!$E567,"0")</f>
        <v>0</v>
      </c>
      <c r="G567" s="63" t="str">
        <f t="shared" si="8"/>
        <v>0</v>
      </c>
    </row>
    <row r="568" spans="1:7">
      <c r="A568" s="118">
        <v>2421</v>
      </c>
      <c r="B568" s="60" t="s">
        <v>4159</v>
      </c>
      <c r="C568" s="125" t="s">
        <v>5576</v>
      </c>
      <c r="D568" s="118">
        <v>2421</v>
      </c>
      <c r="E568" s="60">
        <f>[1]!'2421.TW-PreClose'</f>
        <v>44</v>
      </c>
      <c r="F568" s="141">
        <f>IFERROR(STOCKS!$E568-STOCKS昨天!$E568,"0")</f>
        <v>1.5499999999999972</v>
      </c>
      <c r="G568" s="63">
        <f t="shared" si="8"/>
        <v>3.5227272727272663E-2</v>
      </c>
    </row>
    <row r="569" spans="1:7">
      <c r="A569" s="118">
        <v>2428</v>
      </c>
      <c r="B569" s="60" t="s">
        <v>4160</v>
      </c>
      <c r="C569" s="125" t="s">
        <v>5576</v>
      </c>
      <c r="D569" s="118">
        <v>2428</v>
      </c>
      <c r="E569" s="60">
        <f>[1]!'2428.TW-PreClose'</f>
        <v>160</v>
      </c>
      <c r="F569" s="141" t="str">
        <f>IFERROR(STOCKS!$E569-STOCKS昨天!$E569,"0")</f>
        <v>0</v>
      </c>
      <c r="G569" s="63">
        <f t="shared" si="8"/>
        <v>0</v>
      </c>
    </row>
    <row r="570" spans="1:7">
      <c r="A570" s="118">
        <v>2431</v>
      </c>
      <c r="B570" s="60" t="s">
        <v>4162</v>
      </c>
      <c r="C570" s="125" t="s">
        <v>5576</v>
      </c>
      <c r="D570" s="118">
        <v>2431</v>
      </c>
      <c r="E570" s="60" t="str">
        <f>[1]!'2431.TW-PreClose'</f>
        <v>--</v>
      </c>
      <c r="F570" s="141" t="str">
        <f>IFERROR(STOCKS!$E570-STOCKS昨天!$E570,"0")</f>
        <v>0</v>
      </c>
      <c r="G570" s="63" t="str">
        <f t="shared" si="8"/>
        <v>0</v>
      </c>
    </row>
    <row r="571" spans="1:7">
      <c r="A571" s="118">
        <v>2440</v>
      </c>
      <c r="B571" s="60" t="s">
        <v>4163</v>
      </c>
      <c r="C571" s="125" t="s">
        <v>5576</v>
      </c>
      <c r="D571" s="118">
        <v>2440</v>
      </c>
      <c r="E571" s="60">
        <f>[1]!'2440.TW-PreClose'</f>
        <v>17.899999999999999</v>
      </c>
      <c r="F571" s="141" t="str">
        <f>IFERROR(STOCKS!$E571-STOCKS昨天!$E571,"0")</f>
        <v>0</v>
      </c>
      <c r="G571" s="63">
        <f t="shared" si="8"/>
        <v>0</v>
      </c>
    </row>
    <row r="572" spans="1:7">
      <c r="A572" s="118">
        <v>2456</v>
      </c>
      <c r="B572" s="60" t="s">
        <v>4164</v>
      </c>
      <c r="C572" s="125" t="s">
        <v>5576</v>
      </c>
      <c r="D572" s="118">
        <v>2456</v>
      </c>
      <c r="E572" s="60">
        <f>[1]!'2456.TW-PreClose'</f>
        <v>90.7</v>
      </c>
      <c r="F572" s="141" t="str">
        <f>IFERROR(STOCKS!$E572-STOCKS昨天!$E572,"0")</f>
        <v>0</v>
      </c>
      <c r="G572" s="63">
        <f t="shared" si="8"/>
        <v>0</v>
      </c>
    </row>
    <row r="573" spans="1:7">
      <c r="A573" s="118">
        <v>2457</v>
      </c>
      <c r="B573" s="60" t="s">
        <v>3632</v>
      </c>
      <c r="C573" s="125" t="s">
        <v>5576</v>
      </c>
      <c r="D573" s="118">
        <v>2457</v>
      </c>
      <c r="E573" s="60" t="str">
        <f>[1]!'2457.TW-PreClose'</f>
        <v>--</v>
      </c>
      <c r="F573" s="141" t="str">
        <f>IFERROR(STOCKS!$E573-STOCKS昨天!$E573,"0")</f>
        <v>0</v>
      </c>
      <c r="G573" s="63" t="str">
        <f t="shared" si="8"/>
        <v>0</v>
      </c>
    </row>
    <row r="574" spans="1:7">
      <c r="A574" s="118">
        <v>2460</v>
      </c>
      <c r="B574" s="60" t="s">
        <v>3575</v>
      </c>
      <c r="C574" s="125" t="s">
        <v>5576</v>
      </c>
      <c r="D574" s="118">
        <v>2460</v>
      </c>
      <c r="E574" s="60">
        <f>[1]!'2460.TW-PreClose'</f>
        <v>29.5</v>
      </c>
      <c r="F574" s="141" t="str">
        <f>IFERROR(STOCKS!$E574-STOCKS昨天!$E574,"0")</f>
        <v>0</v>
      </c>
      <c r="G574" s="63">
        <f t="shared" si="8"/>
        <v>0</v>
      </c>
    </row>
    <row r="575" spans="1:7">
      <c r="A575" s="118">
        <v>2462</v>
      </c>
      <c r="B575" s="60" t="s">
        <v>4165</v>
      </c>
      <c r="C575" s="125" t="s">
        <v>5576</v>
      </c>
      <c r="D575" s="118">
        <v>2462</v>
      </c>
      <c r="E575" s="60">
        <f>[1]!'2462.TW-PreClose'</f>
        <v>29.8</v>
      </c>
      <c r="F575" s="141" t="str">
        <f>IFERROR(STOCKS!$E575-STOCKS昨天!$E575,"0")</f>
        <v>0</v>
      </c>
      <c r="G575" s="63">
        <f t="shared" si="8"/>
        <v>0</v>
      </c>
    </row>
    <row r="576" spans="1:7">
      <c r="A576" s="118">
        <v>2467</v>
      </c>
      <c r="B576" s="60" t="s">
        <v>4166</v>
      </c>
      <c r="C576" s="125" t="s">
        <v>5576</v>
      </c>
      <c r="D576" s="118">
        <v>2467</v>
      </c>
      <c r="E576" s="60">
        <f>[1]!'2467.TW-PreClose'</f>
        <v>50</v>
      </c>
      <c r="F576" s="141">
        <f>IFERROR(STOCKS!$E576-STOCKS昨天!$E576,"0")</f>
        <v>0.10000000000000142</v>
      </c>
      <c r="G576" s="63">
        <f t="shared" si="8"/>
        <v>2.0000000000000282E-3</v>
      </c>
    </row>
    <row r="577" spans="1:7">
      <c r="A577" s="118">
        <v>2472</v>
      </c>
      <c r="B577" s="60" t="s">
        <v>4167</v>
      </c>
      <c r="C577" s="125" t="s">
        <v>5576</v>
      </c>
      <c r="D577" s="118">
        <v>2472</v>
      </c>
      <c r="E577" s="60">
        <f>[1]!'2472.TW-PreClose'</f>
        <v>65.400000000000006</v>
      </c>
      <c r="F577" s="141" t="str">
        <f>IFERROR(STOCKS!$E577-STOCKS昨天!$E577,"0")</f>
        <v>0</v>
      </c>
      <c r="G577" s="63">
        <f t="shared" si="8"/>
        <v>0</v>
      </c>
    </row>
    <row r="578" spans="1:7">
      <c r="A578" s="118">
        <v>2476</v>
      </c>
      <c r="B578" s="60" t="s">
        <v>4168</v>
      </c>
      <c r="C578" s="125" t="s">
        <v>5576</v>
      </c>
      <c r="D578" s="118">
        <v>2476</v>
      </c>
      <c r="E578" s="60">
        <f>[1]!'2476.TW-PreClose'</f>
        <v>60.2</v>
      </c>
      <c r="F578" s="141" t="str">
        <f>IFERROR(STOCKS!$E578-STOCKS昨天!$E578,"0")</f>
        <v>0</v>
      </c>
      <c r="G578" s="63">
        <f t="shared" si="8"/>
        <v>0</v>
      </c>
    </row>
    <row r="579" spans="1:7">
      <c r="A579" s="118">
        <v>2478</v>
      </c>
      <c r="B579" s="60" t="s">
        <v>4169</v>
      </c>
      <c r="C579" s="125" t="s">
        <v>5576</v>
      </c>
      <c r="D579" s="118">
        <v>2478</v>
      </c>
      <c r="E579" s="60" t="str">
        <f>[1]!'2478.TW-PreClose'</f>
        <v>--</v>
      </c>
      <c r="F579" s="141" t="str">
        <f>IFERROR(STOCKS!$E579-STOCKS昨天!$E579,"0")</f>
        <v>0</v>
      </c>
      <c r="G579" s="63" t="str">
        <f t="shared" ref="G579:G642" si="9">IFERROR($F579/$E579,"0")</f>
        <v>0</v>
      </c>
    </row>
    <row r="580" spans="1:7">
      <c r="A580" s="118">
        <v>2483</v>
      </c>
      <c r="B580" s="60" t="s">
        <v>4170</v>
      </c>
      <c r="C580" s="125" t="s">
        <v>5576</v>
      </c>
      <c r="D580" s="118">
        <v>2483</v>
      </c>
      <c r="E580" s="60">
        <f>[1]!'2483.TW-PreClose'</f>
        <v>24.55</v>
      </c>
      <c r="F580" s="141" t="str">
        <f>IFERROR(STOCKS!$E580-STOCKS昨天!$E580,"0")</f>
        <v>0</v>
      </c>
      <c r="G580" s="63">
        <f t="shared" si="9"/>
        <v>0</v>
      </c>
    </row>
    <row r="581" spans="1:7">
      <c r="A581" s="118">
        <v>2484</v>
      </c>
      <c r="B581" s="60" t="s">
        <v>4171</v>
      </c>
      <c r="C581" s="125" t="s">
        <v>5576</v>
      </c>
      <c r="D581" s="118">
        <v>2484</v>
      </c>
      <c r="E581" s="60">
        <f>[1]!'2484.TW-PreClose'</f>
        <v>41.1</v>
      </c>
      <c r="F581" s="141">
        <f>IFERROR(STOCKS!$E581-STOCKS昨天!$E581,"0")</f>
        <v>0</v>
      </c>
      <c r="G581" s="63">
        <f t="shared" si="9"/>
        <v>0</v>
      </c>
    </row>
    <row r="582" spans="1:7">
      <c r="A582" s="118">
        <v>2492</v>
      </c>
      <c r="B582" s="60" t="s">
        <v>4172</v>
      </c>
      <c r="C582" s="125" t="s">
        <v>5576</v>
      </c>
      <c r="D582" s="118">
        <v>2492</v>
      </c>
      <c r="E582" s="60" t="str">
        <f>[1]!'2492.TW-PreClose'</f>
        <v>--</v>
      </c>
      <c r="F582" s="141" t="str">
        <f>IFERROR(STOCKS!$E582-STOCKS昨天!$E582,"0")</f>
        <v>0</v>
      </c>
      <c r="G582" s="63" t="str">
        <f t="shared" si="9"/>
        <v>0</v>
      </c>
    </row>
    <row r="583" spans="1:7">
      <c r="A583" s="118">
        <v>2493</v>
      </c>
      <c r="B583" s="60" t="s">
        <v>4173</v>
      </c>
      <c r="C583" s="125" t="s">
        <v>5576</v>
      </c>
      <c r="D583" s="118">
        <v>2493</v>
      </c>
      <c r="E583" s="60">
        <f>[1]!'2493.TW-PreClose'</f>
        <v>37.85</v>
      </c>
      <c r="F583" s="141" t="str">
        <f>IFERROR(STOCKS!$E583-STOCKS昨天!$E583,"0")</f>
        <v>0</v>
      </c>
      <c r="G583" s="63">
        <f t="shared" si="9"/>
        <v>0</v>
      </c>
    </row>
    <row r="584" spans="1:7">
      <c r="A584" s="118">
        <v>3003</v>
      </c>
      <c r="B584" s="60" t="s">
        <v>4174</v>
      </c>
      <c r="C584" s="125" t="s">
        <v>5576</v>
      </c>
      <c r="D584" s="118">
        <v>3003</v>
      </c>
      <c r="E584" s="60">
        <f>[1]!'3003.TW-PreClose'</f>
        <v>94.5</v>
      </c>
      <c r="F584" s="141">
        <f>IFERROR(STOCKS!$E584-STOCKS昨天!$E584,"0")</f>
        <v>9.9999999999994316E-2</v>
      </c>
      <c r="G584" s="63">
        <f t="shared" si="9"/>
        <v>1.058201058200998E-3</v>
      </c>
    </row>
    <row r="585" spans="1:7">
      <c r="A585" s="118">
        <v>3011</v>
      </c>
      <c r="B585" s="60" t="s">
        <v>4175</v>
      </c>
      <c r="C585" s="125" t="s">
        <v>5576</v>
      </c>
      <c r="D585" s="118">
        <v>3011</v>
      </c>
      <c r="E585" s="60" t="str">
        <f>[1]!'3011.TW-PreClose'</f>
        <v>--</v>
      </c>
      <c r="F585" s="141" t="str">
        <f>IFERROR(STOCKS!$E585-STOCKS昨天!$E585,"0")</f>
        <v>0</v>
      </c>
      <c r="G585" s="63" t="str">
        <f t="shared" si="9"/>
        <v>0</v>
      </c>
    </row>
    <row r="586" spans="1:7">
      <c r="A586" s="118">
        <v>3015</v>
      </c>
      <c r="B586" s="60" t="s">
        <v>4176</v>
      </c>
      <c r="C586" s="125" t="s">
        <v>5576</v>
      </c>
      <c r="D586" s="118">
        <v>3015</v>
      </c>
      <c r="E586" s="60">
        <f>[1]!'3015.TW-PreClose'</f>
        <v>43.2</v>
      </c>
      <c r="F586" s="141" t="str">
        <f>IFERROR(STOCKS!$E586-STOCKS昨天!$E586,"0")</f>
        <v>0</v>
      </c>
      <c r="G586" s="63">
        <f t="shared" si="9"/>
        <v>0</v>
      </c>
    </row>
    <row r="587" spans="1:7">
      <c r="A587" s="118">
        <v>3021</v>
      </c>
      <c r="B587" s="60" t="s">
        <v>4177</v>
      </c>
      <c r="C587" s="125" t="s">
        <v>5576</v>
      </c>
      <c r="D587" s="118">
        <v>3021</v>
      </c>
      <c r="E587" s="60">
        <f>[1]!'3021.TW-PreClose'</f>
        <v>23.25</v>
      </c>
      <c r="F587" s="141" t="str">
        <f>IFERROR(STOCKS!$E587-STOCKS昨天!$E587,"0")</f>
        <v>0</v>
      </c>
      <c r="G587" s="63">
        <f t="shared" si="9"/>
        <v>0</v>
      </c>
    </row>
    <row r="588" spans="1:7">
      <c r="A588" s="118">
        <v>3023</v>
      </c>
      <c r="B588" s="60" t="s">
        <v>4178</v>
      </c>
      <c r="C588" s="125" t="s">
        <v>5576</v>
      </c>
      <c r="D588" s="118">
        <v>3023</v>
      </c>
      <c r="E588" s="60">
        <f>[1]!'3023.TW-PreClose'</f>
        <v>262.5</v>
      </c>
      <c r="F588" s="141" t="str">
        <f>IFERROR(STOCKS!$E588-STOCKS昨天!$E588,"0")</f>
        <v>0</v>
      </c>
      <c r="G588" s="63">
        <f t="shared" si="9"/>
        <v>0</v>
      </c>
    </row>
    <row r="589" spans="1:7">
      <c r="A589" s="118">
        <v>3026</v>
      </c>
      <c r="B589" s="60" t="s">
        <v>4179</v>
      </c>
      <c r="C589" s="125" t="s">
        <v>5576</v>
      </c>
      <c r="D589" s="118">
        <v>3026</v>
      </c>
      <c r="E589" s="60" t="str">
        <f>[1]!'3026.TW-PreClose'</f>
        <v>--</v>
      </c>
      <c r="F589" s="141" t="str">
        <f>IFERROR(STOCKS!$E589-STOCKS昨天!$E589,"0")</f>
        <v>0</v>
      </c>
      <c r="G589" s="63" t="str">
        <f t="shared" si="9"/>
        <v>0</v>
      </c>
    </row>
    <row r="590" spans="1:7">
      <c r="A590" s="118">
        <v>3032</v>
      </c>
      <c r="B590" s="60" t="s">
        <v>4180</v>
      </c>
      <c r="C590" s="125" t="s">
        <v>5576</v>
      </c>
      <c r="D590" s="118">
        <v>3032</v>
      </c>
      <c r="E590" s="60">
        <f>[1]!'3032.TW-PreClose'</f>
        <v>31.75</v>
      </c>
      <c r="F590" s="141" t="str">
        <f>IFERROR(STOCKS!$E590-STOCKS昨天!$E590,"0")</f>
        <v>0</v>
      </c>
      <c r="G590" s="63">
        <f t="shared" si="9"/>
        <v>0</v>
      </c>
    </row>
    <row r="591" spans="1:7">
      <c r="A591" s="118">
        <v>3037</v>
      </c>
      <c r="B591" s="60" t="s">
        <v>4181</v>
      </c>
      <c r="C591" s="125" t="s">
        <v>5576</v>
      </c>
      <c r="D591" s="118">
        <v>3037</v>
      </c>
      <c r="E591" s="60">
        <f>[1]!'3037.TW-PreClose'</f>
        <v>197</v>
      </c>
      <c r="F591" s="141">
        <f>IFERROR(STOCKS!$E591-STOCKS昨天!$E591,"0")</f>
        <v>-1.5</v>
      </c>
      <c r="G591" s="63">
        <f t="shared" si="9"/>
        <v>-7.6142131979695434E-3</v>
      </c>
    </row>
    <row r="592" spans="1:7">
      <c r="A592" s="118">
        <v>3042</v>
      </c>
      <c r="B592" s="60" t="s">
        <v>4182</v>
      </c>
      <c r="C592" s="125" t="s">
        <v>5576</v>
      </c>
      <c r="D592" s="118">
        <v>3042</v>
      </c>
      <c r="E592" s="60">
        <f>[1]!'3042.TW-PreClose'</f>
        <v>107.5</v>
      </c>
      <c r="F592" s="141">
        <f>IFERROR(STOCKS!$E592-STOCKS昨天!$E592,"0")</f>
        <v>0</v>
      </c>
      <c r="G592" s="63">
        <f t="shared" si="9"/>
        <v>0</v>
      </c>
    </row>
    <row r="593" spans="1:7">
      <c r="A593" s="118">
        <v>3044</v>
      </c>
      <c r="B593" s="60" t="s">
        <v>4183</v>
      </c>
      <c r="C593" s="125" t="s">
        <v>5576</v>
      </c>
      <c r="D593" s="118">
        <v>3044</v>
      </c>
      <c r="E593" s="60">
        <f>[1]!'3044.TW-PreClose'</f>
        <v>122</v>
      </c>
      <c r="F593" s="141">
        <f>IFERROR(STOCKS!$E593-STOCKS昨天!$E593,"0")</f>
        <v>1</v>
      </c>
      <c r="G593" s="63">
        <f t="shared" si="9"/>
        <v>8.1967213114754103E-3</v>
      </c>
    </row>
    <row r="594" spans="1:7">
      <c r="A594" s="118">
        <v>3058</v>
      </c>
      <c r="B594" s="60" t="s">
        <v>4184</v>
      </c>
      <c r="C594" s="125" t="s">
        <v>5576</v>
      </c>
      <c r="D594" s="118">
        <v>3058</v>
      </c>
      <c r="E594" s="60">
        <f>[1]!'3058.TW-PreClose'</f>
        <v>16.399999999999999</v>
      </c>
      <c r="F594" s="141" t="str">
        <f>IFERROR(STOCKS!$E594-STOCKS昨天!$E594,"0")</f>
        <v>0</v>
      </c>
      <c r="G594" s="63">
        <f t="shared" si="9"/>
        <v>0</v>
      </c>
    </row>
    <row r="595" spans="1:7">
      <c r="A595" s="118">
        <v>3090</v>
      </c>
      <c r="B595" s="60" t="s">
        <v>4185</v>
      </c>
      <c r="C595" s="125" t="s">
        <v>5576</v>
      </c>
      <c r="D595" s="118">
        <v>3090</v>
      </c>
      <c r="E595" s="60">
        <f>[1]!'3090.TW-PreClose'</f>
        <v>51.7</v>
      </c>
      <c r="F595" s="141" t="str">
        <f>IFERROR(STOCKS!$E595-STOCKS昨天!$E595,"0")</f>
        <v>0</v>
      </c>
      <c r="G595" s="63">
        <f t="shared" si="9"/>
        <v>0</v>
      </c>
    </row>
    <row r="596" spans="1:7">
      <c r="A596" s="118">
        <v>3092</v>
      </c>
      <c r="B596" s="60" t="s">
        <v>4186</v>
      </c>
      <c r="C596" s="125" t="s">
        <v>5576</v>
      </c>
      <c r="D596" s="118">
        <v>3092</v>
      </c>
      <c r="E596" s="60" t="str">
        <f>[1]!'3092.TW-PreClose'</f>
        <v>--</v>
      </c>
      <c r="F596" s="141" t="str">
        <f>IFERROR(STOCKS!$E596-STOCKS昨天!$E596,"0")</f>
        <v>0</v>
      </c>
      <c r="G596" s="63" t="str">
        <f t="shared" si="9"/>
        <v>0</v>
      </c>
    </row>
    <row r="597" spans="1:7">
      <c r="A597" s="118">
        <v>3229</v>
      </c>
      <c r="B597" s="60" t="s">
        <v>4187</v>
      </c>
      <c r="C597" s="125" t="s">
        <v>5576</v>
      </c>
      <c r="D597" s="118">
        <v>3229</v>
      </c>
      <c r="E597" s="60">
        <f>[1]!'3229.TW-PreClose'</f>
        <v>6.71</v>
      </c>
      <c r="F597" s="141" t="str">
        <f>IFERROR(STOCKS!$E597-STOCKS昨天!$E597,"0")</f>
        <v>0</v>
      </c>
      <c r="G597" s="63">
        <f t="shared" si="9"/>
        <v>0</v>
      </c>
    </row>
    <row r="598" spans="1:7">
      <c r="A598" s="118">
        <v>3296</v>
      </c>
      <c r="B598" s="60" t="s">
        <v>4188</v>
      </c>
      <c r="C598" s="125" t="s">
        <v>5576</v>
      </c>
      <c r="D598" s="118">
        <v>3296</v>
      </c>
      <c r="E598" s="60">
        <f>[1]!'3296.TW-PreClose'</f>
        <v>18.45</v>
      </c>
      <c r="F598" s="141" t="str">
        <f>IFERROR(STOCKS!$E598-STOCKS昨天!$E598,"0")</f>
        <v>0</v>
      </c>
      <c r="G598" s="63">
        <f t="shared" si="9"/>
        <v>0</v>
      </c>
    </row>
    <row r="599" spans="1:7">
      <c r="A599" s="118">
        <v>3308</v>
      </c>
      <c r="B599" s="60" t="s">
        <v>4189</v>
      </c>
      <c r="C599" s="125" t="s">
        <v>5576</v>
      </c>
      <c r="D599" s="118">
        <v>3308</v>
      </c>
      <c r="E599" s="60">
        <f>[1]!'3308.TW-PreClose'</f>
        <v>7.95</v>
      </c>
      <c r="F599" s="141" t="str">
        <f>IFERROR(STOCKS!$E599-STOCKS昨天!$E599,"0")</f>
        <v>0</v>
      </c>
      <c r="G599" s="63">
        <f t="shared" si="9"/>
        <v>0</v>
      </c>
    </row>
    <row r="600" spans="1:7">
      <c r="A600" s="118">
        <v>3321</v>
      </c>
      <c r="B600" s="60" t="s">
        <v>4190</v>
      </c>
      <c r="C600" s="125" t="s">
        <v>5576</v>
      </c>
      <c r="D600" s="118">
        <v>3321</v>
      </c>
      <c r="E600" s="60">
        <f>[1]!'3321.TW-PreClose'</f>
        <v>13.25</v>
      </c>
      <c r="F600" s="141" t="str">
        <f>IFERROR(STOCKS!$E600-STOCKS昨天!$E600,"0")</f>
        <v>0</v>
      </c>
      <c r="G600" s="63">
        <f t="shared" si="9"/>
        <v>0</v>
      </c>
    </row>
    <row r="601" spans="1:7">
      <c r="A601" s="118">
        <v>3338</v>
      </c>
      <c r="B601" s="60" t="s">
        <v>4191</v>
      </c>
      <c r="C601" s="125" t="s">
        <v>5576</v>
      </c>
      <c r="D601" s="118">
        <v>3338</v>
      </c>
      <c r="E601" s="60">
        <f>[1]!'3338.TW-PreClose'</f>
        <v>56.1</v>
      </c>
      <c r="F601" s="141">
        <f>IFERROR(STOCKS!$E601-STOCKS昨天!$E601,"0")</f>
        <v>-1.1000000000000014</v>
      </c>
      <c r="G601" s="63">
        <f t="shared" si="9"/>
        <v>-1.9607843137254926E-2</v>
      </c>
    </row>
    <row r="602" spans="1:7">
      <c r="A602" s="118">
        <v>3376</v>
      </c>
      <c r="B602" s="60" t="s">
        <v>4192</v>
      </c>
      <c r="C602" s="125" t="s">
        <v>5576</v>
      </c>
      <c r="D602" s="118">
        <v>3376</v>
      </c>
      <c r="E602" s="60">
        <f>[1]!'3376.TW-PreClose'</f>
        <v>96.4</v>
      </c>
      <c r="F602" s="141" t="str">
        <f>IFERROR(STOCKS!$E602-STOCKS昨天!$E602,"0")</f>
        <v>0</v>
      </c>
      <c r="G602" s="63">
        <f t="shared" si="9"/>
        <v>0</v>
      </c>
    </row>
    <row r="603" spans="1:7">
      <c r="A603" s="118">
        <v>3432</v>
      </c>
      <c r="B603" s="60" t="s">
        <v>4193</v>
      </c>
      <c r="C603" s="125" t="s">
        <v>5576</v>
      </c>
      <c r="D603" s="118">
        <v>3432</v>
      </c>
      <c r="E603" s="60">
        <f>[1]!'3432.TW-PreClose'</f>
        <v>14.2</v>
      </c>
      <c r="F603" s="141" t="str">
        <f>IFERROR(STOCKS!$E603-STOCKS昨天!$E603,"0")</f>
        <v>0</v>
      </c>
      <c r="G603" s="63">
        <f t="shared" si="9"/>
        <v>0</v>
      </c>
    </row>
    <row r="604" spans="1:7">
      <c r="A604" s="118">
        <v>3501</v>
      </c>
      <c r="B604" s="60" t="s">
        <v>4194</v>
      </c>
      <c r="C604" s="125" t="s">
        <v>5576</v>
      </c>
      <c r="D604" s="118">
        <v>3501</v>
      </c>
      <c r="E604" s="60" t="str">
        <f>[1]!'3501.TW-PreClose'</f>
        <v>--</v>
      </c>
      <c r="F604" s="141" t="str">
        <f>IFERROR(STOCKS!$E604-STOCKS昨天!$E604,"0")</f>
        <v>0</v>
      </c>
      <c r="G604" s="63" t="str">
        <f t="shared" si="9"/>
        <v>0</v>
      </c>
    </row>
    <row r="605" spans="1:7">
      <c r="A605" s="118">
        <v>3533</v>
      </c>
      <c r="B605" s="60" t="s">
        <v>3641</v>
      </c>
      <c r="C605" s="125" t="s">
        <v>5576</v>
      </c>
      <c r="D605" s="118">
        <v>3533</v>
      </c>
      <c r="E605" s="60">
        <f>[1]!'3533.TW-PreClose'</f>
        <v>689</v>
      </c>
      <c r="F605" s="141" t="str">
        <f>IFERROR(STOCKS!$E605-STOCKS昨天!$E605,"0")</f>
        <v>0</v>
      </c>
      <c r="G605" s="63">
        <f t="shared" si="9"/>
        <v>0</v>
      </c>
    </row>
    <row r="606" spans="1:7">
      <c r="A606" s="118">
        <v>3550</v>
      </c>
      <c r="B606" s="60" t="s">
        <v>4195</v>
      </c>
      <c r="C606" s="125" t="s">
        <v>5576</v>
      </c>
      <c r="D606" s="118">
        <v>3550</v>
      </c>
      <c r="E606" s="60">
        <f>[1]!'3550.TW-PreClose'</f>
        <v>18.25</v>
      </c>
      <c r="F606" s="141" t="str">
        <f>IFERROR(STOCKS!$E606-STOCKS昨天!$E606,"0")</f>
        <v>0</v>
      </c>
      <c r="G606" s="63">
        <f t="shared" si="9"/>
        <v>0</v>
      </c>
    </row>
    <row r="607" spans="1:7">
      <c r="A607" s="118">
        <v>3593</v>
      </c>
      <c r="B607" s="60" t="s">
        <v>4196</v>
      </c>
      <c r="C607" s="125" t="s">
        <v>5576</v>
      </c>
      <c r="D607" s="118">
        <v>3593</v>
      </c>
      <c r="E607" s="60" t="str">
        <f>[1]!'3593.TW-PreClose'</f>
        <v>--</v>
      </c>
      <c r="F607" s="141" t="str">
        <f>IFERROR(STOCKS!$E607-STOCKS昨天!$E607,"0")</f>
        <v>0</v>
      </c>
      <c r="G607" s="63" t="str">
        <f t="shared" si="9"/>
        <v>0</v>
      </c>
    </row>
    <row r="608" spans="1:7">
      <c r="A608" s="118">
        <v>3605</v>
      </c>
      <c r="B608" s="60" t="s">
        <v>4197</v>
      </c>
      <c r="C608" s="125" t="s">
        <v>5576</v>
      </c>
      <c r="D608" s="118">
        <v>3605</v>
      </c>
      <c r="E608" s="60">
        <f>[1]!'3605.TW-PreClose'</f>
        <v>51.5</v>
      </c>
      <c r="F608" s="141" t="str">
        <f>IFERROR(STOCKS!$E608-STOCKS昨天!$E608,"0")</f>
        <v>0</v>
      </c>
      <c r="G608" s="63">
        <f t="shared" si="9"/>
        <v>0</v>
      </c>
    </row>
    <row r="609" spans="1:7">
      <c r="A609" s="118">
        <v>3607</v>
      </c>
      <c r="B609" s="60" t="s">
        <v>4198</v>
      </c>
      <c r="C609" s="125" t="s">
        <v>5576</v>
      </c>
      <c r="D609" s="118">
        <v>3607</v>
      </c>
      <c r="E609" s="60" t="str">
        <f>[1]!'3607.TW-PreClose'</f>
        <v>--</v>
      </c>
      <c r="F609" s="141" t="str">
        <f>IFERROR(STOCKS!$E609-STOCKS昨天!$E609,"0")</f>
        <v>0</v>
      </c>
      <c r="G609" s="63" t="str">
        <f t="shared" si="9"/>
        <v>0</v>
      </c>
    </row>
    <row r="610" spans="1:7">
      <c r="A610" s="118">
        <v>3645</v>
      </c>
      <c r="B610" s="60" t="s">
        <v>4199</v>
      </c>
      <c r="C610" s="125" t="s">
        <v>5576</v>
      </c>
      <c r="D610" s="118">
        <v>3645</v>
      </c>
      <c r="E610" s="60" t="str">
        <f>[1]!'3645.TW-PreClose'</f>
        <v>--</v>
      </c>
      <c r="F610" s="141" t="str">
        <f>IFERROR(STOCKS!$E610-STOCKS昨天!$E610,"0")</f>
        <v>0</v>
      </c>
      <c r="G610" s="63" t="str">
        <f t="shared" si="9"/>
        <v>0</v>
      </c>
    </row>
    <row r="611" spans="1:7">
      <c r="A611" s="118">
        <v>3653</v>
      </c>
      <c r="B611" s="60" t="s">
        <v>3556</v>
      </c>
      <c r="C611" s="125" t="s">
        <v>5576</v>
      </c>
      <c r="D611" s="118">
        <v>3653</v>
      </c>
      <c r="E611" s="60">
        <f>[1]!'3653.TW-PreClose'</f>
        <v>400</v>
      </c>
      <c r="F611" s="141">
        <f>IFERROR(STOCKS!$E611-STOCKS昨天!$E611,"0")</f>
        <v>8.5</v>
      </c>
      <c r="G611" s="63">
        <f t="shared" si="9"/>
        <v>2.1250000000000002E-2</v>
      </c>
    </row>
    <row r="612" spans="1:7">
      <c r="A612" s="118">
        <v>3679</v>
      </c>
      <c r="B612" s="60" t="s">
        <v>4200</v>
      </c>
      <c r="C612" s="125" t="s">
        <v>5576</v>
      </c>
      <c r="D612" s="118">
        <v>3679</v>
      </c>
      <c r="E612" s="60">
        <f>[1]!'3679.TW-PreClose'</f>
        <v>83.3</v>
      </c>
      <c r="F612" s="141" t="str">
        <f>IFERROR(STOCKS!$E612-STOCKS昨天!$E612,"0")</f>
        <v>0</v>
      </c>
      <c r="G612" s="63">
        <f t="shared" si="9"/>
        <v>0</v>
      </c>
    </row>
    <row r="613" spans="1:7">
      <c r="A613" s="118">
        <v>4545</v>
      </c>
      <c r="B613" s="60" t="s">
        <v>4201</v>
      </c>
      <c r="C613" s="125" t="s">
        <v>5576</v>
      </c>
      <c r="D613" s="118">
        <v>4545</v>
      </c>
      <c r="E613" s="60" t="str">
        <f>[1]!'4545.TW-PreClose'</f>
        <v>--</v>
      </c>
      <c r="F613" s="141" t="str">
        <f>IFERROR(STOCKS!$E613-STOCKS昨天!$E613,"0")</f>
        <v>0</v>
      </c>
      <c r="G613" s="63" t="str">
        <f t="shared" si="9"/>
        <v>0</v>
      </c>
    </row>
    <row r="614" spans="1:7">
      <c r="A614" s="118">
        <v>4912</v>
      </c>
      <c r="B614" s="60" t="s">
        <v>4202</v>
      </c>
      <c r="C614" s="125" t="s">
        <v>5577</v>
      </c>
      <c r="D614" s="118">
        <v>4912</v>
      </c>
      <c r="E614" s="60" t="str">
        <f>[1]!'4912.TW-PreClose'</f>
        <v>--</v>
      </c>
      <c r="F614" s="141" t="str">
        <f>IFERROR(STOCKS!$E614-STOCKS昨天!$E614,"0")</f>
        <v>0</v>
      </c>
      <c r="G614" s="63" t="str">
        <f t="shared" si="9"/>
        <v>0</v>
      </c>
    </row>
    <row r="615" spans="1:7">
      <c r="A615" s="118">
        <v>4915</v>
      </c>
      <c r="B615" s="60" t="s">
        <v>4203</v>
      </c>
      <c r="C615" s="125" t="s">
        <v>5576</v>
      </c>
      <c r="D615" s="118">
        <v>4915</v>
      </c>
      <c r="E615" s="60">
        <f>[1]!'4915.TW-PreClose'</f>
        <v>53.7</v>
      </c>
      <c r="F615" s="141" t="str">
        <f>IFERROR(STOCKS!$E615-STOCKS昨天!$E615,"0")</f>
        <v>0</v>
      </c>
      <c r="G615" s="63">
        <f t="shared" si="9"/>
        <v>0</v>
      </c>
    </row>
    <row r="616" spans="1:7">
      <c r="A616" s="118">
        <v>4927</v>
      </c>
      <c r="B616" s="60" t="s">
        <v>4204</v>
      </c>
      <c r="C616" s="125" t="s">
        <v>5577</v>
      </c>
      <c r="D616" s="118">
        <v>4927</v>
      </c>
      <c r="E616" s="60" t="str">
        <f>[1]!'4927.TW-PreClose'</f>
        <v>--</v>
      </c>
      <c r="F616" s="141" t="str">
        <f>IFERROR(STOCKS!$E616-STOCKS昨天!$E616,"0")</f>
        <v>0</v>
      </c>
      <c r="G616" s="63" t="str">
        <f t="shared" si="9"/>
        <v>0</v>
      </c>
    </row>
    <row r="617" spans="1:7">
      <c r="A617" s="118">
        <v>4943</v>
      </c>
      <c r="B617" s="60" t="s">
        <v>3683</v>
      </c>
      <c r="C617" s="125" t="s">
        <v>5577</v>
      </c>
      <c r="D617" s="118">
        <v>4943</v>
      </c>
      <c r="E617" s="60">
        <f>[1]!'4943.TW-PreClose'</f>
        <v>33.299999999999997</v>
      </c>
      <c r="F617" s="141" t="str">
        <f>IFERROR(STOCKS!$E617-STOCKS昨天!$E617,"0")</f>
        <v>0</v>
      </c>
      <c r="G617" s="63">
        <f t="shared" si="9"/>
        <v>0</v>
      </c>
    </row>
    <row r="618" spans="1:7">
      <c r="A618" s="118">
        <v>4958</v>
      </c>
      <c r="B618" s="60" t="s">
        <v>4205</v>
      </c>
      <c r="C618" s="125" t="s">
        <v>5577</v>
      </c>
      <c r="D618" s="118">
        <v>4958</v>
      </c>
      <c r="E618" s="60">
        <f>[1]!'4958.TW-PreClose'</f>
        <v>101.5</v>
      </c>
      <c r="F618" s="141" t="str">
        <f>IFERROR(STOCKS!$E618-STOCKS昨天!$E618,"0")</f>
        <v>0</v>
      </c>
      <c r="G618" s="63">
        <f t="shared" si="9"/>
        <v>0</v>
      </c>
    </row>
    <row r="619" spans="1:7">
      <c r="A619" s="118">
        <v>4989</v>
      </c>
      <c r="B619" s="60" t="s">
        <v>4206</v>
      </c>
      <c r="C619" s="125" t="s">
        <v>5576</v>
      </c>
      <c r="D619" s="118">
        <v>4989</v>
      </c>
      <c r="E619" s="60" t="str">
        <f>[1]!'4989.TW-PreClose'</f>
        <v>--</v>
      </c>
      <c r="F619" s="141" t="str">
        <f>IFERROR(STOCKS!$E619-STOCKS昨天!$E619,"0")</f>
        <v>0</v>
      </c>
      <c r="G619" s="63" t="str">
        <f t="shared" si="9"/>
        <v>0</v>
      </c>
    </row>
    <row r="620" spans="1:7">
      <c r="A620" s="118">
        <v>4999</v>
      </c>
      <c r="B620" s="60" t="s">
        <v>4207</v>
      </c>
      <c r="C620" s="125" t="s">
        <v>5576</v>
      </c>
      <c r="D620" s="118">
        <v>4999</v>
      </c>
      <c r="E620" s="60" t="str">
        <f>[1]!'4999.TW-PreClose'</f>
        <v>--</v>
      </c>
      <c r="F620" s="141" t="str">
        <f>IFERROR(STOCKS!$E620-STOCKS昨天!$E620,"0")</f>
        <v>0</v>
      </c>
      <c r="G620" s="63" t="str">
        <f t="shared" si="9"/>
        <v>0</v>
      </c>
    </row>
    <row r="621" spans="1:7">
      <c r="A621" s="118">
        <v>5469</v>
      </c>
      <c r="B621" s="60" t="s">
        <v>4208</v>
      </c>
      <c r="C621" s="125" t="s">
        <v>5576</v>
      </c>
      <c r="D621" s="118">
        <v>5469</v>
      </c>
      <c r="E621" s="60">
        <f>[1]!'5469.TW-PreClose'</f>
        <v>45.9</v>
      </c>
      <c r="F621" s="141" t="str">
        <f>IFERROR(STOCKS!$E621-STOCKS昨天!$E621,"0")</f>
        <v>0</v>
      </c>
      <c r="G621" s="63">
        <f t="shared" si="9"/>
        <v>0</v>
      </c>
    </row>
    <row r="622" spans="1:7">
      <c r="A622" s="118">
        <v>6108</v>
      </c>
      <c r="B622" s="60" t="s">
        <v>4209</v>
      </c>
      <c r="C622" s="125" t="s">
        <v>5576</v>
      </c>
      <c r="D622" s="118">
        <v>6108</v>
      </c>
      <c r="E622" s="60">
        <f>[1]!'6108.TW-PreClose'</f>
        <v>21.25</v>
      </c>
      <c r="F622" s="141" t="str">
        <f>IFERROR(STOCKS!$E622-STOCKS昨天!$E622,"0")</f>
        <v>0</v>
      </c>
      <c r="G622" s="63">
        <f t="shared" si="9"/>
        <v>0</v>
      </c>
    </row>
    <row r="623" spans="1:7">
      <c r="A623" s="118">
        <v>6115</v>
      </c>
      <c r="B623" s="60" t="s">
        <v>4210</v>
      </c>
      <c r="C623" s="125" t="s">
        <v>5576</v>
      </c>
      <c r="D623" s="118">
        <v>6115</v>
      </c>
      <c r="E623" s="60">
        <f>[1]!'6115.TW-PreClose'</f>
        <v>42.65</v>
      </c>
      <c r="F623" s="141" t="str">
        <f>IFERROR(STOCKS!$E623-STOCKS昨天!$E623,"0")</f>
        <v>0</v>
      </c>
      <c r="G623" s="63">
        <f t="shared" si="9"/>
        <v>0</v>
      </c>
    </row>
    <row r="624" spans="1:7">
      <c r="A624" s="118">
        <v>6133</v>
      </c>
      <c r="B624" s="60" t="s">
        <v>4211</v>
      </c>
      <c r="C624" s="125" t="s">
        <v>5576</v>
      </c>
      <c r="D624" s="118">
        <v>6133</v>
      </c>
      <c r="E624" s="60">
        <f>[1]!'6133.TW-PreClose'</f>
        <v>8.69</v>
      </c>
      <c r="F624" s="141" t="str">
        <f>IFERROR(STOCKS!$E624-STOCKS昨天!$E624,"0")</f>
        <v>0</v>
      </c>
      <c r="G624" s="63">
        <f t="shared" si="9"/>
        <v>0</v>
      </c>
    </row>
    <row r="625" spans="1:7">
      <c r="A625" s="118">
        <v>6141</v>
      </c>
      <c r="B625" s="60" t="s">
        <v>4212</v>
      </c>
      <c r="C625" s="125" t="s">
        <v>5576</v>
      </c>
      <c r="D625" s="118">
        <v>6141</v>
      </c>
      <c r="E625" s="60" t="str">
        <f>[1]!'6141.TW-PreClose'</f>
        <v>--</v>
      </c>
      <c r="F625" s="141" t="str">
        <f>IFERROR(STOCKS!$E625-STOCKS昨天!$E625,"0")</f>
        <v>0</v>
      </c>
      <c r="G625" s="63" t="str">
        <f t="shared" si="9"/>
        <v>0</v>
      </c>
    </row>
    <row r="626" spans="1:7">
      <c r="A626" s="118">
        <v>6153</v>
      </c>
      <c r="B626" s="60" t="s">
        <v>4213</v>
      </c>
      <c r="C626" s="125" t="s">
        <v>5576</v>
      </c>
      <c r="D626" s="118">
        <v>6153</v>
      </c>
      <c r="E626" s="60" t="str">
        <f>[1]!'6153.TW-PreClose'</f>
        <v>--</v>
      </c>
      <c r="F626" s="141" t="str">
        <f>IFERROR(STOCKS!$E626-STOCKS昨天!$E626,"0")</f>
        <v>0</v>
      </c>
      <c r="G626" s="63" t="str">
        <f t="shared" si="9"/>
        <v>0</v>
      </c>
    </row>
    <row r="627" spans="1:7">
      <c r="A627" s="118">
        <v>6155</v>
      </c>
      <c r="B627" s="60" t="s">
        <v>4214</v>
      </c>
      <c r="C627" s="125" t="s">
        <v>5576</v>
      </c>
      <c r="D627" s="118">
        <v>6155</v>
      </c>
      <c r="E627" s="60">
        <f>[1]!'6155.TW-PreClose'</f>
        <v>25.1</v>
      </c>
      <c r="F627" s="141" t="str">
        <f>IFERROR(STOCKS!$E627-STOCKS昨天!$E627,"0")</f>
        <v>0</v>
      </c>
      <c r="G627" s="63">
        <f t="shared" si="9"/>
        <v>0</v>
      </c>
    </row>
    <row r="628" spans="1:7">
      <c r="A628" s="118">
        <v>6191</v>
      </c>
      <c r="B628" s="60" t="s">
        <v>4215</v>
      </c>
      <c r="C628" s="125" t="s">
        <v>5576</v>
      </c>
      <c r="D628" s="118">
        <v>6191</v>
      </c>
      <c r="E628" s="60">
        <f>[1]!'6191.TW-PreClose'</f>
        <v>37.5</v>
      </c>
      <c r="F628" s="141" t="str">
        <f>IFERROR(STOCKS!$E628-STOCKS昨天!$E628,"0")</f>
        <v>0</v>
      </c>
      <c r="G628" s="63">
        <f t="shared" si="9"/>
        <v>0</v>
      </c>
    </row>
    <row r="629" spans="1:7">
      <c r="A629" s="118">
        <v>6197</v>
      </c>
      <c r="B629" s="60" t="s">
        <v>4216</v>
      </c>
      <c r="C629" s="125" t="s">
        <v>5576</v>
      </c>
      <c r="D629" s="118">
        <v>6197</v>
      </c>
      <c r="E629" s="60">
        <f>[1]!'6197.TW-PreClose'</f>
        <v>37.25</v>
      </c>
      <c r="F629" s="141" t="str">
        <f>IFERROR(STOCKS!$E629-STOCKS昨天!$E629,"0")</f>
        <v>0</v>
      </c>
      <c r="G629" s="63">
        <f t="shared" si="9"/>
        <v>0</v>
      </c>
    </row>
    <row r="630" spans="1:7">
      <c r="A630" s="118">
        <v>6205</v>
      </c>
      <c r="B630" s="60" t="s">
        <v>4217</v>
      </c>
      <c r="C630" s="125" t="s">
        <v>5576</v>
      </c>
      <c r="D630" s="118">
        <v>6205</v>
      </c>
      <c r="E630" s="60">
        <f>[1]!'6205.TW-PreClose'</f>
        <v>48.45</v>
      </c>
      <c r="F630" s="141" t="str">
        <f>IFERROR(STOCKS!$E630-STOCKS昨天!$E630,"0")</f>
        <v>0</v>
      </c>
      <c r="G630" s="63">
        <f t="shared" si="9"/>
        <v>0</v>
      </c>
    </row>
    <row r="631" spans="1:7">
      <c r="A631" s="118">
        <v>6213</v>
      </c>
      <c r="B631" s="60" t="s">
        <v>4218</v>
      </c>
      <c r="C631" s="125" t="s">
        <v>5576</v>
      </c>
      <c r="D631" s="118">
        <v>6213</v>
      </c>
      <c r="E631" s="60">
        <f>[1]!'6213.TW-PreClose'</f>
        <v>127.5</v>
      </c>
      <c r="F631" s="141">
        <f>IFERROR(STOCKS!$E631-STOCKS昨天!$E631,"0")</f>
        <v>0.5</v>
      </c>
      <c r="G631" s="63">
        <f t="shared" si="9"/>
        <v>3.9215686274509803E-3</v>
      </c>
    </row>
    <row r="632" spans="1:7">
      <c r="A632" s="118">
        <v>6224</v>
      </c>
      <c r="B632" s="60" t="s">
        <v>4219</v>
      </c>
      <c r="C632" s="125" t="s">
        <v>5576</v>
      </c>
      <c r="D632" s="118">
        <v>6224</v>
      </c>
      <c r="E632" s="60">
        <f>[1]!'6224.TW-PreClose'</f>
        <v>117</v>
      </c>
      <c r="F632" s="141" t="str">
        <f>IFERROR(STOCKS!$E632-STOCKS昨天!$E632,"0")</f>
        <v>0</v>
      </c>
      <c r="G632" s="63">
        <f t="shared" si="9"/>
        <v>0</v>
      </c>
    </row>
    <row r="633" spans="1:7">
      <c r="A633" s="118">
        <v>6251</v>
      </c>
      <c r="B633" s="60" t="s">
        <v>50</v>
      </c>
      <c r="C633" s="125" t="s">
        <v>5576</v>
      </c>
      <c r="D633" s="118">
        <v>6251</v>
      </c>
      <c r="E633" s="60">
        <f>[1]!'6251.TW-PreClose'</f>
        <v>21.55</v>
      </c>
      <c r="F633" s="141" t="str">
        <f>IFERROR(STOCKS!$E633-STOCKS昨天!$E633,"0")</f>
        <v>0</v>
      </c>
      <c r="G633" s="63">
        <f t="shared" si="9"/>
        <v>0</v>
      </c>
    </row>
    <row r="634" spans="1:7">
      <c r="A634" s="118">
        <v>6269</v>
      </c>
      <c r="B634" s="60" t="s">
        <v>4220</v>
      </c>
      <c r="C634" s="125" t="s">
        <v>5576</v>
      </c>
      <c r="D634" s="118">
        <v>6269</v>
      </c>
      <c r="E634" s="60">
        <f>[1]!'6269.TW-PreClose'</f>
        <v>100.5</v>
      </c>
      <c r="F634" s="141" t="str">
        <f>IFERROR(STOCKS!$E634-STOCKS昨天!$E634,"0")</f>
        <v>0</v>
      </c>
      <c r="G634" s="63">
        <f t="shared" si="9"/>
        <v>0</v>
      </c>
    </row>
    <row r="635" spans="1:7">
      <c r="A635" s="118">
        <v>6282</v>
      </c>
      <c r="B635" s="60" t="s">
        <v>4221</v>
      </c>
      <c r="C635" s="125" t="s">
        <v>5576</v>
      </c>
      <c r="D635" s="118">
        <v>6282</v>
      </c>
      <c r="E635" s="60" t="str">
        <f>[1]!'6282.TW-PreClose'</f>
        <v>--</v>
      </c>
      <c r="F635" s="141" t="str">
        <f>IFERROR(STOCKS!$E635-STOCKS昨天!$E635,"0")</f>
        <v>0</v>
      </c>
      <c r="G635" s="63" t="str">
        <f t="shared" si="9"/>
        <v>0</v>
      </c>
    </row>
    <row r="636" spans="1:7">
      <c r="A636" s="118">
        <v>6412</v>
      </c>
      <c r="B636" s="60" t="s">
        <v>4222</v>
      </c>
      <c r="C636" s="125" t="s">
        <v>5576</v>
      </c>
      <c r="D636" s="118">
        <v>6412</v>
      </c>
      <c r="E636" s="60">
        <f>[1]!'6412.TW-PreClose'</f>
        <v>77.7</v>
      </c>
      <c r="F636" s="141" t="str">
        <f>IFERROR(STOCKS!$E636-STOCKS昨天!$E636,"0")</f>
        <v>0</v>
      </c>
      <c r="G636" s="63">
        <f t="shared" si="9"/>
        <v>0</v>
      </c>
    </row>
    <row r="637" spans="1:7">
      <c r="A637" s="118">
        <v>6449</v>
      </c>
      <c r="B637" s="60" t="s">
        <v>4223</v>
      </c>
      <c r="C637" s="125" t="s">
        <v>5576</v>
      </c>
      <c r="D637" s="118">
        <v>6449</v>
      </c>
      <c r="E637" s="60">
        <f>[1]!'6449.TW-PreClose'</f>
        <v>57</v>
      </c>
      <c r="F637" s="141" t="str">
        <f>IFERROR(STOCKS!$E637-STOCKS昨天!$E637,"0")</f>
        <v>0</v>
      </c>
      <c r="G637" s="63">
        <f t="shared" si="9"/>
        <v>0</v>
      </c>
    </row>
    <row r="638" spans="1:7">
      <c r="A638" s="118">
        <v>6672</v>
      </c>
      <c r="B638" s="60" t="s">
        <v>4224</v>
      </c>
      <c r="C638" s="125" t="s">
        <v>5577</v>
      </c>
      <c r="D638" s="118">
        <v>6672</v>
      </c>
      <c r="E638" s="60">
        <f>[1]!'6672.TW-PreClose'</f>
        <v>131</v>
      </c>
      <c r="F638" s="141" t="str">
        <f>IFERROR(STOCKS!$E638-STOCKS昨天!$E638,"0")</f>
        <v>0</v>
      </c>
      <c r="G638" s="63">
        <f t="shared" si="9"/>
        <v>0</v>
      </c>
    </row>
    <row r="639" spans="1:7">
      <c r="A639" s="118">
        <v>6715</v>
      </c>
      <c r="B639" s="60" t="s">
        <v>4225</v>
      </c>
      <c r="C639" s="125" t="s">
        <v>5576</v>
      </c>
      <c r="D639" s="118">
        <v>6715</v>
      </c>
      <c r="E639" s="60">
        <f>[1]!'6715.TW-PreClose'</f>
        <v>115</v>
      </c>
      <c r="F639" s="141" t="str">
        <f>IFERROR(STOCKS!$E639-STOCKS昨天!$E639,"0")</f>
        <v>0</v>
      </c>
      <c r="G639" s="63">
        <f t="shared" si="9"/>
        <v>0</v>
      </c>
    </row>
    <row r="640" spans="1:7">
      <c r="A640" s="118">
        <v>6781</v>
      </c>
      <c r="B640" s="60" t="s">
        <v>36</v>
      </c>
      <c r="C640" s="125" t="s">
        <v>5577</v>
      </c>
      <c r="D640" s="118">
        <v>6781</v>
      </c>
      <c r="E640" s="60">
        <f>[1]!'6781.TW-PreClose'</f>
        <v>1460</v>
      </c>
      <c r="F640" s="141" t="str">
        <f>IFERROR(STOCKS!$E640-STOCKS昨天!$E640,"0")</f>
        <v>0</v>
      </c>
      <c r="G640" s="63">
        <f t="shared" si="9"/>
        <v>0</v>
      </c>
    </row>
    <row r="641" spans="1:7">
      <c r="A641" s="118">
        <v>8039</v>
      </c>
      <c r="B641" s="60" t="s">
        <v>3686</v>
      </c>
      <c r="C641" s="125" t="s">
        <v>5576</v>
      </c>
      <c r="D641" s="118">
        <v>8039</v>
      </c>
      <c r="E641" s="60" t="str">
        <f>[1]!'8039.TW-PreClose'</f>
        <v>--</v>
      </c>
      <c r="F641" s="141" t="str">
        <f>IFERROR(STOCKS!$E641-STOCKS昨天!$E641,"0")</f>
        <v>0</v>
      </c>
      <c r="G641" s="63" t="str">
        <f t="shared" si="9"/>
        <v>0</v>
      </c>
    </row>
    <row r="642" spans="1:7">
      <c r="A642" s="118">
        <v>8046</v>
      </c>
      <c r="B642" s="60" t="s">
        <v>4226</v>
      </c>
      <c r="C642" s="125" t="s">
        <v>5576</v>
      </c>
      <c r="D642" s="118">
        <v>8046</v>
      </c>
      <c r="E642" s="60" t="str">
        <f>[1]!'8046.TW-PreClose'</f>
        <v>--</v>
      </c>
      <c r="F642" s="141" t="str">
        <f>IFERROR(STOCKS!$E642-STOCKS昨天!$E642,"0")</f>
        <v>0</v>
      </c>
      <c r="G642" s="63" t="str">
        <f t="shared" si="9"/>
        <v>0</v>
      </c>
    </row>
    <row r="643" spans="1:7">
      <c r="A643" s="118">
        <v>8103</v>
      </c>
      <c r="B643" s="60" t="s">
        <v>4227</v>
      </c>
      <c r="C643" s="125" t="s">
        <v>5576</v>
      </c>
      <c r="D643" s="118">
        <v>8103</v>
      </c>
      <c r="E643" s="60">
        <f>[1]!'8103.TW-PreClose'</f>
        <v>51.2</v>
      </c>
      <c r="F643" s="141" t="str">
        <f>IFERROR(STOCKS!$E643-STOCKS昨天!$E643,"0")</f>
        <v>0</v>
      </c>
      <c r="G643" s="63">
        <f t="shared" ref="G643:G706" si="10">IFERROR($F643/$E643,"0")</f>
        <v>0</v>
      </c>
    </row>
    <row r="644" spans="1:7">
      <c r="A644" s="118">
        <v>8213</v>
      </c>
      <c r="B644" s="60" t="s">
        <v>4228</v>
      </c>
      <c r="C644" s="125" t="s">
        <v>5576</v>
      </c>
      <c r="D644" s="118">
        <v>8213</v>
      </c>
      <c r="E644" s="60">
        <f>[1]!'8213.TW-PreClose'</f>
        <v>48.1</v>
      </c>
      <c r="F644" s="141" t="str">
        <f>IFERROR(STOCKS!$E644-STOCKS昨天!$E644,"0")</f>
        <v>0</v>
      </c>
      <c r="G644" s="63">
        <f t="shared" si="10"/>
        <v>0</v>
      </c>
    </row>
    <row r="645" spans="1:7">
      <c r="A645" s="118">
        <v>8249</v>
      </c>
      <c r="B645" s="60" t="s">
        <v>4229</v>
      </c>
      <c r="C645" s="125" t="s">
        <v>5576</v>
      </c>
      <c r="D645" s="118">
        <v>8249</v>
      </c>
      <c r="E645" s="60">
        <f>[1]!'8249.TW-PreClose'</f>
        <v>26.75</v>
      </c>
      <c r="F645" s="141" t="str">
        <f>IFERROR(STOCKS!$E645-STOCKS昨天!$E645,"0")</f>
        <v>0</v>
      </c>
      <c r="G645" s="63">
        <f t="shared" si="10"/>
        <v>0</v>
      </c>
    </row>
    <row r="646" spans="1:7">
      <c r="A646" s="118">
        <v>2347</v>
      </c>
      <c r="B646" s="60" t="s">
        <v>4230</v>
      </c>
      <c r="C646" s="125" t="s">
        <v>5578</v>
      </c>
      <c r="D646" s="118">
        <v>2347</v>
      </c>
      <c r="E646" s="60">
        <f>[1]!'2347.TW-PreClose'</f>
        <v>57.9</v>
      </c>
      <c r="F646" s="141">
        <f>IFERROR(STOCKS!$E646-STOCKS昨天!$E646,"0")</f>
        <v>0.60000000000000142</v>
      </c>
      <c r="G646" s="63">
        <f t="shared" si="10"/>
        <v>1.0362694300518159E-2</v>
      </c>
    </row>
    <row r="647" spans="1:7">
      <c r="A647" s="118">
        <v>2414</v>
      </c>
      <c r="B647" s="60" t="s">
        <v>4231</v>
      </c>
      <c r="C647" s="125" t="s">
        <v>5578</v>
      </c>
      <c r="D647" s="118">
        <v>2414</v>
      </c>
      <c r="E647" s="60" t="str">
        <f>[1]!'2414.TW-PreClose'</f>
        <v>--</v>
      </c>
      <c r="F647" s="141" t="str">
        <f>IFERROR(STOCKS!$E647-STOCKS昨天!$E647,"0")</f>
        <v>0</v>
      </c>
      <c r="G647" s="63" t="str">
        <f t="shared" si="10"/>
        <v>0</v>
      </c>
    </row>
    <row r="648" spans="1:7">
      <c r="A648" s="118">
        <v>2430</v>
      </c>
      <c r="B648" s="60" t="s">
        <v>4232</v>
      </c>
      <c r="C648" s="125" t="s">
        <v>5578</v>
      </c>
      <c r="D648" s="118">
        <v>2430</v>
      </c>
      <c r="E648" s="60">
        <f>[1]!'2430.TW-PreClose'</f>
        <v>40.6</v>
      </c>
      <c r="F648" s="141" t="str">
        <f>IFERROR(STOCKS!$E648-STOCKS昨天!$E648,"0")</f>
        <v>0</v>
      </c>
      <c r="G648" s="63">
        <f t="shared" si="10"/>
        <v>0</v>
      </c>
    </row>
    <row r="649" spans="1:7">
      <c r="A649" s="118">
        <v>3010</v>
      </c>
      <c r="B649" s="60" t="s">
        <v>4234</v>
      </c>
      <c r="C649" s="125" t="s">
        <v>5578</v>
      </c>
      <c r="D649" s="118">
        <v>3010</v>
      </c>
      <c r="E649" s="60" t="str">
        <f>[1]!'3010.TW-PreClose'</f>
        <v>--</v>
      </c>
      <c r="F649" s="141" t="str">
        <f>IFERROR(STOCKS!$E649-STOCKS昨天!$E649,"0")</f>
        <v>0</v>
      </c>
      <c r="G649" s="63" t="str">
        <f t="shared" si="10"/>
        <v>0</v>
      </c>
    </row>
    <row r="650" spans="1:7">
      <c r="A650" s="118">
        <v>3028</v>
      </c>
      <c r="B650" s="60" t="s">
        <v>4235</v>
      </c>
      <c r="C650" s="125" t="s">
        <v>5578</v>
      </c>
      <c r="D650" s="118">
        <v>3028</v>
      </c>
      <c r="E650" s="60" t="str">
        <f>[1]!'3028.TW-PreClose'</f>
        <v>--</v>
      </c>
      <c r="F650" s="141" t="str">
        <f>IFERROR(STOCKS!$E650-STOCKS昨天!$E650,"0")</f>
        <v>0</v>
      </c>
      <c r="G650" s="63" t="str">
        <f t="shared" si="10"/>
        <v>0</v>
      </c>
    </row>
    <row r="651" spans="1:7">
      <c r="A651" s="118">
        <v>3033</v>
      </c>
      <c r="B651" s="60" t="s">
        <v>4236</v>
      </c>
      <c r="C651" s="125" t="s">
        <v>5578</v>
      </c>
      <c r="D651" s="118">
        <v>3033</v>
      </c>
      <c r="E651" s="60" t="str">
        <f>[1]!'3033.TW-PreClose'</f>
        <v>--</v>
      </c>
      <c r="F651" s="141" t="str">
        <f>IFERROR(STOCKS!$E651-STOCKS昨天!$E651,"0")</f>
        <v>0</v>
      </c>
      <c r="G651" s="63" t="str">
        <f t="shared" si="10"/>
        <v>0</v>
      </c>
    </row>
    <row r="652" spans="1:7">
      <c r="A652" s="118">
        <v>3036</v>
      </c>
      <c r="B652" s="60" t="s">
        <v>4237</v>
      </c>
      <c r="C652" s="125" t="s">
        <v>5578</v>
      </c>
      <c r="D652" s="118">
        <v>3036</v>
      </c>
      <c r="E652" s="60" t="str">
        <f>[1]!'3036.TW-PreClose'</f>
        <v>--</v>
      </c>
      <c r="F652" s="141" t="str">
        <f>IFERROR(STOCKS!$E652-STOCKS昨天!$E652,"0")</f>
        <v>0</v>
      </c>
      <c r="G652" s="63" t="str">
        <f t="shared" si="10"/>
        <v>0</v>
      </c>
    </row>
    <row r="653" spans="1:7">
      <c r="A653" s="118">
        <v>3048</v>
      </c>
      <c r="B653" s="60" t="s">
        <v>4238</v>
      </c>
      <c r="C653" s="125" t="s">
        <v>5578</v>
      </c>
      <c r="D653" s="118">
        <v>3048</v>
      </c>
      <c r="E653" s="60">
        <f>[1]!'3048.TW-PreClose'</f>
        <v>31.45</v>
      </c>
      <c r="F653" s="141" t="str">
        <f>IFERROR(STOCKS!$E653-STOCKS昨天!$E653,"0")</f>
        <v>0</v>
      </c>
      <c r="G653" s="63">
        <f t="shared" si="10"/>
        <v>0</v>
      </c>
    </row>
    <row r="654" spans="1:7">
      <c r="A654" s="118">
        <v>3055</v>
      </c>
      <c r="B654" s="60" t="s">
        <v>4239</v>
      </c>
      <c r="C654" s="125" t="s">
        <v>5578</v>
      </c>
      <c r="D654" s="118">
        <v>3055</v>
      </c>
      <c r="E654" s="60">
        <f>[1]!'3055.TW-PreClose'</f>
        <v>28.85</v>
      </c>
      <c r="F654" s="141" t="str">
        <f>IFERROR(STOCKS!$E654-STOCKS昨天!$E654,"0")</f>
        <v>0</v>
      </c>
      <c r="G654" s="63">
        <f t="shared" si="10"/>
        <v>0</v>
      </c>
    </row>
    <row r="655" spans="1:7">
      <c r="A655" s="118">
        <v>3209</v>
      </c>
      <c r="B655" s="60" t="s">
        <v>4240</v>
      </c>
      <c r="C655" s="125" t="s">
        <v>5578</v>
      </c>
      <c r="D655" s="118">
        <v>3209</v>
      </c>
      <c r="E655" s="60">
        <f>[1]!'3209.TW-PreClose'</f>
        <v>29.2</v>
      </c>
      <c r="F655" s="141" t="str">
        <f>IFERROR(STOCKS!$E655-STOCKS昨天!$E655,"0")</f>
        <v>0</v>
      </c>
      <c r="G655" s="63">
        <f t="shared" si="10"/>
        <v>0</v>
      </c>
    </row>
    <row r="656" spans="1:7">
      <c r="A656" s="118">
        <v>3312</v>
      </c>
      <c r="B656" s="60" t="s">
        <v>4241</v>
      </c>
      <c r="C656" s="125" t="s">
        <v>5578</v>
      </c>
      <c r="D656" s="118">
        <v>3312</v>
      </c>
      <c r="E656" s="60">
        <f>[1]!'3312.TW-PreClose'</f>
        <v>24.25</v>
      </c>
      <c r="F656" s="141" t="str">
        <f>IFERROR(STOCKS!$E656-STOCKS昨天!$E656,"0")</f>
        <v>0</v>
      </c>
      <c r="G656" s="63">
        <f t="shared" si="10"/>
        <v>0</v>
      </c>
    </row>
    <row r="657" spans="1:7">
      <c r="A657" s="118">
        <v>3528</v>
      </c>
      <c r="B657" s="60" t="s">
        <v>4242</v>
      </c>
      <c r="C657" s="125" t="s">
        <v>5578</v>
      </c>
      <c r="D657" s="118">
        <v>3528</v>
      </c>
      <c r="E657" s="60">
        <f>[1]!'3528.TW-PreClose'</f>
        <v>49.4</v>
      </c>
      <c r="F657" s="141" t="str">
        <f>IFERROR(STOCKS!$E657-STOCKS昨天!$E657,"0")</f>
        <v>0</v>
      </c>
      <c r="G657" s="63">
        <f t="shared" si="10"/>
        <v>0</v>
      </c>
    </row>
    <row r="658" spans="1:7">
      <c r="A658" s="118">
        <v>3702</v>
      </c>
      <c r="B658" s="60" t="s">
        <v>4243</v>
      </c>
      <c r="C658" s="125" t="s">
        <v>5578</v>
      </c>
      <c r="D658" s="118">
        <v>3702</v>
      </c>
      <c r="E658" s="60">
        <f>[1]!'3702.TW-PreClose'</f>
        <v>50.6</v>
      </c>
      <c r="F658" s="141" t="str">
        <f>IFERROR(STOCKS!$E658-STOCKS昨天!$E658,"0")</f>
        <v>0</v>
      </c>
      <c r="G658" s="63">
        <f t="shared" si="10"/>
        <v>0</v>
      </c>
    </row>
    <row r="659" spans="1:7">
      <c r="A659" s="118">
        <v>5434</v>
      </c>
      <c r="B659" s="60" t="s">
        <v>4244</v>
      </c>
      <c r="C659" s="125" t="s">
        <v>5578</v>
      </c>
      <c r="D659" s="118">
        <v>5434</v>
      </c>
      <c r="E659" s="60">
        <f>[1]!'5434.TW-PreClose'</f>
        <v>148</v>
      </c>
      <c r="F659" s="141">
        <f>IFERROR(STOCKS!$E659-STOCKS昨天!$E659,"0")</f>
        <v>2</v>
      </c>
      <c r="G659" s="63">
        <f t="shared" si="10"/>
        <v>1.3513513513513514E-2</v>
      </c>
    </row>
    <row r="660" spans="1:7">
      <c r="A660" s="118">
        <v>6189</v>
      </c>
      <c r="B660" s="60" t="s">
        <v>4245</v>
      </c>
      <c r="C660" s="125" t="s">
        <v>5578</v>
      </c>
      <c r="D660" s="118">
        <v>6189</v>
      </c>
      <c r="E660" s="60">
        <f>[1]!'6189.TW-PreClose'</f>
        <v>40.950000000000003</v>
      </c>
      <c r="F660" s="141">
        <f>IFERROR(STOCKS!$E660-STOCKS昨天!$E660,"0")</f>
        <v>-0.10000000000000142</v>
      </c>
      <c r="G660" s="63">
        <f t="shared" si="10"/>
        <v>-2.4420024420024767E-3</v>
      </c>
    </row>
    <row r="661" spans="1:7">
      <c r="A661" s="118">
        <v>6281</v>
      </c>
      <c r="B661" s="60" t="s">
        <v>4246</v>
      </c>
      <c r="C661" s="125" t="s">
        <v>5578</v>
      </c>
      <c r="D661" s="118">
        <v>6281</v>
      </c>
      <c r="E661" s="60" t="str">
        <f>[1]!'6281.TW-PreClose'</f>
        <v>--</v>
      </c>
      <c r="F661" s="141" t="str">
        <f>IFERROR(STOCKS!$E661-STOCKS昨天!$E661,"0")</f>
        <v>0</v>
      </c>
      <c r="G661" s="63" t="str">
        <f t="shared" si="10"/>
        <v>0</v>
      </c>
    </row>
    <row r="662" spans="1:7">
      <c r="A662" s="118">
        <v>6776</v>
      </c>
      <c r="B662" s="60" t="s">
        <v>4247</v>
      </c>
      <c r="C662" s="125" t="s">
        <v>5578</v>
      </c>
      <c r="D662" s="118">
        <v>6776</v>
      </c>
      <c r="E662" s="60">
        <f>[1]!'6776.TW-PreClose'</f>
        <v>43.15</v>
      </c>
      <c r="F662" s="141" t="str">
        <f>IFERROR(STOCKS!$E662-STOCKS昨天!$E662,"0")</f>
        <v>0</v>
      </c>
      <c r="G662" s="63">
        <f t="shared" si="10"/>
        <v>0</v>
      </c>
    </row>
    <row r="663" spans="1:7">
      <c r="A663" s="118">
        <v>8070</v>
      </c>
      <c r="B663" s="60" t="s">
        <v>4248</v>
      </c>
      <c r="C663" s="125" t="s">
        <v>5578</v>
      </c>
      <c r="D663" s="118">
        <v>8070</v>
      </c>
      <c r="E663" s="60">
        <f>[1]!'8070.TW-PreClose'</f>
        <v>33.85</v>
      </c>
      <c r="F663" s="141" t="str">
        <f>IFERROR(STOCKS!$E663-STOCKS昨天!$E663,"0")</f>
        <v>0</v>
      </c>
      <c r="G663" s="63">
        <f t="shared" si="10"/>
        <v>0</v>
      </c>
    </row>
    <row r="664" spans="1:7">
      <c r="A664" s="118">
        <v>8072</v>
      </c>
      <c r="B664" s="60" t="s">
        <v>4249</v>
      </c>
      <c r="C664" s="125" t="s">
        <v>5578</v>
      </c>
      <c r="D664" s="118">
        <v>8072</v>
      </c>
      <c r="E664" s="60" t="str">
        <f>[1]!'8072.TW-PreClose'</f>
        <v>--</v>
      </c>
      <c r="F664" s="141" t="str">
        <f>IFERROR(STOCKS!$E664-STOCKS昨天!$E664,"0")</f>
        <v>0</v>
      </c>
      <c r="G664" s="63" t="str">
        <f t="shared" si="10"/>
        <v>0</v>
      </c>
    </row>
    <row r="665" spans="1:7">
      <c r="A665" s="118">
        <v>8112</v>
      </c>
      <c r="B665" s="60" t="s">
        <v>4250</v>
      </c>
      <c r="C665" s="125" t="s">
        <v>5578</v>
      </c>
      <c r="D665" s="118">
        <v>8112</v>
      </c>
      <c r="E665" s="60">
        <f>[1]!'8112.TW-PreClose'</f>
        <v>44.15</v>
      </c>
      <c r="F665" s="141" t="str">
        <f>IFERROR(STOCKS!$E665-STOCKS昨天!$E665,"0")</f>
        <v>0</v>
      </c>
      <c r="G665" s="63">
        <f t="shared" si="10"/>
        <v>0</v>
      </c>
    </row>
    <row r="666" spans="1:7">
      <c r="A666" s="118">
        <v>2427</v>
      </c>
      <c r="B666" s="60" t="s">
        <v>4251</v>
      </c>
      <c r="C666" s="125" t="s">
        <v>5579</v>
      </c>
      <c r="D666" s="118">
        <v>2427</v>
      </c>
      <c r="E666" s="60">
        <f>[1]!'2427.TW-PreClose'</f>
        <v>11</v>
      </c>
      <c r="F666" s="141" t="str">
        <f>IFERROR(STOCKS!$E666-STOCKS昨天!$E666,"0")</f>
        <v>0</v>
      </c>
      <c r="G666" s="63">
        <f t="shared" si="10"/>
        <v>0</v>
      </c>
    </row>
    <row r="667" spans="1:7">
      <c r="A667" s="118">
        <v>2453</v>
      </c>
      <c r="B667" s="60" t="s">
        <v>4252</v>
      </c>
      <c r="C667" s="125" t="s">
        <v>5579</v>
      </c>
      <c r="D667" s="118">
        <v>2453</v>
      </c>
      <c r="E667" s="60">
        <f>[1]!'2453.TW-PreClose'</f>
        <v>25.75</v>
      </c>
      <c r="F667" s="141" t="str">
        <f>IFERROR(STOCKS!$E667-STOCKS昨天!$E667,"0")</f>
        <v>0</v>
      </c>
      <c r="G667" s="63">
        <f t="shared" si="10"/>
        <v>0</v>
      </c>
    </row>
    <row r="668" spans="1:7">
      <c r="A668" s="118">
        <v>2468</v>
      </c>
      <c r="B668" s="60" t="s">
        <v>4253</v>
      </c>
      <c r="C668" s="125" t="s">
        <v>5579</v>
      </c>
      <c r="D668" s="118">
        <v>2468</v>
      </c>
      <c r="E668" s="60">
        <f>[1]!'2468.TW-PreClose'</f>
        <v>13.55</v>
      </c>
      <c r="F668" s="141" t="str">
        <f>IFERROR(STOCKS!$E668-STOCKS昨天!$E668,"0")</f>
        <v>0</v>
      </c>
      <c r="G668" s="63">
        <f t="shared" si="10"/>
        <v>0</v>
      </c>
    </row>
    <row r="669" spans="1:7">
      <c r="A669" s="118">
        <v>2471</v>
      </c>
      <c r="B669" s="60" t="s">
        <v>4254</v>
      </c>
      <c r="C669" s="125" t="s">
        <v>5579</v>
      </c>
      <c r="D669" s="118">
        <v>2471</v>
      </c>
      <c r="E669" s="60">
        <f>[1]!'2471.TW-PreClose'</f>
        <v>25</v>
      </c>
      <c r="F669" s="141" t="str">
        <f>IFERROR(STOCKS!$E669-STOCKS昨天!$E669,"0")</f>
        <v>0</v>
      </c>
      <c r="G669" s="63">
        <f t="shared" si="10"/>
        <v>0</v>
      </c>
    </row>
    <row r="670" spans="1:7">
      <c r="A670" s="118">
        <v>2480</v>
      </c>
      <c r="B670" s="60" t="s">
        <v>4255</v>
      </c>
      <c r="C670" s="125" t="s">
        <v>5579</v>
      </c>
      <c r="D670" s="118">
        <v>2480</v>
      </c>
      <c r="E670" s="60">
        <f>[1]!'2480.TW-PreClose'</f>
        <v>72</v>
      </c>
      <c r="F670" s="141" t="str">
        <f>IFERROR(STOCKS!$E670-STOCKS昨天!$E670,"0")</f>
        <v>0</v>
      </c>
      <c r="G670" s="63">
        <f t="shared" si="10"/>
        <v>0</v>
      </c>
    </row>
    <row r="671" spans="1:7">
      <c r="A671" s="118">
        <v>3029</v>
      </c>
      <c r="B671" s="60" t="s">
        <v>4256</v>
      </c>
      <c r="C671" s="125" t="s">
        <v>5579</v>
      </c>
      <c r="D671" s="118">
        <v>3029</v>
      </c>
      <c r="E671" s="60">
        <f>[1]!'3029.TW-PreClose'</f>
        <v>45.15</v>
      </c>
      <c r="F671" s="141" t="str">
        <f>IFERROR(STOCKS!$E671-STOCKS昨天!$E671,"0")</f>
        <v>0</v>
      </c>
      <c r="G671" s="63">
        <f t="shared" si="10"/>
        <v>0</v>
      </c>
    </row>
    <row r="672" spans="1:7">
      <c r="A672" s="118">
        <v>3130</v>
      </c>
      <c r="B672" s="60" t="s">
        <v>4257</v>
      </c>
      <c r="C672" s="125" t="s">
        <v>5579</v>
      </c>
      <c r="D672" s="118">
        <v>3130</v>
      </c>
      <c r="E672" s="60" t="str">
        <f>[1]!'3130.TW-PreClose'</f>
        <v>--</v>
      </c>
      <c r="F672" s="141" t="str">
        <f>IFERROR(STOCKS!$E672-STOCKS昨天!$E672,"0")</f>
        <v>0</v>
      </c>
      <c r="G672" s="63" t="str">
        <f t="shared" si="10"/>
        <v>0</v>
      </c>
    </row>
    <row r="673" spans="1:7">
      <c r="A673" s="118">
        <v>4994</v>
      </c>
      <c r="B673" s="60" t="s">
        <v>4258</v>
      </c>
      <c r="C673" s="125" t="s">
        <v>5579</v>
      </c>
      <c r="D673" s="118">
        <v>4994</v>
      </c>
      <c r="E673" s="60">
        <f>[1]!'4994.TW-PreClose'</f>
        <v>53.6</v>
      </c>
      <c r="F673" s="141" t="str">
        <f>IFERROR(STOCKS!$E673-STOCKS昨天!$E673,"0")</f>
        <v>0</v>
      </c>
      <c r="G673" s="63">
        <f t="shared" si="10"/>
        <v>0</v>
      </c>
    </row>
    <row r="674" spans="1:7">
      <c r="A674" s="118">
        <v>5203</v>
      </c>
      <c r="B674" s="60" t="s">
        <v>4259</v>
      </c>
      <c r="C674" s="125" t="s">
        <v>5579</v>
      </c>
      <c r="D674" s="118">
        <v>5203</v>
      </c>
      <c r="E674" s="60" t="str">
        <f>[1]!'5203.TW-PreClose'</f>
        <v>--</v>
      </c>
      <c r="F674" s="141" t="str">
        <f>IFERROR(STOCKS!$E674-STOCKS昨天!$E674,"0")</f>
        <v>0</v>
      </c>
      <c r="G674" s="63" t="str">
        <f t="shared" si="10"/>
        <v>0</v>
      </c>
    </row>
    <row r="675" spans="1:7">
      <c r="A675" s="118">
        <v>6112</v>
      </c>
      <c r="B675" s="60" t="s">
        <v>4260</v>
      </c>
      <c r="C675" s="125" t="s">
        <v>5579</v>
      </c>
      <c r="D675" s="118">
        <v>6112</v>
      </c>
      <c r="E675" s="60" t="str">
        <f>[1]!'6112.TW-PreClose'</f>
        <v>--</v>
      </c>
      <c r="F675" s="141" t="str">
        <f>IFERROR(STOCKS!$E675-STOCKS昨天!$E675,"0")</f>
        <v>0</v>
      </c>
      <c r="G675" s="63" t="str">
        <f t="shared" si="10"/>
        <v>0</v>
      </c>
    </row>
    <row r="676" spans="1:7">
      <c r="A676" s="118">
        <v>6183</v>
      </c>
      <c r="B676" s="60" t="s">
        <v>4261</v>
      </c>
      <c r="C676" s="125" t="s">
        <v>5579</v>
      </c>
      <c r="D676" s="118">
        <v>6183</v>
      </c>
      <c r="E676" s="60">
        <f>[1]!'6183.TW-PreClose'</f>
        <v>50</v>
      </c>
      <c r="F676" s="141" t="str">
        <f>IFERROR(STOCKS!$E676-STOCKS昨天!$E676,"0")</f>
        <v>0</v>
      </c>
      <c r="G676" s="63">
        <f t="shared" si="10"/>
        <v>0</v>
      </c>
    </row>
    <row r="677" spans="1:7">
      <c r="A677" s="118">
        <v>6214</v>
      </c>
      <c r="B677" s="60" t="s">
        <v>4262</v>
      </c>
      <c r="C677" s="125" t="s">
        <v>5579</v>
      </c>
      <c r="D677" s="118">
        <v>6214</v>
      </c>
      <c r="E677" s="60">
        <f>[1]!'6214.TW-PreClose'</f>
        <v>86.4</v>
      </c>
      <c r="F677" s="141" t="str">
        <f>IFERROR(STOCKS!$E677-STOCKS昨天!$E677,"0")</f>
        <v>0</v>
      </c>
      <c r="G677" s="63">
        <f t="shared" si="10"/>
        <v>0</v>
      </c>
    </row>
    <row r="678" spans="1:7">
      <c r="A678" s="118">
        <v>2312</v>
      </c>
      <c r="B678" s="60" t="s">
        <v>4263</v>
      </c>
      <c r="C678" s="125" t="s">
        <v>5580</v>
      </c>
      <c r="D678" s="118">
        <v>2312</v>
      </c>
      <c r="E678" s="60">
        <f>[1]!'2312.TW-PreClose'</f>
        <v>13.75</v>
      </c>
      <c r="F678" s="141" t="str">
        <f>IFERROR(STOCKS!$E678-STOCKS昨天!$E678,"0")</f>
        <v>0</v>
      </c>
      <c r="G678" s="63">
        <f t="shared" si="10"/>
        <v>0</v>
      </c>
    </row>
    <row r="679" spans="1:7">
      <c r="A679" s="118">
        <v>2317</v>
      </c>
      <c r="B679" s="60" t="s">
        <v>4264</v>
      </c>
      <c r="C679" s="125" t="s">
        <v>5580</v>
      </c>
      <c r="D679" s="118">
        <v>2317</v>
      </c>
      <c r="E679" s="60">
        <f>[1]!'2317.TW-PreClose'</f>
        <v>106</v>
      </c>
      <c r="F679" s="141">
        <f>IFERROR(STOCKS!$E679-STOCKS昨天!$E679,"0")</f>
        <v>-0.5</v>
      </c>
      <c r="G679" s="63">
        <f t="shared" si="10"/>
        <v>-4.7169811320754715E-3</v>
      </c>
    </row>
    <row r="680" spans="1:7">
      <c r="A680" s="118">
        <v>2354</v>
      </c>
      <c r="B680" s="60" t="s">
        <v>4265</v>
      </c>
      <c r="C680" s="125" t="s">
        <v>5580</v>
      </c>
      <c r="D680" s="118">
        <v>2354</v>
      </c>
      <c r="E680" s="60" t="str">
        <f>[1]!'2354.TW-PreClose'</f>
        <v>--</v>
      </c>
      <c r="F680" s="141" t="str">
        <f>IFERROR(STOCKS!$E680-STOCKS昨天!$E680,"0")</f>
        <v>0</v>
      </c>
      <c r="G680" s="63" t="str">
        <f t="shared" si="10"/>
        <v>0</v>
      </c>
    </row>
    <row r="681" spans="1:7">
      <c r="A681" s="118">
        <v>2359</v>
      </c>
      <c r="B681" s="60" t="s">
        <v>4266</v>
      </c>
      <c r="C681" s="125" t="s">
        <v>5580</v>
      </c>
      <c r="D681" s="118">
        <v>2359</v>
      </c>
      <c r="E681" s="60">
        <f>[1]!'2359.TW-PreClose'</f>
        <v>17.600000000000001</v>
      </c>
      <c r="F681" s="141" t="str">
        <f>IFERROR(STOCKS!$E681-STOCKS昨天!$E681,"0")</f>
        <v>0</v>
      </c>
      <c r="G681" s="63">
        <f t="shared" si="10"/>
        <v>0</v>
      </c>
    </row>
    <row r="682" spans="1:7">
      <c r="A682" s="118">
        <v>2360</v>
      </c>
      <c r="B682" s="60" t="s">
        <v>3604</v>
      </c>
      <c r="C682" s="125" t="s">
        <v>5580</v>
      </c>
      <c r="D682" s="118">
        <v>2360</v>
      </c>
      <c r="E682" s="60">
        <f>[1]!'2360.TW-PreClose'</f>
        <v>184</v>
      </c>
      <c r="F682" s="141" t="str">
        <f>IFERROR(STOCKS!$E682-STOCKS昨天!$E682,"0")</f>
        <v>0</v>
      </c>
      <c r="G682" s="63">
        <f t="shared" si="10"/>
        <v>0</v>
      </c>
    </row>
    <row r="683" spans="1:7">
      <c r="A683" s="118">
        <v>2373</v>
      </c>
      <c r="B683" s="60" t="s">
        <v>4267</v>
      </c>
      <c r="C683" s="125" t="s">
        <v>5580</v>
      </c>
      <c r="D683" s="118">
        <v>2373</v>
      </c>
      <c r="E683" s="60">
        <f>[1]!'2373.TW-PreClose'</f>
        <v>89.7</v>
      </c>
      <c r="F683" s="141" t="str">
        <f>IFERROR(STOCKS!$E683-STOCKS昨天!$E683,"0")</f>
        <v>0</v>
      </c>
      <c r="G683" s="63">
        <f t="shared" si="10"/>
        <v>0</v>
      </c>
    </row>
    <row r="684" spans="1:7">
      <c r="A684" s="118">
        <v>2390</v>
      </c>
      <c r="B684" s="60" t="s">
        <v>3545</v>
      </c>
      <c r="C684" s="125" t="s">
        <v>5580</v>
      </c>
      <c r="D684" s="118">
        <v>2390</v>
      </c>
      <c r="E684" s="60">
        <f>[1]!'2390.TW-PreClose'</f>
        <v>21.3</v>
      </c>
      <c r="F684" s="141">
        <f>IFERROR(STOCKS!$E684-STOCKS昨天!$E684,"0")</f>
        <v>9.9999999999997868E-2</v>
      </c>
      <c r="G684" s="63">
        <f t="shared" si="10"/>
        <v>4.6948356807510732E-3</v>
      </c>
    </row>
    <row r="685" spans="1:7">
      <c r="A685" s="118">
        <v>2404</v>
      </c>
      <c r="B685" s="60" t="s">
        <v>4268</v>
      </c>
      <c r="C685" s="125" t="s">
        <v>5580</v>
      </c>
      <c r="D685" s="118">
        <v>2404</v>
      </c>
      <c r="E685" s="60">
        <f>[1]!'2404.TW-PreClose'</f>
        <v>186</v>
      </c>
      <c r="F685" s="141">
        <f>IFERROR(STOCKS!$E685-STOCKS昨天!$E685,"0")</f>
        <v>-3</v>
      </c>
      <c r="G685" s="63">
        <f t="shared" si="10"/>
        <v>-1.6129032258064516E-2</v>
      </c>
    </row>
    <row r="686" spans="1:7">
      <c r="A686" s="118">
        <v>2423</v>
      </c>
      <c r="B686" s="60" t="s">
        <v>4269</v>
      </c>
      <c r="C686" s="125" t="s">
        <v>5580</v>
      </c>
      <c r="D686" s="118">
        <v>2423</v>
      </c>
      <c r="E686" s="60" t="str">
        <f>[1]!'2423.TW-PreClose'</f>
        <v>--</v>
      </c>
      <c r="F686" s="141" t="str">
        <f>IFERROR(STOCKS!$E686-STOCKS昨天!$E686,"0")</f>
        <v>0</v>
      </c>
      <c r="G686" s="63" t="str">
        <f t="shared" si="10"/>
        <v>0</v>
      </c>
    </row>
    <row r="687" spans="1:7">
      <c r="A687" s="118">
        <v>2433</v>
      </c>
      <c r="B687" s="60" t="s">
        <v>4270</v>
      </c>
      <c r="C687" s="125" t="s">
        <v>5580</v>
      </c>
      <c r="D687" s="118">
        <v>2433</v>
      </c>
      <c r="E687" s="60">
        <f>[1]!'2433.TW-PreClose'</f>
        <v>51.4</v>
      </c>
      <c r="F687" s="141" t="str">
        <f>IFERROR(STOCKS!$E687-STOCKS昨天!$E687,"0")</f>
        <v>0</v>
      </c>
      <c r="G687" s="63">
        <f t="shared" si="10"/>
        <v>0</v>
      </c>
    </row>
    <row r="688" spans="1:7">
      <c r="A688" s="118">
        <v>2459</v>
      </c>
      <c r="B688" s="60" t="s">
        <v>4233</v>
      </c>
      <c r="C688" s="125" t="s">
        <v>5580</v>
      </c>
      <c r="D688" s="118">
        <v>2459</v>
      </c>
      <c r="E688" s="60">
        <f>[1]!'2459.TW-PreClose'</f>
        <v>59.5</v>
      </c>
      <c r="F688" s="141" t="str">
        <f>IFERROR(STOCKS!$E688-STOCKS昨天!$E688,"0")</f>
        <v>0</v>
      </c>
      <c r="G688" s="63">
        <f t="shared" si="10"/>
        <v>0</v>
      </c>
    </row>
    <row r="689" spans="1:7">
      <c r="A689" s="118">
        <v>2461</v>
      </c>
      <c r="B689" s="60" t="s">
        <v>3691</v>
      </c>
      <c r="C689" s="125" t="s">
        <v>5580</v>
      </c>
      <c r="D689" s="118">
        <v>2461</v>
      </c>
      <c r="E689" s="60" t="str">
        <f>[1]!'2461.TW-PreClose'</f>
        <v>--</v>
      </c>
      <c r="F689" s="141" t="str">
        <f>IFERROR(STOCKS!$E689-STOCKS昨天!$E689,"0")</f>
        <v>0</v>
      </c>
      <c r="G689" s="63" t="str">
        <f t="shared" si="10"/>
        <v>0</v>
      </c>
    </row>
    <row r="690" spans="1:7">
      <c r="A690" s="118">
        <v>2464</v>
      </c>
      <c r="B690" s="60" t="s">
        <v>4271</v>
      </c>
      <c r="C690" s="125" t="s">
        <v>5580</v>
      </c>
      <c r="D690" s="118">
        <v>2464</v>
      </c>
      <c r="E690" s="60" t="str">
        <f>[1]!'2464.TW-PreClose'</f>
        <v>--</v>
      </c>
      <c r="F690" s="141" t="str">
        <f>IFERROR(STOCKS!$E690-STOCKS昨天!$E690,"0")</f>
        <v>0</v>
      </c>
      <c r="G690" s="63" t="str">
        <f t="shared" si="10"/>
        <v>0</v>
      </c>
    </row>
    <row r="691" spans="1:7">
      <c r="A691" s="118">
        <v>2474</v>
      </c>
      <c r="B691" s="60" t="s">
        <v>4272</v>
      </c>
      <c r="C691" s="125" t="s">
        <v>5580</v>
      </c>
      <c r="D691" s="118">
        <v>2474</v>
      </c>
      <c r="E691" s="60">
        <f>[1]!'2474.TW-PreClose'</f>
        <v>156</v>
      </c>
      <c r="F691" s="141" t="str">
        <f>IFERROR(STOCKS!$E691-STOCKS昨天!$E691,"0")</f>
        <v>0</v>
      </c>
      <c r="G691" s="63">
        <f t="shared" si="10"/>
        <v>0</v>
      </c>
    </row>
    <row r="692" spans="1:7">
      <c r="A692" s="118">
        <v>2477</v>
      </c>
      <c r="B692" s="60" t="s">
        <v>4273</v>
      </c>
      <c r="C692" s="125" t="s">
        <v>5580</v>
      </c>
      <c r="D692" s="118">
        <v>2477</v>
      </c>
      <c r="E692" s="60">
        <f>[1]!'2477.TW-PreClose'</f>
        <v>31.3</v>
      </c>
      <c r="F692" s="141" t="str">
        <f>IFERROR(STOCKS!$E692-STOCKS昨天!$E692,"0")</f>
        <v>0</v>
      </c>
      <c r="G692" s="63">
        <f t="shared" si="10"/>
        <v>0</v>
      </c>
    </row>
    <row r="693" spans="1:7">
      <c r="A693" s="118">
        <v>2482</v>
      </c>
      <c r="B693" s="60" t="s">
        <v>4274</v>
      </c>
      <c r="C693" s="125" t="s">
        <v>5580</v>
      </c>
      <c r="D693" s="118">
        <v>2482</v>
      </c>
      <c r="E693" s="60">
        <f>[1]!'2482.TW-PreClose'</f>
        <v>15.2</v>
      </c>
      <c r="F693" s="141" t="str">
        <f>IFERROR(STOCKS!$E693-STOCKS昨天!$E693,"0")</f>
        <v>0</v>
      </c>
      <c r="G693" s="63">
        <f t="shared" si="10"/>
        <v>0</v>
      </c>
    </row>
    <row r="694" spans="1:7">
      <c r="A694" s="118">
        <v>2488</v>
      </c>
      <c r="B694" s="60" t="s">
        <v>4275</v>
      </c>
      <c r="C694" s="125" t="s">
        <v>5580</v>
      </c>
      <c r="D694" s="118">
        <v>2488</v>
      </c>
      <c r="E694" s="60" t="str">
        <f>[1]!'2488.TW-PreClose'</f>
        <v>--</v>
      </c>
      <c r="F694" s="141" t="str">
        <f>IFERROR(STOCKS!$E694-STOCKS昨天!$E694,"0")</f>
        <v>0</v>
      </c>
      <c r="G694" s="63" t="str">
        <f t="shared" si="10"/>
        <v>0</v>
      </c>
    </row>
    <row r="695" spans="1:7">
      <c r="A695" s="118">
        <v>2495</v>
      </c>
      <c r="B695" s="60" t="s">
        <v>4276</v>
      </c>
      <c r="C695" s="125" t="s">
        <v>5580</v>
      </c>
      <c r="D695" s="118">
        <v>2495</v>
      </c>
      <c r="E695" s="60">
        <f>[1]!'2495.TW-PreClose'</f>
        <v>15.65</v>
      </c>
      <c r="F695" s="141" t="str">
        <f>IFERROR(STOCKS!$E695-STOCKS昨天!$E695,"0")</f>
        <v>0</v>
      </c>
      <c r="G695" s="63">
        <f t="shared" si="10"/>
        <v>0</v>
      </c>
    </row>
    <row r="696" spans="1:7">
      <c r="A696" s="118">
        <v>3018</v>
      </c>
      <c r="B696" s="60" t="s">
        <v>4277</v>
      </c>
      <c r="C696" s="125" t="s">
        <v>5580</v>
      </c>
      <c r="D696" s="118">
        <v>3018</v>
      </c>
      <c r="E696" s="60" t="str">
        <f>[1]!'3018.TW-PreClose'</f>
        <v>--</v>
      </c>
      <c r="F696" s="141" t="str">
        <f>IFERROR(STOCKS!$E696-STOCKS昨天!$E696,"0")</f>
        <v>0</v>
      </c>
      <c r="G696" s="63" t="str">
        <f t="shared" si="10"/>
        <v>0</v>
      </c>
    </row>
    <row r="697" spans="1:7">
      <c r="A697" s="118">
        <v>3030</v>
      </c>
      <c r="B697" s="60" t="s">
        <v>4278</v>
      </c>
      <c r="C697" s="125" t="s">
        <v>5580</v>
      </c>
      <c r="D697" s="118">
        <v>3030</v>
      </c>
      <c r="E697" s="60">
        <f>[1]!'3030.TW-PreClose'</f>
        <v>57.8</v>
      </c>
      <c r="F697" s="141" t="str">
        <f>IFERROR(STOCKS!$E697-STOCKS昨天!$E697,"0")</f>
        <v>0</v>
      </c>
      <c r="G697" s="63">
        <f t="shared" si="10"/>
        <v>0</v>
      </c>
    </row>
    <row r="698" spans="1:7">
      <c r="A698" s="118">
        <v>3043</v>
      </c>
      <c r="B698" s="60" t="s">
        <v>4279</v>
      </c>
      <c r="C698" s="125" t="s">
        <v>5580</v>
      </c>
      <c r="D698" s="118">
        <v>3043</v>
      </c>
      <c r="E698" s="60" t="str">
        <f>[1]!'3043.TW-PreClose'</f>
        <v>--</v>
      </c>
      <c r="F698" s="141" t="str">
        <f>IFERROR(STOCKS!$E698-STOCKS昨天!$E698,"0")</f>
        <v>0</v>
      </c>
      <c r="G698" s="63" t="str">
        <f t="shared" si="10"/>
        <v>0</v>
      </c>
    </row>
    <row r="699" spans="1:7">
      <c r="A699" s="118">
        <v>3305</v>
      </c>
      <c r="B699" s="60" t="s">
        <v>4280</v>
      </c>
      <c r="C699" s="125" t="s">
        <v>5580</v>
      </c>
      <c r="D699" s="118">
        <v>3305</v>
      </c>
      <c r="E699" s="60">
        <f>[1]!'3305.TW-PreClose'</f>
        <v>83.1</v>
      </c>
      <c r="F699" s="141" t="str">
        <f>IFERROR(STOCKS!$E699-STOCKS昨天!$E699,"0")</f>
        <v>0</v>
      </c>
      <c r="G699" s="63">
        <f t="shared" si="10"/>
        <v>0</v>
      </c>
    </row>
    <row r="700" spans="1:7">
      <c r="A700" s="118">
        <v>3518</v>
      </c>
      <c r="B700" s="60" t="s">
        <v>4282</v>
      </c>
      <c r="C700" s="125" t="s">
        <v>5580</v>
      </c>
      <c r="D700" s="118">
        <v>3518</v>
      </c>
      <c r="E700" s="60" t="str">
        <f>[1]!'3518.TW-PreClose'</f>
        <v>--</v>
      </c>
      <c r="F700" s="141" t="str">
        <f>IFERROR(STOCKS!$E700-STOCKS昨天!$E700,"0")</f>
        <v>0</v>
      </c>
      <c r="G700" s="63" t="str">
        <f t="shared" si="10"/>
        <v>0</v>
      </c>
    </row>
    <row r="701" spans="1:7">
      <c r="A701" s="118">
        <v>3617</v>
      </c>
      <c r="B701" s="60" t="s">
        <v>4283</v>
      </c>
      <c r="C701" s="125" t="s">
        <v>5580</v>
      </c>
      <c r="D701" s="118">
        <v>3617</v>
      </c>
      <c r="E701" s="60">
        <f>[1]!'3617.TW-PreClose'</f>
        <v>71</v>
      </c>
      <c r="F701" s="141" t="str">
        <f>IFERROR(STOCKS!$E701-STOCKS昨天!$E701,"0")</f>
        <v>0</v>
      </c>
      <c r="G701" s="63">
        <f t="shared" si="10"/>
        <v>0</v>
      </c>
    </row>
    <row r="702" spans="1:7">
      <c r="A702" s="118">
        <v>3665</v>
      </c>
      <c r="B702" s="60" t="s">
        <v>4284</v>
      </c>
      <c r="C702" s="125" t="s">
        <v>5581</v>
      </c>
      <c r="D702" s="118">
        <v>3665</v>
      </c>
      <c r="E702" s="60" t="str">
        <f>[1]!'3665.TW-PreClose'</f>
        <v>--</v>
      </c>
      <c r="F702" s="141" t="str">
        <f>IFERROR(STOCKS!$E702-STOCKS昨天!$E702,"0")</f>
        <v>0</v>
      </c>
      <c r="G702" s="63" t="str">
        <f t="shared" si="10"/>
        <v>0</v>
      </c>
    </row>
    <row r="703" spans="1:7">
      <c r="A703" s="118">
        <v>5225</v>
      </c>
      <c r="B703" s="60" t="s">
        <v>4285</v>
      </c>
      <c r="C703" s="125" t="s">
        <v>5581</v>
      </c>
      <c r="D703" s="118">
        <v>5225</v>
      </c>
      <c r="E703" s="60">
        <f>[1]!'5225.TW-PreClose'</f>
        <v>20.7</v>
      </c>
      <c r="F703" s="141" t="str">
        <f>IFERROR(STOCKS!$E703-STOCKS昨天!$E703,"0")</f>
        <v>0</v>
      </c>
      <c r="G703" s="63">
        <f t="shared" si="10"/>
        <v>0</v>
      </c>
    </row>
    <row r="704" spans="1:7">
      <c r="A704" s="118">
        <v>6139</v>
      </c>
      <c r="B704" s="60" t="s">
        <v>4286</v>
      </c>
      <c r="C704" s="125" t="s">
        <v>5580</v>
      </c>
      <c r="D704" s="118">
        <v>6139</v>
      </c>
      <c r="E704" s="60" t="str">
        <f>[1]!'6139.TW-PreClose'</f>
        <v>--</v>
      </c>
      <c r="F704" s="141" t="str">
        <f>IFERROR(STOCKS!$E704-STOCKS昨天!$E704,"0")</f>
        <v>0</v>
      </c>
      <c r="G704" s="63" t="str">
        <f t="shared" si="10"/>
        <v>0</v>
      </c>
    </row>
    <row r="705" spans="1:7">
      <c r="A705" s="118">
        <v>6192</v>
      </c>
      <c r="B705" s="60" t="s">
        <v>4287</v>
      </c>
      <c r="C705" s="125" t="s">
        <v>5580</v>
      </c>
      <c r="D705" s="118">
        <v>6192</v>
      </c>
      <c r="E705" s="60">
        <f>[1]!'6192.TW-PreClose'</f>
        <v>69.599999999999994</v>
      </c>
      <c r="F705" s="141" t="str">
        <f>IFERROR(STOCKS!$E705-STOCKS昨天!$E705,"0")</f>
        <v>0</v>
      </c>
      <c r="G705" s="63">
        <f t="shared" si="10"/>
        <v>0</v>
      </c>
    </row>
    <row r="706" spans="1:7">
      <c r="A706" s="118">
        <v>6196</v>
      </c>
      <c r="B706" s="60" t="s">
        <v>4288</v>
      </c>
      <c r="C706" s="125" t="s">
        <v>5580</v>
      </c>
      <c r="D706" s="118">
        <v>6196</v>
      </c>
      <c r="E706" s="60">
        <f>[1]!'6196.TW-PreClose'</f>
        <v>148.5</v>
      </c>
      <c r="F706" s="141">
        <f>IFERROR(STOCKS!$E706-STOCKS昨天!$E706,"0")</f>
        <v>-1</v>
      </c>
      <c r="G706" s="63">
        <f t="shared" si="10"/>
        <v>-6.7340067340067337E-3</v>
      </c>
    </row>
    <row r="707" spans="1:7">
      <c r="A707" s="118">
        <v>6201</v>
      </c>
      <c r="B707" s="60" t="s">
        <v>4289</v>
      </c>
      <c r="C707" s="125" t="s">
        <v>5580</v>
      </c>
      <c r="D707" s="118">
        <v>6201</v>
      </c>
      <c r="E707" s="60" t="str">
        <f>[1]!'6201.TW-PreClose'</f>
        <v>--</v>
      </c>
      <c r="F707" s="141" t="str">
        <f>IFERROR(STOCKS!$E707-STOCKS昨天!$E707,"0")</f>
        <v>0</v>
      </c>
      <c r="G707" s="63" t="str">
        <f t="shared" ref="G707:G770" si="11">IFERROR($F707/$E707,"0")</f>
        <v>0</v>
      </c>
    </row>
    <row r="708" spans="1:7">
      <c r="A708" s="118">
        <v>6215</v>
      </c>
      <c r="B708" s="60" t="s">
        <v>4290</v>
      </c>
      <c r="C708" s="125" t="s">
        <v>5580</v>
      </c>
      <c r="D708" s="118">
        <v>6215</v>
      </c>
      <c r="E708" s="60">
        <f>[1]!'6215.TW-PreClose'</f>
        <v>30.3</v>
      </c>
      <c r="F708" s="141" t="str">
        <f>IFERROR(STOCKS!$E708-STOCKS昨天!$E708,"0")</f>
        <v>0</v>
      </c>
      <c r="G708" s="63">
        <f t="shared" si="11"/>
        <v>0</v>
      </c>
    </row>
    <row r="709" spans="1:7">
      <c r="A709" s="118">
        <v>6283</v>
      </c>
      <c r="B709" s="60" t="s">
        <v>4291</v>
      </c>
      <c r="C709" s="125" t="s">
        <v>5580</v>
      </c>
      <c r="D709" s="118">
        <v>6283</v>
      </c>
      <c r="E709" s="60" t="str">
        <f>[1]!'6283.TW-PreClose'</f>
        <v>--</v>
      </c>
      <c r="F709" s="141" t="str">
        <f>IFERROR(STOCKS!$E709-STOCKS昨天!$E709,"0")</f>
        <v>0</v>
      </c>
      <c r="G709" s="63" t="str">
        <f t="shared" si="11"/>
        <v>0</v>
      </c>
    </row>
    <row r="710" spans="1:7">
      <c r="A710" s="118">
        <v>6409</v>
      </c>
      <c r="B710" s="60" t="s">
        <v>4292</v>
      </c>
      <c r="C710" s="125" t="s">
        <v>5580</v>
      </c>
      <c r="D710" s="118">
        <v>6409</v>
      </c>
      <c r="E710" s="60">
        <f>[1]!'6409.TW-PreClose'</f>
        <v>1650</v>
      </c>
      <c r="F710" s="141" t="str">
        <f>IFERROR(STOCKS!$E710-STOCKS昨天!$E710,"0")</f>
        <v>0</v>
      </c>
      <c r="G710" s="63">
        <f t="shared" si="11"/>
        <v>0</v>
      </c>
    </row>
    <row r="711" spans="1:7">
      <c r="A711" s="118">
        <v>6438</v>
      </c>
      <c r="B711" s="60" t="s">
        <v>4293</v>
      </c>
      <c r="C711" s="125" t="s">
        <v>5580</v>
      </c>
      <c r="D711" s="118">
        <v>6438</v>
      </c>
      <c r="E711" s="60">
        <f>[1]!'6438.TW-PreClose'</f>
        <v>113.5</v>
      </c>
      <c r="F711" s="141" t="str">
        <f>IFERROR(STOCKS!$E711-STOCKS昨天!$E711,"0")</f>
        <v>0</v>
      </c>
      <c r="G711" s="63">
        <f t="shared" si="11"/>
        <v>0</v>
      </c>
    </row>
    <row r="712" spans="1:7">
      <c r="A712" s="118">
        <v>6558</v>
      </c>
      <c r="B712" s="60" t="s">
        <v>4294</v>
      </c>
      <c r="C712" s="125" t="s">
        <v>5580</v>
      </c>
      <c r="D712" s="118">
        <v>6558</v>
      </c>
      <c r="E712" s="60" t="str">
        <f>[1]!'6558.TW-PreClose'</f>
        <v>--</v>
      </c>
      <c r="F712" s="141" t="str">
        <f>IFERROR(STOCKS!$E712-STOCKS昨天!$E712,"0")</f>
        <v>0</v>
      </c>
      <c r="G712" s="63" t="str">
        <f t="shared" si="11"/>
        <v>0</v>
      </c>
    </row>
    <row r="713" spans="1:7">
      <c r="A713" s="118">
        <v>6698</v>
      </c>
      <c r="B713" s="60" t="s">
        <v>4295</v>
      </c>
      <c r="C713" s="125" t="s">
        <v>5580</v>
      </c>
      <c r="D713" s="118">
        <v>6698</v>
      </c>
      <c r="E713" s="60">
        <f>[1]!'6698.TW-PreClose'</f>
        <v>39.799999999999997</v>
      </c>
      <c r="F713" s="141" t="str">
        <f>IFERROR(STOCKS!$E713-STOCKS昨天!$E713,"0")</f>
        <v>0</v>
      </c>
      <c r="G713" s="63">
        <f t="shared" si="11"/>
        <v>0</v>
      </c>
    </row>
    <row r="714" spans="1:7">
      <c r="A714" s="118">
        <v>6743</v>
      </c>
      <c r="B714" s="60" t="s">
        <v>41</v>
      </c>
      <c r="C714" s="125" t="s">
        <v>5580</v>
      </c>
      <c r="D714" s="118">
        <v>6743</v>
      </c>
      <c r="E714" s="60">
        <f>[1]!'6743.TW-PreClose'</f>
        <v>78.2</v>
      </c>
      <c r="F714" s="141" t="str">
        <f>IFERROR(STOCKS!$E714-STOCKS昨天!$E714,"0")</f>
        <v>0</v>
      </c>
      <c r="G714" s="63">
        <f t="shared" si="11"/>
        <v>0</v>
      </c>
    </row>
    <row r="715" spans="1:7">
      <c r="A715" s="118">
        <v>8021</v>
      </c>
      <c r="B715" s="60" t="s">
        <v>3638</v>
      </c>
      <c r="C715" s="125" t="s">
        <v>5580</v>
      </c>
      <c r="D715" s="118">
        <v>8021</v>
      </c>
      <c r="E715" s="60">
        <f>[1]!'8021.TW-PreClose'</f>
        <v>40.85</v>
      </c>
      <c r="F715" s="141" t="str">
        <f>IFERROR(STOCKS!$E715-STOCKS昨天!$E715,"0")</f>
        <v>0</v>
      </c>
      <c r="G715" s="63">
        <f t="shared" si="11"/>
        <v>0</v>
      </c>
    </row>
    <row r="716" spans="1:7">
      <c r="A716" s="118">
        <v>8201</v>
      </c>
      <c r="B716" s="60" t="s">
        <v>4296</v>
      </c>
      <c r="C716" s="125" t="s">
        <v>5580</v>
      </c>
      <c r="D716" s="118">
        <v>8201</v>
      </c>
      <c r="E716" s="60">
        <f>[1]!'8201.TW-PreClose'</f>
        <v>17.2</v>
      </c>
      <c r="F716" s="141" t="str">
        <f>IFERROR(STOCKS!$E716-STOCKS昨天!$E716,"0")</f>
        <v>0</v>
      </c>
      <c r="G716" s="63">
        <f t="shared" si="11"/>
        <v>0</v>
      </c>
    </row>
    <row r="717" spans="1:7">
      <c r="A717" s="118">
        <v>8499</v>
      </c>
      <c r="B717" s="60" t="s">
        <v>4476</v>
      </c>
      <c r="C717" s="125" t="s">
        <v>5581</v>
      </c>
      <c r="D717" s="118">
        <v>8499</v>
      </c>
      <c r="E717" s="60" t="str">
        <f>[1]!'8499.TW-PreClose'</f>
        <v>--</v>
      </c>
      <c r="F717" s="141" t="str">
        <f>IFERROR(STOCKS!$E717-STOCKS昨天!$E717,"0")</f>
        <v>0</v>
      </c>
      <c r="G717" s="63" t="str">
        <f t="shared" si="11"/>
        <v>0</v>
      </c>
    </row>
    <row r="718" spans="1:7">
      <c r="A718" s="118">
        <v>1316</v>
      </c>
      <c r="B718" s="60" t="s">
        <v>4297</v>
      </c>
      <c r="C718" s="125" t="s">
        <v>5582</v>
      </c>
      <c r="D718" s="118">
        <v>1316</v>
      </c>
      <c r="E718" s="60">
        <f>[1]!'1316.TW-PreClose'</f>
        <v>20.2</v>
      </c>
      <c r="F718" s="141">
        <f>IFERROR(STOCKS!$E718-STOCKS昨天!$E718,"0")</f>
        <v>0.10000000000000142</v>
      </c>
      <c r="G718" s="63">
        <f t="shared" si="11"/>
        <v>4.9504950495050208E-3</v>
      </c>
    </row>
    <row r="719" spans="1:7">
      <c r="A719" s="118">
        <v>1436</v>
      </c>
      <c r="B719" s="60" t="s">
        <v>4299</v>
      </c>
      <c r="C719" s="125" t="s">
        <v>5582</v>
      </c>
      <c r="D719" s="118">
        <v>1436</v>
      </c>
      <c r="E719" s="60">
        <f>[1]!'1436.TW-PreClose'</f>
        <v>54.3</v>
      </c>
      <c r="F719" s="141" t="str">
        <f>IFERROR(STOCKS!$E719-STOCKS昨天!$E719,"0")</f>
        <v>0</v>
      </c>
      <c r="G719" s="63">
        <f t="shared" si="11"/>
        <v>0</v>
      </c>
    </row>
    <row r="720" spans="1:7">
      <c r="A720" s="118">
        <v>1438</v>
      </c>
      <c r="B720" s="60" t="s">
        <v>4300</v>
      </c>
      <c r="C720" s="125" t="s">
        <v>5582</v>
      </c>
      <c r="D720" s="118">
        <v>1438</v>
      </c>
      <c r="E720" s="60">
        <f>[1]!'1438.TW-PreClose'</f>
        <v>33.299999999999997</v>
      </c>
      <c r="F720" s="141" t="str">
        <f>IFERROR(STOCKS!$E720-STOCKS昨天!$E720,"0")</f>
        <v>0</v>
      </c>
      <c r="G720" s="63">
        <f t="shared" si="11"/>
        <v>0</v>
      </c>
    </row>
    <row r="721" spans="1:7">
      <c r="A721" s="118">
        <v>1442</v>
      </c>
      <c r="B721" s="60" t="s">
        <v>4301</v>
      </c>
      <c r="C721" s="125" t="s">
        <v>5582</v>
      </c>
      <c r="D721" s="118">
        <v>1442</v>
      </c>
      <c r="E721" s="60">
        <f>[1]!'1442.TW-PreClose'</f>
        <v>24.3</v>
      </c>
      <c r="F721" s="141">
        <f>IFERROR(STOCKS!$E721-STOCKS昨天!$E721,"0")</f>
        <v>-0.19999999999999929</v>
      </c>
      <c r="G721" s="63">
        <f t="shared" si="11"/>
        <v>-8.2304526748970906E-3</v>
      </c>
    </row>
    <row r="722" spans="1:7">
      <c r="A722" s="118">
        <v>1453</v>
      </c>
      <c r="B722" s="60" t="s">
        <v>3754</v>
      </c>
      <c r="C722" s="125" t="s">
        <v>5582</v>
      </c>
      <c r="D722" s="118">
        <v>1453</v>
      </c>
      <c r="E722" s="60">
        <f>[1]!'1453.TW-PreClose'</f>
        <v>8.68</v>
      </c>
      <c r="F722" s="141" t="str">
        <f>IFERROR(STOCKS!$E722-STOCKS昨天!$E722,"0")</f>
        <v>0</v>
      </c>
      <c r="G722" s="63">
        <f t="shared" si="11"/>
        <v>0</v>
      </c>
    </row>
    <row r="723" spans="1:7">
      <c r="A723" s="118">
        <v>1456</v>
      </c>
      <c r="B723" s="60" t="s">
        <v>3755</v>
      </c>
      <c r="C723" s="125" t="s">
        <v>5582</v>
      </c>
      <c r="D723" s="118">
        <v>1456</v>
      </c>
      <c r="E723" s="60">
        <f>[1]!'1456.TW-PreClose'</f>
        <v>21.25</v>
      </c>
      <c r="F723" s="141" t="str">
        <f>IFERROR(STOCKS!$E723-STOCKS昨天!$E723,"0")</f>
        <v>0</v>
      </c>
      <c r="G723" s="63">
        <f t="shared" si="11"/>
        <v>0</v>
      </c>
    </row>
    <row r="724" spans="1:7">
      <c r="A724" s="118">
        <v>1805</v>
      </c>
      <c r="B724" s="60" t="s">
        <v>3634</v>
      </c>
      <c r="C724" s="125" t="s">
        <v>5582</v>
      </c>
      <c r="D724" s="118">
        <v>1805</v>
      </c>
      <c r="E724" s="60">
        <f>[1]!'1805.TW-PreClose'</f>
        <v>13.7</v>
      </c>
      <c r="F724" s="141" t="str">
        <f>IFERROR(STOCKS!$E724-STOCKS昨天!$E724,"0")</f>
        <v>0</v>
      </c>
      <c r="G724" s="63">
        <f t="shared" si="11"/>
        <v>0</v>
      </c>
    </row>
    <row r="725" spans="1:7">
      <c r="A725" s="118">
        <v>1808</v>
      </c>
      <c r="B725" s="60" t="s">
        <v>4302</v>
      </c>
      <c r="C725" s="125" t="s">
        <v>5582</v>
      </c>
      <c r="D725" s="118">
        <v>1808</v>
      </c>
      <c r="E725" s="60">
        <f>[1]!'1808.TW-PreClose'</f>
        <v>59.2</v>
      </c>
      <c r="F725" s="141" t="str">
        <f>IFERROR(STOCKS!$E725-STOCKS昨天!$E725,"0")</f>
        <v>0</v>
      </c>
      <c r="G725" s="63">
        <f t="shared" si="11"/>
        <v>0</v>
      </c>
    </row>
    <row r="726" spans="1:7">
      <c r="A726" s="118">
        <v>2501</v>
      </c>
      <c r="B726" s="60" t="s">
        <v>4303</v>
      </c>
      <c r="C726" s="125" t="s">
        <v>5582</v>
      </c>
      <c r="D726" s="118">
        <v>2501</v>
      </c>
      <c r="E726" s="60">
        <f>[1]!'2501.TW-PreClose'</f>
        <v>19.600000000000001</v>
      </c>
      <c r="F726" s="141" t="str">
        <f>IFERROR(STOCKS!$E726-STOCKS昨天!$E726,"0")</f>
        <v>0</v>
      </c>
      <c r="G726" s="63">
        <f t="shared" si="11"/>
        <v>0</v>
      </c>
    </row>
    <row r="727" spans="1:7">
      <c r="A727" s="118">
        <v>2504</v>
      </c>
      <c r="B727" s="60" t="s">
        <v>4304</v>
      </c>
      <c r="C727" s="125" t="s">
        <v>5582</v>
      </c>
      <c r="D727" s="118">
        <v>2504</v>
      </c>
      <c r="E727" s="60">
        <f>[1]!'2504.TW-PreClose'</f>
        <v>27.2</v>
      </c>
      <c r="F727" s="141" t="str">
        <f>IFERROR(STOCKS!$E727-STOCKS昨天!$E727,"0")</f>
        <v>0</v>
      </c>
      <c r="G727" s="63">
        <f t="shared" si="11"/>
        <v>0</v>
      </c>
    </row>
    <row r="728" spans="1:7">
      <c r="A728" s="118">
        <v>2505</v>
      </c>
      <c r="B728" s="60" t="s">
        <v>4305</v>
      </c>
      <c r="C728" s="125" t="s">
        <v>5582</v>
      </c>
      <c r="D728" s="118">
        <v>2505</v>
      </c>
      <c r="E728" s="60">
        <f>[1]!'2505.TW-PreClose'</f>
        <v>24.25</v>
      </c>
      <c r="F728" s="141" t="str">
        <f>IFERROR(STOCKS!$E728-STOCKS昨天!$E728,"0")</f>
        <v>0</v>
      </c>
      <c r="G728" s="63">
        <f t="shared" si="11"/>
        <v>0</v>
      </c>
    </row>
    <row r="729" spans="1:7">
      <c r="A729" s="118">
        <v>2506</v>
      </c>
      <c r="B729" s="60" t="s">
        <v>4306</v>
      </c>
      <c r="C729" s="125" t="s">
        <v>5582</v>
      </c>
      <c r="D729" s="118">
        <v>2506</v>
      </c>
      <c r="E729" s="60">
        <f>[1]!'2506.TW-PreClose'</f>
        <v>9.76</v>
      </c>
      <c r="F729" s="141" t="str">
        <f>IFERROR(STOCKS!$E729-STOCKS昨天!$E729,"0")</f>
        <v>0</v>
      </c>
      <c r="G729" s="63">
        <f t="shared" si="11"/>
        <v>0</v>
      </c>
    </row>
    <row r="730" spans="1:7">
      <c r="A730" s="118">
        <v>2509</v>
      </c>
      <c r="B730" s="60" t="s">
        <v>4307</v>
      </c>
      <c r="C730" s="125" t="s">
        <v>5582</v>
      </c>
      <c r="D730" s="118">
        <v>2509</v>
      </c>
      <c r="E730" s="60">
        <f>[1]!'2509.TW-PreClose'</f>
        <v>18.5</v>
      </c>
      <c r="F730" s="141" t="str">
        <f>IFERROR(STOCKS!$E730-STOCKS昨天!$E730,"0")</f>
        <v>0</v>
      </c>
      <c r="G730" s="63">
        <f t="shared" si="11"/>
        <v>0</v>
      </c>
    </row>
    <row r="731" spans="1:7">
      <c r="A731" s="118">
        <v>2511</v>
      </c>
      <c r="B731" s="60" t="s">
        <v>4308</v>
      </c>
      <c r="C731" s="125" t="s">
        <v>5582</v>
      </c>
      <c r="D731" s="118">
        <v>2511</v>
      </c>
      <c r="E731" s="60">
        <f>[1]!'2511.TW-PreClose'</f>
        <v>13.35</v>
      </c>
      <c r="F731" s="141" t="str">
        <f>IFERROR(STOCKS!$E731-STOCKS昨天!$E731,"0")</f>
        <v>0</v>
      </c>
      <c r="G731" s="63">
        <f t="shared" si="11"/>
        <v>0</v>
      </c>
    </row>
    <row r="732" spans="1:7">
      <c r="A732" s="118">
        <v>2515</v>
      </c>
      <c r="B732" s="60" t="s">
        <v>4309</v>
      </c>
      <c r="C732" s="125" t="s">
        <v>5582</v>
      </c>
      <c r="D732" s="118">
        <v>2515</v>
      </c>
      <c r="E732" s="60">
        <f>[1]!'2515.TW-PreClose'</f>
        <v>8.98</v>
      </c>
      <c r="F732" s="141">
        <f>IFERROR(STOCKS!$E732-STOCKS昨天!$E732,"0")</f>
        <v>1.9999999999999574E-2</v>
      </c>
      <c r="G732" s="63">
        <f t="shared" si="11"/>
        <v>2.2271714922048524E-3</v>
      </c>
    </row>
    <row r="733" spans="1:7">
      <c r="A733" s="118">
        <v>2516</v>
      </c>
      <c r="B733" s="60" t="s">
        <v>4310</v>
      </c>
      <c r="C733" s="125" t="s">
        <v>5582</v>
      </c>
      <c r="D733" s="118">
        <v>2516</v>
      </c>
      <c r="E733" s="60">
        <f>[1]!'2516.TW-PreClose'</f>
        <v>6.1</v>
      </c>
      <c r="F733" s="141" t="str">
        <f>IFERROR(STOCKS!$E733-STOCKS昨天!$E733,"0")</f>
        <v>0</v>
      </c>
      <c r="G733" s="63">
        <f t="shared" si="11"/>
        <v>0</v>
      </c>
    </row>
    <row r="734" spans="1:7">
      <c r="A734" s="118">
        <v>2520</v>
      </c>
      <c r="B734" s="60" t="s">
        <v>4311</v>
      </c>
      <c r="C734" s="125" t="s">
        <v>5582</v>
      </c>
      <c r="D734" s="118">
        <v>2520</v>
      </c>
      <c r="E734" s="60" t="str">
        <f>[1]!'2520.TW-PreClose'</f>
        <v>--</v>
      </c>
      <c r="F734" s="141" t="str">
        <f>IFERROR(STOCKS!$E734-STOCKS昨天!$E734,"0")</f>
        <v>0</v>
      </c>
      <c r="G734" s="63" t="str">
        <f t="shared" si="11"/>
        <v>0</v>
      </c>
    </row>
    <row r="735" spans="1:7">
      <c r="A735" s="118">
        <v>2524</v>
      </c>
      <c r="B735" s="60" t="s">
        <v>4312</v>
      </c>
      <c r="C735" s="125" t="s">
        <v>5582</v>
      </c>
      <c r="D735" s="118">
        <v>2524</v>
      </c>
      <c r="E735" s="60">
        <f>[1]!'2524.TW-PreClose'</f>
        <v>42.3</v>
      </c>
      <c r="F735" s="141" t="str">
        <f>IFERROR(STOCKS!$E735-STOCKS昨天!$E735,"0")</f>
        <v>0</v>
      </c>
      <c r="G735" s="63">
        <f t="shared" si="11"/>
        <v>0</v>
      </c>
    </row>
    <row r="736" spans="1:7">
      <c r="A736" s="118">
        <v>2527</v>
      </c>
      <c r="B736" s="60" t="s">
        <v>4313</v>
      </c>
      <c r="C736" s="125" t="s">
        <v>5582</v>
      </c>
      <c r="D736" s="118">
        <v>2527</v>
      </c>
      <c r="E736" s="60">
        <f>[1]!'2527.TW-PreClose'</f>
        <v>33.25</v>
      </c>
      <c r="F736" s="141" t="str">
        <f>IFERROR(STOCKS!$E736-STOCKS昨天!$E736,"0")</f>
        <v>0</v>
      </c>
      <c r="G736" s="63">
        <f t="shared" si="11"/>
        <v>0</v>
      </c>
    </row>
    <row r="737" spans="1:7">
      <c r="A737" s="118">
        <v>2528</v>
      </c>
      <c r="B737" s="60" t="s">
        <v>4314</v>
      </c>
      <c r="C737" s="125" t="s">
        <v>5582</v>
      </c>
      <c r="D737" s="118">
        <v>2528</v>
      </c>
      <c r="E737" s="60">
        <f>[1]!'2528.TW-PreClose'</f>
        <v>21.75</v>
      </c>
      <c r="F737" s="141" t="str">
        <f>IFERROR(STOCKS!$E737-STOCKS昨天!$E737,"0")</f>
        <v>0</v>
      </c>
      <c r="G737" s="63">
        <f t="shared" si="11"/>
        <v>0</v>
      </c>
    </row>
    <row r="738" spans="1:7">
      <c r="A738" s="118">
        <v>2530</v>
      </c>
      <c r="B738" s="60" t="s">
        <v>4315</v>
      </c>
      <c r="C738" s="125" t="s">
        <v>5582</v>
      </c>
      <c r="D738" s="118">
        <v>2530</v>
      </c>
      <c r="E738" s="60">
        <f>[1]!'2530.TW-PreClose'</f>
        <v>14.5</v>
      </c>
      <c r="F738" s="141" t="str">
        <f>IFERROR(STOCKS!$E738-STOCKS昨天!$E738,"0")</f>
        <v>0</v>
      </c>
      <c r="G738" s="63">
        <f t="shared" si="11"/>
        <v>0</v>
      </c>
    </row>
    <row r="739" spans="1:7">
      <c r="A739" s="118">
        <v>2534</v>
      </c>
      <c r="B739" s="60" t="s">
        <v>4316</v>
      </c>
      <c r="C739" s="125" t="s">
        <v>5582</v>
      </c>
      <c r="D739" s="118">
        <v>2534</v>
      </c>
      <c r="E739" s="60">
        <f>[1]!'2534.TW-PreClose'</f>
        <v>23.4</v>
      </c>
      <c r="F739" s="141" t="str">
        <f>IFERROR(STOCKS!$E739-STOCKS昨天!$E739,"0")</f>
        <v>0</v>
      </c>
      <c r="G739" s="63">
        <f t="shared" si="11"/>
        <v>0</v>
      </c>
    </row>
    <row r="740" spans="1:7">
      <c r="A740" s="118">
        <v>2535</v>
      </c>
      <c r="B740" s="60" t="s">
        <v>4317</v>
      </c>
      <c r="C740" s="125" t="s">
        <v>5582</v>
      </c>
      <c r="D740" s="118">
        <v>2535</v>
      </c>
      <c r="E740" s="60">
        <f>[1]!'2535.TW-PreClose'</f>
        <v>32.200000000000003</v>
      </c>
      <c r="F740" s="141" t="str">
        <f>IFERROR(STOCKS!$E740-STOCKS昨天!$E740,"0")</f>
        <v>0</v>
      </c>
      <c r="G740" s="63">
        <f t="shared" si="11"/>
        <v>0</v>
      </c>
    </row>
    <row r="741" spans="1:7">
      <c r="A741" s="118">
        <v>2536</v>
      </c>
      <c r="B741" s="60" t="s">
        <v>4318</v>
      </c>
      <c r="C741" s="125" t="s">
        <v>5582</v>
      </c>
      <c r="D741" s="118">
        <v>2536</v>
      </c>
      <c r="E741" s="60" t="str">
        <f>[1]!'2536.TW-PreClose'</f>
        <v>--</v>
      </c>
      <c r="F741" s="141" t="str">
        <f>IFERROR(STOCKS!$E741-STOCKS昨天!$E741,"0")</f>
        <v>0</v>
      </c>
      <c r="G741" s="63" t="str">
        <f t="shared" si="11"/>
        <v>0</v>
      </c>
    </row>
    <row r="742" spans="1:7">
      <c r="A742" s="118">
        <v>2537</v>
      </c>
      <c r="B742" s="60" t="s">
        <v>4319</v>
      </c>
      <c r="C742" s="125" t="s">
        <v>5582</v>
      </c>
      <c r="D742" s="118">
        <v>2537</v>
      </c>
      <c r="E742" s="60" t="str">
        <f>[1]!'2537.TW-PreClose'</f>
        <v>--</v>
      </c>
      <c r="F742" s="141" t="str">
        <f>IFERROR(STOCKS!$E742-STOCKS昨天!$E742,"0")</f>
        <v>0</v>
      </c>
      <c r="G742" s="63" t="str">
        <f t="shared" si="11"/>
        <v>0</v>
      </c>
    </row>
    <row r="743" spans="1:7">
      <c r="A743" s="118">
        <v>2538</v>
      </c>
      <c r="B743" s="60" t="s">
        <v>4320</v>
      </c>
      <c r="C743" s="125" t="s">
        <v>5582</v>
      </c>
      <c r="D743" s="118">
        <v>2538</v>
      </c>
      <c r="E743" s="60">
        <f>[1]!'2538.TW-PreClose'</f>
        <v>13.25</v>
      </c>
      <c r="F743" s="141" t="str">
        <f>IFERROR(STOCKS!$E743-STOCKS昨天!$E743,"0")</f>
        <v>0</v>
      </c>
      <c r="G743" s="63">
        <f t="shared" si="11"/>
        <v>0</v>
      </c>
    </row>
    <row r="744" spans="1:7">
      <c r="A744" s="118">
        <v>2539</v>
      </c>
      <c r="B744" s="60" t="s">
        <v>4321</v>
      </c>
      <c r="C744" s="125" t="s">
        <v>5582</v>
      </c>
      <c r="D744" s="118">
        <v>2539</v>
      </c>
      <c r="E744" s="60">
        <f>[1]!'2539.TW-PreClose'</f>
        <v>31.1</v>
      </c>
      <c r="F744" s="141" t="str">
        <f>IFERROR(STOCKS!$E744-STOCKS昨天!$E744,"0")</f>
        <v>0</v>
      </c>
      <c r="G744" s="63">
        <f t="shared" si="11"/>
        <v>0</v>
      </c>
    </row>
    <row r="745" spans="1:7">
      <c r="A745" s="118">
        <v>2540</v>
      </c>
      <c r="B745" s="60" t="s">
        <v>4322</v>
      </c>
      <c r="C745" s="125" t="s">
        <v>5582</v>
      </c>
      <c r="D745" s="118">
        <v>2540</v>
      </c>
      <c r="E745" s="60">
        <f>[1]!'2540.TW-PreClose'</f>
        <v>73.5</v>
      </c>
      <c r="F745" s="141" t="str">
        <f>IFERROR(STOCKS!$E745-STOCKS昨天!$E745,"0")</f>
        <v>0</v>
      </c>
      <c r="G745" s="63">
        <f t="shared" si="11"/>
        <v>0</v>
      </c>
    </row>
    <row r="746" spans="1:7">
      <c r="A746" s="118">
        <v>2542</v>
      </c>
      <c r="B746" s="60" t="s">
        <v>4323</v>
      </c>
      <c r="C746" s="125" t="s">
        <v>5582</v>
      </c>
      <c r="D746" s="118">
        <v>2542</v>
      </c>
      <c r="E746" s="60">
        <f>[1]!'2542.TW-PreClose'</f>
        <v>46.2</v>
      </c>
      <c r="F746" s="141">
        <f>IFERROR(STOCKS!$E746-STOCKS昨天!$E746,"0")</f>
        <v>4.9999999999997158E-2</v>
      </c>
      <c r="G746" s="63">
        <f t="shared" si="11"/>
        <v>1.0822510822510207E-3</v>
      </c>
    </row>
    <row r="747" spans="1:7">
      <c r="A747" s="118">
        <v>2543</v>
      </c>
      <c r="B747" s="60" t="s">
        <v>4324</v>
      </c>
      <c r="C747" s="125" t="s">
        <v>5582</v>
      </c>
      <c r="D747" s="118">
        <v>2543</v>
      </c>
      <c r="E747" s="60">
        <f>[1]!'2543.TW-PreClose'</f>
        <v>7.75</v>
      </c>
      <c r="F747" s="141" t="str">
        <f>IFERROR(STOCKS!$E747-STOCKS昨天!$E747,"0")</f>
        <v>0</v>
      </c>
      <c r="G747" s="63">
        <f t="shared" si="11"/>
        <v>0</v>
      </c>
    </row>
    <row r="748" spans="1:7">
      <c r="A748" s="118">
        <v>2545</v>
      </c>
      <c r="B748" s="60" t="s">
        <v>4325</v>
      </c>
      <c r="C748" s="125" t="s">
        <v>5582</v>
      </c>
      <c r="D748" s="118">
        <v>2545</v>
      </c>
      <c r="E748" s="60">
        <f>[1]!'2545.TW-PreClose'</f>
        <v>37</v>
      </c>
      <c r="F748" s="141" t="str">
        <f>IFERROR(STOCKS!$E748-STOCKS昨天!$E748,"0")</f>
        <v>0</v>
      </c>
      <c r="G748" s="63">
        <f t="shared" si="11"/>
        <v>0</v>
      </c>
    </row>
    <row r="749" spans="1:7">
      <c r="A749" s="118">
        <v>2546</v>
      </c>
      <c r="B749" s="60" t="s">
        <v>4326</v>
      </c>
      <c r="C749" s="125" t="s">
        <v>5582</v>
      </c>
      <c r="D749" s="118">
        <v>2546</v>
      </c>
      <c r="E749" s="60" t="str">
        <f>[1]!'2546.TW-PreClose'</f>
        <v>--</v>
      </c>
      <c r="F749" s="141" t="str">
        <f>IFERROR(STOCKS!$E749-STOCKS昨天!$E749,"0")</f>
        <v>0</v>
      </c>
      <c r="G749" s="63" t="str">
        <f t="shared" si="11"/>
        <v>0</v>
      </c>
    </row>
    <row r="750" spans="1:7">
      <c r="A750" s="118">
        <v>2547</v>
      </c>
      <c r="B750" s="60" t="s">
        <v>4327</v>
      </c>
      <c r="C750" s="125" t="s">
        <v>5582</v>
      </c>
      <c r="D750" s="118">
        <v>2547</v>
      </c>
      <c r="E750" s="60" t="str">
        <f>[1]!'2547.TW-PreClose'</f>
        <v>--</v>
      </c>
      <c r="F750" s="141" t="str">
        <f>IFERROR(STOCKS!$E750-STOCKS昨天!$E750,"0")</f>
        <v>0</v>
      </c>
      <c r="G750" s="63" t="str">
        <f t="shared" si="11"/>
        <v>0</v>
      </c>
    </row>
    <row r="751" spans="1:7">
      <c r="A751" s="118">
        <v>2548</v>
      </c>
      <c r="B751" s="60" t="s">
        <v>3689</v>
      </c>
      <c r="C751" s="125" t="s">
        <v>5582</v>
      </c>
      <c r="D751" s="118">
        <v>2548</v>
      </c>
      <c r="E751" s="60" t="str">
        <f>[1]!'2548.TW-PreClose'</f>
        <v>--</v>
      </c>
      <c r="F751" s="141" t="str">
        <f>IFERROR(STOCKS!$E751-STOCKS昨天!$E751,"0")</f>
        <v>0</v>
      </c>
      <c r="G751" s="63" t="str">
        <f t="shared" si="11"/>
        <v>0</v>
      </c>
    </row>
    <row r="752" spans="1:7">
      <c r="A752" s="118">
        <v>2597</v>
      </c>
      <c r="B752" s="60" t="s">
        <v>3668</v>
      </c>
      <c r="C752" s="125" t="s">
        <v>5582</v>
      </c>
      <c r="D752" s="118">
        <v>2597</v>
      </c>
      <c r="E752" s="60">
        <f>[1]!'2597.TW-PreClose'</f>
        <v>123.5</v>
      </c>
      <c r="F752" s="141" t="str">
        <f>IFERROR(STOCKS!$E752-STOCKS昨天!$E752,"0")</f>
        <v>0</v>
      </c>
      <c r="G752" s="63">
        <f t="shared" si="11"/>
        <v>0</v>
      </c>
    </row>
    <row r="753" spans="1:7">
      <c r="A753" s="118">
        <v>2841</v>
      </c>
      <c r="B753" s="60" t="s">
        <v>4328</v>
      </c>
      <c r="C753" s="125" t="s">
        <v>5582</v>
      </c>
      <c r="D753" s="118">
        <v>2841</v>
      </c>
      <c r="E753" s="60">
        <f>[1]!'2841.TW-PreClose'</f>
        <v>4.08</v>
      </c>
      <c r="F753" s="141" t="str">
        <f>IFERROR(STOCKS!$E753-STOCKS昨天!$E753,"0")</f>
        <v>0</v>
      </c>
      <c r="G753" s="63">
        <f t="shared" si="11"/>
        <v>0</v>
      </c>
    </row>
    <row r="754" spans="1:7">
      <c r="A754" s="118">
        <v>2923</v>
      </c>
      <c r="B754" s="60" t="s">
        <v>4329</v>
      </c>
      <c r="C754" s="125" t="s">
        <v>4298</v>
      </c>
      <c r="D754" s="118">
        <v>2923</v>
      </c>
      <c r="E754" s="60">
        <f>[1]!'2923.TW-PreClose'</f>
        <v>28.15</v>
      </c>
      <c r="F754" s="141" t="str">
        <f>IFERROR(STOCKS!$E754-STOCKS昨天!$E754,"0")</f>
        <v>0</v>
      </c>
      <c r="G754" s="63">
        <f t="shared" si="11"/>
        <v>0</v>
      </c>
    </row>
    <row r="755" spans="1:7">
      <c r="A755" s="118">
        <v>3052</v>
      </c>
      <c r="B755" s="60" t="s">
        <v>4330</v>
      </c>
      <c r="C755" s="125" t="s">
        <v>5582</v>
      </c>
      <c r="D755" s="118">
        <v>3052</v>
      </c>
      <c r="E755" s="60">
        <f>[1]!'3052.TW-PreClose'</f>
        <v>10.75</v>
      </c>
      <c r="F755" s="141" t="str">
        <f>IFERROR(STOCKS!$E755-STOCKS昨天!$E755,"0")</f>
        <v>0</v>
      </c>
      <c r="G755" s="63">
        <f t="shared" si="11"/>
        <v>0</v>
      </c>
    </row>
    <row r="756" spans="1:7">
      <c r="A756" s="118">
        <v>3056</v>
      </c>
      <c r="B756" s="60" t="s">
        <v>4331</v>
      </c>
      <c r="C756" s="125" t="s">
        <v>5582</v>
      </c>
      <c r="D756" s="118">
        <v>3056</v>
      </c>
      <c r="E756" s="60">
        <f>[1]!'3056.TW-PreClose'</f>
        <v>39.9</v>
      </c>
      <c r="F756" s="141" t="str">
        <f>IFERROR(STOCKS!$E756-STOCKS昨天!$E756,"0")</f>
        <v>0</v>
      </c>
      <c r="G756" s="63">
        <f t="shared" si="11"/>
        <v>0</v>
      </c>
    </row>
    <row r="757" spans="1:7">
      <c r="A757" s="118">
        <v>3266</v>
      </c>
      <c r="B757" s="60" t="s">
        <v>4332</v>
      </c>
      <c r="C757" s="125" t="s">
        <v>5582</v>
      </c>
      <c r="D757" s="118">
        <v>3266</v>
      </c>
      <c r="E757" s="60" t="str">
        <f>[1]!'3266.TW-PreClose'</f>
        <v>--</v>
      </c>
      <c r="F757" s="141" t="str">
        <f>IFERROR(STOCKS!$E757-STOCKS昨天!$E757,"0")</f>
        <v>0</v>
      </c>
      <c r="G757" s="63" t="str">
        <f t="shared" si="11"/>
        <v>0</v>
      </c>
    </row>
    <row r="758" spans="1:7">
      <c r="A758" s="118">
        <v>3703</v>
      </c>
      <c r="B758" s="60" t="s">
        <v>4333</v>
      </c>
      <c r="C758" s="125" t="s">
        <v>5582</v>
      </c>
      <c r="D758" s="118">
        <v>3703</v>
      </c>
      <c r="E758" s="60">
        <f>[1]!'3703.TW-PreClose'</f>
        <v>25.25</v>
      </c>
      <c r="F758" s="141" t="str">
        <f>IFERROR(STOCKS!$E758-STOCKS昨天!$E758,"0")</f>
        <v>0</v>
      </c>
      <c r="G758" s="63">
        <f t="shared" si="11"/>
        <v>0</v>
      </c>
    </row>
    <row r="759" spans="1:7">
      <c r="A759" s="118">
        <v>5515</v>
      </c>
      <c r="B759" s="60" t="s">
        <v>4334</v>
      </c>
      <c r="C759" s="125" t="s">
        <v>5582</v>
      </c>
      <c r="D759" s="118">
        <v>5515</v>
      </c>
      <c r="E759" s="60">
        <f>[1]!'5515.TW-PreClose'</f>
        <v>14.15</v>
      </c>
      <c r="F759" s="141" t="str">
        <f>IFERROR(STOCKS!$E759-STOCKS昨天!$E759,"0")</f>
        <v>0</v>
      </c>
      <c r="G759" s="63">
        <f t="shared" si="11"/>
        <v>0</v>
      </c>
    </row>
    <row r="760" spans="1:7">
      <c r="A760" s="118">
        <v>5519</v>
      </c>
      <c r="B760" s="60" t="s">
        <v>4335</v>
      </c>
      <c r="C760" s="125" t="s">
        <v>5582</v>
      </c>
      <c r="D760" s="118">
        <v>5519</v>
      </c>
      <c r="E760" s="60">
        <f>[1]!'5519.TW-PreClose'</f>
        <v>21.1</v>
      </c>
      <c r="F760" s="141" t="str">
        <f>IFERROR(STOCKS!$E760-STOCKS昨天!$E760,"0")</f>
        <v>0</v>
      </c>
      <c r="G760" s="63">
        <f t="shared" si="11"/>
        <v>0</v>
      </c>
    </row>
    <row r="761" spans="1:7">
      <c r="A761" s="118">
        <v>5521</v>
      </c>
      <c r="B761" s="60" t="s">
        <v>4336</v>
      </c>
      <c r="C761" s="125" t="s">
        <v>5582</v>
      </c>
      <c r="D761" s="118">
        <v>5521</v>
      </c>
      <c r="E761" s="60" t="str">
        <f>[1]!'5521.TW-PreClose'</f>
        <v>--</v>
      </c>
      <c r="F761" s="141" t="str">
        <f>IFERROR(STOCKS!$E761-STOCKS昨天!$E761,"0")</f>
        <v>0</v>
      </c>
      <c r="G761" s="63" t="str">
        <f t="shared" si="11"/>
        <v>0</v>
      </c>
    </row>
    <row r="762" spans="1:7">
      <c r="A762" s="118">
        <v>5522</v>
      </c>
      <c r="B762" s="60" t="s">
        <v>4337</v>
      </c>
      <c r="C762" s="125" t="s">
        <v>5582</v>
      </c>
      <c r="D762" s="118">
        <v>5522</v>
      </c>
      <c r="E762" s="60" t="str">
        <f>[1]!'5522.TW-PreClose'</f>
        <v>--</v>
      </c>
      <c r="F762" s="141" t="str">
        <f>IFERROR(STOCKS!$E762-STOCKS昨天!$E762,"0")</f>
        <v>0</v>
      </c>
      <c r="G762" s="63" t="str">
        <f t="shared" si="11"/>
        <v>0</v>
      </c>
    </row>
    <row r="763" spans="1:7">
      <c r="A763" s="118">
        <v>5525</v>
      </c>
      <c r="B763" s="60" t="s">
        <v>4338</v>
      </c>
      <c r="C763" s="125" t="s">
        <v>5582</v>
      </c>
      <c r="D763" s="118">
        <v>5525</v>
      </c>
      <c r="E763" s="60">
        <f>[1]!'5525.TW-PreClose'</f>
        <v>28.9</v>
      </c>
      <c r="F763" s="141" t="str">
        <f>IFERROR(STOCKS!$E763-STOCKS昨天!$E763,"0")</f>
        <v>0</v>
      </c>
      <c r="G763" s="63">
        <f t="shared" si="11"/>
        <v>0</v>
      </c>
    </row>
    <row r="764" spans="1:7">
      <c r="A764" s="118">
        <v>5531</v>
      </c>
      <c r="B764" s="60" t="s">
        <v>4339</v>
      </c>
      <c r="C764" s="125" t="s">
        <v>5582</v>
      </c>
      <c r="D764" s="118">
        <v>5531</v>
      </c>
      <c r="E764" s="60">
        <f>[1]!'5531.TW-PreClose'</f>
        <v>10.95</v>
      </c>
      <c r="F764" s="141" t="str">
        <f>IFERROR(STOCKS!$E764-STOCKS昨天!$E764,"0")</f>
        <v>0</v>
      </c>
      <c r="G764" s="63">
        <f t="shared" si="11"/>
        <v>0</v>
      </c>
    </row>
    <row r="765" spans="1:7">
      <c r="A765" s="118">
        <v>5533</v>
      </c>
      <c r="B765" s="60" t="s">
        <v>4340</v>
      </c>
      <c r="C765" s="125" t="s">
        <v>5582</v>
      </c>
      <c r="D765" s="118">
        <v>5533</v>
      </c>
      <c r="E765" s="60">
        <f>[1]!'5533.TW-PreClose'</f>
        <v>18.8</v>
      </c>
      <c r="F765" s="141" t="str">
        <f>IFERROR(STOCKS!$E765-STOCKS昨天!$E765,"0")</f>
        <v>0</v>
      </c>
      <c r="G765" s="63">
        <f t="shared" si="11"/>
        <v>0</v>
      </c>
    </row>
    <row r="766" spans="1:7">
      <c r="A766" s="118">
        <v>5534</v>
      </c>
      <c r="B766" s="60" t="s">
        <v>4341</v>
      </c>
      <c r="C766" s="125" t="s">
        <v>5582</v>
      </c>
      <c r="D766" s="118">
        <v>5534</v>
      </c>
      <c r="E766" s="60">
        <f>[1]!'5534.TW-PreClose'</f>
        <v>74.099999999999994</v>
      </c>
      <c r="F766" s="141" t="str">
        <f>IFERROR(STOCKS!$E766-STOCKS昨天!$E766,"0")</f>
        <v>0</v>
      </c>
      <c r="G766" s="63">
        <f t="shared" si="11"/>
        <v>0</v>
      </c>
    </row>
    <row r="767" spans="1:7">
      <c r="A767" s="118">
        <v>5546</v>
      </c>
      <c r="B767" s="60" t="s">
        <v>4342</v>
      </c>
      <c r="C767" s="125" t="s">
        <v>4298</v>
      </c>
      <c r="D767" s="118">
        <v>5546</v>
      </c>
      <c r="E767" s="60">
        <f>[1]!'5546.TW-PreClose'</f>
        <v>60.5</v>
      </c>
      <c r="F767" s="141" t="str">
        <f>IFERROR(STOCKS!$E767-STOCKS昨天!$E767,"0")</f>
        <v>0</v>
      </c>
      <c r="G767" s="63">
        <f t="shared" si="11"/>
        <v>0</v>
      </c>
    </row>
    <row r="768" spans="1:7">
      <c r="A768" s="118">
        <v>6177</v>
      </c>
      <c r="B768" s="60" t="s">
        <v>4343</v>
      </c>
      <c r="C768" s="125" t="s">
        <v>5582</v>
      </c>
      <c r="D768" s="118">
        <v>6177</v>
      </c>
      <c r="E768" s="60">
        <f>[1]!'6177.TW-PreClose'</f>
        <v>29.85</v>
      </c>
      <c r="F768" s="141" t="str">
        <f>IFERROR(STOCKS!$E768-STOCKS昨天!$E768,"0")</f>
        <v>0</v>
      </c>
      <c r="G768" s="63">
        <f t="shared" si="11"/>
        <v>0</v>
      </c>
    </row>
    <row r="769" spans="1:7">
      <c r="A769" s="118">
        <v>9906</v>
      </c>
      <c r="B769" s="60" t="s">
        <v>4344</v>
      </c>
      <c r="C769" s="125" t="s">
        <v>5582</v>
      </c>
      <c r="D769" s="118">
        <v>9906</v>
      </c>
      <c r="E769" s="60">
        <f>[1]!'9906.TW-PreClose'</f>
        <v>56.6</v>
      </c>
      <c r="F769" s="141" t="str">
        <f>IFERROR(STOCKS!$E769-STOCKS昨天!$E769,"0")</f>
        <v>0</v>
      </c>
      <c r="G769" s="63">
        <f t="shared" si="11"/>
        <v>0</v>
      </c>
    </row>
    <row r="770" spans="1:7">
      <c r="A770" s="118">
        <v>9946</v>
      </c>
      <c r="B770" s="60" t="s">
        <v>4345</v>
      </c>
      <c r="C770" s="125" t="s">
        <v>5582</v>
      </c>
      <c r="D770" s="118">
        <v>9946</v>
      </c>
      <c r="E770" s="60">
        <f>[1]!'9946.TW-PreClose'</f>
        <v>15.4</v>
      </c>
      <c r="F770" s="141" t="str">
        <f>IFERROR(STOCKS!$E770-STOCKS昨天!$E770,"0")</f>
        <v>0</v>
      </c>
      <c r="G770" s="63">
        <f t="shared" si="11"/>
        <v>0</v>
      </c>
    </row>
    <row r="771" spans="1:7">
      <c r="A771" s="118">
        <v>2208</v>
      </c>
      <c r="B771" s="60" t="s">
        <v>4346</v>
      </c>
      <c r="C771" s="125" t="s">
        <v>5583</v>
      </c>
      <c r="D771" s="118">
        <v>2208</v>
      </c>
      <c r="E771" s="60">
        <f>[1]!'2208.TW-PreClose'</f>
        <v>22</v>
      </c>
      <c r="F771" s="141">
        <f>IFERROR(STOCKS!$E771-STOCKS昨天!$E771,"0")</f>
        <v>0.10000000000000142</v>
      </c>
      <c r="G771" s="63">
        <f t="shared" ref="G771:G834" si="12">IFERROR($F771/$E771,"0")</f>
        <v>4.5454545454546103E-3</v>
      </c>
    </row>
    <row r="772" spans="1:7">
      <c r="A772" s="118">
        <v>2603</v>
      </c>
      <c r="B772" s="60" t="s">
        <v>3536</v>
      </c>
      <c r="C772" s="125" t="s">
        <v>5583</v>
      </c>
      <c r="D772" s="118">
        <v>2603</v>
      </c>
      <c r="E772" s="60" t="str">
        <f>[1]!'2603.TW-PreClose'</f>
        <v>--</v>
      </c>
      <c r="F772" s="141" t="str">
        <f>IFERROR(STOCKS!$E772-STOCKS昨天!$E772,"0")</f>
        <v>0</v>
      </c>
      <c r="G772" s="63" t="str">
        <f t="shared" si="12"/>
        <v>0</v>
      </c>
    </row>
    <row r="773" spans="1:7">
      <c r="A773" s="118">
        <v>2605</v>
      </c>
      <c r="B773" s="60" t="s">
        <v>3576</v>
      </c>
      <c r="C773" s="125" t="s">
        <v>5583</v>
      </c>
      <c r="D773" s="118">
        <v>2605</v>
      </c>
      <c r="E773" s="60" t="str">
        <f>[1]!'2605.TW-PreClose'</f>
        <v>--</v>
      </c>
      <c r="F773" s="141" t="str">
        <f>IFERROR(STOCKS!$E773-STOCKS昨天!$E773,"0")</f>
        <v>0</v>
      </c>
      <c r="G773" s="63" t="str">
        <f t="shared" si="12"/>
        <v>0</v>
      </c>
    </row>
    <row r="774" spans="1:7">
      <c r="A774" s="118">
        <v>2606</v>
      </c>
      <c r="B774" s="60" t="s">
        <v>3563</v>
      </c>
      <c r="C774" s="125" t="s">
        <v>5583</v>
      </c>
      <c r="D774" s="118">
        <v>2606</v>
      </c>
      <c r="E774" s="60">
        <f>[1]!'2606.TW-PreClose'</f>
        <v>52.9</v>
      </c>
      <c r="F774" s="141" t="str">
        <f>IFERROR(STOCKS!$E774-STOCKS昨天!$E774,"0")</f>
        <v>0</v>
      </c>
      <c r="G774" s="63">
        <f t="shared" si="12"/>
        <v>0</v>
      </c>
    </row>
    <row r="775" spans="1:7">
      <c r="A775" s="118">
        <v>2607</v>
      </c>
      <c r="B775" s="60" t="s">
        <v>3663</v>
      </c>
      <c r="C775" s="125" t="s">
        <v>5583</v>
      </c>
      <c r="D775" s="118">
        <v>2607</v>
      </c>
      <c r="E775" s="60">
        <f>[1]!'2607.TW-PreClose'</f>
        <v>28.75</v>
      </c>
      <c r="F775" s="141" t="str">
        <f>IFERROR(STOCKS!$E775-STOCKS昨天!$E775,"0")</f>
        <v>0</v>
      </c>
      <c r="G775" s="63">
        <f t="shared" si="12"/>
        <v>0</v>
      </c>
    </row>
    <row r="776" spans="1:7">
      <c r="A776" s="118">
        <v>2608</v>
      </c>
      <c r="B776" s="60" t="s">
        <v>3592</v>
      </c>
      <c r="C776" s="125" t="s">
        <v>5583</v>
      </c>
      <c r="D776" s="118">
        <v>2608</v>
      </c>
      <c r="E776" s="60">
        <f>[1]!'2608.TW-PreClose'</f>
        <v>43.55</v>
      </c>
      <c r="F776" s="141" t="str">
        <f>IFERROR(STOCKS!$E776-STOCKS昨天!$E776,"0")</f>
        <v>0</v>
      </c>
      <c r="G776" s="63">
        <f t="shared" si="12"/>
        <v>0</v>
      </c>
    </row>
    <row r="777" spans="1:7">
      <c r="A777" s="118">
        <v>2609</v>
      </c>
      <c r="B777" s="60" t="s">
        <v>3567</v>
      </c>
      <c r="C777" s="125" t="s">
        <v>5583</v>
      </c>
      <c r="D777" s="118">
        <v>2609</v>
      </c>
      <c r="E777" s="60">
        <f>[1]!'2609.TW-PreClose'</f>
        <v>111</v>
      </c>
      <c r="F777" s="141">
        <f>IFERROR(STOCKS!$E777-STOCKS昨天!$E777,"0")</f>
        <v>0.5</v>
      </c>
      <c r="G777" s="63">
        <f t="shared" si="12"/>
        <v>4.5045045045045045E-3</v>
      </c>
    </row>
    <row r="778" spans="1:7">
      <c r="A778" s="118">
        <v>2610</v>
      </c>
      <c r="B778" s="60" t="s">
        <v>4347</v>
      </c>
      <c r="C778" s="125" t="s">
        <v>5583</v>
      </c>
      <c r="D778" s="118">
        <v>2610</v>
      </c>
      <c r="E778" s="60">
        <f>[1]!'2610.TW-PreClose'</f>
        <v>27.75</v>
      </c>
      <c r="F778" s="141">
        <f>IFERROR(STOCKS!$E778-STOCKS昨天!$E778,"0")</f>
        <v>0.64999999999999858</v>
      </c>
      <c r="G778" s="63">
        <f t="shared" si="12"/>
        <v>2.3423423423423372E-2</v>
      </c>
    </row>
    <row r="779" spans="1:7">
      <c r="A779" s="118">
        <v>2611</v>
      </c>
      <c r="B779" s="60" t="s">
        <v>3584</v>
      </c>
      <c r="C779" s="125" t="s">
        <v>5583</v>
      </c>
      <c r="D779" s="118">
        <v>2611</v>
      </c>
      <c r="E779" s="60" t="str">
        <f>[1]!'2611.TW-PreClose'</f>
        <v>--</v>
      </c>
      <c r="F779" s="141" t="str">
        <f>IFERROR(STOCKS!$E779-STOCKS昨天!$E779,"0")</f>
        <v>0</v>
      </c>
      <c r="G779" s="63" t="str">
        <f t="shared" si="12"/>
        <v>0</v>
      </c>
    </row>
    <row r="780" spans="1:7">
      <c r="A780" s="118">
        <v>2612</v>
      </c>
      <c r="B780" s="60" t="s">
        <v>4348</v>
      </c>
      <c r="C780" s="125" t="s">
        <v>5583</v>
      </c>
      <c r="D780" s="118">
        <v>2612</v>
      </c>
      <c r="E780" s="60">
        <f>[1]!'2612.TW-PreClose'</f>
        <v>56.4</v>
      </c>
      <c r="F780" s="141" t="str">
        <f>IFERROR(STOCKS!$E780-STOCKS昨天!$E780,"0")</f>
        <v>0</v>
      </c>
      <c r="G780" s="63">
        <f t="shared" si="12"/>
        <v>0</v>
      </c>
    </row>
    <row r="781" spans="1:7">
      <c r="A781" s="118">
        <v>2613</v>
      </c>
      <c r="B781" s="60" t="s">
        <v>3582</v>
      </c>
      <c r="C781" s="125" t="s">
        <v>5583</v>
      </c>
      <c r="D781" s="118">
        <v>2613</v>
      </c>
      <c r="E781" s="60">
        <f>[1]!'2613.TW-PreClose'</f>
        <v>26.3</v>
      </c>
      <c r="F781" s="141" t="str">
        <f>IFERROR(STOCKS!$E781-STOCKS昨天!$E781,"0")</f>
        <v>0</v>
      </c>
      <c r="G781" s="63">
        <f t="shared" si="12"/>
        <v>0</v>
      </c>
    </row>
    <row r="782" spans="1:7">
      <c r="A782" s="118">
        <v>2615</v>
      </c>
      <c r="B782" s="60" t="s">
        <v>4349</v>
      </c>
      <c r="C782" s="125" t="s">
        <v>5583</v>
      </c>
      <c r="D782" s="118">
        <v>2615</v>
      </c>
      <c r="E782" s="60" t="str">
        <f>[1]!'2615.TW-PreClose'</f>
        <v>--</v>
      </c>
      <c r="F782" s="141" t="str">
        <f>IFERROR(STOCKS!$E782-STOCKS昨天!$E782,"0")</f>
        <v>0</v>
      </c>
      <c r="G782" s="63" t="str">
        <f t="shared" si="12"/>
        <v>0</v>
      </c>
    </row>
    <row r="783" spans="1:7">
      <c r="A783" s="118">
        <v>2617</v>
      </c>
      <c r="B783" s="60" t="s">
        <v>3548</v>
      </c>
      <c r="C783" s="125" t="s">
        <v>5583</v>
      </c>
      <c r="D783" s="118">
        <v>2617</v>
      </c>
      <c r="E783" s="60">
        <f>[1]!'2617.TW-PreClose'</f>
        <v>36.450000000000003</v>
      </c>
      <c r="F783" s="141" t="str">
        <f>IFERROR(STOCKS!$E783-STOCKS昨天!$E783,"0")</f>
        <v>0</v>
      </c>
      <c r="G783" s="63">
        <f t="shared" si="12"/>
        <v>0</v>
      </c>
    </row>
    <row r="784" spans="1:7">
      <c r="A784" s="118">
        <v>2618</v>
      </c>
      <c r="B784" s="60" t="s">
        <v>4350</v>
      </c>
      <c r="C784" s="125" t="s">
        <v>5583</v>
      </c>
      <c r="D784" s="118">
        <v>2618</v>
      </c>
      <c r="E784" s="60">
        <f>[1]!'2618.TW-PreClose'</f>
        <v>25.8</v>
      </c>
      <c r="F784" s="141">
        <f>IFERROR(STOCKS!$E784-STOCKS昨天!$E784,"0")</f>
        <v>0.34999999999999787</v>
      </c>
      <c r="G784" s="63">
        <f t="shared" si="12"/>
        <v>1.3565891472868134E-2</v>
      </c>
    </row>
    <row r="785" spans="1:7">
      <c r="A785" s="118">
        <v>2630</v>
      </c>
      <c r="B785" s="60" t="s">
        <v>4351</v>
      </c>
      <c r="C785" s="125" t="s">
        <v>5583</v>
      </c>
      <c r="D785" s="118">
        <v>2630</v>
      </c>
      <c r="E785" s="60">
        <f>[1]!'2630.TW-PreClose'</f>
        <v>19.7</v>
      </c>
      <c r="F785" s="141" t="str">
        <f>IFERROR(STOCKS!$E785-STOCKS昨天!$E785,"0")</f>
        <v>0</v>
      </c>
      <c r="G785" s="63">
        <f t="shared" si="12"/>
        <v>0</v>
      </c>
    </row>
    <row r="786" spans="1:7">
      <c r="A786" s="118">
        <v>2633</v>
      </c>
      <c r="B786" s="60" t="s">
        <v>4352</v>
      </c>
      <c r="C786" s="125" t="s">
        <v>5583</v>
      </c>
      <c r="D786" s="118">
        <v>2633</v>
      </c>
      <c r="E786" s="60">
        <f>[1]!'2633.TW-PreClose'</f>
        <v>29.6</v>
      </c>
      <c r="F786" s="141" t="str">
        <f>IFERROR(STOCKS!$E786-STOCKS昨天!$E786,"0")</f>
        <v>0</v>
      </c>
      <c r="G786" s="63">
        <f t="shared" si="12"/>
        <v>0</v>
      </c>
    </row>
    <row r="787" spans="1:7">
      <c r="A787" s="118">
        <v>2634</v>
      </c>
      <c r="B787" s="60" t="s">
        <v>4353</v>
      </c>
      <c r="C787" s="125" t="s">
        <v>5583</v>
      </c>
      <c r="D787" s="118">
        <v>2634</v>
      </c>
      <c r="E787" s="60">
        <f>[1]!'2634.TW-PreClose'</f>
        <v>30.2</v>
      </c>
      <c r="F787" s="141" t="str">
        <f>IFERROR(STOCKS!$E787-STOCKS昨天!$E787,"0")</f>
        <v>0</v>
      </c>
      <c r="G787" s="63">
        <f t="shared" si="12"/>
        <v>0</v>
      </c>
    </row>
    <row r="788" spans="1:7">
      <c r="A788" s="118">
        <v>2636</v>
      </c>
      <c r="B788" s="60" t="s">
        <v>4354</v>
      </c>
      <c r="C788" s="125" t="s">
        <v>5583</v>
      </c>
      <c r="D788" s="118">
        <v>2636</v>
      </c>
      <c r="E788" s="60" t="str">
        <f>[1]!'2636.TW-PreClose'</f>
        <v>--</v>
      </c>
      <c r="F788" s="141" t="str">
        <f>IFERROR(STOCKS!$E788-STOCKS昨天!$E788,"0")</f>
        <v>0</v>
      </c>
      <c r="G788" s="63" t="str">
        <f t="shared" si="12"/>
        <v>0</v>
      </c>
    </row>
    <row r="789" spans="1:7">
      <c r="A789" s="118">
        <v>2637</v>
      </c>
      <c r="B789" s="60" t="s">
        <v>3577</v>
      </c>
      <c r="C789" s="125" t="s">
        <v>5584</v>
      </c>
      <c r="D789" s="118">
        <v>2637</v>
      </c>
      <c r="E789" s="60">
        <f>[1]!'2637.TW-PreClose'</f>
        <v>71.5</v>
      </c>
      <c r="F789" s="141" t="str">
        <f>IFERROR(STOCKS!$E789-STOCKS昨天!$E789,"0")</f>
        <v>0</v>
      </c>
      <c r="G789" s="63">
        <f t="shared" si="12"/>
        <v>0</v>
      </c>
    </row>
    <row r="790" spans="1:7">
      <c r="A790" s="118">
        <v>2642</v>
      </c>
      <c r="B790" s="60" t="s">
        <v>3557</v>
      </c>
      <c r="C790" s="125" t="s">
        <v>5583</v>
      </c>
      <c r="D790" s="118">
        <v>2642</v>
      </c>
      <c r="E790" s="60">
        <f>[1]!'2642.TW-PreClose'</f>
        <v>68.8</v>
      </c>
      <c r="F790" s="141" t="str">
        <f>IFERROR(STOCKS!$E790-STOCKS昨天!$E790,"0")</f>
        <v>0</v>
      </c>
      <c r="G790" s="63">
        <f t="shared" si="12"/>
        <v>0</v>
      </c>
    </row>
    <row r="791" spans="1:7">
      <c r="A791" s="118">
        <v>5607</v>
      </c>
      <c r="B791" s="60" t="s">
        <v>4355</v>
      </c>
      <c r="C791" s="125" t="s">
        <v>5583</v>
      </c>
      <c r="D791" s="118">
        <v>5607</v>
      </c>
      <c r="E791" s="60">
        <f>[1]!'5607.TW-PreClose'</f>
        <v>53.3</v>
      </c>
      <c r="F791" s="141" t="str">
        <f>IFERROR(STOCKS!$E791-STOCKS昨天!$E791,"0")</f>
        <v>0</v>
      </c>
      <c r="G791" s="63">
        <f t="shared" si="12"/>
        <v>0</v>
      </c>
    </row>
    <row r="792" spans="1:7">
      <c r="A792" s="118">
        <v>5608</v>
      </c>
      <c r="B792" s="60" t="s">
        <v>3530</v>
      </c>
      <c r="C792" s="125" t="s">
        <v>5583</v>
      </c>
      <c r="D792" s="118">
        <v>5608</v>
      </c>
      <c r="E792" s="60" t="str">
        <f>[1]!'5608.TW-PreClose'</f>
        <v>--</v>
      </c>
      <c r="F792" s="141" t="str">
        <f>IFERROR(STOCKS!$E792-STOCKS昨天!$E792,"0")</f>
        <v>0</v>
      </c>
      <c r="G792" s="63" t="str">
        <f t="shared" si="12"/>
        <v>0</v>
      </c>
    </row>
    <row r="793" spans="1:7">
      <c r="A793" s="118">
        <v>8367</v>
      </c>
      <c r="B793" s="60" t="s">
        <v>4356</v>
      </c>
      <c r="C793" s="125" t="s">
        <v>5583</v>
      </c>
      <c r="D793" s="118">
        <v>8367</v>
      </c>
      <c r="E793" s="60" t="str">
        <f>[1]!'8367.TW-PreClose'</f>
        <v>--</v>
      </c>
      <c r="F793" s="141" t="str">
        <f>IFERROR(STOCKS!$E793-STOCKS昨天!$E793,"0")</f>
        <v>0</v>
      </c>
      <c r="G793" s="63" t="str">
        <f t="shared" si="12"/>
        <v>0</v>
      </c>
    </row>
    <row r="794" spans="1:7">
      <c r="A794" s="118">
        <v>2701</v>
      </c>
      <c r="B794" s="60" t="s">
        <v>4357</v>
      </c>
      <c r="C794" s="125" t="s">
        <v>5585</v>
      </c>
      <c r="D794" s="118">
        <v>2701</v>
      </c>
      <c r="E794" s="60">
        <f>[1]!'2701.TW-PreClose'</f>
        <v>12.4</v>
      </c>
      <c r="F794" s="141" t="str">
        <f>IFERROR(STOCKS!$E794-STOCKS昨天!$E794,"0")</f>
        <v>0</v>
      </c>
      <c r="G794" s="63">
        <f t="shared" si="12"/>
        <v>0</v>
      </c>
    </row>
    <row r="795" spans="1:7">
      <c r="A795" s="118">
        <v>2702</v>
      </c>
      <c r="B795" s="60" t="s">
        <v>4358</v>
      </c>
      <c r="C795" s="125" t="s">
        <v>5585</v>
      </c>
      <c r="D795" s="118">
        <v>2702</v>
      </c>
      <c r="E795" s="60" t="str">
        <f>[1]!'2702.TW-PreClose'</f>
        <v>--</v>
      </c>
      <c r="F795" s="141" t="str">
        <f>IFERROR(STOCKS!$E795-STOCKS昨天!$E795,"0")</f>
        <v>0</v>
      </c>
      <c r="G795" s="63" t="str">
        <f t="shared" si="12"/>
        <v>0</v>
      </c>
    </row>
    <row r="796" spans="1:7">
      <c r="A796" s="118">
        <v>2704</v>
      </c>
      <c r="B796" s="60" t="s">
        <v>4359</v>
      </c>
      <c r="C796" s="125" t="s">
        <v>5585</v>
      </c>
      <c r="D796" s="118">
        <v>2704</v>
      </c>
      <c r="E796" s="60">
        <f>[1]!'2704.TW-PreClose'</f>
        <v>30.95</v>
      </c>
      <c r="F796" s="141" t="str">
        <f>IFERROR(STOCKS!$E796-STOCKS昨天!$E796,"0")</f>
        <v>0</v>
      </c>
      <c r="G796" s="63">
        <f t="shared" si="12"/>
        <v>0</v>
      </c>
    </row>
    <row r="797" spans="1:7">
      <c r="A797" s="118">
        <v>2705</v>
      </c>
      <c r="B797" s="60" t="s">
        <v>4360</v>
      </c>
      <c r="C797" s="125" t="s">
        <v>5585</v>
      </c>
      <c r="D797" s="118">
        <v>2705</v>
      </c>
      <c r="E797" s="60">
        <f>[1]!'2705.TW-PreClose'</f>
        <v>18.149999999999999</v>
      </c>
      <c r="F797" s="141" t="str">
        <f>IFERROR(STOCKS!$E797-STOCKS昨天!$E797,"0")</f>
        <v>0</v>
      </c>
      <c r="G797" s="63">
        <f t="shared" si="12"/>
        <v>0</v>
      </c>
    </row>
    <row r="798" spans="1:7">
      <c r="A798" s="118">
        <v>2706</v>
      </c>
      <c r="B798" s="60" t="s">
        <v>4361</v>
      </c>
      <c r="C798" s="125" t="s">
        <v>5585</v>
      </c>
      <c r="D798" s="118">
        <v>2706</v>
      </c>
      <c r="E798" s="60" t="str">
        <f>[1]!'2706.TW-PreClose'</f>
        <v>--</v>
      </c>
      <c r="F798" s="141" t="str">
        <f>IFERROR(STOCKS!$E798-STOCKS昨天!$E798,"0")</f>
        <v>0</v>
      </c>
      <c r="G798" s="63" t="str">
        <f t="shared" si="12"/>
        <v>0</v>
      </c>
    </row>
    <row r="799" spans="1:7">
      <c r="A799" s="118">
        <v>2707</v>
      </c>
      <c r="B799" s="60" t="s">
        <v>4362</v>
      </c>
      <c r="C799" s="125" t="s">
        <v>5585</v>
      </c>
      <c r="D799" s="118">
        <v>2707</v>
      </c>
      <c r="E799" s="60">
        <f>[1]!'2707.TW-PreClose'</f>
        <v>150.5</v>
      </c>
      <c r="F799" s="141" t="str">
        <f>IFERROR(STOCKS!$E799-STOCKS昨天!$E799,"0")</f>
        <v>0</v>
      </c>
      <c r="G799" s="63">
        <f t="shared" si="12"/>
        <v>0</v>
      </c>
    </row>
    <row r="800" spans="1:7">
      <c r="A800" s="118">
        <v>2712</v>
      </c>
      <c r="B800" s="60" t="s">
        <v>4363</v>
      </c>
      <c r="C800" s="125" t="s">
        <v>5585</v>
      </c>
      <c r="D800" s="118">
        <v>2712</v>
      </c>
      <c r="E800" s="60">
        <f>[1]!'2712.TW-PreClose'</f>
        <v>37.950000000000003</v>
      </c>
      <c r="F800" s="141" t="str">
        <f>IFERROR(STOCKS!$E800-STOCKS昨天!$E800,"0")</f>
        <v>0</v>
      </c>
      <c r="G800" s="63">
        <f t="shared" si="12"/>
        <v>0</v>
      </c>
    </row>
    <row r="801" spans="1:7">
      <c r="A801" s="118">
        <v>2722</v>
      </c>
      <c r="B801" s="60" t="s">
        <v>4364</v>
      </c>
      <c r="C801" s="125" t="s">
        <v>5585</v>
      </c>
      <c r="D801" s="118">
        <v>2722</v>
      </c>
      <c r="E801" s="60">
        <f>[1]!'2722.TW-PreClose'</f>
        <v>31.65</v>
      </c>
      <c r="F801" s="141" t="str">
        <f>IFERROR(STOCKS!$E801-STOCKS昨天!$E801,"0")</f>
        <v>0</v>
      </c>
      <c r="G801" s="63">
        <f t="shared" si="12"/>
        <v>0</v>
      </c>
    </row>
    <row r="802" spans="1:7">
      <c r="A802" s="118">
        <v>2723</v>
      </c>
      <c r="B802" s="60" t="s">
        <v>4365</v>
      </c>
      <c r="C802" s="125" t="s">
        <v>5586</v>
      </c>
      <c r="D802" s="118">
        <v>2723</v>
      </c>
      <c r="E802" s="60">
        <f>[1]!'2723.TW-PreClose'</f>
        <v>120.5</v>
      </c>
      <c r="F802" s="141" t="str">
        <f>IFERROR(STOCKS!$E802-STOCKS昨天!$E802,"0")</f>
        <v>0</v>
      </c>
      <c r="G802" s="63">
        <f t="shared" si="12"/>
        <v>0</v>
      </c>
    </row>
    <row r="803" spans="1:7">
      <c r="A803" s="118">
        <v>2727</v>
      </c>
      <c r="B803" s="60" t="s">
        <v>4366</v>
      </c>
      <c r="C803" s="125" t="s">
        <v>5585</v>
      </c>
      <c r="D803" s="118">
        <v>2727</v>
      </c>
      <c r="E803" s="60">
        <f>[1]!'2727.TW-PreClose'</f>
        <v>140.5</v>
      </c>
      <c r="F803" s="141">
        <f>IFERROR(STOCKS!$E803-STOCKS昨天!$E803,"0")</f>
        <v>1</v>
      </c>
      <c r="G803" s="63">
        <f t="shared" si="12"/>
        <v>7.1174377224199285E-3</v>
      </c>
    </row>
    <row r="804" spans="1:7">
      <c r="A804" s="118">
        <v>2731</v>
      </c>
      <c r="B804" s="60" t="s">
        <v>4367</v>
      </c>
      <c r="C804" s="125" t="s">
        <v>5585</v>
      </c>
      <c r="D804" s="118">
        <v>2731</v>
      </c>
      <c r="E804" s="60">
        <f>[1]!'2731.TW-PreClose'</f>
        <v>88.4</v>
      </c>
      <c r="F804" s="141" t="str">
        <f>IFERROR(STOCKS!$E804-STOCKS昨天!$E804,"0")</f>
        <v>0</v>
      </c>
      <c r="G804" s="63">
        <f t="shared" si="12"/>
        <v>0</v>
      </c>
    </row>
    <row r="805" spans="1:7">
      <c r="A805" s="118">
        <v>2739</v>
      </c>
      <c r="B805" s="60" t="s">
        <v>4368</v>
      </c>
      <c r="C805" s="125" t="s">
        <v>5585</v>
      </c>
      <c r="D805" s="118">
        <v>2739</v>
      </c>
      <c r="E805" s="60">
        <f>[1]!'2739.TW-PreClose'</f>
        <v>22.65</v>
      </c>
      <c r="F805" s="141" t="str">
        <f>IFERROR(STOCKS!$E805-STOCKS昨天!$E805,"0")</f>
        <v>0</v>
      </c>
      <c r="G805" s="63">
        <f t="shared" si="12"/>
        <v>0</v>
      </c>
    </row>
    <row r="806" spans="1:7">
      <c r="A806" s="118">
        <v>2748</v>
      </c>
      <c r="B806" s="60" t="s">
        <v>4369</v>
      </c>
      <c r="C806" s="125" t="s">
        <v>5585</v>
      </c>
      <c r="D806" s="118">
        <v>2748</v>
      </c>
      <c r="E806" s="60" t="str">
        <f>[1]!'2748.TW-PreClose'</f>
        <v>--</v>
      </c>
      <c r="F806" s="141" t="str">
        <f>IFERROR(STOCKS!$E806-STOCKS昨天!$E806,"0")</f>
        <v>0</v>
      </c>
      <c r="G806" s="63" t="str">
        <f t="shared" si="12"/>
        <v>0</v>
      </c>
    </row>
    <row r="807" spans="1:7">
      <c r="A807" s="118">
        <v>2753</v>
      </c>
      <c r="B807" s="60" t="s">
        <v>5414</v>
      </c>
      <c r="C807" s="125" t="s">
        <v>5585</v>
      </c>
      <c r="D807" s="118">
        <v>2753</v>
      </c>
      <c r="E807" s="60">
        <f>[1]!'2753.TW-PreClose'</f>
        <v>126</v>
      </c>
      <c r="F807" s="141" t="str">
        <f>IFERROR(STOCKS!$E807-STOCKS昨天!$E807,"0")</f>
        <v>0</v>
      </c>
      <c r="G807" s="63">
        <f t="shared" si="12"/>
        <v>0</v>
      </c>
    </row>
    <row r="808" spans="1:7">
      <c r="A808" s="118">
        <v>5706</v>
      </c>
      <c r="B808" s="60" t="s">
        <v>4370</v>
      </c>
      <c r="C808" s="125" t="s">
        <v>5585</v>
      </c>
      <c r="D808" s="118">
        <v>5706</v>
      </c>
      <c r="E808" s="60">
        <f>[1]!'5706.TW-PreClose'</f>
        <v>44</v>
      </c>
      <c r="F808" s="141" t="str">
        <f>IFERROR(STOCKS!$E808-STOCKS昨天!$E808,"0")</f>
        <v>0</v>
      </c>
      <c r="G808" s="63">
        <f t="shared" si="12"/>
        <v>0</v>
      </c>
    </row>
    <row r="809" spans="1:7">
      <c r="A809" s="118">
        <v>8462</v>
      </c>
      <c r="B809" s="60" t="s">
        <v>4371</v>
      </c>
      <c r="C809" s="125" t="s">
        <v>5585</v>
      </c>
      <c r="D809" s="118">
        <v>8462</v>
      </c>
      <c r="E809" s="60">
        <f>[1]!'8462.TW-PreClose'</f>
        <v>141.5</v>
      </c>
      <c r="F809" s="141" t="str">
        <f>IFERROR(STOCKS!$E809-STOCKS昨天!$E809,"0")</f>
        <v>0</v>
      </c>
      <c r="G809" s="63">
        <f t="shared" si="12"/>
        <v>0</v>
      </c>
    </row>
    <row r="810" spans="1:7">
      <c r="A810" s="118">
        <v>8940</v>
      </c>
      <c r="B810" s="60" t="s">
        <v>4372</v>
      </c>
      <c r="C810" s="125" t="s">
        <v>5585</v>
      </c>
      <c r="D810" s="118">
        <v>8940</v>
      </c>
      <c r="E810" s="60" t="str">
        <f>[1]!'8940.TW-PreClose'</f>
        <v>--</v>
      </c>
      <c r="F810" s="141" t="str">
        <f>IFERROR(STOCKS!$E810-STOCKS昨天!$E810,"0")</f>
        <v>0</v>
      </c>
      <c r="G810" s="63" t="str">
        <f t="shared" si="12"/>
        <v>0</v>
      </c>
    </row>
    <row r="811" spans="1:7">
      <c r="A811" s="118">
        <v>9943</v>
      </c>
      <c r="B811" s="60" t="s">
        <v>4373</v>
      </c>
      <c r="C811" s="125" t="s">
        <v>5585</v>
      </c>
      <c r="D811" s="118">
        <v>9943</v>
      </c>
      <c r="E811" s="60" t="str">
        <f>[1]!'9943.TW-PreClose'</f>
        <v>--</v>
      </c>
      <c r="F811" s="141" t="str">
        <f>IFERROR(STOCKS!$E811-STOCKS昨天!$E811,"0")</f>
        <v>0</v>
      </c>
      <c r="G811" s="63" t="str">
        <f t="shared" si="12"/>
        <v>0</v>
      </c>
    </row>
    <row r="812" spans="1:7">
      <c r="A812" s="118">
        <v>2801</v>
      </c>
      <c r="B812" s="60" t="s">
        <v>4374</v>
      </c>
      <c r="C812" s="125" t="s">
        <v>5587</v>
      </c>
      <c r="D812" s="118">
        <v>2801</v>
      </c>
      <c r="E812" s="60">
        <f>[1]!'2801.TW-PreClose'</f>
        <v>17.05</v>
      </c>
      <c r="F812" s="141" t="str">
        <f>IFERROR(STOCKS!$E812-STOCKS昨天!$E812,"0")</f>
        <v>0</v>
      </c>
      <c r="G812" s="63">
        <f t="shared" si="12"/>
        <v>0</v>
      </c>
    </row>
    <row r="813" spans="1:7">
      <c r="A813" s="118">
        <v>2809</v>
      </c>
      <c r="B813" s="60" t="s">
        <v>4375</v>
      </c>
      <c r="C813" s="125" t="s">
        <v>5587</v>
      </c>
      <c r="D813" s="118">
        <v>2809</v>
      </c>
      <c r="E813" s="60">
        <f>[1]!'2809.TW-PreClose'</f>
        <v>40.950000000000003</v>
      </c>
      <c r="F813" s="141" t="str">
        <f>IFERROR(STOCKS!$E813-STOCKS昨天!$E813,"0")</f>
        <v>0</v>
      </c>
      <c r="G813" s="63">
        <f t="shared" si="12"/>
        <v>0</v>
      </c>
    </row>
    <row r="814" spans="1:7">
      <c r="A814" s="118">
        <v>2812</v>
      </c>
      <c r="B814" s="60" t="s">
        <v>4376</v>
      </c>
      <c r="C814" s="125" t="s">
        <v>5587</v>
      </c>
      <c r="D814" s="118">
        <v>2812</v>
      </c>
      <c r="E814" s="60">
        <f>[1]!'2812.TW-PreClose'</f>
        <v>12</v>
      </c>
      <c r="F814" s="141" t="str">
        <f>IFERROR(STOCKS!$E814-STOCKS昨天!$E814,"0")</f>
        <v>0</v>
      </c>
      <c r="G814" s="63">
        <f t="shared" si="12"/>
        <v>0</v>
      </c>
    </row>
    <row r="815" spans="1:7">
      <c r="A815" s="118">
        <v>2816</v>
      </c>
      <c r="B815" s="60" t="s">
        <v>4377</v>
      </c>
      <c r="C815" s="125" t="s">
        <v>5587</v>
      </c>
      <c r="D815" s="118">
        <v>2816</v>
      </c>
      <c r="E815" s="60" t="str">
        <f>[1]!'2816.TW-PreClose'</f>
        <v>--</v>
      </c>
      <c r="F815" s="141" t="str">
        <f>IFERROR(STOCKS!$E815-STOCKS昨天!$E815,"0")</f>
        <v>0</v>
      </c>
      <c r="G815" s="63" t="str">
        <f t="shared" si="12"/>
        <v>0</v>
      </c>
    </row>
    <row r="816" spans="1:7">
      <c r="A816" s="118">
        <v>2820</v>
      </c>
      <c r="B816" s="60" t="s">
        <v>4378</v>
      </c>
      <c r="C816" s="125" t="s">
        <v>5587</v>
      </c>
      <c r="D816" s="118">
        <v>2820</v>
      </c>
      <c r="E816" s="60">
        <f>[1]!'2820.TW-PreClose'</f>
        <v>17.399999999999999</v>
      </c>
      <c r="F816" s="141" t="str">
        <f>IFERROR(STOCKS!$E816-STOCKS昨天!$E816,"0")</f>
        <v>0</v>
      </c>
      <c r="G816" s="63">
        <f t="shared" si="12"/>
        <v>0</v>
      </c>
    </row>
    <row r="817" spans="1:7">
      <c r="A817" s="118">
        <v>2823</v>
      </c>
      <c r="B817" s="60" t="s">
        <v>4379</v>
      </c>
      <c r="C817" s="125" t="s">
        <v>5587</v>
      </c>
      <c r="D817" s="118">
        <v>2823</v>
      </c>
      <c r="E817" s="60">
        <f>[1]!'2823.TW-PreClose'</f>
        <v>30.55</v>
      </c>
      <c r="F817" s="141">
        <f>IFERROR(STOCKS!$E817-STOCKS昨天!$E817,"0")</f>
        <v>0.34999999999999787</v>
      </c>
      <c r="G817" s="63">
        <f t="shared" si="12"/>
        <v>1.1456628477905004E-2</v>
      </c>
    </row>
    <row r="818" spans="1:7">
      <c r="A818" s="118">
        <v>2832</v>
      </c>
      <c r="B818" s="60" t="s">
        <v>4380</v>
      </c>
      <c r="C818" s="125" t="s">
        <v>5587</v>
      </c>
      <c r="D818" s="118">
        <v>2832</v>
      </c>
      <c r="E818" s="60">
        <f>[1]!'2832.TW-PreClose'</f>
        <v>20.2</v>
      </c>
      <c r="F818" s="141" t="str">
        <f>IFERROR(STOCKS!$E818-STOCKS昨天!$E818,"0")</f>
        <v>0</v>
      </c>
      <c r="G818" s="63">
        <f t="shared" si="12"/>
        <v>0</v>
      </c>
    </row>
    <row r="819" spans="1:7">
      <c r="A819" s="118">
        <v>2834</v>
      </c>
      <c r="B819" s="60" t="s">
        <v>4381</v>
      </c>
      <c r="C819" s="125" t="s">
        <v>5587</v>
      </c>
      <c r="D819" s="118">
        <v>2834</v>
      </c>
      <c r="E819" s="60">
        <f>[1]!'2834.TW-PreClose'</f>
        <v>9.82</v>
      </c>
      <c r="F819" s="141">
        <f>IFERROR(STOCKS!$E819-STOCKS昨天!$E819,"0")</f>
        <v>7.0000000000000284E-2</v>
      </c>
      <c r="G819" s="63">
        <f t="shared" si="12"/>
        <v>7.1283095723014547E-3</v>
      </c>
    </row>
    <row r="820" spans="1:7">
      <c r="A820" s="118">
        <v>2836</v>
      </c>
      <c r="B820" s="60" t="s">
        <v>4382</v>
      </c>
      <c r="C820" s="125" t="s">
        <v>5587</v>
      </c>
      <c r="D820" s="118">
        <v>2836</v>
      </c>
      <c r="E820" s="60" t="str">
        <f>[1]!'2836.TW-PreClose'</f>
        <v>--</v>
      </c>
      <c r="F820" s="141" t="str">
        <f>IFERROR(STOCKS!$E820-STOCKS昨天!$E820,"0")</f>
        <v>0</v>
      </c>
      <c r="G820" s="63" t="str">
        <f t="shared" si="12"/>
        <v>0</v>
      </c>
    </row>
    <row r="821" spans="1:7">
      <c r="A821" s="118">
        <v>2838</v>
      </c>
      <c r="B821" s="60" t="s">
        <v>4383</v>
      </c>
      <c r="C821" s="125" t="s">
        <v>5587</v>
      </c>
      <c r="D821" s="118">
        <v>2838</v>
      </c>
      <c r="E821" s="60">
        <f>[1]!'2838.TW-PreClose'</f>
        <v>12.25</v>
      </c>
      <c r="F821" s="141">
        <f>IFERROR(STOCKS!$E821-STOCKS昨天!$E821,"0")</f>
        <v>5.0000000000000711E-2</v>
      </c>
      <c r="G821" s="63">
        <f t="shared" si="12"/>
        <v>4.0816326530612821E-3</v>
      </c>
    </row>
    <row r="822" spans="1:7">
      <c r="A822" s="118">
        <v>2845</v>
      </c>
      <c r="B822" s="60" t="s">
        <v>4384</v>
      </c>
      <c r="C822" s="125" t="s">
        <v>5587</v>
      </c>
      <c r="D822" s="118">
        <v>2845</v>
      </c>
      <c r="E822" s="60">
        <f>[1]!'2845.TW-PreClose'</f>
        <v>10.7</v>
      </c>
      <c r="F822" s="141" t="str">
        <f>IFERROR(STOCKS!$E822-STOCKS昨天!$E822,"0")</f>
        <v>0</v>
      </c>
      <c r="G822" s="63">
        <f t="shared" si="12"/>
        <v>0</v>
      </c>
    </row>
    <row r="823" spans="1:7">
      <c r="A823" s="118">
        <v>2849</v>
      </c>
      <c r="B823" s="60" t="s">
        <v>4385</v>
      </c>
      <c r="C823" s="125" t="s">
        <v>5587</v>
      </c>
      <c r="D823" s="118">
        <v>2849</v>
      </c>
      <c r="E823" s="60">
        <f>[1]!'2849.TW-PreClose'</f>
        <v>16.75</v>
      </c>
      <c r="F823" s="141">
        <f>IFERROR(STOCKS!$E823-STOCKS昨天!$E823,"0")</f>
        <v>0</v>
      </c>
      <c r="G823" s="63">
        <f t="shared" si="12"/>
        <v>0</v>
      </c>
    </row>
    <row r="824" spans="1:7">
      <c r="A824" s="118">
        <v>2850</v>
      </c>
      <c r="B824" s="60" t="s">
        <v>4386</v>
      </c>
      <c r="C824" s="125" t="s">
        <v>5587</v>
      </c>
      <c r="D824" s="118">
        <v>2850</v>
      </c>
      <c r="E824" s="60">
        <f>[1]!'2850.TW-PreClose'</f>
        <v>48.35</v>
      </c>
      <c r="F824" s="141" t="str">
        <f>IFERROR(STOCKS!$E824-STOCKS昨天!$E824,"0")</f>
        <v>0</v>
      </c>
      <c r="G824" s="63">
        <f t="shared" si="12"/>
        <v>0</v>
      </c>
    </row>
    <row r="825" spans="1:7">
      <c r="A825" s="118">
        <v>2851</v>
      </c>
      <c r="B825" s="60" t="s">
        <v>4387</v>
      </c>
      <c r="C825" s="125" t="s">
        <v>5587</v>
      </c>
      <c r="D825" s="118">
        <v>2851</v>
      </c>
      <c r="E825" s="60">
        <f>[1]!'2851.TW-PreClose'</f>
        <v>28.75</v>
      </c>
      <c r="F825" s="141" t="str">
        <f>IFERROR(STOCKS!$E825-STOCKS昨天!$E825,"0")</f>
        <v>0</v>
      </c>
      <c r="G825" s="63">
        <f t="shared" si="12"/>
        <v>0</v>
      </c>
    </row>
    <row r="826" spans="1:7">
      <c r="A826" s="118">
        <v>2852</v>
      </c>
      <c r="B826" s="60" t="s">
        <v>4388</v>
      </c>
      <c r="C826" s="125" t="s">
        <v>5587</v>
      </c>
      <c r="D826" s="118">
        <v>2852</v>
      </c>
      <c r="E826" s="60" t="str">
        <f>[1]!'2852.TW-PreClose'</f>
        <v>--</v>
      </c>
      <c r="F826" s="141" t="str">
        <f>IFERROR(STOCKS!$E826-STOCKS昨天!$E826,"0")</f>
        <v>0</v>
      </c>
      <c r="G826" s="63" t="str">
        <f t="shared" si="12"/>
        <v>0</v>
      </c>
    </row>
    <row r="827" spans="1:7">
      <c r="A827" s="118">
        <v>2855</v>
      </c>
      <c r="B827" s="60" t="s">
        <v>4389</v>
      </c>
      <c r="C827" s="125" t="s">
        <v>5587</v>
      </c>
      <c r="D827" s="118">
        <v>2855</v>
      </c>
      <c r="E827" s="60">
        <f>[1]!'2855.TW-PreClose'</f>
        <v>23.2</v>
      </c>
      <c r="F827" s="141" t="str">
        <f>IFERROR(STOCKS!$E827-STOCKS昨天!$E827,"0")</f>
        <v>0</v>
      </c>
      <c r="G827" s="63">
        <f t="shared" si="12"/>
        <v>0</v>
      </c>
    </row>
    <row r="828" spans="1:7">
      <c r="A828" s="118">
        <v>2867</v>
      </c>
      <c r="B828" s="60" t="s">
        <v>4390</v>
      </c>
      <c r="C828" s="125" t="s">
        <v>5587</v>
      </c>
      <c r="D828" s="118">
        <v>2867</v>
      </c>
      <c r="E828" s="60" t="str">
        <f>[1]!'2867.TW-PreClose'</f>
        <v>--</v>
      </c>
      <c r="F828" s="141" t="str">
        <f>IFERROR(STOCKS!$E828-STOCKS昨天!$E828,"0")</f>
        <v>0</v>
      </c>
      <c r="G828" s="63" t="str">
        <f t="shared" si="12"/>
        <v>0</v>
      </c>
    </row>
    <row r="829" spans="1:7">
      <c r="A829" s="118">
        <v>2880</v>
      </c>
      <c r="B829" s="60" t="s">
        <v>4391</v>
      </c>
      <c r="C829" s="125" t="s">
        <v>5587</v>
      </c>
      <c r="D829" s="118">
        <v>2880</v>
      </c>
      <c r="E829" s="60">
        <f>[1]!'2880.TW-PreClose'</f>
        <v>20.75</v>
      </c>
      <c r="F829" s="141" t="str">
        <f>IFERROR(STOCKS!$E829-STOCKS昨天!$E829,"0")</f>
        <v>0</v>
      </c>
      <c r="G829" s="63">
        <f t="shared" si="12"/>
        <v>0</v>
      </c>
    </row>
    <row r="830" spans="1:7">
      <c r="A830" s="118">
        <v>2881</v>
      </c>
      <c r="B830" s="60" t="s">
        <v>4392</v>
      </c>
      <c r="C830" s="125" t="s">
        <v>5587</v>
      </c>
      <c r="D830" s="118">
        <v>2881</v>
      </c>
      <c r="E830" s="60">
        <f>[1]!'2881.TW-PreClose'</f>
        <v>74.3</v>
      </c>
      <c r="F830" s="141">
        <f>IFERROR(STOCKS!$E830-STOCKS昨天!$E830,"0")</f>
        <v>0.60000000000000853</v>
      </c>
      <c r="G830" s="63">
        <f t="shared" si="12"/>
        <v>8.0753701211306664E-3</v>
      </c>
    </row>
    <row r="831" spans="1:7">
      <c r="A831" s="118">
        <v>2882</v>
      </c>
      <c r="B831" s="60" t="s">
        <v>4393</v>
      </c>
      <c r="C831" s="125" t="s">
        <v>5587</v>
      </c>
      <c r="D831" s="118">
        <v>2882</v>
      </c>
      <c r="E831" s="60">
        <f>[1]!'2882.TW-PreClose'</f>
        <v>60.8</v>
      </c>
      <c r="F831" s="141">
        <f>IFERROR(STOCKS!$E831-STOCKS昨天!$E831,"0")</f>
        <v>0.70000000000000284</v>
      </c>
      <c r="G831" s="63">
        <f t="shared" si="12"/>
        <v>1.151315789473689E-2</v>
      </c>
    </row>
    <row r="832" spans="1:7">
      <c r="A832" s="118">
        <v>2883</v>
      </c>
      <c r="B832" s="60" t="s">
        <v>4394</v>
      </c>
      <c r="C832" s="125" t="s">
        <v>5587</v>
      </c>
      <c r="D832" s="118">
        <v>2883</v>
      </c>
      <c r="E832" s="60">
        <f>[1]!'2883.TW-PreClose'</f>
        <v>16.8</v>
      </c>
      <c r="F832" s="141">
        <f>IFERROR(STOCKS!$E832-STOCKS昨天!$E832,"0")</f>
        <v>0.25</v>
      </c>
      <c r="G832" s="63">
        <f t="shared" si="12"/>
        <v>1.488095238095238E-2</v>
      </c>
    </row>
    <row r="833" spans="1:7">
      <c r="A833" s="118">
        <v>2884</v>
      </c>
      <c r="B833" s="60" t="s">
        <v>4395</v>
      </c>
      <c r="C833" s="125" t="s">
        <v>5587</v>
      </c>
      <c r="D833" s="118">
        <v>2884</v>
      </c>
      <c r="E833" s="60">
        <f>[1]!'2884.TW-PreClose'</f>
        <v>27.4</v>
      </c>
      <c r="F833" s="141">
        <f>IFERROR(STOCKS!$E833-STOCKS昨天!$E833,"0")</f>
        <v>0.5</v>
      </c>
      <c r="G833" s="63">
        <f t="shared" si="12"/>
        <v>1.8248175182481754E-2</v>
      </c>
    </row>
    <row r="834" spans="1:7">
      <c r="A834" s="118">
        <v>2885</v>
      </c>
      <c r="B834" s="60" t="s">
        <v>4396</v>
      </c>
      <c r="C834" s="125" t="s">
        <v>5587</v>
      </c>
      <c r="D834" s="118">
        <v>2885</v>
      </c>
      <c r="E834" s="60">
        <f>[1]!'2885.TW-PreClose'</f>
        <v>24.75</v>
      </c>
      <c r="F834" s="141">
        <f>IFERROR(STOCKS!$E834-STOCKS昨天!$E834,"0")</f>
        <v>0.35000000000000142</v>
      </c>
      <c r="G834" s="63">
        <f t="shared" si="12"/>
        <v>1.41414141414142E-2</v>
      </c>
    </row>
    <row r="835" spans="1:7">
      <c r="A835" s="118">
        <v>2886</v>
      </c>
      <c r="B835" s="60" t="s">
        <v>4397</v>
      </c>
      <c r="C835" s="125" t="s">
        <v>5587</v>
      </c>
      <c r="D835" s="118">
        <v>2886</v>
      </c>
      <c r="E835" s="60">
        <f>[1]!'2886.TW-PreClose'</f>
        <v>34.1</v>
      </c>
      <c r="F835" s="141">
        <f>IFERROR(STOCKS!$E835-STOCKS昨天!$E835,"0")</f>
        <v>0.29999999999999716</v>
      </c>
      <c r="G835" s="63">
        <f t="shared" ref="G835:G898" si="13">IFERROR($F835/$E835,"0")</f>
        <v>8.7976539589441974E-3</v>
      </c>
    </row>
    <row r="836" spans="1:7">
      <c r="A836" s="118">
        <v>2887</v>
      </c>
      <c r="B836" s="60" t="s">
        <v>4398</v>
      </c>
      <c r="C836" s="125" t="s">
        <v>5587</v>
      </c>
      <c r="D836" s="118">
        <v>2887</v>
      </c>
      <c r="E836" s="60">
        <f>[1]!'2887.TW-PreClose'</f>
        <v>18.600000000000001</v>
      </c>
      <c r="F836" s="141">
        <f>IFERROR(STOCKS!$E836-STOCKS昨天!$E836,"0")</f>
        <v>9.9999999999997868E-2</v>
      </c>
      <c r="G836" s="63">
        <f t="shared" si="13"/>
        <v>5.3763440860213904E-3</v>
      </c>
    </row>
    <row r="837" spans="1:7">
      <c r="A837" s="118">
        <v>2888</v>
      </c>
      <c r="B837" s="60" t="s">
        <v>4399</v>
      </c>
      <c r="C837" s="125" t="s">
        <v>5587</v>
      </c>
      <c r="D837" s="118">
        <v>2888</v>
      </c>
      <c r="E837" s="60">
        <f>[1]!'2888.TW-PreClose'</f>
        <v>11.25</v>
      </c>
      <c r="F837" s="141">
        <f>IFERROR(STOCKS!$E837-STOCKS昨天!$E837,"0")</f>
        <v>0.19999999999999929</v>
      </c>
      <c r="G837" s="63">
        <f t="shared" si="13"/>
        <v>1.7777777777777715E-2</v>
      </c>
    </row>
    <row r="838" spans="1:7">
      <c r="A838" s="118">
        <v>2889</v>
      </c>
      <c r="B838" s="60" t="s">
        <v>4400</v>
      </c>
      <c r="C838" s="125" t="s">
        <v>5587</v>
      </c>
      <c r="D838" s="118">
        <v>2889</v>
      </c>
      <c r="E838" s="60">
        <f>[1]!'2889.TW-PreClose'</f>
        <v>16</v>
      </c>
      <c r="F838" s="141">
        <f>IFERROR(STOCKS!$E838-STOCKS昨天!$E838,"0")</f>
        <v>0.10000000000000142</v>
      </c>
      <c r="G838" s="63">
        <f t="shared" si="13"/>
        <v>6.2500000000000888E-3</v>
      </c>
    </row>
    <row r="839" spans="1:7">
      <c r="A839" s="118">
        <v>2890</v>
      </c>
      <c r="B839" s="60" t="s">
        <v>4401</v>
      </c>
      <c r="C839" s="125" t="s">
        <v>5587</v>
      </c>
      <c r="D839" s="118">
        <v>2890</v>
      </c>
      <c r="E839" s="60">
        <f>[1]!'2890.TW-PreClose'</f>
        <v>15.3</v>
      </c>
      <c r="F839" s="141" t="str">
        <f>IFERROR(STOCKS!$E839-STOCKS昨天!$E839,"0")</f>
        <v>0</v>
      </c>
      <c r="G839" s="63">
        <f t="shared" si="13"/>
        <v>0</v>
      </c>
    </row>
    <row r="840" spans="1:7">
      <c r="A840" s="118">
        <v>2891</v>
      </c>
      <c r="B840" s="60" t="s">
        <v>4402</v>
      </c>
      <c r="C840" s="125" t="s">
        <v>5587</v>
      </c>
      <c r="D840" s="118">
        <v>2891</v>
      </c>
      <c r="E840" s="60">
        <f>[1]!'2891.TW-PreClose'</f>
        <v>24.5</v>
      </c>
      <c r="F840" s="141">
        <f>IFERROR(STOCKS!$E840-STOCKS昨天!$E840,"0")</f>
        <v>0.19999999999999929</v>
      </c>
      <c r="G840" s="63">
        <f t="shared" si="13"/>
        <v>8.1632653061224202E-3</v>
      </c>
    </row>
    <row r="841" spans="1:7">
      <c r="A841" s="118">
        <v>2892</v>
      </c>
      <c r="B841" s="60" t="s">
        <v>4403</v>
      </c>
      <c r="C841" s="125" t="s">
        <v>5587</v>
      </c>
      <c r="D841" s="118">
        <v>2892</v>
      </c>
      <c r="E841" s="60">
        <f>[1]!'2892.TW-PreClose'</f>
        <v>23.6</v>
      </c>
      <c r="F841" s="141">
        <f>IFERROR(STOCKS!$E841-STOCKS昨天!$E841,"0")</f>
        <v>0.19999999999999929</v>
      </c>
      <c r="G841" s="63">
        <f t="shared" si="13"/>
        <v>8.4745762711864094E-3</v>
      </c>
    </row>
    <row r="842" spans="1:7">
      <c r="A842" s="118">
        <v>2897</v>
      </c>
      <c r="B842" s="60" t="s">
        <v>4404</v>
      </c>
      <c r="C842" s="125" t="s">
        <v>5587</v>
      </c>
      <c r="D842" s="118">
        <v>2897</v>
      </c>
      <c r="E842" s="60" t="str">
        <f>[1]!'2897.TW-PreClose'</f>
        <v>--</v>
      </c>
      <c r="F842" s="141" t="str">
        <f>IFERROR(STOCKS!$E842-STOCKS昨天!$E842,"0")</f>
        <v>0</v>
      </c>
      <c r="G842" s="63" t="str">
        <f t="shared" si="13"/>
        <v>0</v>
      </c>
    </row>
    <row r="843" spans="1:7">
      <c r="A843" s="118">
        <v>5876</v>
      </c>
      <c r="B843" s="60" t="s">
        <v>3678</v>
      </c>
      <c r="C843" s="125" t="s">
        <v>5587</v>
      </c>
      <c r="D843" s="118">
        <v>5876</v>
      </c>
      <c r="E843" s="60">
        <f>[1]!'5876.TW-PreClose'</f>
        <v>46.95</v>
      </c>
      <c r="F843" s="141">
        <f>IFERROR(STOCKS!$E843-STOCKS昨天!$E843,"0")</f>
        <v>0.5</v>
      </c>
      <c r="G843" s="63">
        <f t="shared" si="13"/>
        <v>1.0649627263045794E-2</v>
      </c>
    </row>
    <row r="844" spans="1:7">
      <c r="A844" s="118">
        <v>5880</v>
      </c>
      <c r="B844" s="60" t="s">
        <v>4405</v>
      </c>
      <c r="C844" s="125" t="s">
        <v>5587</v>
      </c>
      <c r="D844" s="118">
        <v>5880</v>
      </c>
      <c r="E844" s="60">
        <f>[1]!'5880.TW-PreClose'</f>
        <v>23.5</v>
      </c>
      <c r="F844" s="141" t="str">
        <f>IFERROR(STOCKS!$E844-STOCKS昨天!$E844,"0")</f>
        <v>0</v>
      </c>
      <c r="G844" s="63">
        <f t="shared" si="13"/>
        <v>0</v>
      </c>
    </row>
    <row r="845" spans="1:7">
      <c r="A845" s="118">
        <v>6005</v>
      </c>
      <c r="B845" s="60" t="s">
        <v>4406</v>
      </c>
      <c r="C845" s="125" t="s">
        <v>5587</v>
      </c>
      <c r="D845" s="118">
        <v>6005</v>
      </c>
      <c r="E845" s="60">
        <f>[1]!'6005.TW-PreClose'</f>
        <v>16.55</v>
      </c>
      <c r="F845" s="141" t="str">
        <f>IFERROR(STOCKS!$E845-STOCKS昨天!$E845,"0")</f>
        <v>0</v>
      </c>
      <c r="G845" s="63">
        <f t="shared" si="13"/>
        <v>0</v>
      </c>
    </row>
    <row r="846" spans="1:7">
      <c r="A846" s="118">
        <v>6024</v>
      </c>
      <c r="B846" s="60" t="s">
        <v>4407</v>
      </c>
      <c r="C846" s="125" t="s">
        <v>5587</v>
      </c>
      <c r="D846" s="118">
        <v>6024</v>
      </c>
      <c r="E846" s="60">
        <f>[1]!'6024.TW-PreClose'</f>
        <v>38.9</v>
      </c>
      <c r="F846" s="141" t="str">
        <f>IFERROR(STOCKS!$E846-STOCKS昨天!$E846,"0")</f>
        <v>0</v>
      </c>
      <c r="G846" s="63">
        <f t="shared" si="13"/>
        <v>0</v>
      </c>
    </row>
    <row r="847" spans="1:7">
      <c r="A847" s="118">
        <v>1432</v>
      </c>
      <c r="B847" s="60" t="s">
        <v>4408</v>
      </c>
      <c r="C847" s="125" t="s">
        <v>5588</v>
      </c>
      <c r="D847" s="118">
        <v>1432</v>
      </c>
      <c r="E847" s="60">
        <f>[1]!'1432.TW-PreClose'</f>
        <v>12.9</v>
      </c>
      <c r="F847" s="141" t="str">
        <f>IFERROR(STOCKS!$E847-STOCKS昨天!$E847,"0")</f>
        <v>0</v>
      </c>
      <c r="G847" s="63">
        <f t="shared" si="13"/>
        <v>0</v>
      </c>
    </row>
    <row r="848" spans="1:7">
      <c r="A848" s="118">
        <v>2601</v>
      </c>
      <c r="B848" s="60" t="s">
        <v>4409</v>
      </c>
      <c r="C848" s="125" t="s">
        <v>5588</v>
      </c>
      <c r="D848" s="118">
        <v>2601</v>
      </c>
      <c r="E848" s="60">
        <f>[1]!'2601.TW-PreClose'</f>
        <v>12.9</v>
      </c>
      <c r="F848" s="141">
        <f>IFERROR(STOCKS!$E848-STOCKS昨天!$E848,"0")</f>
        <v>9.9999999999999645E-2</v>
      </c>
      <c r="G848" s="63">
        <f t="shared" si="13"/>
        <v>7.7519379844960962E-3</v>
      </c>
    </row>
    <row r="849" spans="1:7">
      <c r="A849" s="118">
        <v>2901</v>
      </c>
      <c r="B849" s="60" t="s">
        <v>4410</v>
      </c>
      <c r="C849" s="125" t="s">
        <v>5588</v>
      </c>
      <c r="D849" s="118">
        <v>2901</v>
      </c>
      <c r="E849" s="60">
        <f>[1]!'2901.TW-PreClose'</f>
        <v>25.1</v>
      </c>
      <c r="F849" s="141" t="str">
        <f>IFERROR(STOCKS!$E849-STOCKS昨天!$E849,"0")</f>
        <v>0</v>
      </c>
      <c r="G849" s="63">
        <f t="shared" si="13"/>
        <v>0</v>
      </c>
    </row>
    <row r="850" spans="1:7">
      <c r="A850" s="118">
        <v>2903</v>
      </c>
      <c r="B850" s="60" t="s">
        <v>4411</v>
      </c>
      <c r="C850" s="125" t="s">
        <v>5588</v>
      </c>
      <c r="D850" s="118">
        <v>2903</v>
      </c>
      <c r="E850" s="60" t="str">
        <f>[1]!'2903.TW-PreClose'</f>
        <v>--</v>
      </c>
      <c r="F850" s="141" t="str">
        <f>IFERROR(STOCKS!$E850-STOCKS昨天!$E850,"0")</f>
        <v>0</v>
      </c>
      <c r="G850" s="63" t="str">
        <f t="shared" si="13"/>
        <v>0</v>
      </c>
    </row>
    <row r="851" spans="1:7">
      <c r="A851" s="118">
        <v>2905</v>
      </c>
      <c r="B851" s="60" t="s">
        <v>4412</v>
      </c>
      <c r="C851" s="125" t="s">
        <v>5588</v>
      </c>
      <c r="D851" s="118">
        <v>2905</v>
      </c>
      <c r="E851" s="60" t="str">
        <f>[1]!'2905.TW-PreClose'</f>
        <v>--</v>
      </c>
      <c r="F851" s="141" t="str">
        <f>IFERROR(STOCKS!$E851-STOCKS昨天!$E851,"0")</f>
        <v>0</v>
      </c>
      <c r="G851" s="63" t="str">
        <f t="shared" si="13"/>
        <v>0</v>
      </c>
    </row>
    <row r="852" spans="1:7">
      <c r="A852" s="118">
        <v>2906</v>
      </c>
      <c r="B852" s="60" t="s">
        <v>4413</v>
      </c>
      <c r="C852" s="125" t="s">
        <v>5588</v>
      </c>
      <c r="D852" s="118">
        <v>2906</v>
      </c>
      <c r="E852" s="60">
        <f>[1]!'2906.TW-PreClose'</f>
        <v>15.5</v>
      </c>
      <c r="F852" s="141" t="str">
        <f>IFERROR(STOCKS!$E852-STOCKS昨天!$E852,"0")</f>
        <v>0</v>
      </c>
      <c r="G852" s="63">
        <f t="shared" si="13"/>
        <v>0</v>
      </c>
    </row>
    <row r="853" spans="1:7">
      <c r="A853" s="118">
        <v>2908</v>
      </c>
      <c r="B853" s="60" t="s">
        <v>4414</v>
      </c>
      <c r="C853" s="125" t="s">
        <v>5588</v>
      </c>
      <c r="D853" s="118">
        <v>2908</v>
      </c>
      <c r="E853" s="60">
        <f>[1]!'2908.TW-PreClose'</f>
        <v>22.4</v>
      </c>
      <c r="F853" s="141">
        <f>IFERROR(STOCKS!$E853-STOCKS昨天!$E853,"0")</f>
        <v>-0.39999999999999858</v>
      </c>
      <c r="G853" s="63">
        <f t="shared" si="13"/>
        <v>-1.7857142857142794E-2</v>
      </c>
    </row>
    <row r="854" spans="1:7">
      <c r="A854" s="118">
        <v>2910</v>
      </c>
      <c r="B854" s="60" t="s">
        <v>4415</v>
      </c>
      <c r="C854" s="125" t="s">
        <v>5588</v>
      </c>
      <c r="D854" s="118">
        <v>2910</v>
      </c>
      <c r="E854" s="60">
        <f>[1]!'2910.TW-PreClose'</f>
        <v>35.1</v>
      </c>
      <c r="F854" s="141" t="str">
        <f>IFERROR(STOCKS!$E854-STOCKS昨天!$E854,"0")</f>
        <v>0</v>
      </c>
      <c r="G854" s="63">
        <f t="shared" si="13"/>
        <v>0</v>
      </c>
    </row>
    <row r="855" spans="1:7">
      <c r="A855" s="118">
        <v>2911</v>
      </c>
      <c r="B855" s="60" t="s">
        <v>4416</v>
      </c>
      <c r="C855" s="125" t="s">
        <v>5588</v>
      </c>
      <c r="D855" s="118">
        <v>2911</v>
      </c>
      <c r="E855" s="60">
        <f>[1]!'2911.TW-PreClose'</f>
        <v>8.1</v>
      </c>
      <c r="F855" s="141" t="str">
        <f>IFERROR(STOCKS!$E855-STOCKS昨天!$E855,"0")</f>
        <v>0</v>
      </c>
      <c r="G855" s="63">
        <f t="shared" si="13"/>
        <v>0</v>
      </c>
    </row>
    <row r="856" spans="1:7">
      <c r="A856" s="118">
        <v>2912</v>
      </c>
      <c r="B856" s="60" t="s">
        <v>4417</v>
      </c>
      <c r="C856" s="125" t="s">
        <v>5588</v>
      </c>
      <c r="D856" s="118">
        <v>2912</v>
      </c>
      <c r="E856" s="60">
        <f>[1]!'2912.TW-PreClose'</f>
        <v>283.5</v>
      </c>
      <c r="F856" s="141" t="str">
        <f>IFERROR(STOCKS!$E856-STOCKS昨天!$E856,"0")</f>
        <v>0</v>
      </c>
      <c r="G856" s="63">
        <f t="shared" si="13"/>
        <v>0</v>
      </c>
    </row>
    <row r="857" spans="1:7">
      <c r="A857" s="118">
        <v>2913</v>
      </c>
      <c r="B857" s="60" t="s">
        <v>4418</v>
      </c>
      <c r="C857" s="125" t="s">
        <v>5588</v>
      </c>
      <c r="D857" s="118">
        <v>2913</v>
      </c>
      <c r="E857" s="60">
        <f>[1]!'2913.TW-PreClose'</f>
        <v>19.95</v>
      </c>
      <c r="F857" s="141" t="str">
        <f>IFERROR(STOCKS!$E857-STOCKS昨天!$E857,"0")</f>
        <v>0</v>
      </c>
      <c r="G857" s="63">
        <f t="shared" si="13"/>
        <v>0</v>
      </c>
    </row>
    <row r="858" spans="1:7">
      <c r="A858" s="118">
        <v>2915</v>
      </c>
      <c r="B858" s="60" t="s">
        <v>4419</v>
      </c>
      <c r="C858" s="125" t="s">
        <v>5588</v>
      </c>
      <c r="D858" s="118">
        <v>2915</v>
      </c>
      <c r="E858" s="60" t="str">
        <f>[1]!'2915.TW-PreClose'</f>
        <v>--</v>
      </c>
      <c r="F858" s="141" t="str">
        <f>IFERROR(STOCKS!$E858-STOCKS昨天!$E858,"0")</f>
        <v>0</v>
      </c>
      <c r="G858" s="63" t="str">
        <f t="shared" si="13"/>
        <v>0</v>
      </c>
    </row>
    <row r="859" spans="1:7">
      <c r="A859" s="118">
        <v>2929</v>
      </c>
      <c r="B859" s="60" t="s">
        <v>3585</v>
      </c>
      <c r="C859" s="125" t="s">
        <v>5589</v>
      </c>
      <c r="D859" s="118">
        <v>2929</v>
      </c>
      <c r="E859" s="60">
        <f>[1]!'2929.TW-PreClose'</f>
        <v>11.65</v>
      </c>
      <c r="F859" s="141" t="str">
        <f>IFERROR(STOCKS!$E859-STOCKS昨天!$E859,"0")</f>
        <v>0</v>
      </c>
      <c r="G859" s="63">
        <f t="shared" si="13"/>
        <v>0</v>
      </c>
    </row>
    <row r="860" spans="1:7">
      <c r="A860" s="118">
        <v>2936</v>
      </c>
      <c r="B860" s="60" t="s">
        <v>4420</v>
      </c>
      <c r="C860" s="125" t="s">
        <v>5589</v>
      </c>
      <c r="D860" s="118">
        <v>2936</v>
      </c>
      <c r="E860" s="60">
        <f>[1]!'2936.TW-PreClose'</f>
        <v>26.5</v>
      </c>
      <c r="F860" s="141" t="str">
        <f>IFERROR(STOCKS!$E860-STOCKS昨天!$E860,"0")</f>
        <v>0</v>
      </c>
      <c r="G860" s="63">
        <f t="shared" si="13"/>
        <v>0</v>
      </c>
    </row>
    <row r="861" spans="1:7">
      <c r="A861" s="118">
        <v>2939</v>
      </c>
      <c r="B861" s="60" t="s">
        <v>4421</v>
      </c>
      <c r="C861" s="125" t="s">
        <v>5589</v>
      </c>
      <c r="D861" s="118">
        <v>2939</v>
      </c>
      <c r="E861" s="60">
        <f>[1]!'2939.TW-PreClose'</f>
        <v>26.7</v>
      </c>
      <c r="F861" s="141" t="str">
        <f>IFERROR(STOCKS!$E861-STOCKS昨天!$E861,"0")</f>
        <v>0</v>
      </c>
      <c r="G861" s="63">
        <f t="shared" si="13"/>
        <v>0</v>
      </c>
    </row>
    <row r="862" spans="1:7">
      <c r="A862" s="118">
        <v>4807</v>
      </c>
      <c r="B862" s="60" t="s">
        <v>4422</v>
      </c>
      <c r="C862" s="125" t="s">
        <v>5589</v>
      </c>
      <c r="D862" s="118">
        <v>4807</v>
      </c>
      <c r="E862" s="60">
        <f>[1]!'4807.TW-PreClose'</f>
        <v>29.45</v>
      </c>
      <c r="F862" s="141" t="str">
        <f>IFERROR(STOCKS!$E862-STOCKS昨天!$E862,"0")</f>
        <v>0</v>
      </c>
      <c r="G862" s="63">
        <f t="shared" si="13"/>
        <v>0</v>
      </c>
    </row>
    <row r="863" spans="1:7">
      <c r="A863" s="118">
        <v>5906</v>
      </c>
      <c r="B863" s="60" t="s">
        <v>4423</v>
      </c>
      <c r="C863" s="125" t="s">
        <v>5589</v>
      </c>
      <c r="D863" s="118">
        <v>5906</v>
      </c>
      <c r="E863" s="60">
        <f>[1]!'5906.TW-PreClose'</f>
        <v>36.549999999999997</v>
      </c>
      <c r="F863" s="141" t="str">
        <f>IFERROR(STOCKS!$E863-STOCKS昨天!$E863,"0")</f>
        <v>0</v>
      </c>
      <c r="G863" s="63">
        <f t="shared" si="13"/>
        <v>0</v>
      </c>
    </row>
    <row r="864" spans="1:7">
      <c r="A864" s="118">
        <v>5907</v>
      </c>
      <c r="B864" s="60" t="s">
        <v>4424</v>
      </c>
      <c r="C864" s="125" t="s">
        <v>5589</v>
      </c>
      <c r="D864" s="118">
        <v>5907</v>
      </c>
      <c r="E864" s="60" t="str">
        <f>[1]!'5907.TW-PreClose'</f>
        <v>--</v>
      </c>
      <c r="F864" s="141" t="str">
        <f>IFERROR(STOCKS!$E864-STOCKS昨天!$E864,"0")</f>
        <v>0</v>
      </c>
      <c r="G864" s="63" t="str">
        <f t="shared" si="13"/>
        <v>0</v>
      </c>
    </row>
    <row r="865" spans="1:7">
      <c r="A865" s="118">
        <v>8429</v>
      </c>
      <c r="B865" s="60" t="s">
        <v>4425</v>
      </c>
      <c r="C865" s="125" t="s">
        <v>5589</v>
      </c>
      <c r="D865" s="118">
        <v>8429</v>
      </c>
      <c r="E865" s="60">
        <f>[1]!'8429.TW-PreClose'</f>
        <v>13.1</v>
      </c>
      <c r="F865" s="141" t="str">
        <f>IFERROR(STOCKS!$E865-STOCKS昨天!$E865,"0")</f>
        <v>0</v>
      </c>
      <c r="G865" s="63">
        <f t="shared" si="13"/>
        <v>0</v>
      </c>
    </row>
    <row r="866" spans="1:7">
      <c r="A866" s="118">
        <v>8443</v>
      </c>
      <c r="B866" s="60" t="s">
        <v>4426</v>
      </c>
      <c r="C866" s="125" t="s">
        <v>5588</v>
      </c>
      <c r="D866" s="118">
        <v>8443</v>
      </c>
      <c r="E866" s="60">
        <f>[1]!'8443.TW-PreClose'</f>
        <v>11.85</v>
      </c>
      <c r="F866" s="141" t="str">
        <f>IFERROR(STOCKS!$E866-STOCKS昨天!$E866,"0")</f>
        <v>0</v>
      </c>
      <c r="G866" s="63">
        <f t="shared" si="13"/>
        <v>0</v>
      </c>
    </row>
    <row r="867" spans="1:7">
      <c r="A867" s="118">
        <v>8454</v>
      </c>
      <c r="B867" s="60" t="s">
        <v>4427</v>
      </c>
      <c r="C867" s="125" t="s">
        <v>5588</v>
      </c>
      <c r="D867" s="118">
        <v>8454</v>
      </c>
      <c r="E867" s="60" t="str">
        <f>[1]!'8454.TW-PreClose'</f>
        <v>--</v>
      </c>
      <c r="F867" s="141" t="str">
        <f>IFERROR(STOCKS!$E867-STOCKS昨天!$E867,"0")</f>
        <v>0</v>
      </c>
      <c r="G867" s="63" t="str">
        <f t="shared" si="13"/>
        <v>0</v>
      </c>
    </row>
    <row r="868" spans="1:7">
      <c r="A868" s="118">
        <v>2616</v>
      </c>
      <c r="B868" s="60" t="s">
        <v>4428</v>
      </c>
      <c r="C868" s="125" t="s">
        <v>5590</v>
      </c>
      <c r="D868" s="118">
        <v>2616</v>
      </c>
      <c r="E868" s="60">
        <f>[1]!'2616.TW-PreClose'</f>
        <v>36.200000000000003</v>
      </c>
      <c r="F868" s="141" t="str">
        <f>IFERROR(STOCKS!$E868-STOCKS昨天!$E868,"0")</f>
        <v>0</v>
      </c>
      <c r="G868" s="63">
        <f t="shared" si="13"/>
        <v>0</v>
      </c>
    </row>
    <row r="869" spans="1:7">
      <c r="A869" s="118">
        <v>6505</v>
      </c>
      <c r="B869" s="60" t="s">
        <v>4429</v>
      </c>
      <c r="C869" s="125" t="s">
        <v>5590</v>
      </c>
      <c r="D869" s="118">
        <v>6505</v>
      </c>
      <c r="E869" s="60">
        <f>[1]!'6505.TW-PreClose'</f>
        <v>96</v>
      </c>
      <c r="F869" s="141" t="str">
        <f>IFERROR(STOCKS!$E869-STOCKS昨天!$E869,"0")</f>
        <v>0</v>
      </c>
      <c r="G869" s="63">
        <f t="shared" si="13"/>
        <v>0</v>
      </c>
    </row>
    <row r="870" spans="1:7">
      <c r="A870" s="118">
        <v>8926</v>
      </c>
      <c r="B870" s="60" t="s">
        <v>4430</v>
      </c>
      <c r="C870" s="125" t="s">
        <v>5590</v>
      </c>
      <c r="D870" s="118">
        <v>8926</v>
      </c>
      <c r="E870" s="60">
        <f>[1]!'8926.TW-PreClose'</f>
        <v>37.75</v>
      </c>
      <c r="F870" s="141" t="str">
        <f>IFERROR(STOCKS!$E870-STOCKS昨天!$E870,"0")</f>
        <v>0</v>
      </c>
      <c r="G870" s="63">
        <f t="shared" si="13"/>
        <v>0</v>
      </c>
    </row>
    <row r="871" spans="1:7">
      <c r="A871" s="118">
        <v>9908</v>
      </c>
      <c r="B871" s="60" t="s">
        <v>4431</v>
      </c>
      <c r="C871" s="125" t="s">
        <v>5590</v>
      </c>
      <c r="D871" s="118">
        <v>9908</v>
      </c>
      <c r="E871" s="60">
        <f>[1]!'9908.TW-PreClose'</f>
        <v>33.299999999999997</v>
      </c>
      <c r="F871" s="141" t="str">
        <f>IFERROR(STOCKS!$E871-STOCKS昨天!$E871,"0")</f>
        <v>0</v>
      </c>
      <c r="G871" s="63">
        <f t="shared" si="13"/>
        <v>0</v>
      </c>
    </row>
    <row r="872" spans="1:7">
      <c r="A872" s="118">
        <v>9918</v>
      </c>
      <c r="B872" s="60" t="s">
        <v>4432</v>
      </c>
      <c r="C872" s="125" t="s">
        <v>5590</v>
      </c>
      <c r="D872" s="118">
        <v>9918</v>
      </c>
      <c r="E872" s="60">
        <f>[1]!'9918.TW-PreClose'</f>
        <v>42.6</v>
      </c>
      <c r="F872" s="141" t="str">
        <f>IFERROR(STOCKS!$E872-STOCKS昨天!$E872,"0")</f>
        <v>0</v>
      </c>
      <c r="G872" s="63">
        <f t="shared" si="13"/>
        <v>0</v>
      </c>
    </row>
    <row r="873" spans="1:7">
      <c r="A873" s="118">
        <v>9926</v>
      </c>
      <c r="B873" s="60" t="s">
        <v>4433</v>
      </c>
      <c r="C873" s="125" t="s">
        <v>5590</v>
      </c>
      <c r="D873" s="118">
        <v>9926</v>
      </c>
      <c r="E873" s="60" t="str">
        <f>[1]!'9926.TW-PreClose'</f>
        <v>--</v>
      </c>
      <c r="F873" s="141" t="str">
        <f>IFERROR(STOCKS!$E873-STOCKS昨天!$E873,"0")</f>
        <v>0</v>
      </c>
      <c r="G873" s="63" t="str">
        <f t="shared" si="13"/>
        <v>0</v>
      </c>
    </row>
    <row r="874" spans="1:7">
      <c r="A874" s="118">
        <v>9931</v>
      </c>
      <c r="B874" s="60" t="s">
        <v>4434</v>
      </c>
      <c r="C874" s="125" t="s">
        <v>5590</v>
      </c>
      <c r="D874" s="118">
        <v>9931</v>
      </c>
      <c r="E874" s="60">
        <f>[1]!'9931.TW-PreClose'</f>
        <v>39.799999999999997</v>
      </c>
      <c r="F874" s="141" t="str">
        <f>IFERROR(STOCKS!$E874-STOCKS昨天!$E874,"0")</f>
        <v>0</v>
      </c>
      <c r="G874" s="63">
        <f t="shared" si="13"/>
        <v>0</v>
      </c>
    </row>
    <row r="875" spans="1:7">
      <c r="A875" s="118">
        <v>9937</v>
      </c>
      <c r="B875" s="60" t="s">
        <v>4435</v>
      </c>
      <c r="C875" s="125" t="s">
        <v>5590</v>
      </c>
      <c r="D875" s="118">
        <v>9937</v>
      </c>
      <c r="E875" s="60">
        <f>[1]!'9937.TW-PreClose'</f>
        <v>48.4</v>
      </c>
      <c r="F875" s="141" t="str">
        <f>IFERROR(STOCKS!$E875-STOCKS昨天!$E875,"0")</f>
        <v>0</v>
      </c>
      <c r="G875" s="63">
        <f t="shared" si="13"/>
        <v>0</v>
      </c>
    </row>
    <row r="876" spans="1:7">
      <c r="A876" s="118">
        <v>1342</v>
      </c>
      <c r="B876" s="60" t="s">
        <v>4436</v>
      </c>
      <c r="C876" s="125" t="s">
        <v>5591</v>
      </c>
      <c r="D876" s="118">
        <v>1342</v>
      </c>
      <c r="E876" s="60">
        <f>[1]!'1342.TW-PreClose'</f>
        <v>56.3</v>
      </c>
      <c r="F876" s="141" t="str">
        <f>IFERROR(STOCKS!$E876-STOCKS昨天!$E876,"0")</f>
        <v>0</v>
      </c>
      <c r="G876" s="63">
        <f t="shared" si="13"/>
        <v>0</v>
      </c>
    </row>
    <row r="877" spans="1:7">
      <c r="A877" s="118">
        <v>1416</v>
      </c>
      <c r="B877" s="60" t="s">
        <v>4437</v>
      </c>
      <c r="C877" s="125" t="s">
        <v>5591</v>
      </c>
      <c r="D877" s="118">
        <v>1416</v>
      </c>
      <c r="E877" s="60">
        <f>[1]!'1416.TW-PreClose'</f>
        <v>11.2</v>
      </c>
      <c r="F877" s="141" t="str">
        <f>IFERROR(STOCKS!$E877-STOCKS昨天!$E877,"0")</f>
        <v>0</v>
      </c>
      <c r="G877" s="63">
        <f t="shared" si="13"/>
        <v>0</v>
      </c>
    </row>
    <row r="878" spans="1:7">
      <c r="A878" s="118">
        <v>1435</v>
      </c>
      <c r="B878" s="60" t="s">
        <v>4438</v>
      </c>
      <c r="C878" s="125" t="s">
        <v>5591</v>
      </c>
      <c r="D878" s="118">
        <v>1435</v>
      </c>
      <c r="E878" s="60">
        <f>[1]!'1435.TW-PreClose'</f>
        <v>27.3</v>
      </c>
      <c r="F878" s="141" t="str">
        <f>IFERROR(STOCKS!$E878-STOCKS昨天!$E878,"0")</f>
        <v>0</v>
      </c>
      <c r="G878" s="63">
        <f t="shared" si="13"/>
        <v>0</v>
      </c>
    </row>
    <row r="879" spans="1:7">
      <c r="A879" s="118">
        <v>1437</v>
      </c>
      <c r="B879" s="60" t="s">
        <v>4439</v>
      </c>
      <c r="C879" s="125" t="s">
        <v>5591</v>
      </c>
      <c r="D879" s="118">
        <v>1437</v>
      </c>
      <c r="E879" s="60">
        <f>[1]!'1437.TW-PreClose'</f>
        <v>25.65</v>
      </c>
      <c r="F879" s="141" t="str">
        <f>IFERROR(STOCKS!$E879-STOCKS昨天!$E879,"0")</f>
        <v>0</v>
      </c>
      <c r="G879" s="63">
        <f t="shared" si="13"/>
        <v>0</v>
      </c>
    </row>
    <row r="880" spans="1:7">
      <c r="A880" s="118">
        <v>1443</v>
      </c>
      <c r="B880" s="60" t="s">
        <v>3747</v>
      </c>
      <c r="C880" s="125" t="s">
        <v>5591</v>
      </c>
      <c r="D880" s="118">
        <v>1443</v>
      </c>
      <c r="E880" s="60">
        <f>[1]!'1443.TW-PreClose'</f>
        <v>17</v>
      </c>
      <c r="F880" s="141">
        <f>IFERROR(STOCKS!$E880-STOCKS昨天!$E880,"0")</f>
        <v>0</v>
      </c>
      <c r="G880" s="63">
        <f t="shared" si="13"/>
        <v>0</v>
      </c>
    </row>
    <row r="881" spans="1:7">
      <c r="A881" s="118">
        <v>1516</v>
      </c>
      <c r="B881" s="60" t="s">
        <v>4440</v>
      </c>
      <c r="C881" s="125" t="s">
        <v>5591</v>
      </c>
      <c r="D881" s="118">
        <v>1516</v>
      </c>
      <c r="E881" s="60">
        <f>[1]!'1516.TW-PreClose'</f>
        <v>23.55</v>
      </c>
      <c r="F881" s="141" t="str">
        <f>IFERROR(STOCKS!$E881-STOCKS昨天!$E881,"0")</f>
        <v>0</v>
      </c>
      <c r="G881" s="63">
        <f t="shared" si="13"/>
        <v>0</v>
      </c>
    </row>
    <row r="882" spans="1:7">
      <c r="A882" s="118">
        <v>2062</v>
      </c>
      <c r="B882" s="60" t="s">
        <v>3515</v>
      </c>
      <c r="C882" s="125" t="s">
        <v>5591</v>
      </c>
      <c r="D882" s="118">
        <v>2062</v>
      </c>
      <c r="E882" s="60">
        <f>[1]!'2062.TW-PreClose'</f>
        <v>27.9</v>
      </c>
      <c r="F882" s="141" t="str">
        <f>IFERROR(STOCKS!$E882-STOCKS昨天!$E882,"0")</f>
        <v>0</v>
      </c>
      <c r="G882" s="63">
        <f t="shared" si="13"/>
        <v>0</v>
      </c>
    </row>
    <row r="883" spans="1:7">
      <c r="A883" s="118">
        <v>2348</v>
      </c>
      <c r="B883" s="60" t="s">
        <v>4441</v>
      </c>
      <c r="C883" s="125" t="s">
        <v>5591</v>
      </c>
      <c r="D883" s="118">
        <v>2348</v>
      </c>
      <c r="E883" s="60">
        <f>[1]!'2348.TW-PreClose'</f>
        <v>103</v>
      </c>
      <c r="F883" s="141" t="str">
        <f>IFERROR(STOCKS!$E883-STOCKS昨天!$E883,"0")</f>
        <v>0</v>
      </c>
      <c r="G883" s="63">
        <f t="shared" si="13"/>
        <v>0</v>
      </c>
    </row>
    <row r="884" spans="1:7">
      <c r="A884" s="118">
        <v>2358</v>
      </c>
      <c r="B884" s="60" t="s">
        <v>4442</v>
      </c>
      <c r="C884" s="125" t="s">
        <v>5591</v>
      </c>
      <c r="D884" s="118">
        <v>2358</v>
      </c>
      <c r="E884" s="60">
        <f>[1]!'2358.TW-PreClose'</f>
        <v>22.5</v>
      </c>
      <c r="F884" s="141" t="str">
        <f>IFERROR(STOCKS!$E884-STOCKS昨天!$E884,"0")</f>
        <v>0</v>
      </c>
      <c r="G884" s="63">
        <f t="shared" si="13"/>
        <v>0</v>
      </c>
    </row>
    <row r="885" spans="1:7">
      <c r="A885" s="118">
        <v>2443</v>
      </c>
      <c r="B885" s="60" t="s">
        <v>4443</v>
      </c>
      <c r="C885" s="125" t="s">
        <v>5591</v>
      </c>
      <c r="D885" s="118">
        <v>2443</v>
      </c>
      <c r="E885" s="60">
        <f>[1]!'2443.TW-PreClose'</f>
        <v>2.99</v>
      </c>
      <c r="F885" s="141" t="str">
        <f>IFERROR(STOCKS!$E885-STOCKS昨天!$E885,"0")</f>
        <v>0</v>
      </c>
      <c r="G885" s="63">
        <f t="shared" si="13"/>
        <v>0</v>
      </c>
    </row>
    <row r="886" spans="1:7">
      <c r="A886" s="118">
        <v>2496</v>
      </c>
      <c r="B886" s="60" t="s">
        <v>4444</v>
      </c>
      <c r="C886" s="125" t="s">
        <v>5591</v>
      </c>
      <c r="D886" s="118">
        <v>2496</v>
      </c>
      <c r="E886" s="60">
        <f>[1]!'2496.TW-PreClose'</f>
        <v>49.75</v>
      </c>
      <c r="F886" s="141" t="str">
        <f>IFERROR(STOCKS!$E886-STOCKS昨天!$E886,"0")</f>
        <v>0</v>
      </c>
      <c r="G886" s="63">
        <f t="shared" si="13"/>
        <v>0</v>
      </c>
    </row>
    <row r="887" spans="1:7">
      <c r="A887" s="118">
        <v>2514</v>
      </c>
      <c r="B887" s="60" t="s">
        <v>4445</v>
      </c>
      <c r="C887" s="125" t="s">
        <v>5591</v>
      </c>
      <c r="D887" s="118">
        <v>2514</v>
      </c>
      <c r="E887" s="60">
        <f>[1]!'2514.TW-PreClose'</f>
        <v>17.850000000000001</v>
      </c>
      <c r="F887" s="141" t="str">
        <f>IFERROR(STOCKS!$E887-STOCKS昨天!$E887,"0")</f>
        <v>0</v>
      </c>
      <c r="G887" s="63">
        <f t="shared" si="13"/>
        <v>0</v>
      </c>
    </row>
    <row r="888" spans="1:7">
      <c r="A888" s="118">
        <v>2614</v>
      </c>
      <c r="B888" s="60" t="s">
        <v>3597</v>
      </c>
      <c r="C888" s="125" t="s">
        <v>5591</v>
      </c>
      <c r="D888" s="118">
        <v>2614</v>
      </c>
      <c r="E888" s="60">
        <f>[1]!'2614.TW-PreClose'</f>
        <v>32.700000000000003</v>
      </c>
      <c r="F888" s="141" t="str">
        <f>IFERROR(STOCKS!$E888-STOCKS昨天!$E888,"0")</f>
        <v>0</v>
      </c>
      <c r="G888" s="63">
        <f t="shared" si="13"/>
        <v>0</v>
      </c>
    </row>
    <row r="889" spans="1:7">
      <c r="A889" s="118">
        <v>2904</v>
      </c>
      <c r="B889" s="60" t="s">
        <v>4446</v>
      </c>
      <c r="C889" s="125" t="s">
        <v>5591</v>
      </c>
      <c r="D889" s="118">
        <v>2904</v>
      </c>
      <c r="E889" s="60">
        <f>[1]!'2904.TW-PreClose'</f>
        <v>25.7</v>
      </c>
      <c r="F889" s="141" t="str">
        <f>IFERROR(STOCKS!$E889-STOCKS昨天!$E889,"0")</f>
        <v>0</v>
      </c>
      <c r="G889" s="63">
        <f t="shared" si="13"/>
        <v>0</v>
      </c>
    </row>
    <row r="890" spans="1:7">
      <c r="A890" s="118">
        <v>3040</v>
      </c>
      <c r="B890" s="60" t="s">
        <v>4447</v>
      </c>
      <c r="C890" s="125" t="s">
        <v>5591</v>
      </c>
      <c r="D890" s="118">
        <v>3040</v>
      </c>
      <c r="E890" s="60">
        <f>[1]!'3040.TW-PreClose'</f>
        <v>38.9</v>
      </c>
      <c r="F890" s="141" t="str">
        <f>IFERROR(STOCKS!$E890-STOCKS昨天!$E890,"0")</f>
        <v>0</v>
      </c>
      <c r="G890" s="63">
        <f t="shared" si="13"/>
        <v>0</v>
      </c>
    </row>
    <row r="891" spans="1:7">
      <c r="A891" s="118">
        <v>3557</v>
      </c>
      <c r="B891" s="60" t="s">
        <v>4448</v>
      </c>
      <c r="C891" s="125" t="s">
        <v>5591</v>
      </c>
      <c r="D891" s="118">
        <v>3557</v>
      </c>
      <c r="E891" s="60">
        <f>[1]!'3557.TW-PreClose'</f>
        <v>75.3</v>
      </c>
      <c r="F891" s="141" t="str">
        <f>IFERROR(STOCKS!$E891-STOCKS昨天!$E891,"0")</f>
        <v>0</v>
      </c>
      <c r="G891" s="63">
        <f t="shared" si="13"/>
        <v>0</v>
      </c>
    </row>
    <row r="892" spans="1:7">
      <c r="A892" s="118">
        <v>4536</v>
      </c>
      <c r="B892" s="60" t="s">
        <v>3676</v>
      </c>
      <c r="C892" s="125" t="s">
        <v>5591</v>
      </c>
      <c r="D892" s="118">
        <v>4536</v>
      </c>
      <c r="E892" s="60">
        <f>[1]!'4536.TW-PreClose'</f>
        <v>133.5</v>
      </c>
      <c r="F892" s="141" t="str">
        <f>IFERROR(STOCKS!$E892-STOCKS昨天!$E892,"0")</f>
        <v>0</v>
      </c>
      <c r="G892" s="63">
        <f t="shared" si="13"/>
        <v>0</v>
      </c>
    </row>
    <row r="893" spans="1:7">
      <c r="A893" s="118">
        <v>5284</v>
      </c>
      <c r="B893" s="60" t="s">
        <v>2255</v>
      </c>
      <c r="C893" s="125" t="s">
        <v>5592</v>
      </c>
      <c r="D893" s="118">
        <v>5284</v>
      </c>
      <c r="E893" s="60" t="str">
        <f>[1]!'5284.TW-PreClose'</f>
        <v>--</v>
      </c>
      <c r="F893" s="141" t="str">
        <f>IFERROR(STOCKS!$E893-STOCKS昨天!$E893,"0")</f>
        <v>0</v>
      </c>
      <c r="G893" s="63" t="str">
        <f t="shared" si="13"/>
        <v>0</v>
      </c>
    </row>
    <row r="894" spans="1:7">
      <c r="A894" s="118">
        <v>5871</v>
      </c>
      <c r="B894" s="60" t="s">
        <v>3654</v>
      </c>
      <c r="C894" s="125" t="s">
        <v>5592</v>
      </c>
      <c r="D894" s="118">
        <v>5871</v>
      </c>
      <c r="E894" s="60">
        <f>[1]!'5871.TW-PreClose'</f>
        <v>246</v>
      </c>
      <c r="F894" s="141" t="str">
        <f>IFERROR(STOCKS!$E894-STOCKS昨天!$E894,"0")</f>
        <v>0</v>
      </c>
      <c r="G894" s="63">
        <f t="shared" si="13"/>
        <v>0</v>
      </c>
    </row>
    <row r="895" spans="1:7">
      <c r="A895" s="118">
        <v>6165</v>
      </c>
      <c r="B895" s="60" t="s">
        <v>3629</v>
      </c>
      <c r="C895" s="125" t="s">
        <v>5591</v>
      </c>
      <c r="D895" s="118">
        <v>6165</v>
      </c>
      <c r="E895" s="60">
        <f>[1]!'6165.TW-PreClose'</f>
        <v>36.6</v>
      </c>
      <c r="F895" s="141" t="str">
        <f>IFERROR(STOCKS!$E895-STOCKS昨天!$E895,"0")</f>
        <v>0</v>
      </c>
      <c r="G895" s="63">
        <f t="shared" si="13"/>
        <v>0</v>
      </c>
    </row>
    <row r="896" spans="1:7">
      <c r="A896" s="118">
        <v>6184</v>
      </c>
      <c r="B896" s="60" t="s">
        <v>4449</v>
      </c>
      <c r="C896" s="125" t="s">
        <v>5591</v>
      </c>
      <c r="D896" s="118">
        <v>6184</v>
      </c>
      <c r="E896" s="60">
        <f>[1]!'6184.TW-PreClose'</f>
        <v>43.8</v>
      </c>
      <c r="F896" s="141" t="str">
        <f>IFERROR(STOCKS!$E896-STOCKS昨天!$E896,"0")</f>
        <v>0</v>
      </c>
      <c r="G896" s="63">
        <f t="shared" si="13"/>
        <v>0</v>
      </c>
    </row>
    <row r="897" spans="1:7">
      <c r="A897" s="118">
        <v>6464</v>
      </c>
      <c r="B897" s="60" t="s">
        <v>4450</v>
      </c>
      <c r="C897" s="125" t="s">
        <v>5591</v>
      </c>
      <c r="D897" s="118">
        <v>6464</v>
      </c>
      <c r="E897" s="60">
        <f>[1]!'6464.TW-PreClose'</f>
        <v>96.6</v>
      </c>
      <c r="F897" s="141" t="str">
        <f>IFERROR(STOCKS!$E897-STOCKS昨天!$E897,"0")</f>
        <v>0</v>
      </c>
      <c r="G897" s="63">
        <f t="shared" si="13"/>
        <v>0</v>
      </c>
    </row>
    <row r="898" spans="1:7">
      <c r="A898" s="118">
        <v>6504</v>
      </c>
      <c r="B898" s="60" t="s">
        <v>3550</v>
      </c>
      <c r="C898" s="125" t="s">
        <v>5591</v>
      </c>
      <c r="D898" s="118">
        <v>6504</v>
      </c>
      <c r="E898" s="60">
        <f>[1]!'6504.TW-PreClose'</f>
        <v>114.5</v>
      </c>
      <c r="F898" s="141" t="str">
        <f>IFERROR(STOCKS!$E898-STOCKS昨天!$E898,"0")</f>
        <v>0</v>
      </c>
      <c r="G898" s="63">
        <f t="shared" si="13"/>
        <v>0</v>
      </c>
    </row>
    <row r="899" spans="1:7">
      <c r="A899" s="118">
        <v>6581</v>
      </c>
      <c r="B899" s="60" t="s">
        <v>4451</v>
      </c>
      <c r="C899" s="125" t="s">
        <v>5591</v>
      </c>
      <c r="D899" s="118">
        <v>6581</v>
      </c>
      <c r="E899" s="60">
        <f>[1]!'6581.TW-PreClose'</f>
        <v>80.400000000000006</v>
      </c>
      <c r="F899" s="141" t="str">
        <f>IFERROR(STOCKS!$E899-STOCKS昨天!$E899,"0")</f>
        <v>0</v>
      </c>
      <c r="G899" s="63">
        <f t="shared" ref="G899:G962" si="14">IFERROR($F899/$E899,"0")</f>
        <v>0</v>
      </c>
    </row>
    <row r="900" spans="1:7">
      <c r="A900" s="118">
        <v>6592</v>
      </c>
      <c r="B900" s="60" t="s">
        <v>4452</v>
      </c>
      <c r="C900" s="125" t="s">
        <v>5591</v>
      </c>
      <c r="D900" s="118">
        <v>6592</v>
      </c>
      <c r="E900" s="60">
        <f>[1]!'6592.TW-PreClose'</f>
        <v>90.9</v>
      </c>
      <c r="F900" s="141" t="str">
        <f>IFERROR(STOCKS!$E900-STOCKS昨天!$E900,"0")</f>
        <v>0</v>
      </c>
      <c r="G900" s="63">
        <f t="shared" si="14"/>
        <v>0</v>
      </c>
    </row>
    <row r="901" spans="1:7">
      <c r="A901" s="118">
        <v>6625</v>
      </c>
      <c r="B901" s="60" t="s">
        <v>4453</v>
      </c>
      <c r="C901" s="125" t="s">
        <v>5591</v>
      </c>
      <c r="D901" s="118">
        <v>6625</v>
      </c>
      <c r="E901" s="60">
        <f>[1]!'6625.TW-PreClose'</f>
        <v>33.700000000000003</v>
      </c>
      <c r="F901" s="141" t="str">
        <f>IFERROR(STOCKS!$E901-STOCKS昨天!$E901,"0")</f>
        <v>0</v>
      </c>
      <c r="G901" s="63">
        <f t="shared" si="14"/>
        <v>0</v>
      </c>
    </row>
    <row r="902" spans="1:7">
      <c r="A902" s="118">
        <v>6641</v>
      </c>
      <c r="B902" s="60" t="s">
        <v>4454</v>
      </c>
      <c r="C902" s="125" t="s">
        <v>5592</v>
      </c>
      <c r="D902" s="118">
        <v>6641</v>
      </c>
      <c r="E902" s="60">
        <f>[1]!'6641.TW-PreClose'</f>
        <v>58.8</v>
      </c>
      <c r="F902" s="141" t="str">
        <f>IFERROR(STOCKS!$E902-STOCKS昨天!$E902,"0")</f>
        <v>0</v>
      </c>
      <c r="G902" s="63">
        <f t="shared" si="14"/>
        <v>0</v>
      </c>
    </row>
    <row r="903" spans="1:7">
      <c r="A903" s="118">
        <v>6655</v>
      </c>
      <c r="B903" s="60" t="s">
        <v>4455</v>
      </c>
      <c r="C903" s="125" t="s">
        <v>5591</v>
      </c>
      <c r="D903" s="118">
        <v>6655</v>
      </c>
      <c r="E903" s="60" t="str">
        <f>[1]!'6655.TW-PreClose'</f>
        <v>--</v>
      </c>
      <c r="F903" s="141" t="str">
        <f>IFERROR(STOCKS!$E903-STOCKS昨天!$E903,"0")</f>
        <v>0</v>
      </c>
      <c r="G903" s="63" t="str">
        <f t="shared" si="14"/>
        <v>0</v>
      </c>
    </row>
    <row r="904" spans="1:7">
      <c r="A904" s="118">
        <v>6670</v>
      </c>
      <c r="B904" s="60" t="s">
        <v>4456</v>
      </c>
      <c r="C904" s="125" t="s">
        <v>5591</v>
      </c>
      <c r="D904" s="118">
        <v>6670</v>
      </c>
      <c r="E904" s="60">
        <f>[1]!'6670.TW-PreClose'</f>
        <v>193</v>
      </c>
      <c r="F904" s="141" t="str">
        <f>IFERROR(STOCKS!$E904-STOCKS昨天!$E904,"0")</f>
        <v>0</v>
      </c>
      <c r="G904" s="63">
        <f t="shared" si="14"/>
        <v>0</v>
      </c>
    </row>
    <row r="905" spans="1:7">
      <c r="A905" s="118">
        <v>6671</v>
      </c>
      <c r="B905" s="60" t="s">
        <v>4457</v>
      </c>
      <c r="C905" s="125" t="s">
        <v>5592</v>
      </c>
      <c r="D905" s="118">
        <v>6671</v>
      </c>
      <c r="E905" s="60">
        <f>[1]!'6671.TW-PreClose'</f>
        <v>48</v>
      </c>
      <c r="F905" s="141" t="str">
        <f>IFERROR(STOCKS!$E905-STOCKS昨天!$E905,"0")</f>
        <v>0</v>
      </c>
      <c r="G905" s="63">
        <f t="shared" si="14"/>
        <v>0</v>
      </c>
    </row>
    <row r="906" spans="1:7">
      <c r="A906" s="118">
        <v>6754</v>
      </c>
      <c r="B906" s="60" t="s">
        <v>4458</v>
      </c>
      <c r="C906" s="125" t="s">
        <v>5591</v>
      </c>
      <c r="D906" s="118">
        <v>6754</v>
      </c>
      <c r="E906" s="60">
        <f>[1]!'6754.TW-PreClose'</f>
        <v>41.2</v>
      </c>
      <c r="F906" s="141" t="str">
        <f>IFERROR(STOCKS!$E906-STOCKS昨天!$E906,"0")</f>
        <v>0</v>
      </c>
      <c r="G906" s="63">
        <f t="shared" si="14"/>
        <v>0</v>
      </c>
    </row>
    <row r="907" spans="1:7">
      <c r="A907" s="118">
        <v>6768</v>
      </c>
      <c r="B907" s="60" t="s">
        <v>4459</v>
      </c>
      <c r="C907" s="125" t="s">
        <v>5592</v>
      </c>
      <c r="D907" s="118">
        <v>6768</v>
      </c>
      <c r="E907" s="60" t="str">
        <f>[1]!'6768.TW-PreClose'</f>
        <v>--</v>
      </c>
      <c r="F907" s="141" t="str">
        <f>IFERROR(STOCKS!$E907-STOCKS昨天!$E907,"0")</f>
        <v>0</v>
      </c>
      <c r="G907" s="63" t="str">
        <f t="shared" si="14"/>
        <v>0</v>
      </c>
    </row>
    <row r="908" spans="1:7">
      <c r="A908" s="118">
        <v>8033</v>
      </c>
      <c r="B908" s="60" t="s">
        <v>4460</v>
      </c>
      <c r="C908" s="125" t="s">
        <v>5591</v>
      </c>
      <c r="D908" s="118">
        <v>8033</v>
      </c>
      <c r="E908" s="60">
        <f>[1]!'8033.TW-PreClose'</f>
        <v>18.899999999999999</v>
      </c>
      <c r="F908" s="141" t="str">
        <f>IFERROR(STOCKS!$E908-STOCKS昨天!$E908,"0")</f>
        <v>0</v>
      </c>
      <c r="G908" s="63">
        <f t="shared" si="14"/>
        <v>0</v>
      </c>
    </row>
    <row r="909" spans="1:7">
      <c r="A909" s="118">
        <v>8341</v>
      </c>
      <c r="B909" s="60" t="s">
        <v>4461</v>
      </c>
      <c r="C909" s="125" t="s">
        <v>5591</v>
      </c>
      <c r="D909" s="118">
        <v>8341</v>
      </c>
      <c r="E909" s="60">
        <f>[1]!'8341.TW-PreClose'</f>
        <v>201.5</v>
      </c>
      <c r="F909" s="141" t="str">
        <f>IFERROR(STOCKS!$E909-STOCKS昨天!$E909,"0")</f>
        <v>0</v>
      </c>
      <c r="G909" s="63">
        <f t="shared" si="14"/>
        <v>0</v>
      </c>
    </row>
    <row r="910" spans="1:7">
      <c r="A910" s="118">
        <v>8404</v>
      </c>
      <c r="B910" s="60" t="s">
        <v>4462</v>
      </c>
      <c r="C910" s="125" t="s">
        <v>5592</v>
      </c>
      <c r="D910" s="118">
        <v>8404</v>
      </c>
      <c r="E910" s="60" t="str">
        <f>[1]!'8404.TW-PreClose'</f>
        <v>--</v>
      </c>
      <c r="F910" s="141" t="str">
        <f>IFERROR(STOCKS!$E910-STOCKS昨天!$E910,"0")</f>
        <v>0</v>
      </c>
      <c r="G910" s="63" t="str">
        <f t="shared" si="14"/>
        <v>0</v>
      </c>
    </row>
    <row r="911" spans="1:7">
      <c r="A911" s="118">
        <v>8411</v>
      </c>
      <c r="B911" s="60" t="s">
        <v>4463</v>
      </c>
      <c r="C911" s="125" t="s">
        <v>5592</v>
      </c>
      <c r="D911" s="118">
        <v>8411</v>
      </c>
      <c r="E911" s="60">
        <f>[1]!'8411.TW-PreClose'</f>
        <v>16.45</v>
      </c>
      <c r="F911" s="141" t="str">
        <f>IFERROR(STOCKS!$E911-STOCKS昨天!$E911,"0")</f>
        <v>0</v>
      </c>
      <c r="G911" s="63">
        <f t="shared" si="14"/>
        <v>0</v>
      </c>
    </row>
    <row r="912" spans="1:7">
      <c r="A912" s="118">
        <v>8422</v>
      </c>
      <c r="B912" s="60" t="s">
        <v>4464</v>
      </c>
      <c r="C912" s="125" t="s">
        <v>5591</v>
      </c>
      <c r="D912" s="118">
        <v>8422</v>
      </c>
      <c r="E912" s="60">
        <f>[1]!'8422.TW-PreClose'</f>
        <v>239.5</v>
      </c>
      <c r="F912" s="141" t="str">
        <f>IFERROR(STOCKS!$E912-STOCKS昨天!$E912,"0")</f>
        <v>0</v>
      </c>
      <c r="G912" s="63">
        <f t="shared" si="14"/>
        <v>0</v>
      </c>
    </row>
    <row r="913" spans="1:7">
      <c r="A913" s="118">
        <v>8427</v>
      </c>
      <c r="B913" s="60" t="s">
        <v>4465</v>
      </c>
      <c r="C913" s="125" t="s">
        <v>5592</v>
      </c>
      <c r="D913" s="118">
        <v>8427</v>
      </c>
      <c r="E913" s="60" t="str">
        <f>[1]!'8427.TW-PreClose'</f>
        <v>--</v>
      </c>
      <c r="F913" s="141" t="str">
        <f>IFERROR(STOCKS!$E913-STOCKS昨天!$E913,"0")</f>
        <v>0</v>
      </c>
      <c r="G913" s="63" t="str">
        <f t="shared" si="14"/>
        <v>0</v>
      </c>
    </row>
    <row r="914" spans="1:7">
      <c r="A914" s="118">
        <v>8442</v>
      </c>
      <c r="B914" s="60" t="s">
        <v>4466</v>
      </c>
      <c r="C914" s="125" t="s">
        <v>5592</v>
      </c>
      <c r="D914" s="118">
        <v>8442</v>
      </c>
      <c r="E914" s="60">
        <f>[1]!'8442.TW-PreClose'</f>
        <v>42.85</v>
      </c>
      <c r="F914" s="141" t="str">
        <f>IFERROR(STOCKS!$E914-STOCKS昨天!$E914,"0")</f>
        <v>0</v>
      </c>
      <c r="G914" s="63">
        <f t="shared" si="14"/>
        <v>0</v>
      </c>
    </row>
    <row r="915" spans="1:7">
      <c r="A915" s="118">
        <v>8463</v>
      </c>
      <c r="B915" s="60" t="s">
        <v>4467</v>
      </c>
      <c r="C915" s="125" t="s">
        <v>5591</v>
      </c>
      <c r="D915" s="118">
        <v>8463</v>
      </c>
      <c r="E915" s="60" t="str">
        <f>[1]!'8463.TW-PreClose'</f>
        <v>--</v>
      </c>
      <c r="F915" s="141" t="str">
        <f>IFERROR(STOCKS!$E915-STOCKS昨天!$E915,"0")</f>
        <v>0</v>
      </c>
      <c r="G915" s="63" t="str">
        <f t="shared" si="14"/>
        <v>0</v>
      </c>
    </row>
    <row r="916" spans="1:7">
      <c r="A916" s="118">
        <v>8464</v>
      </c>
      <c r="B916" s="60" t="s">
        <v>3692</v>
      </c>
      <c r="C916" s="125" t="s">
        <v>5591</v>
      </c>
      <c r="D916" s="118">
        <v>8464</v>
      </c>
      <c r="E916" s="60" t="str">
        <f>[1]!'8464.TW-PreClose'</f>
        <v>--</v>
      </c>
      <c r="F916" s="141" t="str">
        <f>IFERROR(STOCKS!$E916-STOCKS昨天!$E916,"0")</f>
        <v>0</v>
      </c>
      <c r="G916" s="63" t="str">
        <f t="shared" si="14"/>
        <v>0</v>
      </c>
    </row>
    <row r="917" spans="1:7">
      <c r="A917" s="118">
        <v>8466</v>
      </c>
      <c r="B917" s="60" t="s">
        <v>4468</v>
      </c>
      <c r="C917" s="125" t="s">
        <v>5592</v>
      </c>
      <c r="D917" s="118">
        <v>8466</v>
      </c>
      <c r="E917" s="60" t="str">
        <f>[1]!'8466.TW-PreClose'</f>
        <v>--</v>
      </c>
      <c r="F917" s="141" t="str">
        <f>IFERROR(STOCKS!$E917-STOCKS昨天!$E917,"0")</f>
        <v>0</v>
      </c>
      <c r="G917" s="63" t="str">
        <f t="shared" si="14"/>
        <v>0</v>
      </c>
    </row>
    <row r="918" spans="1:7">
      <c r="A918" s="118">
        <v>8467</v>
      </c>
      <c r="B918" s="60" t="s">
        <v>4469</v>
      </c>
      <c r="C918" s="125" t="s">
        <v>5592</v>
      </c>
      <c r="D918" s="118">
        <v>8467</v>
      </c>
      <c r="E918" s="60">
        <f>[1]!'8467.TW-PreClose'</f>
        <v>41</v>
      </c>
      <c r="F918" s="141" t="str">
        <f>IFERROR(STOCKS!$E918-STOCKS昨天!$E918,"0")</f>
        <v>0</v>
      </c>
      <c r="G918" s="63">
        <f t="shared" si="14"/>
        <v>0</v>
      </c>
    </row>
    <row r="919" spans="1:7">
      <c r="A919" s="118">
        <v>8473</v>
      </c>
      <c r="B919" s="60" t="s">
        <v>4470</v>
      </c>
      <c r="C919" s="125" t="s">
        <v>5591</v>
      </c>
      <c r="D919" s="118">
        <v>8473</v>
      </c>
      <c r="E919" s="60">
        <f>[1]!'8473.TW-PreClose'</f>
        <v>33.799999999999997</v>
      </c>
      <c r="F919" s="141" t="str">
        <f>IFERROR(STOCKS!$E919-STOCKS昨天!$E919,"0")</f>
        <v>0</v>
      </c>
      <c r="G919" s="63">
        <f t="shared" si="14"/>
        <v>0</v>
      </c>
    </row>
    <row r="920" spans="1:7">
      <c r="A920" s="118">
        <v>8478</v>
      </c>
      <c r="B920" s="60" t="s">
        <v>4471</v>
      </c>
      <c r="C920" s="125" t="s">
        <v>5591</v>
      </c>
      <c r="D920" s="118">
        <v>8478</v>
      </c>
      <c r="E920" s="60" t="str">
        <f>[1]!'8478.TW-PreClose'</f>
        <v>--</v>
      </c>
      <c r="F920" s="141" t="str">
        <f>IFERROR(STOCKS!$E920-STOCKS昨天!$E920,"0")</f>
        <v>0</v>
      </c>
      <c r="G920" s="63" t="str">
        <f t="shared" si="14"/>
        <v>0</v>
      </c>
    </row>
    <row r="921" spans="1:7">
      <c r="A921" s="118">
        <v>8480</v>
      </c>
      <c r="B921" s="60" t="s">
        <v>4472</v>
      </c>
      <c r="C921" s="125" t="s">
        <v>5592</v>
      </c>
      <c r="D921" s="118">
        <v>8480</v>
      </c>
      <c r="E921" s="60" t="str">
        <f>[1]!'8480.TW-PreClose'</f>
        <v>--</v>
      </c>
      <c r="F921" s="141" t="str">
        <f>IFERROR(STOCKS!$E921-STOCKS昨天!$E921,"0")</f>
        <v>0</v>
      </c>
      <c r="G921" s="63" t="str">
        <f t="shared" si="14"/>
        <v>0</v>
      </c>
    </row>
    <row r="922" spans="1:7">
      <c r="A922" s="118">
        <v>8481</v>
      </c>
      <c r="B922" s="60" t="s">
        <v>4473</v>
      </c>
      <c r="C922" s="125" t="s">
        <v>5591</v>
      </c>
      <c r="D922" s="118">
        <v>8481</v>
      </c>
      <c r="E922" s="60">
        <f>[1]!'8481.TW-PreClose'</f>
        <v>70.7</v>
      </c>
      <c r="F922" s="141" t="str">
        <f>IFERROR(STOCKS!$E922-STOCKS昨天!$E922,"0")</f>
        <v>0</v>
      </c>
      <c r="G922" s="63">
        <f t="shared" si="14"/>
        <v>0</v>
      </c>
    </row>
    <row r="923" spans="1:7">
      <c r="A923" s="118">
        <v>8482</v>
      </c>
      <c r="B923" s="60" t="s">
        <v>4474</v>
      </c>
      <c r="C923" s="125" t="s">
        <v>5592</v>
      </c>
      <c r="D923" s="118">
        <v>8482</v>
      </c>
      <c r="E923" s="60">
        <f>[1]!'8482.TW-PreClose'</f>
        <v>73</v>
      </c>
      <c r="F923" s="141" t="str">
        <f>IFERROR(STOCKS!$E923-STOCKS昨天!$E923,"0")</f>
        <v>0</v>
      </c>
      <c r="G923" s="63">
        <f t="shared" si="14"/>
        <v>0</v>
      </c>
    </row>
    <row r="924" spans="1:7">
      <c r="A924" s="118">
        <v>8488</v>
      </c>
      <c r="B924" s="60" t="s">
        <v>4475</v>
      </c>
      <c r="C924" s="125" t="s">
        <v>5592</v>
      </c>
      <c r="D924" s="118">
        <v>8488</v>
      </c>
      <c r="E924" s="60" t="str">
        <f>[1]!'8488.TW-PreClose'</f>
        <v>--</v>
      </c>
      <c r="F924" s="141" t="str">
        <f>IFERROR(STOCKS!$E924-STOCKS昨天!$E924,"0")</f>
        <v>0</v>
      </c>
      <c r="G924" s="63" t="str">
        <f t="shared" si="14"/>
        <v>0</v>
      </c>
    </row>
    <row r="925" spans="1:7">
      <c r="A925" s="118">
        <v>9802</v>
      </c>
      <c r="B925" s="60" t="s">
        <v>4477</v>
      </c>
      <c r="C925" s="125" t="s">
        <v>5592</v>
      </c>
      <c r="D925" s="118">
        <v>9802</v>
      </c>
      <c r="E925" s="60">
        <f>[1]!'9802.TW-PreClose'</f>
        <v>99.2</v>
      </c>
      <c r="F925" s="141" t="str">
        <f>IFERROR(STOCKS!$E925-STOCKS昨天!$E925,"0")</f>
        <v>0</v>
      </c>
      <c r="G925" s="63">
        <f t="shared" si="14"/>
        <v>0</v>
      </c>
    </row>
    <row r="926" spans="1:7">
      <c r="A926" s="118">
        <v>9902</v>
      </c>
      <c r="B926" s="60" t="s">
        <v>4478</v>
      </c>
      <c r="C926" s="125" t="s">
        <v>5591</v>
      </c>
      <c r="D926" s="118">
        <v>9902</v>
      </c>
      <c r="E926" s="60">
        <f>[1]!'9902.TW-PreClose'</f>
        <v>13.15</v>
      </c>
      <c r="F926" s="141" t="str">
        <f>IFERROR(STOCKS!$E926-STOCKS昨天!$E926,"0")</f>
        <v>0</v>
      </c>
      <c r="G926" s="63">
        <f t="shared" si="14"/>
        <v>0</v>
      </c>
    </row>
    <row r="927" spans="1:7">
      <c r="A927" s="118">
        <v>9904</v>
      </c>
      <c r="B927" s="60" t="s">
        <v>4479</v>
      </c>
      <c r="C927" s="125" t="s">
        <v>5591</v>
      </c>
      <c r="D927" s="118">
        <v>9904</v>
      </c>
      <c r="E927" s="60">
        <f>[1]!'9904.TW-PreClose'</f>
        <v>33.799999999999997</v>
      </c>
      <c r="F927" s="141" t="str">
        <f>IFERROR(STOCKS!$E927-STOCKS昨天!$E927,"0")</f>
        <v>0</v>
      </c>
      <c r="G927" s="63">
        <f t="shared" si="14"/>
        <v>0</v>
      </c>
    </row>
    <row r="928" spans="1:7">
      <c r="A928" s="118">
        <v>9905</v>
      </c>
      <c r="B928" s="60" t="s">
        <v>4480</v>
      </c>
      <c r="C928" s="125" t="s">
        <v>5591</v>
      </c>
      <c r="D928" s="118">
        <v>9905</v>
      </c>
      <c r="E928" s="60" t="str">
        <f>[1]!'9905.TW-PreClose'</f>
        <v>--</v>
      </c>
      <c r="F928" s="141" t="str">
        <f>IFERROR(STOCKS!$E928-STOCKS昨天!$E928,"0")</f>
        <v>0</v>
      </c>
      <c r="G928" s="63" t="str">
        <f t="shared" si="14"/>
        <v>0</v>
      </c>
    </row>
    <row r="929" spans="1:7">
      <c r="A929" s="118">
        <v>9907</v>
      </c>
      <c r="B929" s="60" t="s">
        <v>4481</v>
      </c>
      <c r="C929" s="125" t="s">
        <v>5591</v>
      </c>
      <c r="D929" s="118">
        <v>9907</v>
      </c>
      <c r="E929" s="60" t="str">
        <f>[1]!'9907.TW-PreClose'</f>
        <v>--</v>
      </c>
      <c r="F929" s="141" t="str">
        <f>IFERROR(STOCKS!$E929-STOCKS昨天!$E929,"0")</f>
        <v>0</v>
      </c>
      <c r="G929" s="63" t="str">
        <f t="shared" si="14"/>
        <v>0</v>
      </c>
    </row>
    <row r="930" spans="1:7">
      <c r="A930" s="118">
        <v>9910</v>
      </c>
      <c r="B930" s="60" t="s">
        <v>3671</v>
      </c>
      <c r="C930" s="125" t="s">
        <v>5591</v>
      </c>
      <c r="D930" s="118">
        <v>9910</v>
      </c>
      <c r="E930" s="60">
        <f>[1]!'9910.TW-PreClose'</f>
        <v>211</v>
      </c>
      <c r="F930" s="141" t="str">
        <f>IFERROR(STOCKS!$E930-STOCKS昨天!$E930,"0")</f>
        <v>0</v>
      </c>
      <c r="G930" s="63">
        <f t="shared" si="14"/>
        <v>0</v>
      </c>
    </row>
    <row r="931" spans="1:7">
      <c r="A931" s="118">
        <v>9911</v>
      </c>
      <c r="B931" s="60" t="s">
        <v>4482</v>
      </c>
      <c r="C931" s="125" t="s">
        <v>5591</v>
      </c>
      <c r="D931" s="118">
        <v>9911</v>
      </c>
      <c r="E931" s="60">
        <f>[1]!'9911.TW-PreClose'</f>
        <v>68.400000000000006</v>
      </c>
      <c r="F931" s="141" t="str">
        <f>IFERROR(STOCKS!$E931-STOCKS昨天!$E931,"0")</f>
        <v>0</v>
      </c>
      <c r="G931" s="63">
        <f t="shared" si="14"/>
        <v>0</v>
      </c>
    </row>
    <row r="932" spans="1:7">
      <c r="A932" s="118">
        <v>9914</v>
      </c>
      <c r="B932" s="60" t="s">
        <v>4483</v>
      </c>
      <c r="C932" s="125" t="s">
        <v>5591</v>
      </c>
      <c r="D932" s="118">
        <v>9914</v>
      </c>
      <c r="E932" s="60">
        <f>[1]!'9914.TW-PreClose'</f>
        <v>303.5</v>
      </c>
      <c r="F932" s="141" t="str">
        <f>IFERROR(STOCKS!$E932-STOCKS昨天!$E932,"0")</f>
        <v>0</v>
      </c>
      <c r="G932" s="63">
        <f t="shared" si="14"/>
        <v>0</v>
      </c>
    </row>
    <row r="933" spans="1:7">
      <c r="A933" s="118">
        <v>9917</v>
      </c>
      <c r="B933" s="60" t="s">
        <v>4484</v>
      </c>
      <c r="C933" s="125" t="s">
        <v>5591</v>
      </c>
      <c r="D933" s="118">
        <v>9917</v>
      </c>
      <c r="E933" s="60">
        <f>[1]!'9917.TW-PreClose'</f>
        <v>102</v>
      </c>
      <c r="F933" s="141" t="str">
        <f>IFERROR(STOCKS!$E933-STOCKS昨天!$E933,"0")</f>
        <v>0</v>
      </c>
      <c r="G933" s="63">
        <f t="shared" si="14"/>
        <v>0</v>
      </c>
    </row>
    <row r="934" spans="1:7">
      <c r="A934" s="118">
        <v>9919</v>
      </c>
      <c r="B934" s="60" t="s">
        <v>3543</v>
      </c>
      <c r="C934" s="125" t="s">
        <v>5591</v>
      </c>
      <c r="D934" s="118">
        <v>9919</v>
      </c>
      <c r="E934" s="60" t="str">
        <f>[1]!'9919.TW-PreClose'</f>
        <v>--</v>
      </c>
      <c r="F934" s="141" t="str">
        <f>IFERROR(STOCKS!$E934-STOCKS昨天!$E934,"0")</f>
        <v>0</v>
      </c>
      <c r="G934" s="63" t="str">
        <f t="shared" si="14"/>
        <v>0</v>
      </c>
    </row>
    <row r="935" spans="1:7">
      <c r="A935" s="118">
        <v>9921</v>
      </c>
      <c r="B935" s="60" t="s">
        <v>4485</v>
      </c>
      <c r="C935" s="125" t="s">
        <v>5591</v>
      </c>
      <c r="D935" s="118">
        <v>9921</v>
      </c>
      <c r="E935" s="60">
        <f>[1]!'9921.TW-PreClose'</f>
        <v>316.5</v>
      </c>
      <c r="F935" s="141" t="str">
        <f>IFERROR(STOCKS!$E935-STOCKS昨天!$E935,"0")</f>
        <v>0</v>
      </c>
      <c r="G935" s="63">
        <f t="shared" si="14"/>
        <v>0</v>
      </c>
    </row>
    <row r="936" spans="1:7">
      <c r="A936" s="118">
        <v>9924</v>
      </c>
      <c r="B936" s="60" t="s">
        <v>4486</v>
      </c>
      <c r="C936" s="125" t="s">
        <v>5591</v>
      </c>
      <c r="D936" s="118">
        <v>9924</v>
      </c>
      <c r="E936" s="60">
        <f>[1]!'9924.TW-PreClose'</f>
        <v>41.05</v>
      </c>
      <c r="F936" s="141" t="str">
        <f>IFERROR(STOCKS!$E936-STOCKS昨天!$E936,"0")</f>
        <v>0</v>
      </c>
      <c r="G936" s="63">
        <f t="shared" si="14"/>
        <v>0</v>
      </c>
    </row>
    <row r="937" spans="1:7">
      <c r="A937" s="118">
        <v>9925</v>
      </c>
      <c r="B937" s="60" t="s">
        <v>4487</v>
      </c>
      <c r="C937" s="125" t="s">
        <v>5591</v>
      </c>
      <c r="D937" s="118">
        <v>9925</v>
      </c>
      <c r="E937" s="60">
        <f>[1]!'9925.TW-PreClose'</f>
        <v>39.200000000000003</v>
      </c>
      <c r="F937" s="141" t="str">
        <f>IFERROR(STOCKS!$E937-STOCKS昨天!$E937,"0")</f>
        <v>0</v>
      </c>
      <c r="G937" s="63">
        <f t="shared" si="14"/>
        <v>0</v>
      </c>
    </row>
    <row r="938" spans="1:7">
      <c r="A938" s="118">
        <v>9927</v>
      </c>
      <c r="B938" s="60" t="s">
        <v>4488</v>
      </c>
      <c r="C938" s="125" t="s">
        <v>5591</v>
      </c>
      <c r="D938" s="118">
        <v>9927</v>
      </c>
      <c r="E938" s="60" t="str">
        <f>[1]!'9927.TW-PreClose'</f>
        <v>--</v>
      </c>
      <c r="F938" s="141" t="str">
        <f>IFERROR(STOCKS!$E938-STOCKS昨天!$E938,"0")</f>
        <v>0</v>
      </c>
      <c r="G938" s="63" t="str">
        <f t="shared" si="14"/>
        <v>0</v>
      </c>
    </row>
    <row r="939" spans="1:7">
      <c r="A939" s="118">
        <v>9928</v>
      </c>
      <c r="B939" s="60" t="s">
        <v>4489</v>
      </c>
      <c r="C939" s="125" t="s">
        <v>5591</v>
      </c>
      <c r="D939" s="118">
        <v>9928</v>
      </c>
      <c r="E939" s="60">
        <f>[1]!'9928.TW-PreClose'</f>
        <v>6.12</v>
      </c>
      <c r="F939" s="141" t="str">
        <f>IFERROR(STOCKS!$E939-STOCKS昨天!$E939,"0")</f>
        <v>0</v>
      </c>
      <c r="G939" s="63">
        <f t="shared" si="14"/>
        <v>0</v>
      </c>
    </row>
    <row r="940" spans="1:7">
      <c r="A940" s="118">
        <v>9929</v>
      </c>
      <c r="B940" s="60" t="s">
        <v>4490</v>
      </c>
      <c r="C940" s="125" t="s">
        <v>5591</v>
      </c>
      <c r="D940" s="118">
        <v>9929</v>
      </c>
      <c r="E940" s="60" t="str">
        <f>[1]!'9929.TW-PreClose'</f>
        <v>--</v>
      </c>
      <c r="F940" s="141" t="str">
        <f>IFERROR(STOCKS!$E940-STOCKS昨天!$E940,"0")</f>
        <v>0</v>
      </c>
      <c r="G940" s="63" t="str">
        <f t="shared" si="14"/>
        <v>0</v>
      </c>
    </row>
    <row r="941" spans="1:7">
      <c r="A941" s="118">
        <v>9930</v>
      </c>
      <c r="B941" s="60" t="s">
        <v>4491</v>
      </c>
      <c r="C941" s="125" t="s">
        <v>5591</v>
      </c>
      <c r="D941" s="118">
        <v>9930</v>
      </c>
      <c r="E941" s="60" t="str">
        <f>[1]!'9930.TW-PreClose'</f>
        <v>--</v>
      </c>
      <c r="F941" s="141" t="str">
        <f>IFERROR(STOCKS!$E941-STOCKS昨天!$E941,"0")</f>
        <v>0</v>
      </c>
      <c r="G941" s="63" t="str">
        <f t="shared" si="14"/>
        <v>0</v>
      </c>
    </row>
    <row r="942" spans="1:7">
      <c r="A942" s="118">
        <v>9933</v>
      </c>
      <c r="B942" s="60" t="s">
        <v>4492</v>
      </c>
      <c r="C942" s="125" t="s">
        <v>5591</v>
      </c>
      <c r="D942" s="118">
        <v>9933</v>
      </c>
      <c r="E942" s="60">
        <f>[1]!'9933.TW-PreClose'</f>
        <v>36.450000000000003</v>
      </c>
      <c r="F942" s="141" t="str">
        <f>IFERROR(STOCKS!$E942-STOCKS昨天!$E942,"0")</f>
        <v>0</v>
      </c>
      <c r="G942" s="63">
        <f t="shared" si="14"/>
        <v>0</v>
      </c>
    </row>
    <row r="943" spans="1:7">
      <c r="A943" s="118">
        <v>9934</v>
      </c>
      <c r="B943" s="60" t="s">
        <v>4493</v>
      </c>
      <c r="C943" s="125" t="s">
        <v>5591</v>
      </c>
      <c r="D943" s="118">
        <v>9934</v>
      </c>
      <c r="E943" s="60">
        <f>[1]!'9934.TW-PreClose'</f>
        <v>14.85</v>
      </c>
      <c r="F943" s="141" t="str">
        <f>IFERROR(STOCKS!$E943-STOCKS昨天!$E943,"0")</f>
        <v>0</v>
      </c>
      <c r="G943" s="63">
        <f t="shared" si="14"/>
        <v>0</v>
      </c>
    </row>
    <row r="944" spans="1:7">
      <c r="A944" s="118">
        <v>9935</v>
      </c>
      <c r="B944" s="60" t="s">
        <v>3682</v>
      </c>
      <c r="C944" s="125" t="s">
        <v>5591</v>
      </c>
      <c r="D944" s="118">
        <v>9935</v>
      </c>
      <c r="E944" s="60">
        <f>[1]!'9935.TW-PreClose'</f>
        <v>20.2</v>
      </c>
      <c r="F944" s="141" t="str">
        <f>IFERROR(STOCKS!$E944-STOCKS昨天!$E944,"0")</f>
        <v>0</v>
      </c>
      <c r="G944" s="63">
        <f t="shared" si="14"/>
        <v>0</v>
      </c>
    </row>
    <row r="945" spans="1:7">
      <c r="A945" s="118">
        <v>9938</v>
      </c>
      <c r="B945" s="60" t="s">
        <v>4494</v>
      </c>
      <c r="C945" s="125" t="s">
        <v>5591</v>
      </c>
      <c r="D945" s="118">
        <v>9938</v>
      </c>
      <c r="E945" s="60">
        <f>[1]!'9938.TW-PreClose'</f>
        <v>81.400000000000006</v>
      </c>
      <c r="F945" s="141" t="str">
        <f>IFERROR(STOCKS!$E945-STOCKS昨天!$E945,"0")</f>
        <v>0</v>
      </c>
      <c r="G945" s="63">
        <f t="shared" si="14"/>
        <v>0</v>
      </c>
    </row>
    <row r="946" spans="1:7">
      <c r="A946" s="118">
        <v>9939</v>
      </c>
      <c r="B946" s="60" t="s">
        <v>4495</v>
      </c>
      <c r="C946" s="125" t="s">
        <v>5591</v>
      </c>
      <c r="D946" s="118">
        <v>9939</v>
      </c>
      <c r="E946" s="60" t="str">
        <f>[1]!'9939.TW-PreClose'</f>
        <v>--</v>
      </c>
      <c r="F946" s="141" t="str">
        <f>IFERROR(STOCKS!$E946-STOCKS昨天!$E946,"0")</f>
        <v>0</v>
      </c>
      <c r="G946" s="63" t="str">
        <f t="shared" si="14"/>
        <v>0</v>
      </c>
    </row>
    <row r="947" spans="1:7">
      <c r="A947" s="118">
        <v>9940</v>
      </c>
      <c r="B947" s="60" t="s">
        <v>3674</v>
      </c>
      <c r="C947" s="125" t="s">
        <v>5591</v>
      </c>
      <c r="D947" s="118">
        <v>9940</v>
      </c>
      <c r="E947" s="60" t="str">
        <f>[1]!'9940.TW-PreClose'</f>
        <v>--</v>
      </c>
      <c r="F947" s="141" t="str">
        <f>IFERROR(STOCKS!$E947-STOCKS昨天!$E947,"0")</f>
        <v>0</v>
      </c>
      <c r="G947" s="63" t="str">
        <f t="shared" si="14"/>
        <v>0</v>
      </c>
    </row>
    <row r="948" spans="1:7">
      <c r="A948" s="118">
        <v>9941</v>
      </c>
      <c r="B948" s="60" t="s">
        <v>4496</v>
      </c>
      <c r="C948" s="125" t="s">
        <v>5591</v>
      </c>
      <c r="D948" s="118">
        <v>9941</v>
      </c>
      <c r="E948" s="60">
        <f>[1]!'9941.TW-PreClose'</f>
        <v>171.5</v>
      </c>
      <c r="F948" s="141">
        <f>IFERROR(STOCKS!$E948-STOCKS昨天!$E948,"0")</f>
        <v>0</v>
      </c>
      <c r="G948" s="63">
        <f t="shared" si="14"/>
        <v>0</v>
      </c>
    </row>
    <row r="949" spans="1:7">
      <c r="A949" s="118">
        <v>9942</v>
      </c>
      <c r="B949" s="60" t="s">
        <v>4497</v>
      </c>
      <c r="C949" s="125" t="s">
        <v>5591</v>
      </c>
      <c r="D949" s="118">
        <v>9942</v>
      </c>
      <c r="E949" s="60" t="str">
        <f>[1]!'9942.TW-PreClose'</f>
        <v>--</v>
      </c>
      <c r="F949" s="141" t="str">
        <f>IFERROR(STOCKS!$E949-STOCKS昨天!$E949,"0")</f>
        <v>0</v>
      </c>
      <c r="G949" s="63" t="str">
        <f t="shared" si="14"/>
        <v>0</v>
      </c>
    </row>
    <row r="950" spans="1:7">
      <c r="A950" s="118">
        <v>9944</v>
      </c>
      <c r="B950" s="60" t="s">
        <v>3549</v>
      </c>
      <c r="C950" s="125" t="s">
        <v>5591</v>
      </c>
      <c r="D950" s="118">
        <v>9944</v>
      </c>
      <c r="E950" s="60">
        <f>[1]!'9944.TW-PreClose'</f>
        <v>22.7</v>
      </c>
      <c r="F950" s="141" t="str">
        <f>IFERROR(STOCKS!$E950-STOCKS昨天!$E950,"0")</f>
        <v>0</v>
      </c>
      <c r="G950" s="63">
        <f t="shared" si="14"/>
        <v>0</v>
      </c>
    </row>
    <row r="951" spans="1:7">
      <c r="A951" s="118">
        <v>9945</v>
      </c>
      <c r="B951" s="60" t="s">
        <v>4498</v>
      </c>
      <c r="C951" s="125" t="s">
        <v>5591</v>
      </c>
      <c r="D951" s="118">
        <v>9945</v>
      </c>
      <c r="E951" s="60" t="str">
        <f>[1]!'9945.TW-PreClose'</f>
        <v>--</v>
      </c>
      <c r="F951" s="141" t="str">
        <f>IFERROR(STOCKS!$E951-STOCKS昨天!$E951,"0")</f>
        <v>0</v>
      </c>
      <c r="G951" s="63" t="str">
        <f t="shared" si="14"/>
        <v>0</v>
      </c>
    </row>
    <row r="952" spans="1:7">
      <c r="A952" s="118">
        <v>9955</v>
      </c>
      <c r="B952" s="60" t="s">
        <v>4499</v>
      </c>
      <c r="C952" s="125" t="s">
        <v>5591</v>
      </c>
      <c r="D952" s="118">
        <v>9955</v>
      </c>
      <c r="E952" s="60">
        <f>[1]!'9955.TW-PreClose'</f>
        <v>17.25</v>
      </c>
      <c r="F952" s="141" t="str">
        <f>IFERROR(STOCKS!$E952-STOCKS昨天!$E952,"0")</f>
        <v>0</v>
      </c>
      <c r="G952" s="63">
        <f t="shared" si="14"/>
        <v>0</v>
      </c>
    </row>
    <row r="953" spans="1:7">
      <c r="A953" s="120">
        <v>1258</v>
      </c>
      <c r="B953" s="125" t="s">
        <v>4500</v>
      </c>
      <c r="C953" s="125" t="s">
        <v>5594</v>
      </c>
      <c r="D953" s="120">
        <v>1258</v>
      </c>
      <c r="E953" s="60">
        <f>[1]!'1258.TW-PreClose'</f>
        <v>17.55</v>
      </c>
      <c r="F953" s="141" t="str">
        <f>IFERROR(STOCKS!$E953-STOCKS昨天!$E953,"0")</f>
        <v>0</v>
      </c>
      <c r="G953" s="63">
        <f t="shared" si="14"/>
        <v>0</v>
      </c>
    </row>
    <row r="954" spans="1:7">
      <c r="A954" s="120">
        <v>1264</v>
      </c>
      <c r="B954" s="125" t="s">
        <v>4501</v>
      </c>
      <c r="C954" s="125" t="s">
        <v>5595</v>
      </c>
      <c r="D954" s="120">
        <v>1264</v>
      </c>
      <c r="E954" s="60">
        <f>[1]!'1264.TW-PreClose'</f>
        <v>295</v>
      </c>
      <c r="F954" s="141" t="str">
        <f>IFERROR(STOCKS!$E954-STOCKS昨天!$E954,"0")</f>
        <v>0</v>
      </c>
      <c r="G954" s="63">
        <f t="shared" si="14"/>
        <v>0</v>
      </c>
    </row>
    <row r="955" spans="1:7">
      <c r="A955" s="120">
        <v>1796</v>
      </c>
      <c r="B955" s="125" t="s">
        <v>4502</v>
      </c>
      <c r="C955" s="125" t="s">
        <v>5595</v>
      </c>
      <c r="D955" s="120">
        <v>1796</v>
      </c>
      <c r="E955" s="60">
        <f>[1]!'1796.TW-PreClose'</f>
        <v>37.5</v>
      </c>
      <c r="F955" s="141" t="str">
        <f>IFERROR(STOCKS!$E955-STOCKS昨天!$E955,"0")</f>
        <v>0</v>
      </c>
      <c r="G955" s="63">
        <f t="shared" si="14"/>
        <v>0</v>
      </c>
    </row>
    <row r="956" spans="1:7">
      <c r="A956" s="120">
        <v>4205</v>
      </c>
      <c r="B956" s="125" t="s">
        <v>4503</v>
      </c>
      <c r="C956" s="125" t="s">
        <v>5595</v>
      </c>
      <c r="D956" s="120">
        <v>4205</v>
      </c>
      <c r="E956" s="60" t="str">
        <f>[1]!'4205.TW-PreClose'</f>
        <v>--</v>
      </c>
      <c r="F956" s="141" t="str">
        <f>IFERROR(STOCKS!$E956-STOCKS昨天!$E956,"0")</f>
        <v>0</v>
      </c>
      <c r="G956" s="63" t="str">
        <f t="shared" si="14"/>
        <v>0</v>
      </c>
    </row>
    <row r="957" spans="1:7">
      <c r="A957" s="120">
        <v>4207</v>
      </c>
      <c r="B957" s="125" t="s">
        <v>4504</v>
      </c>
      <c r="C957" s="125" t="s">
        <v>5595</v>
      </c>
      <c r="D957" s="120">
        <v>4207</v>
      </c>
      <c r="E957" s="60">
        <f>[1]!'4207.TW-PreClose'</f>
        <v>13.7</v>
      </c>
      <c r="F957" s="141" t="str">
        <f>IFERROR(STOCKS!$E957-STOCKS昨天!$E957,"0")</f>
        <v>0</v>
      </c>
      <c r="G957" s="63">
        <f t="shared" si="14"/>
        <v>0</v>
      </c>
    </row>
    <row r="958" spans="1:7">
      <c r="A958" s="120">
        <v>4303</v>
      </c>
      <c r="B958" s="125" t="s">
        <v>4505</v>
      </c>
      <c r="C958" s="125" t="s">
        <v>5596</v>
      </c>
      <c r="D958" s="120">
        <v>4303</v>
      </c>
      <c r="E958" s="60">
        <f>[1]!'4303.TW-PreClose'</f>
        <v>28.5</v>
      </c>
      <c r="F958" s="141" t="str">
        <f>IFERROR(STOCKS!$E958-STOCKS昨天!$E958,"0")</f>
        <v>0</v>
      </c>
      <c r="G958" s="63">
        <f t="shared" si="14"/>
        <v>0</v>
      </c>
    </row>
    <row r="959" spans="1:7">
      <c r="A959" s="120">
        <v>4304</v>
      </c>
      <c r="B959" s="125" t="s">
        <v>4506</v>
      </c>
      <c r="C959" s="125" t="s">
        <v>5596</v>
      </c>
      <c r="D959" s="120">
        <v>4304</v>
      </c>
      <c r="E959" s="60" t="str">
        <f>[1]!'4304.TW-PreClose'</f>
        <v>--</v>
      </c>
      <c r="F959" s="141" t="str">
        <f>IFERROR(STOCKS!$E959-STOCKS昨天!$E959,"0")</f>
        <v>0</v>
      </c>
      <c r="G959" s="63" t="str">
        <f t="shared" si="14"/>
        <v>0</v>
      </c>
    </row>
    <row r="960" spans="1:7">
      <c r="A960" s="120">
        <v>4305</v>
      </c>
      <c r="B960" s="125" t="s">
        <v>4507</v>
      </c>
      <c r="C960" s="125" t="s">
        <v>5596</v>
      </c>
      <c r="D960" s="120">
        <v>4305</v>
      </c>
      <c r="E960" s="60">
        <f>[1]!'4305.TW-PreClose'</f>
        <v>32</v>
      </c>
      <c r="F960" s="141" t="str">
        <f>IFERROR(STOCKS!$E960-STOCKS昨天!$E960,"0")</f>
        <v>0</v>
      </c>
      <c r="G960" s="63">
        <f t="shared" si="14"/>
        <v>0</v>
      </c>
    </row>
    <row r="961" spans="1:7">
      <c r="A961" s="120">
        <v>9950</v>
      </c>
      <c r="B961" s="125" t="s">
        <v>4509</v>
      </c>
      <c r="C961" s="125" t="s">
        <v>5596</v>
      </c>
      <c r="D961" s="120">
        <v>9950</v>
      </c>
      <c r="E961" s="60">
        <f>[1]!'9950.TW-PreClose'</f>
        <v>9.8000000000000007</v>
      </c>
      <c r="F961" s="141" t="str">
        <f>IFERROR(STOCKS!$E961-STOCKS昨天!$E961,"0")</f>
        <v>0</v>
      </c>
      <c r="G961" s="63">
        <f t="shared" si="14"/>
        <v>0</v>
      </c>
    </row>
    <row r="962" spans="1:7">
      <c r="A962" s="120">
        <v>4401</v>
      </c>
      <c r="B962" s="125" t="s">
        <v>4510</v>
      </c>
      <c r="C962" s="125" t="s">
        <v>5597</v>
      </c>
      <c r="D962" s="120">
        <v>4401</v>
      </c>
      <c r="E962" s="60">
        <f>[1]!'4401.TW-PreClose'</f>
        <v>34.35</v>
      </c>
      <c r="F962" s="141" t="str">
        <f>IFERROR(STOCKS!$E962-STOCKS昨天!$E962,"0")</f>
        <v>0</v>
      </c>
      <c r="G962" s="63">
        <f t="shared" si="14"/>
        <v>0</v>
      </c>
    </row>
    <row r="963" spans="1:7">
      <c r="A963" s="120">
        <v>4402</v>
      </c>
      <c r="B963" s="125" t="s">
        <v>4511</v>
      </c>
      <c r="C963" s="125" t="s">
        <v>5597</v>
      </c>
      <c r="D963" s="120">
        <v>4402</v>
      </c>
      <c r="E963" s="60" t="str">
        <f>[1]!'4402.TW-PreClose'</f>
        <v>--</v>
      </c>
      <c r="F963" s="141" t="str">
        <f>IFERROR(STOCKS!$E963-STOCKS昨天!$E963,"0")</f>
        <v>0</v>
      </c>
      <c r="G963" s="63" t="str">
        <f t="shared" ref="G963:G1026" si="15">IFERROR($F963/$E963,"0")</f>
        <v>0</v>
      </c>
    </row>
    <row r="964" spans="1:7">
      <c r="A964" s="120">
        <v>4406</v>
      </c>
      <c r="B964" s="125" t="s">
        <v>3544</v>
      </c>
      <c r="C964" s="125" t="s">
        <v>5597</v>
      </c>
      <c r="D964" s="120">
        <v>4406</v>
      </c>
      <c r="E964" s="60">
        <f>[1]!'4406.TW-PreClose'</f>
        <v>11.55</v>
      </c>
      <c r="F964" s="141" t="str">
        <f>IFERROR(STOCKS!$E964-STOCKS昨天!$E964,"0")</f>
        <v>0</v>
      </c>
      <c r="G964" s="63">
        <f t="shared" si="15"/>
        <v>0</v>
      </c>
    </row>
    <row r="965" spans="1:7">
      <c r="A965" s="120">
        <v>4413</v>
      </c>
      <c r="B965" s="125" t="s">
        <v>4512</v>
      </c>
      <c r="C965" s="125" t="s">
        <v>5597</v>
      </c>
      <c r="D965" s="120">
        <v>4413</v>
      </c>
      <c r="E965" s="60">
        <f>[1]!'4413.TW-PreClose'</f>
        <v>12.05</v>
      </c>
      <c r="F965" s="141" t="str">
        <f>IFERROR(STOCKS!$E965-STOCKS昨天!$E965,"0")</f>
        <v>0</v>
      </c>
      <c r="G965" s="63">
        <f t="shared" si="15"/>
        <v>0</v>
      </c>
    </row>
    <row r="966" spans="1:7">
      <c r="A966" s="120">
        <v>4417</v>
      </c>
      <c r="B966" s="125" t="s">
        <v>4513</v>
      </c>
      <c r="C966" s="125" t="s">
        <v>5597</v>
      </c>
      <c r="D966" s="120">
        <v>4417</v>
      </c>
      <c r="E966" s="60">
        <f>[1]!'4417.TW-PreClose'</f>
        <v>35.200000000000003</v>
      </c>
      <c r="F966" s="141" t="str">
        <f>IFERROR(STOCKS!$E966-STOCKS昨天!$E966,"0")</f>
        <v>0</v>
      </c>
      <c r="G966" s="63">
        <f t="shared" si="15"/>
        <v>0</v>
      </c>
    </row>
    <row r="967" spans="1:7">
      <c r="A967" s="120">
        <v>4419</v>
      </c>
      <c r="B967" s="125" t="s">
        <v>4514</v>
      </c>
      <c r="C967" s="125" t="s">
        <v>5597</v>
      </c>
      <c r="D967" s="120">
        <v>4419</v>
      </c>
      <c r="E967" s="60">
        <f>[1]!'4419.TW-PreClose'</f>
        <v>10</v>
      </c>
      <c r="F967" s="141" t="str">
        <f>IFERROR(STOCKS!$E967-STOCKS昨天!$E967,"0")</f>
        <v>0</v>
      </c>
      <c r="G967" s="63">
        <f t="shared" si="15"/>
        <v>0</v>
      </c>
    </row>
    <row r="968" spans="1:7">
      <c r="A968" s="120">
        <v>4420</v>
      </c>
      <c r="B968" s="125" t="s">
        <v>4515</v>
      </c>
      <c r="C968" s="125" t="s">
        <v>5597</v>
      </c>
      <c r="D968" s="120">
        <v>4420</v>
      </c>
      <c r="E968" s="60" t="str">
        <f>[1]!'4420.TW-PreClose'</f>
        <v>--</v>
      </c>
      <c r="F968" s="141" t="str">
        <f>IFERROR(STOCKS!$E968-STOCKS昨天!$E968,"0")</f>
        <v>0</v>
      </c>
      <c r="G968" s="63" t="str">
        <f t="shared" si="15"/>
        <v>0</v>
      </c>
    </row>
    <row r="969" spans="1:7">
      <c r="A969" s="120">
        <v>4429</v>
      </c>
      <c r="B969" s="125" t="s">
        <v>4516</v>
      </c>
      <c r="C969" s="125" t="s">
        <v>5597</v>
      </c>
      <c r="D969" s="120">
        <v>4429</v>
      </c>
      <c r="E969" s="60">
        <f>[1]!'4429.TW-PreClose'</f>
        <v>40</v>
      </c>
      <c r="F969" s="141" t="str">
        <f>IFERROR(STOCKS!$E969-STOCKS昨天!$E969,"0")</f>
        <v>0</v>
      </c>
      <c r="G969" s="63">
        <f t="shared" si="15"/>
        <v>0</v>
      </c>
    </row>
    <row r="970" spans="1:7">
      <c r="A970" s="120">
        <v>4432</v>
      </c>
      <c r="B970" s="125" t="s">
        <v>4517</v>
      </c>
      <c r="C970" s="125" t="s">
        <v>5597</v>
      </c>
      <c r="D970" s="120">
        <v>4432</v>
      </c>
      <c r="E970" s="60">
        <f>[1]!'4432.TW-PreClose'</f>
        <v>15.1</v>
      </c>
      <c r="F970" s="141" t="str">
        <f>IFERROR(STOCKS!$E970-STOCKS昨天!$E970,"0")</f>
        <v>0</v>
      </c>
      <c r="G970" s="63">
        <f t="shared" si="15"/>
        <v>0</v>
      </c>
    </row>
    <row r="971" spans="1:7">
      <c r="A971" s="120">
        <v>4433</v>
      </c>
      <c r="B971" s="125" t="s">
        <v>4518</v>
      </c>
      <c r="C971" s="125" t="s">
        <v>5597</v>
      </c>
      <c r="D971" s="120">
        <v>4433</v>
      </c>
      <c r="E971" s="60">
        <f>[1]!'4433.TW-PreClose'</f>
        <v>31.85</v>
      </c>
      <c r="F971" s="141" t="str">
        <f>IFERROR(STOCKS!$E971-STOCKS昨天!$E971,"0")</f>
        <v>0</v>
      </c>
      <c r="G971" s="63">
        <f t="shared" si="15"/>
        <v>0</v>
      </c>
    </row>
    <row r="972" spans="1:7">
      <c r="A972" s="120">
        <v>6506</v>
      </c>
      <c r="B972" s="125" t="s">
        <v>4571</v>
      </c>
      <c r="C972" s="125" t="s">
        <v>5597</v>
      </c>
      <c r="D972" s="120">
        <v>6506</v>
      </c>
      <c r="E972" s="60" t="str">
        <f>[1]!'6506.TW-PreClose'</f>
        <v>--</v>
      </c>
      <c r="F972" s="141" t="str">
        <f>IFERROR(STOCKS!$E972-STOCKS昨天!$E972,"0")</f>
        <v>0</v>
      </c>
      <c r="G972" s="63" t="str">
        <f t="shared" si="15"/>
        <v>0</v>
      </c>
    </row>
    <row r="973" spans="1:7">
      <c r="A973" s="120">
        <v>1570</v>
      </c>
      <c r="B973" s="125" t="s">
        <v>4519</v>
      </c>
      <c r="C973" s="125" t="s">
        <v>5598</v>
      </c>
      <c r="D973" s="120">
        <v>1570</v>
      </c>
      <c r="E973" s="60">
        <f>[1]!'1570.TW-PreClose'</f>
        <v>21.05</v>
      </c>
      <c r="F973" s="141" t="str">
        <f>IFERROR(STOCKS!$E973-STOCKS昨天!$E973,"0")</f>
        <v>0</v>
      </c>
      <c r="G973" s="63">
        <f t="shared" si="15"/>
        <v>0</v>
      </c>
    </row>
    <row r="974" spans="1:7">
      <c r="A974" s="120">
        <v>1580</v>
      </c>
      <c r="B974" s="125" t="s">
        <v>4520</v>
      </c>
      <c r="C974" s="125" t="s">
        <v>5598</v>
      </c>
      <c r="D974" s="120">
        <v>1580</v>
      </c>
      <c r="E974" s="60">
        <f>[1]!'1580.TW-PreClose'</f>
        <v>104.5</v>
      </c>
      <c r="F974" s="141" t="str">
        <f>IFERROR(STOCKS!$E974-STOCKS昨天!$E974,"0")</f>
        <v>0</v>
      </c>
      <c r="G974" s="63">
        <f t="shared" si="15"/>
        <v>0</v>
      </c>
    </row>
    <row r="975" spans="1:7">
      <c r="A975" s="120">
        <v>1586</v>
      </c>
      <c r="B975" s="125" t="s">
        <v>3670</v>
      </c>
      <c r="C975" s="125" t="s">
        <v>5598</v>
      </c>
      <c r="D975" s="120">
        <v>1586</v>
      </c>
      <c r="E975" s="60">
        <f>[1]!'1586.TW-PreClose'</f>
        <v>41.3</v>
      </c>
      <c r="F975" s="141" t="str">
        <f>IFERROR(STOCKS!$E975-STOCKS昨天!$E975,"0")</f>
        <v>0</v>
      </c>
      <c r="G975" s="63">
        <f t="shared" si="15"/>
        <v>0</v>
      </c>
    </row>
    <row r="976" spans="1:7">
      <c r="A976" s="120">
        <v>1591</v>
      </c>
      <c r="B976" s="125" t="s">
        <v>4521</v>
      </c>
      <c r="C976" s="125" t="s">
        <v>5599</v>
      </c>
      <c r="D976" s="120">
        <v>1591</v>
      </c>
      <c r="E976" s="60">
        <f>[1]!'1591.TW-PreClose'</f>
        <v>14.95</v>
      </c>
      <c r="F976" s="141" t="str">
        <f>IFERROR(STOCKS!$E976-STOCKS昨天!$E976,"0")</f>
        <v>0</v>
      </c>
      <c r="G976" s="63">
        <f t="shared" si="15"/>
        <v>0</v>
      </c>
    </row>
    <row r="977" spans="1:7">
      <c r="A977" s="120">
        <v>1599</v>
      </c>
      <c r="B977" s="125" t="s">
        <v>4522</v>
      </c>
      <c r="C977" s="125" t="s">
        <v>5598</v>
      </c>
      <c r="D977" s="120">
        <v>1599</v>
      </c>
      <c r="E977" s="60">
        <f>[1]!'1599.TW-PreClose'</f>
        <v>43.85</v>
      </c>
      <c r="F977" s="141" t="str">
        <f>IFERROR(STOCKS!$E977-STOCKS昨天!$E977,"0")</f>
        <v>0</v>
      </c>
      <c r="G977" s="63">
        <f t="shared" si="15"/>
        <v>0</v>
      </c>
    </row>
    <row r="978" spans="1:7">
      <c r="A978" s="120">
        <v>2066</v>
      </c>
      <c r="B978" s="125" t="s">
        <v>4523</v>
      </c>
      <c r="C978" s="125" t="s">
        <v>5598</v>
      </c>
      <c r="D978" s="120">
        <v>2066</v>
      </c>
      <c r="E978" s="60">
        <f>[1]!'2066.TW-PreClose'</f>
        <v>62</v>
      </c>
      <c r="F978" s="141" t="str">
        <f>IFERROR(STOCKS!$E978-STOCKS昨天!$E978,"0")</f>
        <v>0</v>
      </c>
      <c r="G978" s="63">
        <f t="shared" si="15"/>
        <v>0</v>
      </c>
    </row>
    <row r="979" spans="1:7">
      <c r="A979" s="120">
        <v>2067</v>
      </c>
      <c r="B979" s="125" t="s">
        <v>4524</v>
      </c>
      <c r="C979" s="125" t="s">
        <v>5598</v>
      </c>
      <c r="D979" s="120">
        <v>2067</v>
      </c>
      <c r="E979" s="60">
        <f>[1]!'2067.TW-PreClose'</f>
        <v>12.9</v>
      </c>
      <c r="F979" s="141" t="str">
        <f>IFERROR(STOCKS!$E979-STOCKS昨天!$E979,"0")</f>
        <v>0</v>
      </c>
      <c r="G979" s="63">
        <f t="shared" si="15"/>
        <v>0</v>
      </c>
    </row>
    <row r="980" spans="1:7">
      <c r="A980" s="120">
        <v>2070</v>
      </c>
      <c r="B980" s="125" t="s">
        <v>4525</v>
      </c>
      <c r="C980" s="125" t="s">
        <v>5598</v>
      </c>
      <c r="D980" s="120">
        <v>2070</v>
      </c>
      <c r="E980" s="60">
        <f>[1]!'2070.TW-PreClose'</f>
        <v>32.299999999999997</v>
      </c>
      <c r="F980" s="141" t="str">
        <f>IFERROR(STOCKS!$E980-STOCKS昨天!$E980,"0")</f>
        <v>0</v>
      </c>
      <c r="G980" s="63">
        <f t="shared" si="15"/>
        <v>0</v>
      </c>
    </row>
    <row r="981" spans="1:7">
      <c r="A981" s="120">
        <v>2230</v>
      </c>
      <c r="B981" s="125" t="s">
        <v>4526</v>
      </c>
      <c r="C981" s="125" t="s">
        <v>5598</v>
      </c>
      <c r="D981" s="120">
        <v>2230</v>
      </c>
      <c r="E981" s="60">
        <f>[1]!'2230.TW-PreClose'</f>
        <v>13.45</v>
      </c>
      <c r="F981" s="141" t="str">
        <f>IFERROR(STOCKS!$E981-STOCKS昨天!$E981,"0")</f>
        <v>0</v>
      </c>
      <c r="G981" s="63">
        <f t="shared" si="15"/>
        <v>0</v>
      </c>
    </row>
    <row r="982" spans="1:7">
      <c r="A982" s="120">
        <v>2235</v>
      </c>
      <c r="B982" s="125" t="s">
        <v>4527</v>
      </c>
      <c r="C982" s="125" t="s">
        <v>5598</v>
      </c>
      <c r="D982" s="120">
        <v>2235</v>
      </c>
      <c r="E982" s="60">
        <f>[1]!'2235.TW-PreClose'</f>
        <v>39.1</v>
      </c>
      <c r="F982" s="141" t="str">
        <f>IFERROR(STOCKS!$E982-STOCKS昨天!$E982,"0")</f>
        <v>0</v>
      </c>
      <c r="G982" s="63">
        <f t="shared" si="15"/>
        <v>0</v>
      </c>
    </row>
    <row r="983" spans="1:7">
      <c r="A983" s="120">
        <v>3162</v>
      </c>
      <c r="B983" s="125" t="s">
        <v>4528</v>
      </c>
      <c r="C983" s="125" t="s">
        <v>5598</v>
      </c>
      <c r="D983" s="120">
        <v>3162</v>
      </c>
      <c r="E983" s="60">
        <f>[1]!'3162.TW-PreClose'</f>
        <v>48.4</v>
      </c>
      <c r="F983" s="141">
        <f>IFERROR(STOCKS!$E983-STOCKS昨天!$E983,"0")</f>
        <v>-4.9999999999997158E-2</v>
      </c>
      <c r="G983" s="63">
        <f t="shared" si="15"/>
        <v>-1.0330578512396107E-3</v>
      </c>
    </row>
    <row r="984" spans="1:7">
      <c r="A984" s="120">
        <v>3178</v>
      </c>
      <c r="B984" s="125" t="s">
        <v>3605</v>
      </c>
      <c r="C984" s="125" t="s">
        <v>5598</v>
      </c>
      <c r="D984" s="120">
        <v>3178</v>
      </c>
      <c r="E984" s="60">
        <f>[1]!'3178.TW-PreClose'</f>
        <v>75.400000000000006</v>
      </c>
      <c r="F984" s="141">
        <f>IFERROR(STOCKS!$E984-STOCKS昨天!$E984,"0")</f>
        <v>0.59999999999999432</v>
      </c>
      <c r="G984" s="63">
        <f t="shared" si="15"/>
        <v>7.9575596816975364E-3</v>
      </c>
    </row>
    <row r="985" spans="1:7">
      <c r="A985" s="120">
        <v>3226</v>
      </c>
      <c r="B985" s="125" t="s">
        <v>4529</v>
      </c>
      <c r="C985" s="125" t="s">
        <v>5598</v>
      </c>
      <c r="D985" s="120">
        <v>3226</v>
      </c>
      <c r="E985" s="60">
        <f>[1]!'3226.TW-PreClose'</f>
        <v>65.5</v>
      </c>
      <c r="F985" s="141" t="str">
        <f>IFERROR(STOCKS!$E985-STOCKS昨天!$E985,"0")</f>
        <v>0</v>
      </c>
      <c r="G985" s="63">
        <f t="shared" si="15"/>
        <v>0</v>
      </c>
    </row>
    <row r="986" spans="1:7">
      <c r="A986" s="120">
        <v>3379</v>
      </c>
      <c r="B986" s="125" t="s">
        <v>4530</v>
      </c>
      <c r="C986" s="125" t="s">
        <v>5598</v>
      </c>
      <c r="D986" s="120">
        <v>3379</v>
      </c>
      <c r="E986" s="60">
        <f>[1]!'3379.TW-PreClose'</f>
        <v>12.2</v>
      </c>
      <c r="F986" s="141" t="str">
        <f>IFERROR(STOCKS!$E986-STOCKS昨天!$E986,"0")</f>
        <v>0</v>
      </c>
      <c r="G986" s="63">
        <f t="shared" si="15"/>
        <v>0</v>
      </c>
    </row>
    <row r="987" spans="1:7">
      <c r="A987" s="120">
        <v>3426</v>
      </c>
      <c r="B987" s="125" t="s">
        <v>4531</v>
      </c>
      <c r="C987" s="125" t="s">
        <v>5598</v>
      </c>
      <c r="D987" s="120">
        <v>3426</v>
      </c>
      <c r="E987" s="60">
        <f>[1]!'3426.TW-PreClose'</f>
        <v>38.1</v>
      </c>
      <c r="F987" s="141" t="str">
        <f>IFERROR(STOCKS!$E987-STOCKS昨天!$E987,"0")</f>
        <v>0</v>
      </c>
      <c r="G987" s="63">
        <f t="shared" si="15"/>
        <v>0</v>
      </c>
    </row>
    <row r="988" spans="1:7">
      <c r="A988" s="120">
        <v>3685</v>
      </c>
      <c r="B988" s="125" t="s">
        <v>4789</v>
      </c>
      <c r="C988" s="125" t="s">
        <v>5598</v>
      </c>
      <c r="D988" s="120">
        <v>3685</v>
      </c>
      <c r="E988" s="60">
        <f>[1]!'3685.TW-PreClose'</f>
        <v>40.5</v>
      </c>
      <c r="F988" s="141" t="str">
        <f>IFERROR(STOCKS!$E988-STOCKS昨天!$E988,"0")</f>
        <v>0</v>
      </c>
      <c r="G988" s="63">
        <f t="shared" si="15"/>
        <v>0</v>
      </c>
    </row>
    <row r="989" spans="1:7">
      <c r="A989" s="120">
        <v>4502</v>
      </c>
      <c r="B989" s="125" t="s">
        <v>4532</v>
      </c>
      <c r="C989" s="125" t="s">
        <v>5598</v>
      </c>
      <c r="D989" s="120">
        <v>4502</v>
      </c>
      <c r="E989" s="60" t="str">
        <f>[1]!'4502.TW-PreClose'</f>
        <v>--</v>
      </c>
      <c r="F989" s="141" t="str">
        <f>IFERROR(STOCKS!$E989-STOCKS昨天!$E989,"0")</f>
        <v>0</v>
      </c>
      <c r="G989" s="63" t="str">
        <f t="shared" si="15"/>
        <v>0</v>
      </c>
    </row>
    <row r="990" spans="1:7">
      <c r="A990" s="120">
        <v>4503</v>
      </c>
      <c r="B990" s="125" t="s">
        <v>4533</v>
      </c>
      <c r="C990" s="125" t="s">
        <v>5598</v>
      </c>
      <c r="D990" s="120">
        <v>4503</v>
      </c>
      <c r="E990" s="60">
        <f>[1]!'4503.TW-PreClose'</f>
        <v>26.1</v>
      </c>
      <c r="F990" s="141" t="str">
        <f>IFERROR(STOCKS!$E990-STOCKS昨天!$E990,"0")</f>
        <v>0</v>
      </c>
      <c r="G990" s="63">
        <f t="shared" si="15"/>
        <v>0</v>
      </c>
    </row>
    <row r="991" spans="1:7">
      <c r="A991" s="120">
        <v>4506</v>
      </c>
      <c r="B991" s="125" t="s">
        <v>4534</v>
      </c>
      <c r="C991" s="125" t="s">
        <v>5598</v>
      </c>
      <c r="D991" s="120">
        <v>4506</v>
      </c>
      <c r="E991" s="60" t="str">
        <f>[1]!'4506.TW-PreClose'</f>
        <v>--</v>
      </c>
      <c r="F991" s="141" t="str">
        <f>IFERROR(STOCKS!$E991-STOCKS昨天!$E991,"0")</f>
        <v>0</v>
      </c>
      <c r="G991" s="63" t="str">
        <f t="shared" si="15"/>
        <v>0</v>
      </c>
    </row>
    <row r="992" spans="1:7">
      <c r="A992" s="120">
        <v>4510</v>
      </c>
      <c r="B992" s="125" t="s">
        <v>4535</v>
      </c>
      <c r="C992" s="125" t="s">
        <v>5598</v>
      </c>
      <c r="D992" s="120">
        <v>4510</v>
      </c>
      <c r="E992" s="60">
        <f>[1]!'4510.TW-PreClose'</f>
        <v>11.1</v>
      </c>
      <c r="F992" s="141" t="str">
        <f>IFERROR(STOCKS!$E992-STOCKS昨天!$E992,"0")</f>
        <v>0</v>
      </c>
      <c r="G992" s="63">
        <f t="shared" si="15"/>
        <v>0</v>
      </c>
    </row>
    <row r="993" spans="1:7">
      <c r="A993" s="120">
        <v>4513</v>
      </c>
      <c r="B993" s="125" t="s">
        <v>4536</v>
      </c>
      <c r="C993" s="125" t="s">
        <v>5598</v>
      </c>
      <c r="D993" s="120">
        <v>4513</v>
      </c>
      <c r="E993" s="60">
        <f>[1]!'4513.TW-PreClose'</f>
        <v>15.55</v>
      </c>
      <c r="F993" s="141">
        <f>IFERROR(STOCKS!$E993-STOCKS昨天!$E993,"0")</f>
        <v>0</v>
      </c>
      <c r="G993" s="63">
        <f t="shared" si="15"/>
        <v>0</v>
      </c>
    </row>
    <row r="994" spans="1:7">
      <c r="A994" s="120">
        <v>4523</v>
      </c>
      <c r="B994" s="125" t="s">
        <v>4537</v>
      </c>
      <c r="C994" s="125" t="s">
        <v>5598</v>
      </c>
      <c r="D994" s="120">
        <v>4523</v>
      </c>
      <c r="E994" s="60">
        <f>[1]!'4523.TW-PreClose'</f>
        <v>29</v>
      </c>
      <c r="F994" s="141" t="str">
        <f>IFERROR(STOCKS!$E994-STOCKS昨天!$E994,"0")</f>
        <v>0</v>
      </c>
      <c r="G994" s="63">
        <f t="shared" si="15"/>
        <v>0</v>
      </c>
    </row>
    <row r="995" spans="1:7">
      <c r="A995" s="120">
        <v>4527</v>
      </c>
      <c r="B995" s="125" t="s">
        <v>4538</v>
      </c>
      <c r="C995" s="125" t="s">
        <v>5598</v>
      </c>
      <c r="D995" s="120">
        <v>4527</v>
      </c>
      <c r="E995" s="60">
        <f>[1]!'4527.TW-PreClose'</f>
        <v>27.45</v>
      </c>
      <c r="F995" s="141" t="str">
        <f>IFERROR(STOCKS!$E995-STOCKS昨天!$E995,"0")</f>
        <v>0</v>
      </c>
      <c r="G995" s="63">
        <f t="shared" si="15"/>
        <v>0</v>
      </c>
    </row>
    <row r="996" spans="1:7">
      <c r="A996" s="120">
        <v>4528</v>
      </c>
      <c r="B996" s="125" t="s">
        <v>4539</v>
      </c>
      <c r="C996" s="125" t="s">
        <v>5598</v>
      </c>
      <c r="D996" s="120">
        <v>4528</v>
      </c>
      <c r="E996" s="60">
        <f>[1]!'4528.TW-PreClose'</f>
        <v>41.25</v>
      </c>
      <c r="F996" s="141" t="str">
        <f>IFERROR(STOCKS!$E996-STOCKS昨天!$E996,"0")</f>
        <v>0</v>
      </c>
      <c r="G996" s="63">
        <f t="shared" si="15"/>
        <v>0</v>
      </c>
    </row>
    <row r="997" spans="1:7">
      <c r="A997" s="120">
        <v>4530</v>
      </c>
      <c r="B997" s="125" t="s">
        <v>4540</v>
      </c>
      <c r="C997" s="125" t="s">
        <v>5598</v>
      </c>
      <c r="D997" s="120">
        <v>4530</v>
      </c>
      <c r="E997" s="60" t="str">
        <f>[1]!'4530.TW-PreClose'</f>
        <v>--</v>
      </c>
      <c r="F997" s="141" t="str">
        <f>IFERROR(STOCKS!$E997-STOCKS昨天!$E997,"0")</f>
        <v>0</v>
      </c>
      <c r="G997" s="63" t="str">
        <f t="shared" si="15"/>
        <v>0</v>
      </c>
    </row>
    <row r="998" spans="1:7">
      <c r="A998" s="120">
        <v>4533</v>
      </c>
      <c r="B998" s="125" t="s">
        <v>4541</v>
      </c>
      <c r="C998" s="125" t="s">
        <v>5598</v>
      </c>
      <c r="D998" s="120">
        <v>4533</v>
      </c>
      <c r="E998" s="60" t="str">
        <f>[1]!'4533.TW-PreClose'</f>
        <v>--</v>
      </c>
      <c r="F998" s="141" t="str">
        <f>IFERROR(STOCKS!$E998-STOCKS昨天!$E998,"0")</f>
        <v>0</v>
      </c>
      <c r="G998" s="63" t="str">
        <f t="shared" si="15"/>
        <v>0</v>
      </c>
    </row>
    <row r="999" spans="1:7">
      <c r="A999" s="120">
        <v>4534</v>
      </c>
      <c r="B999" s="125" t="s">
        <v>4542</v>
      </c>
      <c r="C999" s="125" t="s">
        <v>5598</v>
      </c>
      <c r="D999" s="120">
        <v>4534</v>
      </c>
      <c r="E999" s="60">
        <f>[1]!'4534.TW-PreClose'</f>
        <v>12.95</v>
      </c>
      <c r="F999" s="141" t="str">
        <f>IFERROR(STOCKS!$E999-STOCKS昨天!$E999,"0")</f>
        <v>0</v>
      </c>
      <c r="G999" s="63">
        <f t="shared" si="15"/>
        <v>0</v>
      </c>
    </row>
    <row r="1000" spans="1:7">
      <c r="A1000" s="120">
        <v>4535</v>
      </c>
      <c r="B1000" s="125" t="s">
        <v>4543</v>
      </c>
      <c r="C1000" s="125" t="s">
        <v>5598</v>
      </c>
      <c r="D1000" s="120">
        <v>4535</v>
      </c>
      <c r="E1000" s="60">
        <f>[1]!'4535.TW-PreClose'</f>
        <v>34</v>
      </c>
      <c r="F1000" s="141" t="str">
        <f>IFERROR(STOCKS!$E1000-STOCKS昨天!$E1000,"0")</f>
        <v>0</v>
      </c>
      <c r="G1000" s="63">
        <f t="shared" si="15"/>
        <v>0</v>
      </c>
    </row>
    <row r="1001" spans="1:7">
      <c r="A1001" s="120">
        <v>4538</v>
      </c>
      <c r="B1001" s="125" t="s">
        <v>4544</v>
      </c>
      <c r="C1001" s="125" t="s">
        <v>5598</v>
      </c>
      <c r="D1001" s="120">
        <v>4538</v>
      </c>
      <c r="E1001" s="60" t="str">
        <f>[1]!'4538.TW-PreClose'</f>
        <v>--</v>
      </c>
      <c r="F1001" s="141" t="str">
        <f>IFERROR(STOCKS!$E1001-STOCKS昨天!$E1001,"0")</f>
        <v>0</v>
      </c>
      <c r="G1001" s="63" t="str">
        <f t="shared" si="15"/>
        <v>0</v>
      </c>
    </row>
    <row r="1002" spans="1:7">
      <c r="A1002" s="120">
        <v>4543</v>
      </c>
      <c r="B1002" s="125" t="s">
        <v>4545</v>
      </c>
      <c r="C1002" s="125" t="s">
        <v>5598</v>
      </c>
      <c r="D1002" s="120">
        <v>4543</v>
      </c>
      <c r="E1002" s="60" t="str">
        <f>[1]!'4543.TW-PreClose'</f>
        <v>--</v>
      </c>
      <c r="F1002" s="141" t="str">
        <f>IFERROR(STOCKS!$E1002-STOCKS昨天!$E1002,"0")</f>
        <v>0</v>
      </c>
      <c r="G1002" s="63" t="str">
        <f t="shared" si="15"/>
        <v>0</v>
      </c>
    </row>
    <row r="1003" spans="1:7">
      <c r="A1003" s="120">
        <v>4549</v>
      </c>
      <c r="B1003" s="125" t="s">
        <v>4546</v>
      </c>
      <c r="C1003" s="125" t="s">
        <v>5598</v>
      </c>
      <c r="D1003" s="120">
        <v>4549</v>
      </c>
      <c r="E1003" s="60" t="str">
        <f>[1]!'4549.TW-PreClose'</f>
        <v>--</v>
      </c>
      <c r="F1003" s="141" t="str">
        <f>IFERROR(STOCKS!$E1003-STOCKS昨天!$E1003,"0")</f>
        <v>0</v>
      </c>
      <c r="G1003" s="63" t="str">
        <f t="shared" si="15"/>
        <v>0</v>
      </c>
    </row>
    <row r="1004" spans="1:7">
      <c r="A1004" s="120">
        <v>4550</v>
      </c>
      <c r="B1004" s="125" t="s">
        <v>4547</v>
      </c>
      <c r="C1004" s="125" t="s">
        <v>5598</v>
      </c>
      <c r="D1004" s="120">
        <v>4550</v>
      </c>
      <c r="E1004" s="60">
        <f>[1]!'4550.TW-PreClose'</f>
        <v>23.25</v>
      </c>
      <c r="F1004" s="141" t="str">
        <f>IFERROR(STOCKS!$E1004-STOCKS昨天!$E1004,"0")</f>
        <v>0</v>
      </c>
      <c r="G1004" s="63">
        <f t="shared" si="15"/>
        <v>0</v>
      </c>
    </row>
    <row r="1005" spans="1:7">
      <c r="A1005" s="120">
        <v>4561</v>
      </c>
      <c r="B1005" s="125" t="s">
        <v>3512</v>
      </c>
      <c r="C1005" s="125" t="s">
        <v>5598</v>
      </c>
      <c r="D1005" s="120">
        <v>4561</v>
      </c>
      <c r="E1005" s="60">
        <f>[1]!'4561.TW-PreClose'</f>
        <v>29.1</v>
      </c>
      <c r="F1005" s="141" t="str">
        <f>IFERROR(STOCKS!$E1005-STOCKS昨天!$E1005,"0")</f>
        <v>0</v>
      </c>
      <c r="G1005" s="63">
        <f t="shared" si="15"/>
        <v>0</v>
      </c>
    </row>
    <row r="1006" spans="1:7">
      <c r="A1006" s="120">
        <v>4563</v>
      </c>
      <c r="B1006" s="125" t="s">
        <v>4548</v>
      </c>
      <c r="C1006" s="125" t="s">
        <v>5598</v>
      </c>
      <c r="D1006" s="120">
        <v>4563</v>
      </c>
      <c r="E1006" s="60">
        <f>[1]!'4563.TW-PreClose'</f>
        <v>30.75</v>
      </c>
      <c r="F1006" s="141" t="str">
        <f>IFERROR(STOCKS!$E1006-STOCKS昨天!$E1006,"0")</f>
        <v>0</v>
      </c>
      <c r="G1006" s="63">
        <f t="shared" si="15"/>
        <v>0</v>
      </c>
    </row>
    <row r="1007" spans="1:7">
      <c r="A1007" s="120">
        <v>4568</v>
      </c>
      <c r="B1007" s="125" t="s">
        <v>4549</v>
      </c>
      <c r="C1007" s="125" t="s">
        <v>5598</v>
      </c>
      <c r="D1007" s="120">
        <v>4568</v>
      </c>
      <c r="E1007" s="60" t="str">
        <f>[1]!'4568.TW-PreClose'</f>
        <v>--</v>
      </c>
      <c r="F1007" s="141" t="str">
        <f>IFERROR(STOCKS!$E1007-STOCKS昨天!$E1007,"0")</f>
        <v>0</v>
      </c>
      <c r="G1007" s="63" t="str">
        <f t="shared" si="15"/>
        <v>0</v>
      </c>
    </row>
    <row r="1008" spans="1:7">
      <c r="A1008" s="120">
        <v>4580</v>
      </c>
      <c r="B1008" s="125" t="s">
        <v>4550</v>
      </c>
      <c r="C1008" s="125" t="s">
        <v>5598</v>
      </c>
      <c r="D1008" s="120">
        <v>4580</v>
      </c>
      <c r="E1008" s="60" t="str">
        <f>[1]!'4580.TW-PreClose'</f>
        <v>--</v>
      </c>
      <c r="F1008" s="141" t="str">
        <f>IFERROR(STOCKS!$E1008-STOCKS昨天!$E1008,"0")</f>
        <v>0</v>
      </c>
      <c r="G1008" s="63" t="str">
        <f t="shared" si="15"/>
        <v>0</v>
      </c>
    </row>
    <row r="1009" spans="1:7">
      <c r="A1009" s="120">
        <v>6122</v>
      </c>
      <c r="B1009" s="125" t="s">
        <v>4551</v>
      </c>
      <c r="C1009" s="125" t="s">
        <v>5598</v>
      </c>
      <c r="D1009" s="120">
        <v>6122</v>
      </c>
      <c r="E1009" s="60">
        <f>[1]!'6122.TW-PreClose'</f>
        <v>12.15</v>
      </c>
      <c r="F1009" s="141" t="str">
        <f>IFERROR(STOCKS!$E1009-STOCKS昨天!$E1009,"0")</f>
        <v>0</v>
      </c>
      <c r="G1009" s="63">
        <f t="shared" si="15"/>
        <v>0</v>
      </c>
    </row>
    <row r="1010" spans="1:7">
      <c r="A1010" s="120">
        <v>6425</v>
      </c>
      <c r="B1010" s="125" t="s">
        <v>4552</v>
      </c>
      <c r="C1010" s="125" t="s">
        <v>5598</v>
      </c>
      <c r="D1010" s="120">
        <v>6425</v>
      </c>
      <c r="E1010" s="60">
        <f>[1]!'6425.TW-PreClose'</f>
        <v>26</v>
      </c>
      <c r="F1010" s="141" t="str">
        <f>IFERROR(STOCKS!$E1010-STOCKS昨天!$E1010,"0")</f>
        <v>0</v>
      </c>
      <c r="G1010" s="63">
        <f t="shared" si="15"/>
        <v>0</v>
      </c>
    </row>
    <row r="1011" spans="1:7">
      <c r="A1011" s="120">
        <v>6603</v>
      </c>
      <c r="B1011" s="125" t="s">
        <v>4553</v>
      </c>
      <c r="C1011" s="125" t="s">
        <v>5598</v>
      </c>
      <c r="D1011" s="120">
        <v>6603</v>
      </c>
      <c r="E1011" s="60" t="str">
        <f>[1]!'6603.TW-PreClose'</f>
        <v>--</v>
      </c>
      <c r="F1011" s="141" t="str">
        <f>IFERROR(STOCKS!$E1011-STOCKS昨天!$E1011,"0")</f>
        <v>0</v>
      </c>
      <c r="G1011" s="63" t="str">
        <f t="shared" si="15"/>
        <v>0</v>
      </c>
    </row>
    <row r="1012" spans="1:7">
      <c r="A1012" s="120">
        <v>6609</v>
      </c>
      <c r="B1012" s="125" t="s">
        <v>4554</v>
      </c>
      <c r="C1012" s="125" t="s">
        <v>5598</v>
      </c>
      <c r="D1012" s="120">
        <v>6609</v>
      </c>
      <c r="E1012" s="60">
        <f>[1]!'6609.TW-PreClose'</f>
        <v>28.9</v>
      </c>
      <c r="F1012" s="141" t="str">
        <f>IFERROR(STOCKS!$E1012-STOCKS昨天!$E1012,"0")</f>
        <v>0</v>
      </c>
      <c r="G1012" s="63">
        <f t="shared" si="15"/>
        <v>0</v>
      </c>
    </row>
    <row r="1013" spans="1:7">
      <c r="A1013" s="120">
        <v>6843</v>
      </c>
      <c r="B1013" s="125" t="s">
        <v>5593</v>
      </c>
      <c r="C1013" s="125" t="s">
        <v>5598</v>
      </c>
      <c r="D1013" s="120">
        <v>6843</v>
      </c>
      <c r="E1013" s="60">
        <f>[1]!'6843.TW-PreClose'</f>
        <v>49.2</v>
      </c>
      <c r="F1013" s="141" t="str">
        <f>IFERROR(STOCKS!$E1013-STOCKS昨天!$E1013,"0")</f>
        <v>0</v>
      </c>
      <c r="G1013" s="63">
        <f t="shared" si="15"/>
        <v>0</v>
      </c>
    </row>
    <row r="1014" spans="1:7">
      <c r="A1014" s="120">
        <v>8027</v>
      </c>
      <c r="B1014" s="125" t="s">
        <v>4555</v>
      </c>
      <c r="C1014" s="125" t="s">
        <v>5598</v>
      </c>
      <c r="D1014" s="120">
        <v>8027</v>
      </c>
      <c r="E1014" s="60">
        <f>[1]!'8027.TW-PreClose'</f>
        <v>70.900000000000006</v>
      </c>
      <c r="F1014" s="141" t="str">
        <f>IFERROR(STOCKS!$E1014-STOCKS昨天!$E1014,"0")</f>
        <v>0</v>
      </c>
      <c r="G1014" s="63">
        <f t="shared" si="15"/>
        <v>0</v>
      </c>
    </row>
    <row r="1015" spans="1:7">
      <c r="A1015" s="120">
        <v>8083</v>
      </c>
      <c r="B1015" s="125" t="s">
        <v>4556</v>
      </c>
      <c r="C1015" s="125" t="s">
        <v>5598</v>
      </c>
      <c r="D1015" s="120">
        <v>8083</v>
      </c>
      <c r="E1015" s="60" t="str">
        <f>[1]!'8083.TW-PreClose'</f>
        <v>--</v>
      </c>
      <c r="F1015" s="141" t="str">
        <f>IFERROR(STOCKS!$E1015-STOCKS昨天!$E1015,"0")</f>
        <v>0</v>
      </c>
      <c r="G1015" s="63" t="str">
        <f t="shared" si="15"/>
        <v>0</v>
      </c>
    </row>
    <row r="1016" spans="1:7">
      <c r="A1016" s="120">
        <v>8107</v>
      </c>
      <c r="B1016" s="125" t="s">
        <v>3571</v>
      </c>
      <c r="C1016" s="125" t="s">
        <v>5598</v>
      </c>
      <c r="D1016" s="120">
        <v>8107</v>
      </c>
      <c r="E1016" s="60">
        <f>[1]!'8107.TW-PreClose'</f>
        <v>18.350000000000001</v>
      </c>
      <c r="F1016" s="141" t="str">
        <f>IFERROR(STOCKS!$E1016-STOCKS昨天!$E1016,"0")</f>
        <v>0</v>
      </c>
      <c r="G1016" s="63">
        <f t="shared" si="15"/>
        <v>0</v>
      </c>
    </row>
    <row r="1017" spans="1:7">
      <c r="A1017" s="120">
        <v>8255</v>
      </c>
      <c r="B1017" s="125" t="s">
        <v>4557</v>
      </c>
      <c r="C1017" s="125" t="s">
        <v>5598</v>
      </c>
      <c r="D1017" s="120">
        <v>8255</v>
      </c>
      <c r="E1017" s="60" t="str">
        <f>[1]!'8255.TW-PreClose'</f>
        <v>--</v>
      </c>
      <c r="F1017" s="141" t="str">
        <f>IFERROR(STOCKS!$E1017-STOCKS昨天!$E1017,"0")</f>
        <v>0</v>
      </c>
      <c r="G1017" s="63" t="str">
        <f t="shared" si="15"/>
        <v>0</v>
      </c>
    </row>
    <row r="1018" spans="1:7">
      <c r="A1018" s="120">
        <v>9951</v>
      </c>
      <c r="B1018" s="125" t="s">
        <v>4558</v>
      </c>
      <c r="C1018" s="125" t="s">
        <v>5598</v>
      </c>
      <c r="D1018" s="120">
        <v>9951</v>
      </c>
      <c r="E1018" s="60">
        <f>[1]!'9951.TW-PreClose'</f>
        <v>80</v>
      </c>
      <c r="F1018" s="141" t="str">
        <f>IFERROR(STOCKS!$E1018-STOCKS昨天!$E1018,"0")</f>
        <v>0</v>
      </c>
      <c r="G1018" s="63">
        <f t="shared" si="15"/>
        <v>0</v>
      </c>
    </row>
    <row r="1019" spans="1:7">
      <c r="A1019" s="120">
        <v>2061</v>
      </c>
      <c r="B1019" s="125" t="s">
        <v>4559</v>
      </c>
      <c r="C1019" s="125" t="s">
        <v>5600</v>
      </c>
      <c r="D1019" s="120">
        <v>2061</v>
      </c>
      <c r="E1019" s="60">
        <f>[1]!'2061.TW-PreClose'</f>
        <v>20.5</v>
      </c>
      <c r="F1019" s="141" t="str">
        <f>IFERROR(STOCKS!$E1019-STOCKS昨天!$E1019,"0")</f>
        <v>0</v>
      </c>
      <c r="G1019" s="63">
        <f t="shared" si="15"/>
        <v>0</v>
      </c>
    </row>
    <row r="1020" spans="1:7">
      <c r="A1020" s="120">
        <v>4609</v>
      </c>
      <c r="B1020" s="125" t="s">
        <v>4560</v>
      </c>
      <c r="C1020" s="125" t="s">
        <v>5600</v>
      </c>
      <c r="D1020" s="120">
        <v>4609</v>
      </c>
      <c r="E1020" s="60" t="str">
        <f>[1]!'4609.TW-PreClose'</f>
        <v>--</v>
      </c>
      <c r="F1020" s="141" t="str">
        <f>IFERROR(STOCKS!$E1020-STOCKS昨天!$E1020,"0")</f>
        <v>0</v>
      </c>
      <c r="G1020" s="63" t="str">
        <f t="shared" si="15"/>
        <v>0</v>
      </c>
    </row>
    <row r="1021" spans="1:7">
      <c r="A1021" s="120">
        <v>1742</v>
      </c>
      <c r="B1021" s="125" t="s">
        <v>4561</v>
      </c>
      <c r="C1021" s="125" t="s">
        <v>5601</v>
      </c>
      <c r="D1021" s="120">
        <v>1742</v>
      </c>
      <c r="E1021" s="60">
        <f>[1]!'1742.TW-PreClose'</f>
        <v>19.7</v>
      </c>
      <c r="F1021" s="141" t="str">
        <f>IFERROR(STOCKS!$E1021-STOCKS昨天!$E1021,"0")</f>
        <v>0</v>
      </c>
      <c r="G1021" s="63">
        <f t="shared" si="15"/>
        <v>0</v>
      </c>
    </row>
    <row r="1022" spans="1:7">
      <c r="A1022" s="120">
        <v>4702</v>
      </c>
      <c r="B1022" s="125" t="s">
        <v>3602</v>
      </c>
      <c r="C1022" s="125" t="s">
        <v>5601</v>
      </c>
      <c r="D1022" s="120">
        <v>4702</v>
      </c>
      <c r="E1022" s="60" t="str">
        <f>[1]!'4702.TW-PreClose'</f>
        <v>--</v>
      </c>
      <c r="F1022" s="141" t="str">
        <f>IFERROR(STOCKS!$E1022-STOCKS昨天!$E1022,"0")</f>
        <v>0</v>
      </c>
      <c r="G1022" s="63" t="str">
        <f t="shared" si="15"/>
        <v>0</v>
      </c>
    </row>
    <row r="1023" spans="1:7">
      <c r="A1023" s="120">
        <v>4706</v>
      </c>
      <c r="B1023" s="125" t="s">
        <v>4562</v>
      </c>
      <c r="C1023" s="125" t="s">
        <v>5601</v>
      </c>
      <c r="D1023" s="120">
        <v>4706</v>
      </c>
      <c r="E1023" s="60">
        <f>[1]!'4706.TW-PreClose'</f>
        <v>18.850000000000001</v>
      </c>
      <c r="F1023" s="141" t="str">
        <f>IFERROR(STOCKS!$E1023-STOCKS昨天!$E1023,"0")</f>
        <v>0</v>
      </c>
      <c r="G1023" s="63">
        <f t="shared" si="15"/>
        <v>0</v>
      </c>
    </row>
    <row r="1024" spans="1:7">
      <c r="A1024" s="120">
        <v>4707</v>
      </c>
      <c r="B1024" s="125" t="s">
        <v>4563</v>
      </c>
      <c r="C1024" s="125" t="s">
        <v>5601</v>
      </c>
      <c r="D1024" s="120">
        <v>4707</v>
      </c>
      <c r="E1024" s="60">
        <f>[1]!'4707.TW-PreClose'</f>
        <v>12.8</v>
      </c>
      <c r="F1024" s="141" t="str">
        <f>IFERROR(STOCKS!$E1024-STOCKS昨天!$E1024,"0")</f>
        <v>0</v>
      </c>
      <c r="G1024" s="63">
        <f t="shared" si="15"/>
        <v>0</v>
      </c>
    </row>
    <row r="1025" spans="1:7">
      <c r="A1025" s="120">
        <v>4711</v>
      </c>
      <c r="B1025" s="125" t="s">
        <v>4564</v>
      </c>
      <c r="C1025" s="125" t="s">
        <v>5601</v>
      </c>
      <c r="D1025" s="120">
        <v>4711</v>
      </c>
      <c r="E1025" s="60">
        <f>[1]!'4711.TW-PreClose'</f>
        <v>20.399999999999999</v>
      </c>
      <c r="F1025" s="141" t="str">
        <f>IFERROR(STOCKS!$E1025-STOCKS昨天!$E1025,"0")</f>
        <v>0</v>
      </c>
      <c r="G1025" s="63">
        <f t="shared" si="15"/>
        <v>0</v>
      </c>
    </row>
    <row r="1026" spans="1:7">
      <c r="A1026" s="120">
        <v>4714</v>
      </c>
      <c r="B1026" s="125" t="s">
        <v>4565</v>
      </c>
      <c r="C1026" s="125" t="s">
        <v>5601</v>
      </c>
      <c r="D1026" s="120">
        <v>4714</v>
      </c>
      <c r="E1026" s="60">
        <f>[1]!'4714.TW-PreClose'</f>
        <v>14.5</v>
      </c>
      <c r="F1026" s="141" t="str">
        <f>IFERROR(STOCKS!$E1026-STOCKS昨天!$E1026,"0")</f>
        <v>0</v>
      </c>
      <c r="G1026" s="63">
        <f t="shared" si="15"/>
        <v>0</v>
      </c>
    </row>
    <row r="1027" spans="1:7">
      <c r="A1027" s="120">
        <v>4716</v>
      </c>
      <c r="B1027" s="125" t="s">
        <v>4566</v>
      </c>
      <c r="C1027" s="125" t="s">
        <v>5601</v>
      </c>
      <c r="D1027" s="120">
        <v>4716</v>
      </c>
      <c r="E1027" s="60">
        <f>[1]!'4716.TW-PreClose'</f>
        <v>14.5</v>
      </c>
      <c r="F1027" s="141" t="str">
        <f>IFERROR(STOCKS!$E1027-STOCKS昨天!$E1027,"0")</f>
        <v>0</v>
      </c>
      <c r="G1027" s="63">
        <f t="shared" ref="G1027:G1090" si="16">IFERROR($F1027/$E1027,"0")</f>
        <v>0</v>
      </c>
    </row>
    <row r="1028" spans="1:7">
      <c r="A1028" s="120">
        <v>4721</v>
      </c>
      <c r="B1028" s="125" t="s">
        <v>4567</v>
      </c>
      <c r="C1028" s="125" t="s">
        <v>5601</v>
      </c>
      <c r="D1028" s="120">
        <v>4721</v>
      </c>
      <c r="E1028" s="60" t="str">
        <f>[1]!'4721.TW-PreClose'</f>
        <v>--</v>
      </c>
      <c r="F1028" s="141" t="str">
        <f>IFERROR(STOCKS!$E1028-STOCKS昨天!$E1028,"0")</f>
        <v>0</v>
      </c>
      <c r="G1028" s="63" t="str">
        <f t="shared" si="16"/>
        <v>0</v>
      </c>
    </row>
    <row r="1029" spans="1:7">
      <c r="A1029" s="120">
        <v>4741</v>
      </c>
      <c r="B1029" s="125" t="s">
        <v>4568</v>
      </c>
      <c r="C1029" s="125" t="s">
        <v>5601</v>
      </c>
      <c r="D1029" s="120">
        <v>4741</v>
      </c>
      <c r="E1029" s="60" t="str">
        <f>[1]!'4741.TW-PreClose'</f>
        <v>--</v>
      </c>
      <c r="F1029" s="141" t="str">
        <f>IFERROR(STOCKS!$E1029-STOCKS昨天!$E1029,"0")</f>
        <v>0</v>
      </c>
      <c r="G1029" s="63" t="str">
        <f t="shared" si="16"/>
        <v>0</v>
      </c>
    </row>
    <row r="1030" spans="1:7">
      <c r="A1030" s="120">
        <v>4754</v>
      </c>
      <c r="B1030" s="125" t="s">
        <v>4569</v>
      </c>
      <c r="C1030" s="125" t="s">
        <v>5601</v>
      </c>
      <c r="D1030" s="120">
        <v>4754</v>
      </c>
      <c r="E1030" s="60">
        <f>[1]!'4754.TW-PreClose'</f>
        <v>37.700000000000003</v>
      </c>
      <c r="F1030" s="141" t="str">
        <f>IFERROR(STOCKS!$E1030-STOCKS昨天!$E1030,"0")</f>
        <v>0</v>
      </c>
      <c r="G1030" s="63">
        <f t="shared" si="16"/>
        <v>0</v>
      </c>
    </row>
    <row r="1031" spans="1:7">
      <c r="A1031" s="120">
        <v>4767</v>
      </c>
      <c r="B1031" s="125" t="s">
        <v>4570</v>
      </c>
      <c r="C1031" s="125" t="s">
        <v>5601</v>
      </c>
      <c r="D1031" s="120">
        <v>4767</v>
      </c>
      <c r="E1031" s="60">
        <f>[1]!'4767.TW-PreClose'</f>
        <v>29.2</v>
      </c>
      <c r="F1031" s="141" t="str">
        <f>IFERROR(STOCKS!$E1031-STOCKS昨天!$E1031,"0")</f>
        <v>0</v>
      </c>
      <c r="G1031" s="63">
        <f t="shared" si="16"/>
        <v>0</v>
      </c>
    </row>
    <row r="1032" spans="1:7">
      <c r="A1032" s="120">
        <v>6509</v>
      </c>
      <c r="B1032" s="125" t="s">
        <v>4572</v>
      </c>
      <c r="C1032" s="125" t="s">
        <v>5601</v>
      </c>
      <c r="D1032" s="120">
        <v>6509</v>
      </c>
      <c r="E1032" s="60">
        <f>[1]!'6509.TW-PreClose'</f>
        <v>69.7</v>
      </c>
      <c r="F1032" s="141">
        <f>IFERROR(STOCKS!$E1032-STOCKS昨天!$E1032,"0")</f>
        <v>0.5</v>
      </c>
      <c r="G1032" s="63">
        <f t="shared" si="16"/>
        <v>7.1736011477761836E-3</v>
      </c>
    </row>
    <row r="1033" spans="1:7">
      <c r="A1033" s="120">
        <v>1565</v>
      </c>
      <c r="B1033" s="125" t="s">
        <v>4573</v>
      </c>
      <c r="C1033" s="125" t="s">
        <v>5602</v>
      </c>
      <c r="D1033" s="120">
        <v>1565</v>
      </c>
      <c r="E1033" s="60">
        <f>[1]!'1565.TW-PreClose'</f>
        <v>308.5</v>
      </c>
      <c r="F1033" s="141" t="str">
        <f>IFERROR(STOCKS!$E1033-STOCKS昨天!$E1033,"0")</f>
        <v>0</v>
      </c>
      <c r="G1033" s="63">
        <f t="shared" si="16"/>
        <v>0</v>
      </c>
    </row>
    <row r="1034" spans="1:7">
      <c r="A1034" s="120">
        <v>1593</v>
      </c>
      <c r="B1034" s="125" t="s">
        <v>4574</v>
      </c>
      <c r="C1034" s="125" t="s">
        <v>5602</v>
      </c>
      <c r="D1034" s="120">
        <v>1593</v>
      </c>
      <c r="E1034" s="60">
        <f>[1]!'1593.TW-PreClose'</f>
        <v>85.5</v>
      </c>
      <c r="F1034" s="141" t="str">
        <f>IFERROR(STOCKS!$E1034-STOCKS昨天!$E1034,"0")</f>
        <v>0</v>
      </c>
      <c r="G1034" s="63">
        <f t="shared" si="16"/>
        <v>0</v>
      </c>
    </row>
    <row r="1035" spans="1:7">
      <c r="A1035" s="120">
        <v>1752</v>
      </c>
      <c r="B1035" s="125" t="s">
        <v>4575</v>
      </c>
      <c r="C1035" s="125" t="s">
        <v>5602</v>
      </c>
      <c r="D1035" s="120">
        <v>1752</v>
      </c>
      <c r="E1035" s="60">
        <f>[1]!'1752.TW-PreClose'</f>
        <v>36.450000000000003</v>
      </c>
      <c r="F1035" s="141" t="str">
        <f>IFERROR(STOCKS!$E1035-STOCKS昨天!$E1035,"0")</f>
        <v>0</v>
      </c>
      <c r="G1035" s="63">
        <f t="shared" si="16"/>
        <v>0</v>
      </c>
    </row>
    <row r="1036" spans="1:7">
      <c r="A1036" s="120">
        <v>1777</v>
      </c>
      <c r="B1036" s="125" t="s">
        <v>4576</v>
      </c>
      <c r="C1036" s="125" t="s">
        <v>5602</v>
      </c>
      <c r="D1036" s="120">
        <v>1777</v>
      </c>
      <c r="E1036" s="60">
        <f>[1]!'1777.TW-PreClose'</f>
        <v>68.5</v>
      </c>
      <c r="F1036" s="141" t="str">
        <f>IFERROR(STOCKS!$E1036-STOCKS昨天!$E1036,"0")</f>
        <v>0</v>
      </c>
      <c r="G1036" s="63">
        <f t="shared" si="16"/>
        <v>0</v>
      </c>
    </row>
    <row r="1037" spans="1:7">
      <c r="A1037" s="120">
        <v>1781</v>
      </c>
      <c r="B1037" s="125" t="s">
        <v>3521</v>
      </c>
      <c r="C1037" s="125" t="s">
        <v>5602</v>
      </c>
      <c r="D1037" s="120">
        <v>1781</v>
      </c>
      <c r="E1037" s="60">
        <f>[1]!'1781.TW-PreClose'</f>
        <v>14</v>
      </c>
      <c r="F1037" s="141" t="str">
        <f>IFERROR(STOCKS!$E1037-STOCKS昨天!$E1037,"0")</f>
        <v>0</v>
      </c>
      <c r="G1037" s="63">
        <f t="shared" si="16"/>
        <v>0</v>
      </c>
    </row>
    <row r="1038" spans="1:7">
      <c r="A1038" s="120">
        <v>1784</v>
      </c>
      <c r="B1038" s="125" t="s">
        <v>4577</v>
      </c>
      <c r="C1038" s="125" t="s">
        <v>5602</v>
      </c>
      <c r="D1038" s="120">
        <v>1784</v>
      </c>
      <c r="E1038" s="60">
        <f>[1]!'1784.TW-PreClose'</f>
        <v>42.05</v>
      </c>
      <c r="F1038" s="141" t="str">
        <f>IFERROR(STOCKS!$E1038-STOCKS昨天!$E1038,"0")</f>
        <v>0</v>
      </c>
      <c r="G1038" s="63">
        <f t="shared" si="16"/>
        <v>0</v>
      </c>
    </row>
    <row r="1039" spans="1:7">
      <c r="A1039" s="120">
        <v>1788</v>
      </c>
      <c r="B1039" s="125" t="s">
        <v>4578</v>
      </c>
      <c r="C1039" s="125" t="s">
        <v>5602</v>
      </c>
      <c r="D1039" s="120">
        <v>1788</v>
      </c>
      <c r="E1039" s="60">
        <f>[1]!'1788.TW-PreClose'</f>
        <v>139</v>
      </c>
      <c r="F1039" s="141" t="str">
        <f>IFERROR(STOCKS!$E1039-STOCKS昨天!$E1039,"0")</f>
        <v>0</v>
      </c>
      <c r="G1039" s="63">
        <f t="shared" si="16"/>
        <v>0</v>
      </c>
    </row>
    <row r="1040" spans="1:7">
      <c r="A1040" s="120">
        <v>1799</v>
      </c>
      <c r="B1040" s="125" t="s">
        <v>3526</v>
      </c>
      <c r="C1040" s="125" t="s">
        <v>5602</v>
      </c>
      <c r="D1040" s="120">
        <v>1799</v>
      </c>
      <c r="E1040" s="60">
        <f>[1]!'1799.TW-PreClose'</f>
        <v>15.35</v>
      </c>
      <c r="F1040" s="141" t="str">
        <f>IFERROR(STOCKS!$E1040-STOCKS昨天!$E1040,"0")</f>
        <v>0</v>
      </c>
      <c r="G1040" s="63">
        <f t="shared" si="16"/>
        <v>0</v>
      </c>
    </row>
    <row r="1041" spans="1:7">
      <c r="A1041" s="120">
        <v>1813</v>
      </c>
      <c r="B1041" s="125" t="s">
        <v>4579</v>
      </c>
      <c r="C1041" s="125" t="s">
        <v>5602</v>
      </c>
      <c r="D1041" s="120">
        <v>1813</v>
      </c>
      <c r="E1041" s="60">
        <f>[1]!'1813.TW-PreClose'</f>
        <v>18</v>
      </c>
      <c r="F1041" s="141" t="str">
        <f>IFERROR(STOCKS!$E1041-STOCKS昨天!$E1041,"0")</f>
        <v>0</v>
      </c>
      <c r="G1041" s="63">
        <f t="shared" si="16"/>
        <v>0</v>
      </c>
    </row>
    <row r="1042" spans="1:7">
      <c r="A1042" s="120">
        <v>3118</v>
      </c>
      <c r="B1042" s="125" t="s">
        <v>4580</v>
      </c>
      <c r="C1042" s="125" t="s">
        <v>5602</v>
      </c>
      <c r="D1042" s="120">
        <v>3118</v>
      </c>
      <c r="E1042" s="60">
        <f>[1]!'3118.TW-PreClose'</f>
        <v>29.9</v>
      </c>
      <c r="F1042" s="141" t="str">
        <f>IFERROR(STOCKS!$E1042-STOCKS昨天!$E1042,"0")</f>
        <v>0</v>
      </c>
      <c r="G1042" s="63">
        <f t="shared" si="16"/>
        <v>0</v>
      </c>
    </row>
    <row r="1043" spans="1:7">
      <c r="A1043" s="120">
        <v>3176</v>
      </c>
      <c r="B1043" s="125" t="s">
        <v>4581</v>
      </c>
      <c r="C1043" s="125" t="s">
        <v>5602</v>
      </c>
      <c r="D1043" s="120">
        <v>3176</v>
      </c>
      <c r="E1043" s="60">
        <f>[1]!'3176.TW-PreClose'</f>
        <v>52</v>
      </c>
      <c r="F1043" s="141">
        <f>IFERROR(STOCKS!$E1043-STOCKS昨天!$E1043,"0")</f>
        <v>0.39999999999999858</v>
      </c>
      <c r="G1043" s="63">
        <f t="shared" si="16"/>
        <v>7.692307692307665E-3</v>
      </c>
    </row>
    <row r="1044" spans="1:7">
      <c r="A1044" s="120">
        <v>3205</v>
      </c>
      <c r="B1044" s="125" t="s">
        <v>4582</v>
      </c>
      <c r="C1044" s="125" t="s">
        <v>5602</v>
      </c>
      <c r="D1044" s="120">
        <v>3205</v>
      </c>
      <c r="E1044" s="60">
        <f>[1]!'3205.TW-PreClose'</f>
        <v>26.6</v>
      </c>
      <c r="F1044" s="141" t="str">
        <f>IFERROR(STOCKS!$E1044-STOCKS昨天!$E1044,"0")</f>
        <v>0</v>
      </c>
      <c r="G1044" s="63">
        <f t="shared" si="16"/>
        <v>0</v>
      </c>
    </row>
    <row r="1045" spans="1:7">
      <c r="A1045" s="120">
        <v>3218</v>
      </c>
      <c r="B1045" s="125" t="s">
        <v>3647</v>
      </c>
      <c r="C1045" s="125" t="s">
        <v>5602</v>
      </c>
      <c r="D1045" s="120">
        <v>3218</v>
      </c>
      <c r="E1045" s="60">
        <f>[1]!'3218.TW-PreClose'</f>
        <v>278</v>
      </c>
      <c r="F1045" s="141" t="str">
        <f>IFERROR(STOCKS!$E1045-STOCKS昨天!$E1045,"0")</f>
        <v>0</v>
      </c>
      <c r="G1045" s="63">
        <f t="shared" si="16"/>
        <v>0</v>
      </c>
    </row>
    <row r="1046" spans="1:7">
      <c r="A1046" s="120">
        <v>4102</v>
      </c>
      <c r="B1046" s="125" t="s">
        <v>3522</v>
      </c>
      <c r="C1046" s="125" t="s">
        <v>5602</v>
      </c>
      <c r="D1046" s="120">
        <v>4102</v>
      </c>
      <c r="E1046" s="60">
        <f>[1]!'4102.TW-PreClose'</f>
        <v>20.05</v>
      </c>
      <c r="F1046" s="141" t="str">
        <f>IFERROR(STOCKS!$E1046-STOCKS昨天!$E1046,"0")</f>
        <v>0</v>
      </c>
      <c r="G1046" s="63">
        <f t="shared" si="16"/>
        <v>0</v>
      </c>
    </row>
    <row r="1047" spans="1:7">
      <c r="A1047" s="120">
        <v>4105</v>
      </c>
      <c r="B1047" s="125" t="s">
        <v>3587</v>
      </c>
      <c r="C1047" s="125" t="s">
        <v>5602</v>
      </c>
      <c r="D1047" s="120">
        <v>4105</v>
      </c>
      <c r="E1047" s="60">
        <f>[1]!'4105.TW-PreClose'</f>
        <v>69</v>
      </c>
      <c r="F1047" s="141" t="str">
        <f>IFERROR(STOCKS!$E1047-STOCKS昨天!$E1047,"0")</f>
        <v>0</v>
      </c>
      <c r="G1047" s="63">
        <f t="shared" si="16"/>
        <v>0</v>
      </c>
    </row>
    <row r="1048" spans="1:7">
      <c r="A1048" s="120">
        <v>4107</v>
      </c>
      <c r="B1048" s="125" t="s">
        <v>4583</v>
      </c>
      <c r="C1048" s="125" t="s">
        <v>5602</v>
      </c>
      <c r="D1048" s="120">
        <v>4107</v>
      </c>
      <c r="E1048" s="60">
        <f>[1]!'4107.TW-PreClose'</f>
        <v>110.5</v>
      </c>
      <c r="F1048" s="141" t="str">
        <f>IFERROR(STOCKS!$E1048-STOCKS昨天!$E1048,"0")</f>
        <v>0</v>
      </c>
      <c r="G1048" s="63">
        <f t="shared" si="16"/>
        <v>0</v>
      </c>
    </row>
    <row r="1049" spans="1:7">
      <c r="A1049" s="120">
        <v>4109</v>
      </c>
      <c r="B1049" s="125" t="s">
        <v>4584</v>
      </c>
      <c r="C1049" s="125" t="s">
        <v>5602</v>
      </c>
      <c r="D1049" s="120">
        <v>4109</v>
      </c>
      <c r="E1049" s="60">
        <f>[1]!'4109.TW-PreClose'</f>
        <v>13.8</v>
      </c>
      <c r="F1049" s="141" t="str">
        <f>IFERROR(STOCKS!$E1049-STOCKS昨天!$E1049,"0")</f>
        <v>0</v>
      </c>
      <c r="G1049" s="63">
        <f t="shared" si="16"/>
        <v>0</v>
      </c>
    </row>
    <row r="1050" spans="1:7">
      <c r="A1050" s="120">
        <v>4111</v>
      </c>
      <c r="B1050" s="125" t="s">
        <v>4585</v>
      </c>
      <c r="C1050" s="125" t="s">
        <v>5602</v>
      </c>
      <c r="D1050" s="120">
        <v>4111</v>
      </c>
      <c r="E1050" s="60">
        <f>[1]!'4111.TW-PreClose'</f>
        <v>22.5</v>
      </c>
      <c r="F1050" s="141" t="str">
        <f>IFERROR(STOCKS!$E1050-STOCKS昨天!$E1050,"0")</f>
        <v>0</v>
      </c>
      <c r="G1050" s="63">
        <f t="shared" si="16"/>
        <v>0</v>
      </c>
    </row>
    <row r="1051" spans="1:7">
      <c r="A1051" s="120">
        <v>4114</v>
      </c>
      <c r="B1051" s="125" t="s">
        <v>4586</v>
      </c>
      <c r="C1051" s="125" t="s">
        <v>5602</v>
      </c>
      <c r="D1051" s="120">
        <v>4114</v>
      </c>
      <c r="E1051" s="60">
        <f>[1]!'4114.TW-PreClose'</f>
        <v>22.65</v>
      </c>
      <c r="F1051" s="141" t="str">
        <f>IFERROR(STOCKS!$E1051-STOCKS昨天!$E1051,"0")</f>
        <v>0</v>
      </c>
      <c r="G1051" s="63">
        <f t="shared" si="16"/>
        <v>0</v>
      </c>
    </row>
    <row r="1052" spans="1:7">
      <c r="A1052" s="120">
        <v>4116</v>
      </c>
      <c r="B1052" s="125" t="s">
        <v>4587</v>
      </c>
      <c r="C1052" s="125" t="s">
        <v>5602</v>
      </c>
      <c r="D1052" s="120">
        <v>4116</v>
      </c>
      <c r="E1052" s="60" t="str">
        <f>[1]!'4116.TW-PreClose'</f>
        <v>--</v>
      </c>
      <c r="F1052" s="141" t="str">
        <f>IFERROR(STOCKS!$E1052-STOCKS昨天!$E1052,"0")</f>
        <v>0</v>
      </c>
      <c r="G1052" s="63" t="str">
        <f t="shared" si="16"/>
        <v>0</v>
      </c>
    </row>
    <row r="1053" spans="1:7">
      <c r="A1053" s="120">
        <v>4120</v>
      </c>
      <c r="B1053" s="125" t="s">
        <v>4588</v>
      </c>
      <c r="C1053" s="125" t="s">
        <v>5602</v>
      </c>
      <c r="D1053" s="120">
        <v>4120</v>
      </c>
      <c r="E1053" s="60" t="str">
        <f>[1]!'4120.TW-PreClose'</f>
        <v>--</v>
      </c>
      <c r="F1053" s="141" t="str">
        <f>IFERROR(STOCKS!$E1053-STOCKS昨天!$E1053,"0")</f>
        <v>0</v>
      </c>
      <c r="G1053" s="63" t="str">
        <f t="shared" si="16"/>
        <v>0</v>
      </c>
    </row>
    <row r="1054" spans="1:7">
      <c r="A1054" s="120">
        <v>4121</v>
      </c>
      <c r="B1054" s="125" t="s">
        <v>42</v>
      </c>
      <c r="C1054" s="125" t="s">
        <v>5602</v>
      </c>
      <c r="D1054" s="120">
        <v>4121</v>
      </c>
      <c r="E1054" s="60">
        <f>[1]!'4121.TW-PreClose'</f>
        <v>19.399999999999999</v>
      </c>
      <c r="F1054" s="141" t="str">
        <f>IFERROR(STOCKS!$E1054-STOCKS昨天!$E1054,"0")</f>
        <v>0</v>
      </c>
      <c r="G1054" s="63">
        <f t="shared" si="16"/>
        <v>0</v>
      </c>
    </row>
    <row r="1055" spans="1:7">
      <c r="A1055" s="120">
        <v>4123</v>
      </c>
      <c r="B1055" s="125" t="s">
        <v>4589</v>
      </c>
      <c r="C1055" s="125" t="s">
        <v>5602</v>
      </c>
      <c r="D1055" s="120">
        <v>4123</v>
      </c>
      <c r="E1055" s="60">
        <f>[1]!'4123.TW-PreClose'</f>
        <v>61.7</v>
      </c>
      <c r="F1055" s="141" t="str">
        <f>IFERROR(STOCKS!$E1055-STOCKS昨天!$E1055,"0")</f>
        <v>0</v>
      </c>
      <c r="G1055" s="63">
        <f t="shared" si="16"/>
        <v>0</v>
      </c>
    </row>
    <row r="1056" spans="1:7">
      <c r="A1056" s="120">
        <v>4126</v>
      </c>
      <c r="B1056" s="125" t="s">
        <v>4590</v>
      </c>
      <c r="C1056" s="125" t="s">
        <v>5602</v>
      </c>
      <c r="D1056" s="120">
        <v>4126</v>
      </c>
      <c r="E1056" s="60">
        <f>[1]!'4126.TW-PreClose'</f>
        <v>71.2</v>
      </c>
      <c r="F1056" s="141" t="str">
        <f>IFERROR(STOCKS!$E1056-STOCKS昨天!$E1056,"0")</f>
        <v>0</v>
      </c>
      <c r="G1056" s="63">
        <f t="shared" si="16"/>
        <v>0</v>
      </c>
    </row>
    <row r="1057" spans="1:7">
      <c r="A1057" s="120">
        <v>4127</v>
      </c>
      <c r="B1057" s="125" t="s">
        <v>3599</v>
      </c>
      <c r="C1057" s="125" t="s">
        <v>5602</v>
      </c>
      <c r="D1057" s="120">
        <v>4127</v>
      </c>
      <c r="E1057" s="60" t="str">
        <f>[1]!'4127.TW-PreClose'</f>
        <v>--</v>
      </c>
      <c r="F1057" s="141" t="str">
        <f>IFERROR(STOCKS!$E1057-STOCKS昨天!$E1057,"0")</f>
        <v>0</v>
      </c>
      <c r="G1057" s="63" t="str">
        <f t="shared" si="16"/>
        <v>0</v>
      </c>
    </row>
    <row r="1058" spans="1:7">
      <c r="A1058" s="120">
        <v>4128</v>
      </c>
      <c r="B1058" s="125" t="s">
        <v>4591</v>
      </c>
      <c r="C1058" s="125" t="s">
        <v>5602</v>
      </c>
      <c r="D1058" s="120">
        <v>4128</v>
      </c>
      <c r="E1058" s="60">
        <f>[1]!'4128.TW-PreClose'</f>
        <v>64.900000000000006</v>
      </c>
      <c r="F1058" s="141">
        <f>IFERROR(STOCKS!$E1058-STOCKS昨天!$E1058,"0")</f>
        <v>1.1999999999999886</v>
      </c>
      <c r="G1058" s="63">
        <f t="shared" si="16"/>
        <v>1.8489984591679332E-2</v>
      </c>
    </row>
    <row r="1059" spans="1:7">
      <c r="A1059" s="120">
        <v>4129</v>
      </c>
      <c r="B1059" s="125" t="s">
        <v>4592</v>
      </c>
      <c r="C1059" s="125" t="s">
        <v>5602</v>
      </c>
      <c r="D1059" s="120">
        <v>4129</v>
      </c>
      <c r="E1059" s="60">
        <f>[1]!'4129.TW-PreClose'</f>
        <v>30.05</v>
      </c>
      <c r="F1059" s="141" t="str">
        <f>IFERROR(STOCKS!$E1059-STOCKS昨天!$E1059,"0")</f>
        <v>0</v>
      </c>
      <c r="G1059" s="63">
        <f t="shared" si="16"/>
        <v>0</v>
      </c>
    </row>
    <row r="1060" spans="1:7">
      <c r="A1060" s="120">
        <v>4130</v>
      </c>
      <c r="B1060" s="125" t="s">
        <v>4593</v>
      </c>
      <c r="C1060" s="125" t="s">
        <v>5602</v>
      </c>
      <c r="D1060" s="120">
        <v>4130</v>
      </c>
      <c r="E1060" s="60">
        <f>[1]!'4130.TW-PreClose'</f>
        <v>21.5</v>
      </c>
      <c r="F1060" s="141" t="str">
        <f>IFERROR(STOCKS!$E1060-STOCKS昨天!$E1060,"0")</f>
        <v>0</v>
      </c>
      <c r="G1060" s="63">
        <f t="shared" si="16"/>
        <v>0</v>
      </c>
    </row>
    <row r="1061" spans="1:7">
      <c r="A1061" s="120">
        <v>4131</v>
      </c>
      <c r="B1061" s="125" t="s">
        <v>4594</v>
      </c>
      <c r="C1061" s="125" t="s">
        <v>5602</v>
      </c>
      <c r="D1061" s="120">
        <v>4131</v>
      </c>
      <c r="E1061" s="60">
        <f>[1]!'4131.TW-PreClose'</f>
        <v>6.25</v>
      </c>
      <c r="F1061" s="141" t="str">
        <f>IFERROR(STOCKS!$E1061-STOCKS昨天!$E1061,"0")</f>
        <v>0</v>
      </c>
      <c r="G1061" s="63">
        <f t="shared" si="16"/>
        <v>0</v>
      </c>
    </row>
    <row r="1062" spans="1:7">
      <c r="A1062" s="120">
        <v>4138</v>
      </c>
      <c r="B1062" s="125" t="s">
        <v>4595</v>
      </c>
      <c r="C1062" s="125" t="s">
        <v>5602</v>
      </c>
      <c r="D1062" s="120">
        <v>4138</v>
      </c>
      <c r="E1062" s="60">
        <f>[1]!'4138.TW-PreClose'</f>
        <v>52.1</v>
      </c>
      <c r="F1062" s="141" t="str">
        <f>IFERROR(STOCKS!$E1062-STOCKS昨天!$E1062,"0")</f>
        <v>0</v>
      </c>
      <c r="G1062" s="63">
        <f t="shared" si="16"/>
        <v>0</v>
      </c>
    </row>
    <row r="1063" spans="1:7">
      <c r="A1063" s="120">
        <v>4139</v>
      </c>
      <c r="B1063" s="125" t="s">
        <v>4596</v>
      </c>
      <c r="C1063" s="125" t="s">
        <v>5603</v>
      </c>
      <c r="D1063" s="120">
        <v>4139</v>
      </c>
      <c r="E1063" s="60" t="str">
        <f>[1]!'4139.TW-PreClose'</f>
        <v>--</v>
      </c>
      <c r="F1063" s="141" t="str">
        <f>IFERROR(STOCKS!$E1063-STOCKS昨天!$E1063,"0")</f>
        <v>0</v>
      </c>
      <c r="G1063" s="63" t="str">
        <f t="shared" si="16"/>
        <v>0</v>
      </c>
    </row>
    <row r="1064" spans="1:7">
      <c r="A1064" s="120">
        <v>4147</v>
      </c>
      <c r="B1064" s="125" t="s">
        <v>4597</v>
      </c>
      <c r="C1064" s="125" t="s">
        <v>5602</v>
      </c>
      <c r="D1064" s="120">
        <v>4147</v>
      </c>
      <c r="E1064" s="60">
        <f>[1]!'4147.TW-PreClose'</f>
        <v>68.5</v>
      </c>
      <c r="F1064" s="141" t="str">
        <f>IFERROR(STOCKS!$E1064-STOCKS昨天!$E1064,"0")</f>
        <v>0</v>
      </c>
      <c r="G1064" s="63">
        <f t="shared" si="16"/>
        <v>0</v>
      </c>
    </row>
    <row r="1065" spans="1:7">
      <c r="A1065" s="120">
        <v>4153</v>
      </c>
      <c r="B1065" s="125" t="s">
        <v>4598</v>
      </c>
      <c r="C1065" s="125" t="s">
        <v>5602</v>
      </c>
      <c r="D1065" s="120">
        <v>4153</v>
      </c>
      <c r="E1065" s="60" t="str">
        <f>[1]!'4153.TW-PreClose'</f>
        <v>--</v>
      </c>
      <c r="F1065" s="141" t="str">
        <f>IFERROR(STOCKS!$E1065-STOCKS昨天!$E1065,"0")</f>
        <v>0</v>
      </c>
      <c r="G1065" s="63" t="str">
        <f t="shared" si="16"/>
        <v>0</v>
      </c>
    </row>
    <row r="1066" spans="1:7">
      <c r="A1066" s="120">
        <v>4154</v>
      </c>
      <c r="B1066" s="125" t="s">
        <v>4599</v>
      </c>
      <c r="C1066" s="125" t="s">
        <v>5603</v>
      </c>
      <c r="D1066" s="120">
        <v>4154</v>
      </c>
      <c r="E1066" s="60">
        <f>[1]!'4154.TW-PreClose'</f>
        <v>61</v>
      </c>
      <c r="F1066" s="141" t="str">
        <f>IFERROR(STOCKS!$E1066-STOCKS昨天!$E1066,"0")</f>
        <v>0</v>
      </c>
      <c r="G1066" s="63">
        <f t="shared" si="16"/>
        <v>0</v>
      </c>
    </row>
    <row r="1067" spans="1:7">
      <c r="A1067" s="120">
        <v>4157</v>
      </c>
      <c r="B1067" s="125" t="s">
        <v>4600</v>
      </c>
      <c r="C1067" s="125" t="s">
        <v>5603</v>
      </c>
      <c r="D1067" s="120">
        <v>4157</v>
      </c>
      <c r="E1067" s="60">
        <f>[1]!'4157.TW-PreClose'</f>
        <v>14.6</v>
      </c>
      <c r="F1067" s="141" t="str">
        <f>IFERROR(STOCKS!$E1067-STOCKS昨天!$E1067,"0")</f>
        <v>0</v>
      </c>
      <c r="G1067" s="63">
        <f t="shared" si="16"/>
        <v>0</v>
      </c>
    </row>
    <row r="1068" spans="1:7">
      <c r="A1068" s="120">
        <v>4160</v>
      </c>
      <c r="B1068" s="125" t="s">
        <v>4601</v>
      </c>
      <c r="C1068" s="125" t="s">
        <v>5602</v>
      </c>
      <c r="D1068" s="120">
        <v>4160</v>
      </c>
      <c r="E1068" s="60">
        <f>[1]!'4160.TW-PreClose'</f>
        <v>24.8</v>
      </c>
      <c r="F1068" s="141" t="str">
        <f>IFERROR(STOCKS!$E1068-STOCKS昨天!$E1068,"0")</f>
        <v>0</v>
      </c>
      <c r="G1068" s="63">
        <f t="shared" si="16"/>
        <v>0</v>
      </c>
    </row>
    <row r="1069" spans="1:7">
      <c r="A1069" s="120">
        <v>4161</v>
      </c>
      <c r="B1069" s="125" t="s">
        <v>4602</v>
      </c>
      <c r="C1069" s="125" t="s">
        <v>5602</v>
      </c>
      <c r="D1069" s="120">
        <v>4161</v>
      </c>
      <c r="E1069" s="60" t="str">
        <f>[1]!'4161.TW-PreClose'</f>
        <v>--</v>
      </c>
      <c r="F1069" s="141" t="str">
        <f>IFERROR(STOCKS!$E1069-STOCKS昨天!$E1069,"0")</f>
        <v>0</v>
      </c>
      <c r="G1069" s="63" t="str">
        <f t="shared" si="16"/>
        <v>0</v>
      </c>
    </row>
    <row r="1070" spans="1:7">
      <c r="A1070" s="120">
        <v>4162</v>
      </c>
      <c r="B1070" s="125" t="s">
        <v>4603</v>
      </c>
      <c r="C1070" s="125" t="s">
        <v>5602</v>
      </c>
      <c r="D1070" s="120">
        <v>4162</v>
      </c>
      <c r="E1070" s="60">
        <f>[1]!'4162.TW-PreClose'</f>
        <v>57.1</v>
      </c>
      <c r="F1070" s="141" t="str">
        <f>IFERROR(STOCKS!$E1070-STOCKS昨天!$E1070,"0")</f>
        <v>0</v>
      </c>
      <c r="G1070" s="63">
        <f t="shared" si="16"/>
        <v>0</v>
      </c>
    </row>
    <row r="1071" spans="1:7">
      <c r="A1071" s="120">
        <v>4163</v>
      </c>
      <c r="B1071" s="125" t="s">
        <v>4604</v>
      </c>
      <c r="C1071" s="125" t="s">
        <v>5602</v>
      </c>
      <c r="D1071" s="120">
        <v>4163</v>
      </c>
      <c r="E1071" s="60">
        <f>[1]!'4163.TW-PreClose'</f>
        <v>86.5</v>
      </c>
      <c r="F1071" s="141" t="str">
        <f>IFERROR(STOCKS!$E1071-STOCKS昨天!$E1071,"0")</f>
        <v>0</v>
      </c>
      <c r="G1071" s="63">
        <f t="shared" si="16"/>
        <v>0</v>
      </c>
    </row>
    <row r="1072" spans="1:7">
      <c r="A1072" s="120">
        <v>4167</v>
      </c>
      <c r="B1072" s="125" t="s">
        <v>3684</v>
      </c>
      <c r="C1072" s="125" t="s">
        <v>5602</v>
      </c>
      <c r="D1072" s="120">
        <v>4167</v>
      </c>
      <c r="E1072" s="60">
        <f>[1]!'4167.TW-PreClose'</f>
        <v>19.05</v>
      </c>
      <c r="F1072" s="141" t="str">
        <f>IFERROR(STOCKS!$E1072-STOCKS昨天!$E1072,"0")</f>
        <v>0</v>
      </c>
      <c r="G1072" s="63">
        <f t="shared" si="16"/>
        <v>0</v>
      </c>
    </row>
    <row r="1073" spans="1:7">
      <c r="A1073" s="120">
        <v>4168</v>
      </c>
      <c r="B1073" s="125" t="s">
        <v>4605</v>
      </c>
      <c r="C1073" s="125" t="s">
        <v>5602</v>
      </c>
      <c r="D1073" s="120">
        <v>4168</v>
      </c>
      <c r="E1073" s="60">
        <f>[1]!'4168.TW-PreClose'</f>
        <v>27.35</v>
      </c>
      <c r="F1073" s="141" t="str">
        <f>IFERROR(STOCKS!$E1073-STOCKS昨天!$E1073,"0")</f>
        <v>0</v>
      </c>
      <c r="G1073" s="63">
        <f t="shared" si="16"/>
        <v>0</v>
      </c>
    </row>
    <row r="1074" spans="1:7">
      <c r="A1074" s="120">
        <v>4173</v>
      </c>
      <c r="B1074" s="125" t="s">
        <v>32</v>
      </c>
      <c r="C1074" s="125" t="s">
        <v>5602</v>
      </c>
      <c r="D1074" s="120">
        <v>4173</v>
      </c>
      <c r="E1074" s="60">
        <f>[1]!'4173.TW-PreClose'</f>
        <v>18</v>
      </c>
      <c r="F1074" s="141" t="str">
        <f>IFERROR(STOCKS!$E1074-STOCKS昨天!$E1074,"0")</f>
        <v>0</v>
      </c>
      <c r="G1074" s="63">
        <f t="shared" si="16"/>
        <v>0</v>
      </c>
    </row>
    <row r="1075" spans="1:7">
      <c r="A1075" s="120">
        <v>4174</v>
      </c>
      <c r="B1075" s="125" t="s">
        <v>4606</v>
      </c>
      <c r="C1075" s="125" t="s">
        <v>5602</v>
      </c>
      <c r="D1075" s="120">
        <v>4174</v>
      </c>
      <c r="E1075" s="60">
        <f>[1]!'4174.TW-PreClose'</f>
        <v>104.5</v>
      </c>
      <c r="F1075" s="141" t="str">
        <f>IFERROR(STOCKS!$E1075-STOCKS昨天!$E1075,"0")</f>
        <v>0</v>
      </c>
      <c r="G1075" s="63">
        <f t="shared" si="16"/>
        <v>0</v>
      </c>
    </row>
    <row r="1076" spans="1:7">
      <c r="A1076" s="120">
        <v>4175</v>
      </c>
      <c r="B1076" s="125" t="s">
        <v>4607</v>
      </c>
      <c r="C1076" s="125" t="s">
        <v>5602</v>
      </c>
      <c r="D1076" s="120">
        <v>4175</v>
      </c>
      <c r="E1076" s="60">
        <f>[1]!'4175.TW-PreClose'</f>
        <v>70.3</v>
      </c>
      <c r="F1076" s="141" t="str">
        <f>IFERROR(STOCKS!$E1076-STOCKS昨天!$E1076,"0")</f>
        <v>0</v>
      </c>
      <c r="G1076" s="63">
        <f t="shared" si="16"/>
        <v>0</v>
      </c>
    </row>
    <row r="1077" spans="1:7">
      <c r="A1077" s="120">
        <v>4183</v>
      </c>
      <c r="B1077" s="125" t="s">
        <v>4608</v>
      </c>
      <c r="C1077" s="125" t="s">
        <v>5602</v>
      </c>
      <c r="D1077" s="120">
        <v>4183</v>
      </c>
      <c r="E1077" s="60" t="str">
        <f>[1]!'4183.TW-PreClose'</f>
        <v>--</v>
      </c>
      <c r="F1077" s="141" t="str">
        <f>IFERROR(STOCKS!$E1077-STOCKS昨天!$E1077,"0")</f>
        <v>0</v>
      </c>
      <c r="G1077" s="63" t="str">
        <f t="shared" si="16"/>
        <v>0</v>
      </c>
    </row>
    <row r="1078" spans="1:7">
      <c r="A1078" s="120">
        <v>4188</v>
      </c>
      <c r="B1078" s="125" t="s">
        <v>4609</v>
      </c>
      <c r="C1078" s="125" t="s">
        <v>5602</v>
      </c>
      <c r="D1078" s="120">
        <v>4188</v>
      </c>
      <c r="E1078" s="60">
        <f>[1]!'4188.TW-PreClose'</f>
        <v>18.3</v>
      </c>
      <c r="F1078" s="141" t="str">
        <f>IFERROR(STOCKS!$E1078-STOCKS昨天!$E1078,"0")</f>
        <v>0</v>
      </c>
      <c r="G1078" s="63">
        <f t="shared" si="16"/>
        <v>0</v>
      </c>
    </row>
    <row r="1079" spans="1:7">
      <c r="A1079" s="120">
        <v>4192</v>
      </c>
      <c r="B1079" s="125" t="s">
        <v>3600</v>
      </c>
      <c r="C1079" s="125" t="s">
        <v>5602</v>
      </c>
      <c r="D1079" s="120">
        <v>4192</v>
      </c>
      <c r="E1079" s="60">
        <f>[1]!'4192.TW-PreClose'</f>
        <v>32.75</v>
      </c>
      <c r="F1079" s="141" t="str">
        <f>IFERROR(STOCKS!$E1079-STOCKS昨天!$E1079,"0")</f>
        <v>0</v>
      </c>
      <c r="G1079" s="63">
        <f t="shared" si="16"/>
        <v>0</v>
      </c>
    </row>
    <row r="1080" spans="1:7">
      <c r="A1080" s="120">
        <v>4198</v>
      </c>
      <c r="B1080" s="125" t="s">
        <v>4610</v>
      </c>
      <c r="C1080" s="125" t="s">
        <v>5602</v>
      </c>
      <c r="D1080" s="120">
        <v>4198</v>
      </c>
      <c r="E1080" s="60" t="str">
        <f>[1]!'4198.TW-PreClose'</f>
        <v>--</v>
      </c>
      <c r="F1080" s="141" t="str">
        <f>IFERROR(STOCKS!$E1080-STOCKS昨天!$E1080,"0")</f>
        <v>0</v>
      </c>
      <c r="G1080" s="63" t="str">
        <f t="shared" si="16"/>
        <v>0</v>
      </c>
    </row>
    <row r="1081" spans="1:7">
      <c r="A1081" s="120">
        <v>4726</v>
      </c>
      <c r="B1081" s="125" t="s">
        <v>37</v>
      </c>
      <c r="C1081" s="125" t="s">
        <v>5602</v>
      </c>
      <c r="D1081" s="120">
        <v>4726</v>
      </c>
      <c r="E1081" s="60" t="str">
        <f>[1]!'4726.TW-PreClose'</f>
        <v>--</v>
      </c>
      <c r="F1081" s="141" t="str">
        <f>IFERROR(STOCKS!$E1081-STOCKS昨天!$E1081,"0")</f>
        <v>0</v>
      </c>
      <c r="G1081" s="63" t="str">
        <f t="shared" si="16"/>
        <v>0</v>
      </c>
    </row>
    <row r="1082" spans="1:7">
      <c r="A1082" s="120">
        <v>4728</v>
      </c>
      <c r="B1082" s="125" t="s">
        <v>4611</v>
      </c>
      <c r="C1082" s="125" t="s">
        <v>5602</v>
      </c>
      <c r="D1082" s="120">
        <v>4728</v>
      </c>
      <c r="E1082" s="60" t="str">
        <f>[1]!'4728.TW-PreClose'</f>
        <v>--</v>
      </c>
      <c r="F1082" s="141" t="str">
        <f>IFERROR(STOCKS!$E1082-STOCKS昨天!$E1082,"0")</f>
        <v>0</v>
      </c>
      <c r="G1082" s="63" t="str">
        <f t="shared" si="16"/>
        <v>0</v>
      </c>
    </row>
    <row r="1083" spans="1:7">
      <c r="A1083" s="120">
        <v>4735</v>
      </c>
      <c r="B1083" s="125" t="s">
        <v>3622</v>
      </c>
      <c r="C1083" s="125" t="s">
        <v>5602</v>
      </c>
      <c r="D1083" s="120">
        <v>4735</v>
      </c>
      <c r="E1083" s="60" t="str">
        <f>[1]!'4735.TW-PreClose'</f>
        <v>--</v>
      </c>
      <c r="F1083" s="141" t="str">
        <f>IFERROR(STOCKS!$E1083-STOCKS昨天!$E1083,"0")</f>
        <v>0</v>
      </c>
      <c r="G1083" s="63" t="str">
        <f t="shared" si="16"/>
        <v>0</v>
      </c>
    </row>
    <row r="1084" spans="1:7">
      <c r="A1084" s="120">
        <v>4736</v>
      </c>
      <c r="B1084" s="125" t="s">
        <v>4612</v>
      </c>
      <c r="C1084" s="125" t="s">
        <v>5602</v>
      </c>
      <c r="D1084" s="120">
        <v>4736</v>
      </c>
      <c r="E1084" s="60" t="str">
        <f>[1]!'4736.TW-PreClose'</f>
        <v>--</v>
      </c>
      <c r="F1084" s="141" t="str">
        <f>IFERROR(STOCKS!$E1084-STOCKS昨天!$E1084,"0")</f>
        <v>0</v>
      </c>
      <c r="G1084" s="63" t="str">
        <f t="shared" si="16"/>
        <v>0</v>
      </c>
    </row>
    <row r="1085" spans="1:7">
      <c r="A1085" s="120">
        <v>4743</v>
      </c>
      <c r="B1085" s="125" t="s">
        <v>4613</v>
      </c>
      <c r="C1085" s="125" t="s">
        <v>5602</v>
      </c>
      <c r="D1085" s="120">
        <v>4743</v>
      </c>
      <c r="E1085" s="60">
        <f>[1]!'4743.TW-PreClose'</f>
        <v>297</v>
      </c>
      <c r="F1085" s="141">
        <f>IFERROR(STOCKS!$E1085-STOCKS昨天!$E1085,"0")</f>
        <v>3</v>
      </c>
      <c r="G1085" s="63">
        <f t="shared" si="16"/>
        <v>1.0101010101010102E-2</v>
      </c>
    </row>
    <row r="1086" spans="1:7">
      <c r="A1086" s="120">
        <v>4744</v>
      </c>
      <c r="B1086" s="125" t="s">
        <v>4614</v>
      </c>
      <c r="C1086" s="125" t="s">
        <v>5602</v>
      </c>
      <c r="D1086" s="120">
        <v>4744</v>
      </c>
      <c r="E1086" s="60" t="str">
        <f>[1]!'4744.TW-PreClose'</f>
        <v>--</v>
      </c>
      <c r="F1086" s="141" t="str">
        <f>IFERROR(STOCKS!$E1086-STOCKS昨天!$E1086,"0")</f>
        <v>0</v>
      </c>
      <c r="G1086" s="63" t="str">
        <f t="shared" si="16"/>
        <v>0</v>
      </c>
    </row>
    <row r="1087" spans="1:7">
      <c r="A1087" s="120">
        <v>4745</v>
      </c>
      <c r="B1087" s="125" t="s">
        <v>4615</v>
      </c>
      <c r="C1087" s="125" t="s">
        <v>5603</v>
      </c>
      <c r="D1087" s="120">
        <v>4745</v>
      </c>
      <c r="E1087" s="60">
        <f>[1]!'4745.TW-PreClose'</f>
        <v>23.8</v>
      </c>
      <c r="F1087" s="141" t="str">
        <f>IFERROR(STOCKS!$E1087-STOCKS昨天!$E1087,"0")</f>
        <v>0</v>
      </c>
      <c r="G1087" s="63">
        <f t="shared" si="16"/>
        <v>0</v>
      </c>
    </row>
    <row r="1088" spans="1:7">
      <c r="A1088" s="120">
        <v>4747</v>
      </c>
      <c r="B1088" s="125" t="s">
        <v>4616</v>
      </c>
      <c r="C1088" s="125" t="s">
        <v>5602</v>
      </c>
      <c r="D1088" s="120">
        <v>4747</v>
      </c>
      <c r="E1088" s="60">
        <f>[1]!'4747.TW-PreClose'</f>
        <v>35.700000000000003</v>
      </c>
      <c r="F1088" s="141" t="str">
        <f>IFERROR(STOCKS!$E1088-STOCKS昨天!$E1088,"0")</f>
        <v>0</v>
      </c>
      <c r="G1088" s="63">
        <f t="shared" si="16"/>
        <v>0</v>
      </c>
    </row>
    <row r="1089" spans="1:7">
      <c r="A1089" s="120">
        <v>4911</v>
      </c>
      <c r="B1089" s="125" t="s">
        <v>4617</v>
      </c>
      <c r="C1089" s="125" t="s">
        <v>5602</v>
      </c>
      <c r="D1089" s="120">
        <v>4911</v>
      </c>
      <c r="E1089" s="60" t="str">
        <f>[1]!'4911.TW-PreClose'</f>
        <v>--</v>
      </c>
      <c r="F1089" s="141" t="str">
        <f>IFERROR(STOCKS!$E1089-STOCKS昨天!$E1089,"0")</f>
        <v>0</v>
      </c>
      <c r="G1089" s="63" t="str">
        <f t="shared" si="16"/>
        <v>0</v>
      </c>
    </row>
    <row r="1090" spans="1:7">
      <c r="A1090" s="120">
        <v>5312</v>
      </c>
      <c r="B1090" s="125" t="s">
        <v>4618</v>
      </c>
      <c r="C1090" s="125" t="s">
        <v>5602</v>
      </c>
      <c r="D1090" s="120">
        <v>5312</v>
      </c>
      <c r="E1090" s="60" t="str">
        <f>[1]!'5312.TW-PreClose'</f>
        <v>--</v>
      </c>
      <c r="F1090" s="141" t="str">
        <f>IFERROR(STOCKS!$E1090-STOCKS昨天!$E1090,"0")</f>
        <v>0</v>
      </c>
      <c r="G1090" s="63" t="str">
        <f t="shared" si="16"/>
        <v>0</v>
      </c>
    </row>
    <row r="1091" spans="1:7">
      <c r="A1091" s="120">
        <v>6130</v>
      </c>
      <c r="B1091" s="125" t="s">
        <v>4619</v>
      </c>
      <c r="C1091" s="125" t="s">
        <v>5602</v>
      </c>
      <c r="D1091" s="120">
        <v>6130</v>
      </c>
      <c r="E1091" s="60">
        <f>[1]!'6130.TW-PreClose'</f>
        <v>33.9</v>
      </c>
      <c r="F1091" s="141" t="str">
        <f>IFERROR(STOCKS!$E1091-STOCKS昨天!$E1091,"0")</f>
        <v>0</v>
      </c>
      <c r="G1091" s="63">
        <f t="shared" ref="G1091:G1154" si="17">IFERROR($F1091/$E1091,"0")</f>
        <v>0</v>
      </c>
    </row>
    <row r="1092" spans="1:7">
      <c r="A1092" s="120">
        <v>6242</v>
      </c>
      <c r="B1092" s="125" t="s">
        <v>4620</v>
      </c>
      <c r="C1092" s="125" t="s">
        <v>5602</v>
      </c>
      <c r="D1092" s="120">
        <v>6242</v>
      </c>
      <c r="E1092" s="60" t="str">
        <f>[1]!'6242.TW-PreClose'</f>
        <v>--</v>
      </c>
      <c r="F1092" s="141" t="str">
        <f>IFERROR(STOCKS!$E1092-STOCKS昨天!$E1092,"0")</f>
        <v>0</v>
      </c>
      <c r="G1092" s="63" t="str">
        <f t="shared" si="17"/>
        <v>0</v>
      </c>
    </row>
    <row r="1093" spans="1:7">
      <c r="A1093" s="120">
        <v>6446</v>
      </c>
      <c r="B1093" s="125" t="s">
        <v>4621</v>
      </c>
      <c r="C1093" s="125" t="s">
        <v>5602</v>
      </c>
      <c r="D1093" s="120">
        <v>6446</v>
      </c>
      <c r="E1093" s="60">
        <f>[1]!'6446.TW-PreClose'</f>
        <v>182</v>
      </c>
      <c r="F1093" s="141" t="str">
        <f>IFERROR(STOCKS!$E1093-STOCKS昨天!$E1093,"0")</f>
        <v>0</v>
      </c>
      <c r="G1093" s="63">
        <f t="shared" si="17"/>
        <v>0</v>
      </c>
    </row>
    <row r="1094" spans="1:7">
      <c r="A1094" s="120">
        <v>6461</v>
      </c>
      <c r="B1094" s="125" t="s">
        <v>4622</v>
      </c>
      <c r="C1094" s="125" t="s">
        <v>5602</v>
      </c>
      <c r="D1094" s="120">
        <v>6461</v>
      </c>
      <c r="E1094" s="60" t="str">
        <f>[1]!'6461.TW-PreClose'</f>
        <v>--</v>
      </c>
      <c r="F1094" s="141" t="str">
        <f>IFERROR(STOCKS!$E1094-STOCKS昨天!$E1094,"0")</f>
        <v>0</v>
      </c>
      <c r="G1094" s="63" t="str">
        <f t="shared" si="17"/>
        <v>0</v>
      </c>
    </row>
    <row r="1095" spans="1:7">
      <c r="A1095" s="120">
        <v>6469</v>
      </c>
      <c r="B1095" s="125" t="s">
        <v>4623</v>
      </c>
      <c r="C1095" s="125" t="s">
        <v>5602</v>
      </c>
      <c r="D1095" s="120">
        <v>6469</v>
      </c>
      <c r="E1095" s="60">
        <f>[1]!'6469.TW-PreClose'</f>
        <v>215</v>
      </c>
      <c r="F1095" s="141" t="str">
        <f>IFERROR(STOCKS!$E1095-STOCKS昨天!$E1095,"0")</f>
        <v>0</v>
      </c>
      <c r="G1095" s="63">
        <f t="shared" si="17"/>
        <v>0</v>
      </c>
    </row>
    <row r="1096" spans="1:7">
      <c r="A1096" s="120">
        <v>6472</v>
      </c>
      <c r="B1096" s="125" t="s">
        <v>53</v>
      </c>
      <c r="C1096" s="125" t="s">
        <v>5602</v>
      </c>
      <c r="D1096" s="120">
        <v>6472</v>
      </c>
      <c r="E1096" s="60">
        <f>[1]!'6472.TW-PreClose'</f>
        <v>199.5</v>
      </c>
      <c r="F1096" s="141" t="str">
        <f>IFERROR(STOCKS!$E1096-STOCKS昨天!$E1096,"0")</f>
        <v>0</v>
      </c>
      <c r="G1096" s="63">
        <f t="shared" si="17"/>
        <v>0</v>
      </c>
    </row>
    <row r="1097" spans="1:7">
      <c r="A1097" s="120">
        <v>6492</v>
      </c>
      <c r="B1097" s="125" t="s">
        <v>47</v>
      </c>
      <c r="C1097" s="125" t="s">
        <v>5602</v>
      </c>
      <c r="D1097" s="120">
        <v>6492</v>
      </c>
      <c r="E1097" s="60" t="str">
        <f>[1]!'6492.TW-PreClose'</f>
        <v>--</v>
      </c>
      <c r="F1097" s="141" t="str">
        <f>IFERROR(STOCKS!$E1097-STOCKS昨天!$E1097,"0")</f>
        <v>0</v>
      </c>
      <c r="G1097" s="63" t="str">
        <f t="shared" si="17"/>
        <v>0</v>
      </c>
    </row>
    <row r="1098" spans="1:7">
      <c r="A1098" s="120">
        <v>6496</v>
      </c>
      <c r="B1098" s="125" t="s">
        <v>4624</v>
      </c>
      <c r="C1098" s="125" t="s">
        <v>5602</v>
      </c>
      <c r="D1098" s="120">
        <v>6496</v>
      </c>
      <c r="E1098" s="60">
        <f>[1]!'6496.TW-PreClose'</f>
        <v>28.95</v>
      </c>
      <c r="F1098" s="141" t="str">
        <f>IFERROR(STOCKS!$E1098-STOCKS昨天!$E1098,"0")</f>
        <v>0</v>
      </c>
      <c r="G1098" s="63">
        <f t="shared" si="17"/>
        <v>0</v>
      </c>
    </row>
    <row r="1099" spans="1:7">
      <c r="A1099" s="120">
        <v>6499</v>
      </c>
      <c r="B1099" s="125" t="s">
        <v>4625</v>
      </c>
      <c r="C1099" s="125" t="s">
        <v>5602</v>
      </c>
      <c r="D1099" s="120">
        <v>6499</v>
      </c>
      <c r="E1099" s="60" t="str">
        <f>[1]!'6499.TW-PreClose'</f>
        <v>--</v>
      </c>
      <c r="F1099" s="141" t="str">
        <f>IFERROR(STOCKS!$E1099-STOCKS昨天!$E1099,"0")</f>
        <v>0</v>
      </c>
      <c r="G1099" s="63" t="str">
        <f t="shared" si="17"/>
        <v>0</v>
      </c>
    </row>
    <row r="1100" spans="1:7">
      <c r="A1100" s="120">
        <v>6523</v>
      </c>
      <c r="B1100" s="125" t="s">
        <v>4626</v>
      </c>
      <c r="C1100" s="125" t="s">
        <v>5602</v>
      </c>
      <c r="D1100" s="120">
        <v>6523</v>
      </c>
      <c r="E1100" s="60">
        <f>[1]!'6523.TW-PreClose'</f>
        <v>148.5</v>
      </c>
      <c r="F1100" s="141" t="str">
        <f>IFERROR(STOCKS!$E1100-STOCKS昨天!$E1100,"0")</f>
        <v>0</v>
      </c>
      <c r="G1100" s="63">
        <f t="shared" si="17"/>
        <v>0</v>
      </c>
    </row>
    <row r="1101" spans="1:7">
      <c r="A1101" s="120">
        <v>6527</v>
      </c>
      <c r="B1101" s="125" t="s">
        <v>4627</v>
      </c>
      <c r="C1101" s="125" t="s">
        <v>5602</v>
      </c>
      <c r="D1101" s="120">
        <v>6527</v>
      </c>
      <c r="E1101" s="60">
        <f>[1]!'6527.TW-PreClose'</f>
        <v>47.95</v>
      </c>
      <c r="F1101" s="141" t="str">
        <f>IFERROR(STOCKS!$E1101-STOCKS昨天!$E1101,"0")</f>
        <v>0</v>
      </c>
      <c r="G1101" s="63">
        <f t="shared" si="17"/>
        <v>0</v>
      </c>
    </row>
    <row r="1102" spans="1:7">
      <c r="A1102" s="120">
        <v>6535</v>
      </c>
      <c r="B1102" s="125" t="s">
        <v>4628</v>
      </c>
      <c r="C1102" s="125" t="s">
        <v>5602</v>
      </c>
      <c r="D1102" s="120">
        <v>6535</v>
      </c>
      <c r="E1102" s="60">
        <f>[1]!'6535.TW-PreClose'</f>
        <v>36.6</v>
      </c>
      <c r="F1102" s="141" t="str">
        <f>IFERROR(STOCKS!$E1102-STOCKS昨天!$E1102,"0")</f>
        <v>0</v>
      </c>
      <c r="G1102" s="63">
        <f t="shared" si="17"/>
        <v>0</v>
      </c>
    </row>
    <row r="1103" spans="1:7">
      <c r="A1103" s="120">
        <v>6547</v>
      </c>
      <c r="B1103" s="125" t="s">
        <v>45</v>
      </c>
      <c r="C1103" s="125" t="s">
        <v>5602</v>
      </c>
      <c r="D1103" s="120">
        <v>6547</v>
      </c>
      <c r="E1103" s="60">
        <f>[1]!'6547.TW-PreClose'</f>
        <v>237</v>
      </c>
      <c r="F1103" s="141" t="str">
        <f>IFERROR(STOCKS!$E1103-STOCKS昨天!$E1103,"0")</f>
        <v>0</v>
      </c>
      <c r="G1103" s="63">
        <f t="shared" si="17"/>
        <v>0</v>
      </c>
    </row>
    <row r="1104" spans="1:7">
      <c r="A1104" s="120">
        <v>6569</v>
      </c>
      <c r="B1104" s="125" t="s">
        <v>4629</v>
      </c>
      <c r="C1104" s="125" t="s">
        <v>5602</v>
      </c>
      <c r="D1104" s="120">
        <v>6569</v>
      </c>
      <c r="E1104" s="60">
        <f>[1]!'6569.TW-PreClose'</f>
        <v>105</v>
      </c>
      <c r="F1104" s="141" t="str">
        <f>IFERROR(STOCKS!$E1104-STOCKS昨天!$E1104,"0")</f>
        <v>0</v>
      </c>
      <c r="G1104" s="63">
        <f t="shared" si="17"/>
        <v>0</v>
      </c>
    </row>
    <row r="1105" spans="1:7">
      <c r="A1105" s="120">
        <v>6574</v>
      </c>
      <c r="B1105" s="125" t="s">
        <v>3513</v>
      </c>
      <c r="C1105" s="125" t="s">
        <v>5602</v>
      </c>
      <c r="D1105" s="120">
        <v>6574</v>
      </c>
      <c r="E1105" s="60">
        <f>[1]!'6574.TW-PreClose'</f>
        <v>47</v>
      </c>
      <c r="F1105" s="141" t="str">
        <f>IFERROR(STOCKS!$E1105-STOCKS昨天!$E1105,"0")</f>
        <v>0</v>
      </c>
      <c r="G1105" s="63">
        <f t="shared" si="17"/>
        <v>0</v>
      </c>
    </row>
    <row r="1106" spans="1:7">
      <c r="A1106" s="120">
        <v>6576</v>
      </c>
      <c r="B1106" s="125" t="s">
        <v>4630</v>
      </c>
      <c r="C1106" s="125" t="s">
        <v>5602</v>
      </c>
      <c r="D1106" s="120">
        <v>6576</v>
      </c>
      <c r="E1106" s="60">
        <f>[1]!'6576.TW-PreClose'</f>
        <v>90.3</v>
      </c>
      <c r="F1106" s="141" t="str">
        <f>IFERROR(STOCKS!$E1106-STOCKS昨天!$E1106,"0")</f>
        <v>0</v>
      </c>
      <c r="G1106" s="63">
        <f t="shared" si="17"/>
        <v>0</v>
      </c>
    </row>
    <row r="1107" spans="1:7">
      <c r="A1107" s="120">
        <v>6589</v>
      </c>
      <c r="B1107" s="125" t="s">
        <v>4631</v>
      </c>
      <c r="C1107" s="125" t="s">
        <v>5602</v>
      </c>
      <c r="D1107" s="120">
        <v>6589</v>
      </c>
      <c r="E1107" s="60">
        <f>[1]!'6589.TW-PreClose'</f>
        <v>105.5</v>
      </c>
      <c r="F1107" s="141" t="str">
        <f>IFERROR(STOCKS!$E1107-STOCKS昨天!$E1107,"0")</f>
        <v>0</v>
      </c>
      <c r="G1107" s="63">
        <f t="shared" si="17"/>
        <v>0</v>
      </c>
    </row>
    <row r="1108" spans="1:7">
      <c r="A1108" s="120">
        <v>6612</v>
      </c>
      <c r="B1108" s="125" t="s">
        <v>4632</v>
      </c>
      <c r="C1108" s="125" t="s">
        <v>5602</v>
      </c>
      <c r="D1108" s="120">
        <v>6612</v>
      </c>
      <c r="E1108" s="60">
        <f>[1]!'6612.TW-PreClose'</f>
        <v>60.6</v>
      </c>
      <c r="F1108" s="141" t="str">
        <f>IFERROR(STOCKS!$E1108-STOCKS昨天!$E1108,"0")</f>
        <v>0</v>
      </c>
      <c r="G1108" s="63">
        <f t="shared" si="17"/>
        <v>0</v>
      </c>
    </row>
    <row r="1109" spans="1:7">
      <c r="A1109" s="120">
        <v>6615</v>
      </c>
      <c r="B1109" s="125" t="s">
        <v>4633</v>
      </c>
      <c r="C1109" s="125" t="s">
        <v>5602</v>
      </c>
      <c r="D1109" s="120">
        <v>6615</v>
      </c>
      <c r="E1109" s="60" t="str">
        <f>[1]!'6615.TW-PreClose'</f>
        <v>--</v>
      </c>
      <c r="F1109" s="141" t="str">
        <f>IFERROR(STOCKS!$E1109-STOCKS昨天!$E1109,"0")</f>
        <v>0</v>
      </c>
      <c r="G1109" s="63" t="str">
        <f t="shared" si="17"/>
        <v>0</v>
      </c>
    </row>
    <row r="1110" spans="1:7">
      <c r="A1110" s="120">
        <v>6649</v>
      </c>
      <c r="B1110" s="125" t="s">
        <v>4634</v>
      </c>
      <c r="C1110" s="125" t="s">
        <v>5602</v>
      </c>
      <c r="D1110" s="120">
        <v>6649</v>
      </c>
      <c r="E1110" s="60">
        <f>[1]!'6649.TW-PreClose'</f>
        <v>25.05</v>
      </c>
      <c r="F1110" s="141" t="str">
        <f>IFERROR(STOCKS!$E1110-STOCKS昨天!$E1110,"0")</f>
        <v>0</v>
      </c>
      <c r="G1110" s="63">
        <f t="shared" si="17"/>
        <v>0</v>
      </c>
    </row>
    <row r="1111" spans="1:7">
      <c r="A1111" s="120">
        <v>6661</v>
      </c>
      <c r="B1111" s="125" t="s">
        <v>4635</v>
      </c>
      <c r="C1111" s="125" t="s">
        <v>5602</v>
      </c>
      <c r="D1111" s="120">
        <v>6661</v>
      </c>
      <c r="E1111" s="60">
        <f>[1]!'6661.TW-PreClose'</f>
        <v>24.8</v>
      </c>
      <c r="F1111" s="141" t="str">
        <f>IFERROR(STOCKS!$E1111-STOCKS昨天!$E1111,"0")</f>
        <v>0</v>
      </c>
      <c r="G1111" s="63">
        <f t="shared" si="17"/>
        <v>0</v>
      </c>
    </row>
    <row r="1112" spans="1:7">
      <c r="A1112" s="120">
        <v>6662</v>
      </c>
      <c r="B1112" s="125" t="s">
        <v>4636</v>
      </c>
      <c r="C1112" s="125" t="s">
        <v>5602</v>
      </c>
      <c r="D1112" s="120">
        <v>6662</v>
      </c>
      <c r="E1112" s="60">
        <f>[1]!'6662.TW-PreClose'</f>
        <v>30.5</v>
      </c>
      <c r="F1112" s="141" t="str">
        <f>IFERROR(STOCKS!$E1112-STOCKS昨天!$E1112,"0")</f>
        <v>0</v>
      </c>
      <c r="G1112" s="63">
        <f t="shared" si="17"/>
        <v>0</v>
      </c>
    </row>
    <row r="1113" spans="1:7">
      <c r="A1113" s="120">
        <v>6703</v>
      </c>
      <c r="B1113" s="125" t="s">
        <v>4637</v>
      </c>
      <c r="C1113" s="125" t="s">
        <v>5602</v>
      </c>
      <c r="D1113" s="120">
        <v>6703</v>
      </c>
      <c r="E1113" s="60" t="str">
        <f>[1]!'6703.TW-PreClose'</f>
        <v>--</v>
      </c>
      <c r="F1113" s="141" t="str">
        <f>IFERROR(STOCKS!$E1113-STOCKS昨天!$E1113,"0")</f>
        <v>0</v>
      </c>
      <c r="G1113" s="63" t="str">
        <f t="shared" si="17"/>
        <v>0</v>
      </c>
    </row>
    <row r="1114" spans="1:7">
      <c r="A1114" s="120">
        <v>6712</v>
      </c>
      <c r="B1114" s="125" t="s">
        <v>4638</v>
      </c>
      <c r="C1114" s="125" t="s">
        <v>5602</v>
      </c>
      <c r="D1114" s="120">
        <v>6712</v>
      </c>
      <c r="E1114" s="60">
        <f>[1]!'6712.TW-PreClose'</f>
        <v>246.5</v>
      </c>
      <c r="F1114" s="141" t="str">
        <f>IFERROR(STOCKS!$E1114-STOCKS昨天!$E1114,"0")</f>
        <v>0</v>
      </c>
      <c r="G1114" s="63">
        <f t="shared" si="17"/>
        <v>0</v>
      </c>
    </row>
    <row r="1115" spans="1:7">
      <c r="A1115" s="120">
        <v>6733</v>
      </c>
      <c r="B1115" s="125" t="s">
        <v>4639</v>
      </c>
      <c r="C1115" s="125" t="s">
        <v>5602</v>
      </c>
      <c r="D1115" s="120">
        <v>6733</v>
      </c>
      <c r="E1115" s="60">
        <f>[1]!'6733.TW-PreClose'</f>
        <v>24.1</v>
      </c>
      <c r="F1115" s="141" t="str">
        <f>IFERROR(STOCKS!$E1115-STOCKS昨天!$E1115,"0")</f>
        <v>0</v>
      </c>
      <c r="G1115" s="63">
        <f t="shared" si="17"/>
        <v>0</v>
      </c>
    </row>
    <row r="1116" spans="1:7">
      <c r="A1116" s="120">
        <v>6747</v>
      </c>
      <c r="B1116" s="125" t="s">
        <v>4640</v>
      </c>
      <c r="C1116" s="125" t="s">
        <v>5602</v>
      </c>
      <c r="D1116" s="120">
        <v>6747</v>
      </c>
      <c r="E1116" s="60" t="str">
        <f>[1]!'6747.TW-PreClose'</f>
        <v>--</v>
      </c>
      <c r="F1116" s="141" t="str">
        <f>IFERROR(STOCKS!$E1116-STOCKS昨天!$E1116,"0")</f>
        <v>0</v>
      </c>
      <c r="G1116" s="63" t="str">
        <f t="shared" si="17"/>
        <v>0</v>
      </c>
    </row>
    <row r="1117" spans="1:7">
      <c r="A1117" s="120">
        <v>6762</v>
      </c>
      <c r="B1117" s="125" t="s">
        <v>4641</v>
      </c>
      <c r="C1117" s="125" t="s">
        <v>5602</v>
      </c>
      <c r="D1117" s="120">
        <v>6762</v>
      </c>
      <c r="E1117" s="60">
        <f>[1]!'6762.TW-PreClose'</f>
        <v>265.5</v>
      </c>
      <c r="F1117" s="141" t="str">
        <f>IFERROR(STOCKS!$E1117-STOCKS昨天!$E1117,"0")</f>
        <v>0</v>
      </c>
      <c r="G1117" s="63">
        <f t="shared" si="17"/>
        <v>0</v>
      </c>
    </row>
    <row r="1118" spans="1:7">
      <c r="A1118" s="120">
        <v>6767</v>
      </c>
      <c r="B1118" s="125" t="s">
        <v>4642</v>
      </c>
      <c r="C1118" s="125" t="s">
        <v>5602</v>
      </c>
      <c r="D1118" s="120">
        <v>6767</v>
      </c>
      <c r="E1118" s="60" t="str">
        <f>[1]!'6767.TW-PreClose'</f>
        <v>--</v>
      </c>
      <c r="F1118" s="141" t="str">
        <f>IFERROR(STOCKS!$E1118-STOCKS昨天!$E1118,"0")</f>
        <v>0</v>
      </c>
      <c r="G1118" s="63" t="str">
        <f t="shared" si="17"/>
        <v>0</v>
      </c>
    </row>
    <row r="1119" spans="1:7">
      <c r="A1119" s="120">
        <v>6857</v>
      </c>
      <c r="B1119" s="125" t="s">
        <v>5536</v>
      </c>
      <c r="C1119" s="125" t="s">
        <v>5602</v>
      </c>
      <c r="D1119" s="120">
        <v>6857</v>
      </c>
      <c r="E1119" s="60">
        <f>[1]!'6857.TW-PreClose'</f>
        <v>88</v>
      </c>
      <c r="F1119" s="141" t="str">
        <f>IFERROR(STOCKS!$E1119-STOCKS昨天!$E1119,"0")</f>
        <v>0</v>
      </c>
      <c r="G1119" s="63">
        <f t="shared" si="17"/>
        <v>0</v>
      </c>
    </row>
    <row r="1120" spans="1:7">
      <c r="A1120" s="120">
        <v>8279</v>
      </c>
      <c r="B1120" s="125" t="s">
        <v>4643</v>
      </c>
      <c r="C1120" s="125" t="s">
        <v>5602</v>
      </c>
      <c r="D1120" s="120">
        <v>8279</v>
      </c>
      <c r="E1120" s="60">
        <f>[1]!'8279.TW-PreClose'</f>
        <v>103.5</v>
      </c>
      <c r="F1120" s="141" t="str">
        <f>IFERROR(STOCKS!$E1120-STOCKS昨天!$E1120,"0")</f>
        <v>0</v>
      </c>
      <c r="G1120" s="63">
        <f t="shared" si="17"/>
        <v>0</v>
      </c>
    </row>
    <row r="1121" spans="1:7">
      <c r="A1121" s="120">
        <v>8403</v>
      </c>
      <c r="B1121" s="125" t="s">
        <v>4644</v>
      </c>
      <c r="C1121" s="125" t="s">
        <v>5602</v>
      </c>
      <c r="D1121" s="120">
        <v>8403</v>
      </c>
      <c r="E1121" s="60" t="str">
        <f>[1]!'8403.TW-PreClose'</f>
        <v>--</v>
      </c>
      <c r="F1121" s="141" t="str">
        <f>IFERROR(STOCKS!$E1121-STOCKS昨天!$E1121,"0")</f>
        <v>0</v>
      </c>
      <c r="G1121" s="63" t="str">
        <f t="shared" si="17"/>
        <v>0</v>
      </c>
    </row>
    <row r="1122" spans="1:7">
      <c r="A1122" s="120">
        <v>8406</v>
      </c>
      <c r="B1122" s="125" t="s">
        <v>4645</v>
      </c>
      <c r="C1122" s="125" t="s">
        <v>5603</v>
      </c>
      <c r="D1122" s="120">
        <v>8406</v>
      </c>
      <c r="E1122" s="60">
        <f>[1]!'8406.TW-PreClose'</f>
        <v>197.5</v>
      </c>
      <c r="F1122" s="141">
        <f>IFERROR(STOCKS!$E1122-STOCKS昨天!$E1122,"0")</f>
        <v>0</v>
      </c>
      <c r="G1122" s="63">
        <f t="shared" si="17"/>
        <v>0</v>
      </c>
    </row>
    <row r="1123" spans="1:7">
      <c r="A1123" s="120">
        <v>8409</v>
      </c>
      <c r="B1123" s="125" t="s">
        <v>4646</v>
      </c>
      <c r="C1123" s="125" t="s">
        <v>5602</v>
      </c>
      <c r="D1123" s="120">
        <v>8409</v>
      </c>
      <c r="E1123" s="60">
        <f>[1]!'8409.TW-PreClose'</f>
        <v>15.7</v>
      </c>
      <c r="F1123" s="141" t="str">
        <f>IFERROR(STOCKS!$E1123-STOCKS昨天!$E1123,"0")</f>
        <v>0</v>
      </c>
      <c r="G1123" s="63">
        <f t="shared" si="17"/>
        <v>0</v>
      </c>
    </row>
    <row r="1124" spans="1:7">
      <c r="A1124" s="120">
        <v>8432</v>
      </c>
      <c r="B1124" s="125" t="s">
        <v>4647</v>
      </c>
      <c r="C1124" s="125" t="s">
        <v>5602</v>
      </c>
      <c r="D1124" s="120">
        <v>8432</v>
      </c>
      <c r="E1124" s="60">
        <f>[1]!'8432.TW-PreClose'</f>
        <v>43.95</v>
      </c>
      <c r="F1124" s="141" t="str">
        <f>IFERROR(STOCKS!$E1124-STOCKS昨天!$E1124,"0")</f>
        <v>0</v>
      </c>
      <c r="G1124" s="63">
        <f t="shared" si="17"/>
        <v>0</v>
      </c>
    </row>
    <row r="1125" spans="1:7">
      <c r="A1125" s="120">
        <v>8436</v>
      </c>
      <c r="B1125" s="125" t="s">
        <v>3677</v>
      </c>
      <c r="C1125" s="125" t="s">
        <v>5602</v>
      </c>
      <c r="D1125" s="120">
        <v>8436</v>
      </c>
      <c r="E1125" s="60" t="str">
        <f>[1]!'8436.TW-PreClose'</f>
        <v>--</v>
      </c>
      <c r="F1125" s="141" t="str">
        <f>IFERROR(STOCKS!$E1125-STOCKS昨天!$E1125,"0")</f>
        <v>0</v>
      </c>
      <c r="G1125" s="63" t="str">
        <f t="shared" si="17"/>
        <v>0</v>
      </c>
    </row>
    <row r="1126" spans="1:7">
      <c r="A1126" s="120">
        <v>2035</v>
      </c>
      <c r="B1126" s="125" t="s">
        <v>4648</v>
      </c>
      <c r="C1126" s="125" t="s">
        <v>5604</v>
      </c>
      <c r="D1126" s="120">
        <v>2035</v>
      </c>
      <c r="E1126" s="60">
        <f>[1]!'2035.TW-PreClose'</f>
        <v>37</v>
      </c>
      <c r="F1126" s="141" t="str">
        <f>IFERROR(STOCKS!$E1126-STOCKS昨天!$E1126,"0")</f>
        <v>0</v>
      </c>
      <c r="G1126" s="63">
        <f t="shared" si="17"/>
        <v>0</v>
      </c>
    </row>
    <row r="1127" spans="1:7">
      <c r="A1127" s="120">
        <v>2063</v>
      </c>
      <c r="B1127" s="125" t="s">
        <v>4649</v>
      </c>
      <c r="C1127" s="125" t="s">
        <v>5604</v>
      </c>
      <c r="D1127" s="120">
        <v>2063</v>
      </c>
      <c r="E1127" s="60">
        <f>[1]!'2063.TW-PreClose'</f>
        <v>36.799999999999997</v>
      </c>
      <c r="F1127" s="141" t="str">
        <f>IFERROR(STOCKS!$E1127-STOCKS昨天!$E1127,"0")</f>
        <v>0</v>
      </c>
      <c r="G1127" s="63">
        <f t="shared" si="17"/>
        <v>0</v>
      </c>
    </row>
    <row r="1128" spans="1:7">
      <c r="A1128" s="120">
        <v>2064</v>
      </c>
      <c r="B1128" s="125" t="s">
        <v>4650</v>
      </c>
      <c r="C1128" s="125" t="s">
        <v>5604</v>
      </c>
      <c r="D1128" s="120">
        <v>2064</v>
      </c>
      <c r="E1128" s="60">
        <f>[1]!'2064.TW-PreClose'</f>
        <v>18.3</v>
      </c>
      <c r="F1128" s="141" t="str">
        <f>IFERROR(STOCKS!$E1128-STOCKS昨天!$E1128,"0")</f>
        <v>0</v>
      </c>
      <c r="G1128" s="63">
        <f t="shared" si="17"/>
        <v>0</v>
      </c>
    </row>
    <row r="1129" spans="1:7">
      <c r="A1129" s="120">
        <v>2065</v>
      </c>
      <c r="B1129" s="125" t="s">
        <v>4651</v>
      </c>
      <c r="C1129" s="125" t="s">
        <v>5604</v>
      </c>
      <c r="D1129" s="120">
        <v>2065</v>
      </c>
      <c r="E1129" s="60">
        <f>[1]!'2065.TW-PreClose'</f>
        <v>47.6</v>
      </c>
      <c r="F1129" s="141" t="str">
        <f>IFERROR(STOCKS!$E1129-STOCKS昨天!$E1129,"0")</f>
        <v>0</v>
      </c>
      <c r="G1129" s="63">
        <f t="shared" si="17"/>
        <v>0</v>
      </c>
    </row>
    <row r="1130" spans="1:7">
      <c r="A1130" s="120">
        <v>5009</v>
      </c>
      <c r="B1130" s="125" t="s">
        <v>3627</v>
      </c>
      <c r="C1130" s="125" t="s">
        <v>5604</v>
      </c>
      <c r="D1130" s="120">
        <v>5009</v>
      </c>
      <c r="E1130" s="60">
        <f>[1]!'5009.TW-PreClose'</f>
        <v>21.25</v>
      </c>
      <c r="F1130" s="141" t="str">
        <f>IFERROR(STOCKS!$E1130-STOCKS昨天!$E1130,"0")</f>
        <v>0</v>
      </c>
      <c r="G1130" s="63">
        <f t="shared" si="17"/>
        <v>0</v>
      </c>
    </row>
    <row r="1131" spans="1:7">
      <c r="A1131" s="120">
        <v>5011</v>
      </c>
      <c r="B1131" s="125" t="s">
        <v>4652</v>
      </c>
      <c r="C1131" s="125" t="s">
        <v>5604</v>
      </c>
      <c r="D1131" s="120">
        <v>5011</v>
      </c>
      <c r="E1131" s="60" t="str">
        <f>[1]!'5011.TW-PreClose'</f>
        <v>--</v>
      </c>
      <c r="F1131" s="141" t="str">
        <f>IFERROR(STOCKS!$E1131-STOCKS昨天!$E1131,"0")</f>
        <v>0</v>
      </c>
      <c r="G1131" s="63" t="str">
        <f t="shared" si="17"/>
        <v>0</v>
      </c>
    </row>
    <row r="1132" spans="1:7">
      <c r="A1132" s="120">
        <v>5013</v>
      </c>
      <c r="B1132" s="125" t="s">
        <v>4653</v>
      </c>
      <c r="C1132" s="125" t="s">
        <v>5604</v>
      </c>
      <c r="D1132" s="120">
        <v>5013</v>
      </c>
      <c r="E1132" s="60">
        <f>[1]!'5013.TW-PreClose'</f>
        <v>37.1</v>
      </c>
      <c r="F1132" s="141" t="str">
        <f>IFERROR(STOCKS!$E1132-STOCKS昨天!$E1132,"0")</f>
        <v>0</v>
      </c>
      <c r="G1132" s="63">
        <f t="shared" si="17"/>
        <v>0</v>
      </c>
    </row>
    <row r="1133" spans="1:7">
      <c r="A1133" s="120">
        <v>5014</v>
      </c>
      <c r="B1133" s="125" t="s">
        <v>3581</v>
      </c>
      <c r="C1133" s="125" t="s">
        <v>5604</v>
      </c>
      <c r="D1133" s="120">
        <v>5014</v>
      </c>
      <c r="E1133" s="60">
        <f>[1]!'5014.TW-PreClose'</f>
        <v>21.75</v>
      </c>
      <c r="F1133" s="141">
        <f>IFERROR(STOCKS!$E1133-STOCKS昨天!$E1133,"0")</f>
        <v>0.25</v>
      </c>
      <c r="G1133" s="63">
        <f t="shared" si="17"/>
        <v>1.1494252873563218E-2</v>
      </c>
    </row>
    <row r="1134" spans="1:7">
      <c r="A1134" s="120">
        <v>5015</v>
      </c>
      <c r="B1134" s="125" t="s">
        <v>4654</v>
      </c>
      <c r="C1134" s="125" t="s">
        <v>5604</v>
      </c>
      <c r="D1134" s="120">
        <v>5015</v>
      </c>
      <c r="E1134" s="60" t="str">
        <f>[1]!'5015.TW-PreClose'</f>
        <v>--</v>
      </c>
      <c r="F1134" s="141" t="str">
        <f>IFERROR(STOCKS!$E1134-STOCKS昨天!$E1134,"0")</f>
        <v>0</v>
      </c>
      <c r="G1134" s="63" t="str">
        <f t="shared" si="17"/>
        <v>0</v>
      </c>
    </row>
    <row r="1135" spans="1:7">
      <c r="A1135" s="120">
        <v>5016</v>
      </c>
      <c r="B1135" s="125" t="s">
        <v>4655</v>
      </c>
      <c r="C1135" s="125" t="s">
        <v>5604</v>
      </c>
      <c r="D1135" s="120">
        <v>5016</v>
      </c>
      <c r="E1135" s="60">
        <f>[1]!'5016.TW-PreClose'</f>
        <v>37.65</v>
      </c>
      <c r="F1135" s="141" t="str">
        <f>IFERROR(STOCKS!$E1135-STOCKS昨天!$E1135,"0")</f>
        <v>0</v>
      </c>
      <c r="G1135" s="63">
        <f t="shared" si="17"/>
        <v>0</v>
      </c>
    </row>
    <row r="1136" spans="1:7">
      <c r="A1136" s="120">
        <v>6248</v>
      </c>
      <c r="B1136" s="125" t="s">
        <v>4656</v>
      </c>
      <c r="C1136" s="125" t="s">
        <v>5604</v>
      </c>
      <c r="D1136" s="120">
        <v>6248</v>
      </c>
      <c r="E1136" s="60">
        <f>[1]!'6248.TW-PreClose'</f>
        <v>20.7</v>
      </c>
      <c r="F1136" s="141" t="str">
        <f>IFERROR(STOCKS!$E1136-STOCKS昨天!$E1136,"0")</f>
        <v>0</v>
      </c>
      <c r="G1136" s="63">
        <f t="shared" si="17"/>
        <v>0</v>
      </c>
    </row>
    <row r="1137" spans="1:7">
      <c r="A1137" s="120">
        <v>8349</v>
      </c>
      <c r="B1137" s="125" t="s">
        <v>4657</v>
      </c>
      <c r="C1137" s="125" t="s">
        <v>5604</v>
      </c>
      <c r="D1137" s="120">
        <v>8349</v>
      </c>
      <c r="E1137" s="60">
        <f>[1]!'8349.TW-PreClose'</f>
        <v>57.4</v>
      </c>
      <c r="F1137" s="141" t="str">
        <f>IFERROR(STOCKS!$E1137-STOCKS昨天!$E1137,"0")</f>
        <v>0</v>
      </c>
      <c r="G1137" s="63">
        <f t="shared" si="17"/>
        <v>0</v>
      </c>
    </row>
    <row r="1138" spans="1:7">
      <c r="A1138" s="120">
        <v>8415</v>
      </c>
      <c r="B1138" s="125" t="s">
        <v>3656</v>
      </c>
      <c r="C1138" s="125" t="s">
        <v>5604</v>
      </c>
      <c r="D1138" s="120">
        <v>8415</v>
      </c>
      <c r="E1138" s="60">
        <f>[1]!'8415.TW-PreClose'</f>
        <v>34.299999999999997</v>
      </c>
      <c r="F1138" s="141" t="str">
        <f>IFERROR(STOCKS!$E1138-STOCKS昨天!$E1138,"0")</f>
        <v>0</v>
      </c>
      <c r="G1138" s="63">
        <f t="shared" si="17"/>
        <v>0</v>
      </c>
    </row>
    <row r="1139" spans="1:7">
      <c r="A1139" s="120">
        <v>8930</v>
      </c>
      <c r="B1139" s="125" t="s">
        <v>4658</v>
      </c>
      <c r="C1139" s="125" t="s">
        <v>5604</v>
      </c>
      <c r="D1139" s="120">
        <v>8930</v>
      </c>
      <c r="E1139" s="60">
        <f>[1]!'8930.TW-PreClose'</f>
        <v>14.75</v>
      </c>
      <c r="F1139" s="141" t="str">
        <f>IFERROR(STOCKS!$E1139-STOCKS昨天!$E1139,"0")</f>
        <v>0</v>
      </c>
      <c r="G1139" s="63">
        <f t="shared" si="17"/>
        <v>0</v>
      </c>
    </row>
    <row r="1140" spans="1:7">
      <c r="A1140" s="120">
        <v>9962</v>
      </c>
      <c r="B1140" s="125" t="s">
        <v>4659</v>
      </c>
      <c r="C1140" s="125" t="s">
        <v>5604</v>
      </c>
      <c r="D1140" s="120">
        <v>9962</v>
      </c>
      <c r="E1140" s="60" t="str">
        <f>[1]!'9962.TW-PreClose'</f>
        <v>--</v>
      </c>
      <c r="F1140" s="141" t="str">
        <f>IFERROR(STOCKS!$E1140-STOCKS昨天!$E1140,"0")</f>
        <v>0</v>
      </c>
      <c r="G1140" s="63" t="str">
        <f t="shared" si="17"/>
        <v>0</v>
      </c>
    </row>
    <row r="1141" spans="1:7">
      <c r="A1141" s="120">
        <v>5102</v>
      </c>
      <c r="B1141" s="125" t="s">
        <v>4660</v>
      </c>
      <c r="C1141" s="125" t="s">
        <v>5605</v>
      </c>
      <c r="D1141" s="120">
        <v>5102</v>
      </c>
      <c r="E1141" s="60" t="str">
        <f>[1]!'5102.TW-PreClose'</f>
        <v>--</v>
      </c>
      <c r="F1141" s="141" t="str">
        <f>IFERROR(STOCKS!$E1141-STOCKS昨天!$E1141,"0")</f>
        <v>0</v>
      </c>
      <c r="G1141" s="63" t="str">
        <f t="shared" si="17"/>
        <v>0</v>
      </c>
    </row>
    <row r="1142" spans="1:7">
      <c r="A1142" s="120">
        <v>3073</v>
      </c>
      <c r="B1142" s="125" t="s">
        <v>4661</v>
      </c>
      <c r="C1142" s="125" t="s">
        <v>5606</v>
      </c>
      <c r="D1142" s="120">
        <v>3073</v>
      </c>
      <c r="E1142" s="60">
        <f>[1]!'3073.TW-PreClose'</f>
        <v>25.3</v>
      </c>
      <c r="F1142" s="141" t="str">
        <f>IFERROR(STOCKS!$E1142-STOCKS昨天!$E1142,"0")</f>
        <v>0</v>
      </c>
      <c r="G1142" s="63">
        <f t="shared" si="17"/>
        <v>0</v>
      </c>
    </row>
    <row r="1143" spans="1:7">
      <c r="A1143" s="120">
        <v>3105</v>
      </c>
      <c r="B1143" s="125" t="s">
        <v>3618</v>
      </c>
      <c r="C1143" s="125" t="s">
        <v>5606</v>
      </c>
      <c r="D1143" s="120">
        <v>3105</v>
      </c>
      <c r="E1143" s="60">
        <f>[1]!'3105.TW-PreClose'</f>
        <v>353.5</v>
      </c>
      <c r="F1143" s="141" t="str">
        <f>IFERROR(STOCKS!$E1143-STOCKS昨天!$E1143,"0")</f>
        <v>0</v>
      </c>
      <c r="G1143" s="63">
        <f t="shared" si="17"/>
        <v>0</v>
      </c>
    </row>
    <row r="1144" spans="1:7">
      <c r="A1144" s="120">
        <v>3122</v>
      </c>
      <c r="B1144" s="125" t="s">
        <v>3607</v>
      </c>
      <c r="C1144" s="125" t="s">
        <v>5606</v>
      </c>
      <c r="D1144" s="120">
        <v>3122</v>
      </c>
      <c r="E1144" s="60">
        <f>[1]!'3122.TW-PreClose'</f>
        <v>61.8</v>
      </c>
      <c r="F1144" s="141" t="str">
        <f>IFERROR(STOCKS!$E1144-STOCKS昨天!$E1144,"0")</f>
        <v>0</v>
      </c>
      <c r="G1144" s="63">
        <f t="shared" si="17"/>
        <v>0</v>
      </c>
    </row>
    <row r="1145" spans="1:7">
      <c r="A1145" s="120">
        <v>3141</v>
      </c>
      <c r="B1145" s="125" t="s">
        <v>4662</v>
      </c>
      <c r="C1145" s="125" t="s">
        <v>5606</v>
      </c>
      <c r="D1145" s="120">
        <v>3141</v>
      </c>
      <c r="E1145" s="60">
        <f>[1]!'3141.TW-PreClose'</f>
        <v>255</v>
      </c>
      <c r="F1145" s="141">
        <f>IFERROR(STOCKS!$E1145-STOCKS昨天!$E1145,"0")</f>
        <v>4.5</v>
      </c>
      <c r="G1145" s="63">
        <f t="shared" si="17"/>
        <v>1.7647058823529412E-2</v>
      </c>
    </row>
    <row r="1146" spans="1:7">
      <c r="A1146" s="120">
        <v>3169</v>
      </c>
      <c r="B1146" s="125" t="s">
        <v>3609</v>
      </c>
      <c r="C1146" s="125" t="s">
        <v>5606</v>
      </c>
      <c r="D1146" s="120">
        <v>3169</v>
      </c>
      <c r="E1146" s="60" t="str">
        <f>[1]!'3169.TW-PreClose'</f>
        <v>--</v>
      </c>
      <c r="F1146" s="141" t="str">
        <f>IFERROR(STOCKS!$E1146-STOCKS昨天!$E1146,"0")</f>
        <v>0</v>
      </c>
      <c r="G1146" s="63" t="str">
        <f t="shared" si="17"/>
        <v>0</v>
      </c>
    </row>
    <row r="1147" spans="1:7">
      <c r="A1147" s="120">
        <v>3227</v>
      </c>
      <c r="B1147" s="125" t="s">
        <v>4663</v>
      </c>
      <c r="C1147" s="125" t="s">
        <v>5606</v>
      </c>
      <c r="D1147" s="120">
        <v>3227</v>
      </c>
      <c r="E1147" s="60">
        <f>[1]!'3227.TW-PreClose'</f>
        <v>155.5</v>
      </c>
      <c r="F1147" s="141" t="str">
        <f>IFERROR(STOCKS!$E1147-STOCKS昨天!$E1147,"0")</f>
        <v>0</v>
      </c>
      <c r="G1147" s="63">
        <f t="shared" si="17"/>
        <v>0</v>
      </c>
    </row>
    <row r="1148" spans="1:7">
      <c r="A1148" s="120">
        <v>3228</v>
      </c>
      <c r="B1148" s="125" t="s">
        <v>3518</v>
      </c>
      <c r="C1148" s="125" t="s">
        <v>5606</v>
      </c>
      <c r="D1148" s="120">
        <v>3228</v>
      </c>
      <c r="E1148" s="60">
        <f>[1]!'3228.TW-PreClose'</f>
        <v>503</v>
      </c>
      <c r="F1148" s="141" t="str">
        <f>IFERROR(STOCKS!$E1148-STOCKS昨天!$E1148,"0")</f>
        <v>0</v>
      </c>
      <c r="G1148" s="63">
        <f t="shared" si="17"/>
        <v>0</v>
      </c>
    </row>
    <row r="1149" spans="1:7">
      <c r="A1149" s="120">
        <v>3259</v>
      </c>
      <c r="B1149" s="125" t="s">
        <v>4664</v>
      </c>
      <c r="C1149" s="125" t="s">
        <v>5606</v>
      </c>
      <c r="D1149" s="120">
        <v>3259</v>
      </c>
      <c r="E1149" s="60">
        <f>[1]!'3259.TW-PreClose'</f>
        <v>29.75</v>
      </c>
      <c r="F1149" s="141" t="str">
        <f>IFERROR(STOCKS!$E1149-STOCKS昨天!$E1149,"0")</f>
        <v>0</v>
      </c>
      <c r="G1149" s="63">
        <f t="shared" si="17"/>
        <v>0</v>
      </c>
    </row>
    <row r="1150" spans="1:7">
      <c r="A1150" s="120">
        <v>3260</v>
      </c>
      <c r="B1150" s="125" t="s">
        <v>4665</v>
      </c>
      <c r="C1150" s="125" t="s">
        <v>5606</v>
      </c>
      <c r="D1150" s="120">
        <v>3260</v>
      </c>
      <c r="E1150" s="60">
        <f>[1]!'3260.TW-PreClose'</f>
        <v>91.8</v>
      </c>
      <c r="F1150" s="141">
        <f>IFERROR(STOCKS!$E1150-STOCKS昨天!$E1150,"0")</f>
        <v>0.90000000000000568</v>
      </c>
      <c r="G1150" s="63">
        <f t="shared" si="17"/>
        <v>9.8039215686275133E-3</v>
      </c>
    </row>
    <row r="1151" spans="1:7">
      <c r="A1151" s="120">
        <v>3264</v>
      </c>
      <c r="B1151" s="125" t="s">
        <v>4666</v>
      </c>
      <c r="C1151" s="125" t="s">
        <v>5606</v>
      </c>
      <c r="D1151" s="120">
        <v>3264</v>
      </c>
      <c r="E1151" s="60" t="str">
        <f>[1]!'3264.TW-PreClose'</f>
        <v>--</v>
      </c>
      <c r="F1151" s="141" t="str">
        <f>IFERROR(STOCKS!$E1151-STOCKS昨天!$E1151,"0")</f>
        <v>0</v>
      </c>
      <c r="G1151" s="63" t="str">
        <f t="shared" si="17"/>
        <v>0</v>
      </c>
    </row>
    <row r="1152" spans="1:7">
      <c r="A1152" s="120">
        <v>3265</v>
      </c>
      <c r="B1152" s="125" t="s">
        <v>4667</v>
      </c>
      <c r="C1152" s="125" t="s">
        <v>5606</v>
      </c>
      <c r="D1152" s="120">
        <v>3265</v>
      </c>
      <c r="E1152" s="60">
        <f>[1]!'3265.TW-PreClose'</f>
        <v>32.5</v>
      </c>
      <c r="F1152" s="141" t="str">
        <f>IFERROR(STOCKS!$E1152-STOCKS昨天!$E1152,"0")</f>
        <v>0</v>
      </c>
      <c r="G1152" s="63">
        <f t="shared" si="17"/>
        <v>0</v>
      </c>
    </row>
    <row r="1153" spans="1:7">
      <c r="A1153" s="120">
        <v>3268</v>
      </c>
      <c r="B1153" s="125" t="s">
        <v>4668</v>
      </c>
      <c r="C1153" s="125" t="s">
        <v>5606</v>
      </c>
      <c r="D1153" s="120">
        <v>3268</v>
      </c>
      <c r="E1153" s="60">
        <f>[1]!'3268.TW-PreClose'</f>
        <v>30</v>
      </c>
      <c r="F1153" s="141" t="str">
        <f>IFERROR(STOCKS!$E1153-STOCKS昨天!$E1153,"0")</f>
        <v>0</v>
      </c>
      <c r="G1153" s="63">
        <f t="shared" si="17"/>
        <v>0</v>
      </c>
    </row>
    <row r="1154" spans="1:7">
      <c r="A1154" s="120">
        <v>3317</v>
      </c>
      <c r="B1154" s="125" t="s">
        <v>4669</v>
      </c>
      <c r="C1154" s="125" t="s">
        <v>5606</v>
      </c>
      <c r="D1154" s="120">
        <v>3317</v>
      </c>
      <c r="E1154" s="60">
        <f>[1]!'3317.TW-PreClose'</f>
        <v>82</v>
      </c>
      <c r="F1154" s="141" t="str">
        <f>IFERROR(STOCKS!$E1154-STOCKS昨天!$E1154,"0")</f>
        <v>0</v>
      </c>
      <c r="G1154" s="63">
        <f t="shared" si="17"/>
        <v>0</v>
      </c>
    </row>
    <row r="1155" spans="1:7">
      <c r="A1155" s="120">
        <v>3372</v>
      </c>
      <c r="B1155" s="125" t="s">
        <v>4670</v>
      </c>
      <c r="C1155" s="125" t="s">
        <v>5606</v>
      </c>
      <c r="D1155" s="120">
        <v>3372</v>
      </c>
      <c r="E1155" s="60">
        <f>[1]!'3372.TW-PreClose'</f>
        <v>25.1</v>
      </c>
      <c r="F1155" s="141" t="str">
        <f>IFERROR(STOCKS!$E1155-STOCKS昨天!$E1155,"0")</f>
        <v>0</v>
      </c>
      <c r="G1155" s="63">
        <f t="shared" ref="G1155:G1218" si="18">IFERROR($F1155/$E1155,"0")</f>
        <v>0</v>
      </c>
    </row>
    <row r="1156" spans="1:7">
      <c r="A1156" s="120">
        <v>3374</v>
      </c>
      <c r="B1156" s="125" t="s">
        <v>4671</v>
      </c>
      <c r="C1156" s="125" t="s">
        <v>5606</v>
      </c>
      <c r="D1156" s="120">
        <v>3374</v>
      </c>
      <c r="E1156" s="60">
        <f>[1]!'3374.TW-PreClose'</f>
        <v>138</v>
      </c>
      <c r="F1156" s="141">
        <f>IFERROR(STOCKS!$E1156-STOCKS昨天!$E1156,"0")</f>
        <v>0.5</v>
      </c>
      <c r="G1156" s="63">
        <f t="shared" si="18"/>
        <v>3.6231884057971015E-3</v>
      </c>
    </row>
    <row r="1157" spans="1:7">
      <c r="A1157" s="120">
        <v>3438</v>
      </c>
      <c r="B1157" s="125" t="s">
        <v>4672</v>
      </c>
      <c r="C1157" s="125" t="s">
        <v>5606</v>
      </c>
      <c r="D1157" s="120">
        <v>3438</v>
      </c>
      <c r="E1157" s="60">
        <f>[1]!'3438.TW-PreClose'</f>
        <v>89.5</v>
      </c>
      <c r="F1157" s="141" t="str">
        <f>IFERROR(STOCKS!$E1157-STOCKS昨天!$E1157,"0")</f>
        <v>0</v>
      </c>
      <c r="G1157" s="63">
        <f t="shared" si="18"/>
        <v>0</v>
      </c>
    </row>
    <row r="1158" spans="1:7">
      <c r="A1158" s="120">
        <v>3527</v>
      </c>
      <c r="B1158" s="125" t="s">
        <v>4673</v>
      </c>
      <c r="C1158" s="125" t="s">
        <v>5606</v>
      </c>
      <c r="D1158" s="120">
        <v>3527</v>
      </c>
      <c r="E1158" s="60" t="str">
        <f>[1]!'3527.TW-PreClose'</f>
        <v>--</v>
      </c>
      <c r="F1158" s="141" t="str">
        <f>IFERROR(STOCKS!$E1158-STOCKS昨天!$E1158,"0")</f>
        <v>0</v>
      </c>
      <c r="G1158" s="63" t="str">
        <f t="shared" si="18"/>
        <v>0</v>
      </c>
    </row>
    <row r="1159" spans="1:7">
      <c r="A1159" s="120">
        <v>3529</v>
      </c>
      <c r="B1159" s="125" t="s">
        <v>4674</v>
      </c>
      <c r="C1159" s="125" t="s">
        <v>5606</v>
      </c>
      <c r="D1159" s="120">
        <v>3529</v>
      </c>
      <c r="E1159" s="60">
        <f>[1]!'3529.TW-PreClose'</f>
        <v>2260</v>
      </c>
      <c r="F1159" s="141" t="str">
        <f>IFERROR(STOCKS!$E1159-STOCKS昨天!$E1159,"0")</f>
        <v>0</v>
      </c>
      <c r="G1159" s="63">
        <f t="shared" si="18"/>
        <v>0</v>
      </c>
    </row>
    <row r="1160" spans="1:7">
      <c r="A1160" s="120">
        <v>3555</v>
      </c>
      <c r="B1160" s="125" t="s">
        <v>4675</v>
      </c>
      <c r="C1160" s="125" t="s">
        <v>5606</v>
      </c>
      <c r="D1160" s="120">
        <v>3555</v>
      </c>
      <c r="E1160" s="60">
        <f>[1]!'3555.TW-PreClose'</f>
        <v>40.5</v>
      </c>
      <c r="F1160" s="141" t="str">
        <f>IFERROR(STOCKS!$E1160-STOCKS昨天!$E1160,"0")</f>
        <v>0</v>
      </c>
      <c r="G1160" s="63">
        <f t="shared" si="18"/>
        <v>0</v>
      </c>
    </row>
    <row r="1161" spans="1:7">
      <c r="A1161" s="120">
        <v>3556</v>
      </c>
      <c r="B1161" s="125" t="s">
        <v>4676</v>
      </c>
      <c r="C1161" s="125" t="s">
        <v>5606</v>
      </c>
      <c r="D1161" s="120">
        <v>3556</v>
      </c>
      <c r="E1161" s="60">
        <f>[1]!'3556.TW-PreClose'</f>
        <v>77.3</v>
      </c>
      <c r="F1161" s="141" t="str">
        <f>IFERROR(STOCKS!$E1161-STOCKS昨天!$E1161,"0")</f>
        <v>0</v>
      </c>
      <c r="G1161" s="63">
        <f t="shared" si="18"/>
        <v>0</v>
      </c>
    </row>
    <row r="1162" spans="1:7">
      <c r="A1162" s="120">
        <v>3567</v>
      </c>
      <c r="B1162" s="125" t="s">
        <v>4677</v>
      </c>
      <c r="C1162" s="125" t="s">
        <v>5606</v>
      </c>
      <c r="D1162" s="120">
        <v>3567</v>
      </c>
      <c r="E1162" s="60" t="str">
        <f>[1]!'3567.TW-PreClose'</f>
        <v>--</v>
      </c>
      <c r="F1162" s="141" t="str">
        <f>IFERROR(STOCKS!$E1162-STOCKS昨天!$E1162,"0")</f>
        <v>0</v>
      </c>
      <c r="G1162" s="63" t="str">
        <f t="shared" si="18"/>
        <v>0</v>
      </c>
    </row>
    <row r="1163" spans="1:7">
      <c r="A1163" s="120">
        <v>3581</v>
      </c>
      <c r="B1163" s="125" t="s">
        <v>4678</v>
      </c>
      <c r="C1163" s="125" t="s">
        <v>5606</v>
      </c>
      <c r="D1163" s="120">
        <v>3581</v>
      </c>
      <c r="E1163" s="60">
        <f>[1]!'3581.TW-PreClose'</f>
        <v>27.65</v>
      </c>
      <c r="F1163" s="141">
        <f>IFERROR(STOCKS!$E1163-STOCKS昨天!$E1163,"0")</f>
        <v>5.0000000000000711E-2</v>
      </c>
      <c r="G1163" s="63">
        <f t="shared" si="18"/>
        <v>1.8083182640144923E-3</v>
      </c>
    </row>
    <row r="1164" spans="1:7">
      <c r="A1164" s="120">
        <v>3675</v>
      </c>
      <c r="B1164" s="125" t="s">
        <v>4679</v>
      </c>
      <c r="C1164" s="125" t="s">
        <v>5606</v>
      </c>
      <c r="D1164" s="120">
        <v>3675</v>
      </c>
      <c r="E1164" s="60">
        <f>[1]!'3675.TW-PreClose'</f>
        <v>248</v>
      </c>
      <c r="F1164" s="141" t="str">
        <f>IFERROR(STOCKS!$E1164-STOCKS昨天!$E1164,"0")</f>
        <v>0</v>
      </c>
      <c r="G1164" s="63">
        <f t="shared" si="18"/>
        <v>0</v>
      </c>
    </row>
    <row r="1165" spans="1:7">
      <c r="A1165" s="120">
        <v>3680</v>
      </c>
      <c r="B1165" s="125" t="s">
        <v>4680</v>
      </c>
      <c r="C1165" s="125" t="s">
        <v>5606</v>
      </c>
      <c r="D1165" s="120">
        <v>3680</v>
      </c>
      <c r="E1165" s="60">
        <f>[1]!'3680.TW-PreClose'</f>
        <v>250</v>
      </c>
      <c r="F1165" s="141" t="str">
        <f>IFERROR(STOCKS!$E1165-STOCKS昨天!$E1165,"0")</f>
        <v>0</v>
      </c>
      <c r="G1165" s="63">
        <f t="shared" si="18"/>
        <v>0</v>
      </c>
    </row>
    <row r="1166" spans="1:7">
      <c r="A1166" s="120">
        <v>3707</v>
      </c>
      <c r="B1166" s="125" t="s">
        <v>3626</v>
      </c>
      <c r="C1166" s="125" t="s">
        <v>5606</v>
      </c>
      <c r="D1166" s="120">
        <v>3707</v>
      </c>
      <c r="E1166" s="60" t="str">
        <f>[1]!'3707.TW-PreClose'</f>
        <v>--</v>
      </c>
      <c r="F1166" s="141" t="str">
        <f>IFERROR(STOCKS!$E1166-STOCKS昨天!$E1166,"0")</f>
        <v>0</v>
      </c>
      <c r="G1166" s="63" t="str">
        <f t="shared" si="18"/>
        <v>0</v>
      </c>
    </row>
    <row r="1167" spans="1:7">
      <c r="A1167" s="120">
        <v>4945</v>
      </c>
      <c r="B1167" s="125" t="s">
        <v>4681</v>
      </c>
      <c r="C1167" s="125" t="s">
        <v>5606</v>
      </c>
      <c r="D1167" s="120">
        <v>4945</v>
      </c>
      <c r="E1167" s="60" t="str">
        <f>[1]!'4945.TW-PreClose'</f>
        <v>--</v>
      </c>
      <c r="F1167" s="141" t="str">
        <f>IFERROR(STOCKS!$E1167-STOCKS昨天!$E1167,"0")</f>
        <v>0</v>
      </c>
      <c r="G1167" s="63" t="str">
        <f t="shared" si="18"/>
        <v>0</v>
      </c>
    </row>
    <row r="1168" spans="1:7">
      <c r="A1168" s="120">
        <v>4966</v>
      </c>
      <c r="B1168" s="125" t="s">
        <v>4682</v>
      </c>
      <c r="C1168" s="125" t="s">
        <v>5607</v>
      </c>
      <c r="D1168" s="120">
        <v>4966</v>
      </c>
      <c r="E1168" s="60">
        <f>[1]!'4966.TW-PreClose'</f>
        <v>2125</v>
      </c>
      <c r="F1168" s="141" t="str">
        <f>IFERROR(STOCKS!$E1168-STOCKS昨天!$E1168,"0")</f>
        <v>0</v>
      </c>
      <c r="G1168" s="63">
        <f t="shared" si="18"/>
        <v>0</v>
      </c>
    </row>
    <row r="1169" spans="1:7">
      <c r="A1169" s="120">
        <v>4971</v>
      </c>
      <c r="B1169" s="125" t="s">
        <v>2169</v>
      </c>
      <c r="C1169" s="125" t="s">
        <v>5607</v>
      </c>
      <c r="D1169" s="120">
        <v>4971</v>
      </c>
      <c r="E1169" s="60">
        <f>[1]!'4971.TW-PreClose'</f>
        <v>78.099999999999994</v>
      </c>
      <c r="F1169" s="141" t="str">
        <f>IFERROR(STOCKS!$E1169-STOCKS昨天!$E1169,"0")</f>
        <v>0</v>
      </c>
      <c r="G1169" s="63">
        <f t="shared" si="18"/>
        <v>0</v>
      </c>
    </row>
    <row r="1170" spans="1:7">
      <c r="A1170" s="120">
        <v>4973</v>
      </c>
      <c r="B1170" s="125" t="s">
        <v>4683</v>
      </c>
      <c r="C1170" s="125" t="s">
        <v>5606</v>
      </c>
      <c r="D1170" s="120">
        <v>4973</v>
      </c>
      <c r="E1170" s="60">
        <f>[1]!'4973.TW-PreClose'</f>
        <v>25.15</v>
      </c>
      <c r="F1170" s="141" t="str">
        <f>IFERROR(STOCKS!$E1170-STOCKS昨天!$E1170,"0")</f>
        <v>0</v>
      </c>
      <c r="G1170" s="63">
        <f t="shared" si="18"/>
        <v>0</v>
      </c>
    </row>
    <row r="1171" spans="1:7">
      <c r="A1171" s="120">
        <v>4991</v>
      </c>
      <c r="B1171" s="125" t="s">
        <v>4684</v>
      </c>
      <c r="C1171" s="125" t="s">
        <v>5607</v>
      </c>
      <c r="D1171" s="120">
        <v>4991</v>
      </c>
      <c r="E1171" s="60">
        <f>[1]!'4991.TW-PreClose'</f>
        <v>51.7</v>
      </c>
      <c r="F1171" s="141" t="str">
        <f>IFERROR(STOCKS!$E1171-STOCKS昨天!$E1171,"0")</f>
        <v>0</v>
      </c>
      <c r="G1171" s="63">
        <f t="shared" si="18"/>
        <v>0</v>
      </c>
    </row>
    <row r="1172" spans="1:7">
      <c r="A1172" s="120">
        <v>5236</v>
      </c>
      <c r="B1172" s="125" t="s">
        <v>5304</v>
      </c>
      <c r="C1172" s="125" t="s">
        <v>5606</v>
      </c>
      <c r="D1172" s="120">
        <v>5236</v>
      </c>
      <c r="E1172" s="60">
        <f>[1]!'5236.TW-PreClose'</f>
        <v>175</v>
      </c>
      <c r="F1172" s="141" t="str">
        <f>IFERROR(STOCKS!$E1172-STOCKS昨天!$E1172,"0")</f>
        <v>0</v>
      </c>
      <c r="G1172" s="63">
        <f t="shared" si="18"/>
        <v>0</v>
      </c>
    </row>
    <row r="1173" spans="1:7">
      <c r="A1173" s="120">
        <v>5272</v>
      </c>
      <c r="B1173" s="125" t="s">
        <v>3601</v>
      </c>
      <c r="C1173" s="125" t="s">
        <v>5606</v>
      </c>
      <c r="D1173" s="120">
        <v>5272</v>
      </c>
      <c r="E1173" s="60">
        <f>[1]!'5272.TW-PreClose'</f>
        <v>41.2</v>
      </c>
      <c r="F1173" s="141" t="str">
        <f>IFERROR(STOCKS!$E1173-STOCKS昨天!$E1173,"0")</f>
        <v>0</v>
      </c>
      <c r="G1173" s="63">
        <f t="shared" si="18"/>
        <v>0</v>
      </c>
    </row>
    <row r="1174" spans="1:7">
      <c r="A1174" s="120">
        <v>5274</v>
      </c>
      <c r="B1174" s="125" t="s">
        <v>4685</v>
      </c>
      <c r="C1174" s="125" t="s">
        <v>5606</v>
      </c>
      <c r="D1174" s="120">
        <v>5274</v>
      </c>
      <c r="E1174" s="60">
        <f>[1]!'5274.TW-PreClose'</f>
        <v>3020</v>
      </c>
      <c r="F1174" s="141" t="str">
        <f>IFERROR(STOCKS!$E1174-STOCKS昨天!$E1174,"0")</f>
        <v>0</v>
      </c>
      <c r="G1174" s="63">
        <f t="shared" si="18"/>
        <v>0</v>
      </c>
    </row>
    <row r="1175" spans="1:7">
      <c r="A1175" s="120">
        <v>5299</v>
      </c>
      <c r="B1175" s="125" t="s">
        <v>3511</v>
      </c>
      <c r="C1175" s="125" t="s">
        <v>5606</v>
      </c>
      <c r="D1175" s="120">
        <v>5299</v>
      </c>
      <c r="E1175" s="60" t="str">
        <f>[1]!'5299.TW-PreClose'</f>
        <v>--</v>
      </c>
      <c r="F1175" s="141" t="str">
        <f>IFERROR(STOCKS!$E1175-STOCKS昨天!$E1175,"0")</f>
        <v>0</v>
      </c>
      <c r="G1175" s="63" t="str">
        <f t="shared" si="18"/>
        <v>0</v>
      </c>
    </row>
    <row r="1176" spans="1:7">
      <c r="A1176" s="120">
        <v>5302</v>
      </c>
      <c r="B1176" s="125" t="s">
        <v>4686</v>
      </c>
      <c r="C1176" s="125" t="s">
        <v>5606</v>
      </c>
      <c r="D1176" s="120">
        <v>5302</v>
      </c>
      <c r="E1176" s="60" t="str">
        <f>[1]!'5302.TW-PreClose'</f>
        <v>--</v>
      </c>
      <c r="F1176" s="141" t="str">
        <f>IFERROR(STOCKS!$E1176-STOCKS昨天!$E1176,"0")</f>
        <v>0</v>
      </c>
      <c r="G1176" s="63" t="str">
        <f t="shared" si="18"/>
        <v>0</v>
      </c>
    </row>
    <row r="1177" spans="1:7">
      <c r="A1177" s="120">
        <v>5314</v>
      </c>
      <c r="B1177" s="125" t="s">
        <v>4687</v>
      </c>
      <c r="C1177" s="125" t="s">
        <v>5606</v>
      </c>
      <c r="D1177" s="120">
        <v>5314</v>
      </c>
      <c r="E1177" s="60">
        <f>[1]!'5314.TW-PreClose'</f>
        <v>5.2</v>
      </c>
      <c r="F1177" s="141" t="str">
        <f>IFERROR(STOCKS!$E1177-STOCKS昨天!$E1177,"0")</f>
        <v>0</v>
      </c>
      <c r="G1177" s="63">
        <f t="shared" si="18"/>
        <v>0</v>
      </c>
    </row>
    <row r="1178" spans="1:7">
      <c r="A1178" s="120">
        <v>5344</v>
      </c>
      <c r="B1178" s="125" t="s">
        <v>4688</v>
      </c>
      <c r="C1178" s="125" t="s">
        <v>5606</v>
      </c>
      <c r="D1178" s="120">
        <v>5344</v>
      </c>
      <c r="E1178" s="60">
        <f>[1]!'5344.TW-PreClose'</f>
        <v>24.15</v>
      </c>
      <c r="F1178" s="141" t="str">
        <f>IFERROR(STOCKS!$E1178-STOCKS昨天!$E1178,"0")</f>
        <v>0</v>
      </c>
      <c r="G1178" s="63">
        <f t="shared" si="18"/>
        <v>0</v>
      </c>
    </row>
    <row r="1179" spans="1:7">
      <c r="A1179" s="120">
        <v>5347</v>
      </c>
      <c r="B1179" s="125" t="s">
        <v>4689</v>
      </c>
      <c r="C1179" s="125" t="s">
        <v>5606</v>
      </c>
      <c r="D1179" s="120">
        <v>5347</v>
      </c>
      <c r="E1179" s="60">
        <f>[1]!'5347.TW-PreClose'</f>
        <v>153.5</v>
      </c>
      <c r="F1179" s="141" t="str">
        <f>IFERROR(STOCKS!$E1179-STOCKS昨天!$E1179,"0")</f>
        <v>0</v>
      </c>
      <c r="G1179" s="63">
        <f t="shared" si="18"/>
        <v>0</v>
      </c>
    </row>
    <row r="1180" spans="1:7">
      <c r="A1180" s="120">
        <v>5351</v>
      </c>
      <c r="B1180" s="125" t="s">
        <v>4690</v>
      </c>
      <c r="C1180" s="125" t="s">
        <v>5606</v>
      </c>
      <c r="D1180" s="120">
        <v>5351</v>
      </c>
      <c r="E1180" s="60">
        <f>[1]!'5351.TW-PreClose'</f>
        <v>90.9</v>
      </c>
      <c r="F1180" s="141">
        <f>IFERROR(STOCKS!$E1180-STOCKS昨天!$E1180,"0")</f>
        <v>-2.1000000000000085</v>
      </c>
      <c r="G1180" s="63">
        <f t="shared" si="18"/>
        <v>-2.3102310231023195E-2</v>
      </c>
    </row>
    <row r="1181" spans="1:7">
      <c r="A1181" s="120">
        <v>5425</v>
      </c>
      <c r="B1181" s="125" t="s">
        <v>4691</v>
      </c>
      <c r="C1181" s="125" t="s">
        <v>5606</v>
      </c>
      <c r="D1181" s="120">
        <v>5425</v>
      </c>
      <c r="E1181" s="60" t="str">
        <f>[1]!'5425.TW-PreClose'</f>
        <v>--</v>
      </c>
      <c r="F1181" s="141" t="str">
        <f>IFERROR(STOCKS!$E1181-STOCKS昨天!$E1181,"0")</f>
        <v>0</v>
      </c>
      <c r="G1181" s="63" t="str">
        <f t="shared" si="18"/>
        <v>0</v>
      </c>
    </row>
    <row r="1182" spans="1:7">
      <c r="A1182" s="120">
        <v>5468</v>
      </c>
      <c r="B1182" s="125" t="s">
        <v>4692</v>
      </c>
      <c r="C1182" s="125" t="s">
        <v>5606</v>
      </c>
      <c r="D1182" s="120">
        <v>5468</v>
      </c>
      <c r="E1182" s="60" t="str">
        <f>[1]!'5468.TW-PreClose'</f>
        <v>--</v>
      </c>
      <c r="F1182" s="141" t="str">
        <f>IFERROR(STOCKS!$E1182-STOCKS昨天!$E1182,"0")</f>
        <v>0</v>
      </c>
      <c r="G1182" s="63" t="str">
        <f t="shared" si="18"/>
        <v>0</v>
      </c>
    </row>
    <row r="1183" spans="1:7">
      <c r="A1183" s="120">
        <v>5483</v>
      </c>
      <c r="B1183" s="125" t="s">
        <v>4693</v>
      </c>
      <c r="C1183" s="125" t="s">
        <v>5606</v>
      </c>
      <c r="D1183" s="120">
        <v>5483</v>
      </c>
      <c r="E1183" s="60">
        <f>[1]!'5483.TW-PreClose'</f>
        <v>207</v>
      </c>
      <c r="F1183" s="141" t="str">
        <f>IFERROR(STOCKS!$E1183-STOCKS昨天!$E1183,"0")</f>
        <v>0</v>
      </c>
      <c r="G1183" s="63">
        <f t="shared" si="18"/>
        <v>0</v>
      </c>
    </row>
    <row r="1184" spans="1:7">
      <c r="A1184" s="120">
        <v>5487</v>
      </c>
      <c r="B1184" s="125" t="s">
        <v>4694</v>
      </c>
      <c r="C1184" s="125" t="s">
        <v>5606</v>
      </c>
      <c r="D1184" s="120">
        <v>5487</v>
      </c>
      <c r="E1184" s="60">
        <f>[1]!'5487.TW-PreClose'</f>
        <v>35</v>
      </c>
      <c r="F1184" s="141" t="str">
        <f>IFERROR(STOCKS!$E1184-STOCKS昨天!$E1184,"0")</f>
        <v>0</v>
      </c>
      <c r="G1184" s="63">
        <f t="shared" si="18"/>
        <v>0</v>
      </c>
    </row>
    <row r="1185" spans="1:7">
      <c r="A1185" s="120">
        <v>6103</v>
      </c>
      <c r="B1185" s="125" t="s">
        <v>4695</v>
      </c>
      <c r="C1185" s="125" t="s">
        <v>5606</v>
      </c>
      <c r="D1185" s="120">
        <v>6103</v>
      </c>
      <c r="E1185" s="60">
        <f>[1]!'6103.TW-PreClose'</f>
        <v>8.6199999999999992</v>
      </c>
      <c r="F1185" s="141" t="str">
        <f>IFERROR(STOCKS!$E1185-STOCKS昨天!$E1185,"0")</f>
        <v>0</v>
      </c>
      <c r="G1185" s="63">
        <f t="shared" si="18"/>
        <v>0</v>
      </c>
    </row>
    <row r="1186" spans="1:7">
      <c r="A1186" s="120">
        <v>6104</v>
      </c>
      <c r="B1186" s="125" t="s">
        <v>3630</v>
      </c>
      <c r="C1186" s="125" t="s">
        <v>5606</v>
      </c>
      <c r="D1186" s="120">
        <v>6104</v>
      </c>
      <c r="E1186" s="60">
        <f>[1]!'6104.TW-PreClose'</f>
        <v>189</v>
      </c>
      <c r="F1186" s="141">
        <f>IFERROR(STOCKS!$E1186-STOCKS昨天!$E1186,"0")</f>
        <v>0.5</v>
      </c>
      <c r="G1186" s="63">
        <f t="shared" si="18"/>
        <v>2.6455026455026454E-3</v>
      </c>
    </row>
    <row r="1187" spans="1:7">
      <c r="A1187" s="120">
        <v>6129</v>
      </c>
      <c r="B1187" s="125" t="s">
        <v>4696</v>
      </c>
      <c r="C1187" s="125" t="s">
        <v>5606</v>
      </c>
      <c r="D1187" s="120">
        <v>6129</v>
      </c>
      <c r="E1187" s="60">
        <f>[1]!'6129.TW-PreClose'</f>
        <v>32.65</v>
      </c>
      <c r="F1187" s="141" t="str">
        <f>IFERROR(STOCKS!$E1187-STOCKS昨天!$E1187,"0")</f>
        <v>0</v>
      </c>
      <c r="G1187" s="63">
        <f t="shared" si="18"/>
        <v>0</v>
      </c>
    </row>
    <row r="1188" spans="1:7">
      <c r="A1188" s="120">
        <v>6138</v>
      </c>
      <c r="B1188" s="125" t="s">
        <v>4697</v>
      </c>
      <c r="C1188" s="125" t="s">
        <v>5606</v>
      </c>
      <c r="D1188" s="120">
        <v>6138</v>
      </c>
      <c r="E1188" s="60">
        <f>[1]!'6138.TW-PreClose'</f>
        <v>226</v>
      </c>
      <c r="F1188" s="141" t="str">
        <f>IFERROR(STOCKS!$E1188-STOCKS昨天!$E1188,"0")</f>
        <v>0</v>
      </c>
      <c r="G1188" s="63">
        <f t="shared" si="18"/>
        <v>0</v>
      </c>
    </row>
    <row r="1189" spans="1:7">
      <c r="A1189" s="120">
        <v>6147</v>
      </c>
      <c r="B1189" s="125" t="s">
        <v>4698</v>
      </c>
      <c r="C1189" s="125" t="s">
        <v>5606</v>
      </c>
      <c r="D1189" s="120">
        <v>6147</v>
      </c>
      <c r="E1189" s="60">
        <f>[1]!'6147.TW-PreClose'</f>
        <v>67.599999999999994</v>
      </c>
      <c r="F1189" s="141" t="str">
        <f>IFERROR(STOCKS!$E1189-STOCKS昨天!$E1189,"0")</f>
        <v>0</v>
      </c>
      <c r="G1189" s="63">
        <f t="shared" si="18"/>
        <v>0</v>
      </c>
    </row>
    <row r="1190" spans="1:7">
      <c r="A1190" s="120">
        <v>6182</v>
      </c>
      <c r="B1190" s="125" t="s">
        <v>4699</v>
      </c>
      <c r="C1190" s="125" t="s">
        <v>5606</v>
      </c>
      <c r="D1190" s="120">
        <v>6182</v>
      </c>
      <c r="E1190" s="60">
        <f>[1]!'6182.TW-PreClose'</f>
        <v>69.5</v>
      </c>
      <c r="F1190" s="141">
        <f>IFERROR(STOCKS!$E1190-STOCKS昨天!$E1190,"0")</f>
        <v>6.9000000000000057</v>
      </c>
      <c r="G1190" s="63">
        <f t="shared" si="18"/>
        <v>9.9280575539568428E-2</v>
      </c>
    </row>
    <row r="1191" spans="1:7">
      <c r="A1191" s="120">
        <v>6198</v>
      </c>
      <c r="B1191" s="125" t="s">
        <v>4700</v>
      </c>
      <c r="C1191" s="125" t="s">
        <v>5606</v>
      </c>
      <c r="D1191" s="120">
        <v>6198</v>
      </c>
      <c r="E1191" s="60" t="str">
        <f>[1]!'6198.TW-PreClose'</f>
        <v>--</v>
      </c>
      <c r="F1191" s="141" t="str">
        <f>IFERROR(STOCKS!$E1191-STOCKS昨天!$E1191,"0")</f>
        <v>0</v>
      </c>
      <c r="G1191" s="63" t="str">
        <f t="shared" si="18"/>
        <v>0</v>
      </c>
    </row>
    <row r="1192" spans="1:7">
      <c r="A1192" s="120">
        <v>6223</v>
      </c>
      <c r="B1192" s="125" t="s">
        <v>4701</v>
      </c>
      <c r="C1192" s="125" t="s">
        <v>5606</v>
      </c>
      <c r="D1192" s="120">
        <v>6223</v>
      </c>
      <c r="E1192" s="60">
        <f>[1]!'6223.TW-PreClose'</f>
        <v>116.5</v>
      </c>
      <c r="F1192" s="141" t="str">
        <f>IFERROR(STOCKS!$E1192-STOCKS昨天!$E1192,"0")</f>
        <v>0</v>
      </c>
      <c r="G1192" s="63">
        <f t="shared" si="18"/>
        <v>0</v>
      </c>
    </row>
    <row r="1193" spans="1:7">
      <c r="A1193" s="120">
        <v>6229</v>
      </c>
      <c r="B1193" s="125" t="s">
        <v>3565</v>
      </c>
      <c r="C1193" s="125" t="s">
        <v>5606</v>
      </c>
      <c r="D1193" s="120">
        <v>6229</v>
      </c>
      <c r="E1193" s="60">
        <f>[1]!'6229.TW-PreClose'</f>
        <v>44.7</v>
      </c>
      <c r="F1193" s="141" t="str">
        <f>IFERROR(STOCKS!$E1193-STOCKS昨天!$E1193,"0")</f>
        <v>0</v>
      </c>
      <c r="G1193" s="63">
        <f t="shared" si="18"/>
        <v>0</v>
      </c>
    </row>
    <row r="1194" spans="1:7">
      <c r="A1194" s="120">
        <v>6233</v>
      </c>
      <c r="B1194" s="125" t="s">
        <v>4702</v>
      </c>
      <c r="C1194" s="125" t="s">
        <v>5606</v>
      </c>
      <c r="D1194" s="120">
        <v>6233</v>
      </c>
      <c r="E1194" s="60">
        <f>[1]!'6233.TW-PreClose'</f>
        <v>37.65</v>
      </c>
      <c r="F1194" s="141" t="str">
        <f>IFERROR(STOCKS!$E1194-STOCKS昨天!$E1194,"0")</f>
        <v>0</v>
      </c>
      <c r="G1194" s="63">
        <f t="shared" si="18"/>
        <v>0</v>
      </c>
    </row>
    <row r="1195" spans="1:7">
      <c r="A1195" s="120">
        <v>6237</v>
      </c>
      <c r="B1195" s="125" t="s">
        <v>3672</v>
      </c>
      <c r="C1195" s="125" t="s">
        <v>5606</v>
      </c>
      <c r="D1195" s="120">
        <v>6237</v>
      </c>
      <c r="E1195" s="60">
        <f>[1]!'6237.TW-PreClose'</f>
        <v>109.5</v>
      </c>
      <c r="F1195" s="141">
        <f>IFERROR(STOCKS!$E1195-STOCKS昨天!$E1195,"0")</f>
        <v>0.5</v>
      </c>
      <c r="G1195" s="63">
        <f t="shared" si="18"/>
        <v>4.5662100456621002E-3</v>
      </c>
    </row>
    <row r="1196" spans="1:7">
      <c r="A1196" s="120">
        <v>6261</v>
      </c>
      <c r="B1196" s="125" t="s">
        <v>4703</v>
      </c>
      <c r="C1196" s="125" t="s">
        <v>5606</v>
      </c>
      <c r="D1196" s="120">
        <v>6261</v>
      </c>
      <c r="E1196" s="60">
        <f>[1]!'6261.TW-PreClose'</f>
        <v>92</v>
      </c>
      <c r="F1196" s="141">
        <f>IFERROR(STOCKS!$E1196-STOCKS昨天!$E1196,"0")</f>
        <v>1.5999999999999943</v>
      </c>
      <c r="G1196" s="63">
        <f t="shared" si="18"/>
        <v>1.7391304347826025E-2</v>
      </c>
    </row>
    <row r="1197" spans="1:7">
      <c r="A1197" s="120">
        <v>6287</v>
      </c>
      <c r="B1197" s="125" t="s">
        <v>4704</v>
      </c>
      <c r="C1197" s="125" t="s">
        <v>5606</v>
      </c>
      <c r="D1197" s="120">
        <v>6287</v>
      </c>
      <c r="E1197" s="60">
        <f>[1]!'6287.TW-PreClose'</f>
        <v>12.35</v>
      </c>
      <c r="F1197" s="141" t="str">
        <f>IFERROR(STOCKS!$E1197-STOCKS昨天!$E1197,"0")</f>
        <v>0</v>
      </c>
      <c r="G1197" s="63">
        <f t="shared" si="18"/>
        <v>0</v>
      </c>
    </row>
    <row r="1198" spans="1:7">
      <c r="A1198" s="120">
        <v>6291</v>
      </c>
      <c r="B1198" s="125" t="s">
        <v>4705</v>
      </c>
      <c r="C1198" s="125" t="s">
        <v>5606</v>
      </c>
      <c r="D1198" s="120">
        <v>6291</v>
      </c>
      <c r="E1198" s="60">
        <f>[1]!'6291.TW-PreClose'</f>
        <v>44.5</v>
      </c>
      <c r="F1198" s="141" t="str">
        <f>IFERROR(STOCKS!$E1198-STOCKS昨天!$E1198,"0")</f>
        <v>0</v>
      </c>
      <c r="G1198" s="63">
        <f t="shared" si="18"/>
        <v>0</v>
      </c>
    </row>
    <row r="1199" spans="1:7">
      <c r="A1199" s="120">
        <v>6411</v>
      </c>
      <c r="B1199" s="125" t="s">
        <v>4706</v>
      </c>
      <c r="C1199" s="125" t="s">
        <v>5606</v>
      </c>
      <c r="D1199" s="120">
        <v>6411</v>
      </c>
      <c r="E1199" s="60">
        <f>[1]!'6411.TW-PreClose'</f>
        <v>261</v>
      </c>
      <c r="F1199" s="141">
        <f>IFERROR(STOCKS!$E1199-STOCKS昨天!$E1199,"0")</f>
        <v>2</v>
      </c>
      <c r="G1199" s="63">
        <f t="shared" si="18"/>
        <v>7.6628352490421452E-3</v>
      </c>
    </row>
    <row r="1200" spans="1:7">
      <c r="A1200" s="120">
        <v>6435</v>
      </c>
      <c r="B1200" s="125" t="s">
        <v>4707</v>
      </c>
      <c r="C1200" s="125" t="s">
        <v>5606</v>
      </c>
      <c r="D1200" s="120">
        <v>6435</v>
      </c>
      <c r="E1200" s="60" t="str">
        <f>[1]!'6435.TW-PreClose'</f>
        <v>--</v>
      </c>
      <c r="F1200" s="141" t="str">
        <f>IFERROR(STOCKS!$E1200-STOCKS昨天!$E1200,"0")</f>
        <v>0</v>
      </c>
      <c r="G1200" s="63" t="str">
        <f t="shared" si="18"/>
        <v>0</v>
      </c>
    </row>
    <row r="1201" spans="1:7">
      <c r="A1201" s="120">
        <v>6457</v>
      </c>
      <c r="B1201" s="125" t="s">
        <v>4708</v>
      </c>
      <c r="C1201" s="125" t="s">
        <v>5606</v>
      </c>
      <c r="D1201" s="120">
        <v>6457</v>
      </c>
      <c r="E1201" s="60">
        <f>[1]!'6457.TW-PreClose'</f>
        <v>216.5</v>
      </c>
      <c r="F1201" s="141" t="str">
        <f>IFERROR(STOCKS!$E1201-STOCKS昨天!$E1201,"0")</f>
        <v>0</v>
      </c>
      <c r="G1201" s="63">
        <f t="shared" si="18"/>
        <v>0</v>
      </c>
    </row>
    <row r="1202" spans="1:7">
      <c r="A1202" s="120">
        <v>6462</v>
      </c>
      <c r="B1202" s="125" t="s">
        <v>4709</v>
      </c>
      <c r="C1202" s="125" t="s">
        <v>5606</v>
      </c>
      <c r="D1202" s="120">
        <v>6462</v>
      </c>
      <c r="E1202" s="60">
        <f>[1]!'6462.TW-PreClose'</f>
        <v>114.5</v>
      </c>
      <c r="F1202" s="141" t="str">
        <f>IFERROR(STOCKS!$E1202-STOCKS昨天!$E1202,"0")</f>
        <v>0</v>
      </c>
      <c r="G1202" s="63">
        <f t="shared" si="18"/>
        <v>0</v>
      </c>
    </row>
    <row r="1203" spans="1:7">
      <c r="A1203" s="120">
        <v>6485</v>
      </c>
      <c r="B1203" s="125" t="s">
        <v>4710</v>
      </c>
      <c r="C1203" s="125" t="s">
        <v>5606</v>
      </c>
      <c r="D1203" s="120">
        <v>6485</v>
      </c>
      <c r="E1203" s="60">
        <f>[1]!'6485.TW-PreClose'</f>
        <v>150</v>
      </c>
      <c r="F1203" s="141" t="str">
        <f>IFERROR(STOCKS!$E1203-STOCKS昨天!$E1203,"0")</f>
        <v>0</v>
      </c>
      <c r="G1203" s="63">
        <f t="shared" si="18"/>
        <v>0</v>
      </c>
    </row>
    <row r="1204" spans="1:7">
      <c r="A1204" s="120">
        <v>6488</v>
      </c>
      <c r="B1204" s="125" t="s">
        <v>3520</v>
      </c>
      <c r="C1204" s="125" t="s">
        <v>5606</v>
      </c>
      <c r="D1204" s="120">
        <v>6488</v>
      </c>
      <c r="E1204" s="60">
        <f>[1]!'6488.TW-PreClose'</f>
        <v>834</v>
      </c>
      <c r="F1204" s="141" t="str">
        <f>IFERROR(STOCKS!$E1204-STOCKS昨天!$E1204,"0")</f>
        <v>0</v>
      </c>
      <c r="G1204" s="63">
        <f t="shared" si="18"/>
        <v>0</v>
      </c>
    </row>
    <row r="1205" spans="1:7">
      <c r="A1205" s="120">
        <v>6494</v>
      </c>
      <c r="B1205" s="125" t="s">
        <v>4711</v>
      </c>
      <c r="C1205" s="125" t="s">
        <v>5606</v>
      </c>
      <c r="D1205" s="120">
        <v>6494</v>
      </c>
      <c r="E1205" s="60">
        <f>[1]!'6494.TW-PreClose'</f>
        <v>157</v>
      </c>
      <c r="F1205" s="141" t="str">
        <f>IFERROR(STOCKS!$E1205-STOCKS昨天!$E1205,"0")</f>
        <v>0</v>
      </c>
      <c r="G1205" s="63">
        <f t="shared" si="18"/>
        <v>0</v>
      </c>
    </row>
    <row r="1206" spans="1:7">
      <c r="A1206" s="120">
        <v>6510</v>
      </c>
      <c r="B1206" s="125" t="s">
        <v>4712</v>
      </c>
      <c r="C1206" s="125" t="s">
        <v>5606</v>
      </c>
      <c r="D1206" s="120">
        <v>6510</v>
      </c>
      <c r="E1206" s="60">
        <f>[1]!'6510.TW-PreClose'</f>
        <v>701</v>
      </c>
      <c r="F1206" s="141" t="str">
        <f>IFERROR(STOCKS!$E1206-STOCKS昨天!$E1206,"0")</f>
        <v>0</v>
      </c>
      <c r="G1206" s="63">
        <f t="shared" si="18"/>
        <v>0</v>
      </c>
    </row>
    <row r="1207" spans="1:7">
      <c r="A1207" s="120">
        <v>6532</v>
      </c>
      <c r="B1207" s="125" t="s">
        <v>4713</v>
      </c>
      <c r="C1207" s="125" t="s">
        <v>5606</v>
      </c>
      <c r="D1207" s="120">
        <v>6532</v>
      </c>
      <c r="E1207" s="60" t="str">
        <f>[1]!'6532.TW-PreClose'</f>
        <v>--</v>
      </c>
      <c r="F1207" s="141" t="str">
        <f>IFERROR(STOCKS!$E1207-STOCKS昨天!$E1207,"0")</f>
        <v>0</v>
      </c>
      <c r="G1207" s="63" t="str">
        <f t="shared" si="18"/>
        <v>0</v>
      </c>
    </row>
    <row r="1208" spans="1:7">
      <c r="A1208" s="120">
        <v>6548</v>
      </c>
      <c r="B1208" s="125" t="s">
        <v>4714</v>
      </c>
      <c r="C1208" s="125" t="s">
        <v>5606</v>
      </c>
      <c r="D1208" s="120">
        <v>6548</v>
      </c>
      <c r="E1208" s="60">
        <f>[1]!'6548.TW-PreClose'</f>
        <v>102</v>
      </c>
      <c r="F1208" s="141" t="str">
        <f>IFERROR(STOCKS!$E1208-STOCKS昨天!$E1208,"0")</f>
        <v>0</v>
      </c>
      <c r="G1208" s="63">
        <f t="shared" si="18"/>
        <v>0</v>
      </c>
    </row>
    <row r="1209" spans="1:7">
      <c r="A1209" s="120">
        <v>6568</v>
      </c>
      <c r="B1209" s="125" t="s">
        <v>4715</v>
      </c>
      <c r="C1209" s="125" t="s">
        <v>5606</v>
      </c>
      <c r="D1209" s="120">
        <v>6568</v>
      </c>
      <c r="E1209" s="60">
        <f>[1]!'6568.TW-PreClose'</f>
        <v>363</v>
      </c>
      <c r="F1209" s="141" t="str">
        <f>IFERROR(STOCKS!$E1209-STOCKS昨天!$E1209,"0")</f>
        <v>0</v>
      </c>
      <c r="G1209" s="63">
        <f t="shared" si="18"/>
        <v>0</v>
      </c>
    </row>
    <row r="1210" spans="1:7">
      <c r="A1210" s="120">
        <v>6594</v>
      </c>
      <c r="B1210" s="125" t="s">
        <v>4716</v>
      </c>
      <c r="C1210" s="125" t="s">
        <v>5606</v>
      </c>
      <c r="D1210" s="120">
        <v>6594</v>
      </c>
      <c r="E1210" s="60">
        <f>[1]!'6594.TW-PreClose'</f>
        <v>39.200000000000003</v>
      </c>
      <c r="F1210" s="141" t="str">
        <f>IFERROR(STOCKS!$E1210-STOCKS昨天!$E1210,"0")</f>
        <v>0</v>
      </c>
      <c r="G1210" s="63">
        <f t="shared" si="18"/>
        <v>0</v>
      </c>
    </row>
    <row r="1211" spans="1:7">
      <c r="A1211" s="120">
        <v>6640</v>
      </c>
      <c r="B1211" s="125" t="s">
        <v>4717</v>
      </c>
      <c r="C1211" s="125" t="s">
        <v>5606</v>
      </c>
      <c r="D1211" s="120">
        <v>6640</v>
      </c>
      <c r="E1211" s="60">
        <f>[1]!'6640.TW-PreClose'</f>
        <v>106</v>
      </c>
      <c r="F1211" s="141" t="str">
        <f>IFERROR(STOCKS!$E1211-STOCKS昨天!$E1211,"0")</f>
        <v>0</v>
      </c>
      <c r="G1211" s="63">
        <f t="shared" si="18"/>
        <v>0</v>
      </c>
    </row>
    <row r="1212" spans="1:7">
      <c r="A1212" s="120">
        <v>6643</v>
      </c>
      <c r="B1212" s="125" t="s">
        <v>2877</v>
      </c>
      <c r="C1212" s="125" t="s">
        <v>5606</v>
      </c>
      <c r="D1212" s="120">
        <v>6643</v>
      </c>
      <c r="E1212" s="60">
        <f>[1]!'6643.TW-PreClose'</f>
        <v>432</v>
      </c>
      <c r="F1212" s="141" t="str">
        <f>IFERROR(STOCKS!$E1212-STOCKS昨天!$E1212,"0")</f>
        <v>0</v>
      </c>
      <c r="G1212" s="63">
        <f t="shared" si="18"/>
        <v>0</v>
      </c>
    </row>
    <row r="1213" spans="1:7">
      <c r="A1213" s="120">
        <v>6651</v>
      </c>
      <c r="B1213" s="125" t="s">
        <v>4718</v>
      </c>
      <c r="C1213" s="125" t="s">
        <v>5606</v>
      </c>
      <c r="D1213" s="120">
        <v>6651</v>
      </c>
      <c r="E1213" s="60">
        <f>[1]!'6651.TW-PreClose'</f>
        <v>110</v>
      </c>
      <c r="F1213" s="141" t="str">
        <f>IFERROR(STOCKS!$E1213-STOCKS昨天!$E1213,"0")</f>
        <v>0</v>
      </c>
      <c r="G1213" s="63">
        <f t="shared" si="18"/>
        <v>0</v>
      </c>
    </row>
    <row r="1214" spans="1:7">
      <c r="A1214" s="120">
        <v>6679</v>
      </c>
      <c r="B1214" s="125" t="s">
        <v>3606</v>
      </c>
      <c r="C1214" s="125" t="s">
        <v>5606</v>
      </c>
      <c r="D1214" s="120">
        <v>6679</v>
      </c>
      <c r="E1214" s="60">
        <f>[1]!'6679.TW-PreClose'</f>
        <v>377.5</v>
      </c>
      <c r="F1214" s="141" t="str">
        <f>IFERROR(STOCKS!$E1214-STOCKS昨天!$E1214,"0")</f>
        <v>0</v>
      </c>
      <c r="G1214" s="63">
        <f t="shared" si="18"/>
        <v>0</v>
      </c>
    </row>
    <row r="1215" spans="1:7">
      <c r="A1215" s="120">
        <v>6683</v>
      </c>
      <c r="B1215" s="125" t="s">
        <v>4719</v>
      </c>
      <c r="C1215" s="125" t="s">
        <v>5606</v>
      </c>
      <c r="D1215" s="120">
        <v>6683</v>
      </c>
      <c r="E1215" s="60">
        <f>[1]!'6683.TW-PreClose'</f>
        <v>327</v>
      </c>
      <c r="F1215" s="141" t="str">
        <f>IFERROR(STOCKS!$E1215-STOCKS昨天!$E1215,"0")</f>
        <v>0</v>
      </c>
      <c r="G1215" s="63">
        <f t="shared" si="18"/>
        <v>0</v>
      </c>
    </row>
    <row r="1216" spans="1:7">
      <c r="A1216" s="120">
        <v>6684</v>
      </c>
      <c r="B1216" s="125" t="s">
        <v>5309</v>
      </c>
      <c r="C1216" s="125" t="s">
        <v>5606</v>
      </c>
      <c r="D1216" s="120">
        <v>6684</v>
      </c>
      <c r="E1216" s="60">
        <f>[1]!'6684.TW-PreClose'</f>
        <v>185</v>
      </c>
      <c r="F1216" s="141" t="str">
        <f>IFERROR(STOCKS!$E1216-STOCKS昨天!$E1216,"0")</f>
        <v>0</v>
      </c>
      <c r="G1216" s="63">
        <f t="shared" si="18"/>
        <v>0</v>
      </c>
    </row>
    <row r="1217" spans="1:7">
      <c r="A1217" s="120">
        <v>6716</v>
      </c>
      <c r="B1217" s="125" t="s">
        <v>4720</v>
      </c>
      <c r="C1217" s="125" t="s">
        <v>5606</v>
      </c>
      <c r="D1217" s="120">
        <v>6716</v>
      </c>
      <c r="E1217" s="60">
        <f>[1]!'6716.TW-PreClose'</f>
        <v>168.5</v>
      </c>
      <c r="F1217" s="141" t="str">
        <f>IFERROR(STOCKS!$E1217-STOCKS昨天!$E1217,"0")</f>
        <v>0</v>
      </c>
      <c r="G1217" s="63">
        <f t="shared" si="18"/>
        <v>0</v>
      </c>
    </row>
    <row r="1218" spans="1:7">
      <c r="A1218" s="120">
        <v>6732</v>
      </c>
      <c r="B1218" s="125" t="s">
        <v>4721</v>
      </c>
      <c r="C1218" s="125" t="s">
        <v>5606</v>
      </c>
      <c r="D1218" s="120">
        <v>6732</v>
      </c>
      <c r="E1218" s="60">
        <f>[1]!'6732.TW-PreClose'</f>
        <v>517</v>
      </c>
      <c r="F1218" s="141" t="str">
        <f>IFERROR(STOCKS!$E1218-STOCKS昨天!$E1218,"0")</f>
        <v>0</v>
      </c>
      <c r="G1218" s="63">
        <f t="shared" si="18"/>
        <v>0</v>
      </c>
    </row>
    <row r="1219" spans="1:7">
      <c r="A1219" s="120">
        <v>6788</v>
      </c>
      <c r="B1219" s="125" t="s">
        <v>5318</v>
      </c>
      <c r="C1219" s="125" t="s">
        <v>5606</v>
      </c>
      <c r="D1219" s="120">
        <v>6788</v>
      </c>
      <c r="E1219" s="60">
        <f>[1]!'6788.TW-PreClose'</f>
        <v>236.5</v>
      </c>
      <c r="F1219" s="141">
        <f>IFERROR(STOCKS!$E1219-STOCKS昨天!$E1219,"0")</f>
        <v>-1.5</v>
      </c>
      <c r="G1219" s="63">
        <f t="shared" ref="G1219:G1282" si="19">IFERROR($F1219/$E1219,"0")</f>
        <v>-6.3424947145877377E-3</v>
      </c>
    </row>
    <row r="1220" spans="1:7">
      <c r="A1220" s="120">
        <v>7556</v>
      </c>
      <c r="B1220" s="125" t="s">
        <v>4722</v>
      </c>
      <c r="C1220" s="125" t="s">
        <v>5606</v>
      </c>
      <c r="D1220" s="120">
        <v>7556</v>
      </c>
      <c r="E1220" s="60">
        <f>[1]!'7556.TW-PreClose'</f>
        <v>116</v>
      </c>
      <c r="F1220" s="141" t="str">
        <f>IFERROR(STOCKS!$E1220-STOCKS昨天!$E1220,"0")</f>
        <v>0</v>
      </c>
      <c r="G1220" s="63">
        <f t="shared" si="19"/>
        <v>0</v>
      </c>
    </row>
    <row r="1221" spans="1:7">
      <c r="A1221" s="120">
        <v>8024</v>
      </c>
      <c r="B1221" s="125" t="s">
        <v>4723</v>
      </c>
      <c r="C1221" s="125" t="s">
        <v>5606</v>
      </c>
      <c r="D1221" s="120">
        <v>8024</v>
      </c>
      <c r="E1221" s="60">
        <f>[1]!'8024.TW-PreClose'</f>
        <v>27</v>
      </c>
      <c r="F1221" s="141">
        <f>IFERROR(STOCKS!$E1221-STOCKS昨天!$E1221,"0")</f>
        <v>0.5</v>
      </c>
      <c r="G1221" s="63">
        <f t="shared" si="19"/>
        <v>1.8518518518518517E-2</v>
      </c>
    </row>
    <row r="1222" spans="1:7">
      <c r="A1222" s="120">
        <v>8040</v>
      </c>
      <c r="B1222" s="125" t="s">
        <v>4724</v>
      </c>
      <c r="C1222" s="125" t="s">
        <v>5606</v>
      </c>
      <c r="D1222" s="120">
        <v>8040</v>
      </c>
      <c r="E1222" s="60" t="str">
        <f>[1]!'8040.TW-PreClose'</f>
        <v>--</v>
      </c>
      <c r="F1222" s="141" t="str">
        <f>IFERROR(STOCKS!$E1222-STOCKS昨天!$E1222,"0")</f>
        <v>0</v>
      </c>
      <c r="G1222" s="63" t="str">
        <f t="shared" si="19"/>
        <v>0</v>
      </c>
    </row>
    <row r="1223" spans="1:7">
      <c r="A1223" s="120">
        <v>8054</v>
      </c>
      <c r="B1223" s="125" t="s">
        <v>4725</v>
      </c>
      <c r="C1223" s="125" t="s">
        <v>5606</v>
      </c>
      <c r="D1223" s="120">
        <v>8054</v>
      </c>
      <c r="E1223" s="60">
        <f>[1]!'8054.TW-PreClose'</f>
        <v>62.4</v>
      </c>
      <c r="F1223" s="141" t="str">
        <f>IFERROR(STOCKS!$E1223-STOCKS昨天!$E1223,"0")</f>
        <v>0</v>
      </c>
      <c r="G1223" s="63">
        <f t="shared" si="19"/>
        <v>0</v>
      </c>
    </row>
    <row r="1224" spans="1:7">
      <c r="A1224" s="120">
        <v>8086</v>
      </c>
      <c r="B1224" s="125" t="s">
        <v>4726</v>
      </c>
      <c r="C1224" s="125" t="s">
        <v>5606</v>
      </c>
      <c r="D1224" s="120">
        <v>8086</v>
      </c>
      <c r="E1224" s="60">
        <f>[1]!'8086.TW-PreClose'</f>
        <v>151</v>
      </c>
      <c r="F1224" s="141">
        <f>IFERROR(STOCKS!$E1224-STOCKS昨天!$E1224,"0")</f>
        <v>-0.5</v>
      </c>
      <c r="G1224" s="63">
        <f t="shared" si="19"/>
        <v>-3.3112582781456954E-3</v>
      </c>
    </row>
    <row r="1225" spans="1:7">
      <c r="A1225" s="120">
        <v>8088</v>
      </c>
      <c r="B1225" s="125" t="s">
        <v>4727</v>
      </c>
      <c r="C1225" s="125" t="s">
        <v>5606</v>
      </c>
      <c r="D1225" s="120">
        <v>8088</v>
      </c>
      <c r="E1225" s="60">
        <f>[1]!'8088.TW-PreClose'</f>
        <v>26</v>
      </c>
      <c r="F1225" s="141">
        <f>IFERROR(STOCKS!$E1225-STOCKS昨天!$E1225,"0")</f>
        <v>0</v>
      </c>
      <c r="G1225" s="63">
        <f t="shared" si="19"/>
        <v>0</v>
      </c>
    </row>
    <row r="1226" spans="1:7">
      <c r="A1226" s="120">
        <v>8277</v>
      </c>
      <c r="B1226" s="125" t="s">
        <v>3617</v>
      </c>
      <c r="C1226" s="125" t="s">
        <v>5606</v>
      </c>
      <c r="D1226" s="120">
        <v>8277</v>
      </c>
      <c r="E1226" s="60">
        <f>[1]!'8277.TW-PreClose'</f>
        <v>13.05</v>
      </c>
      <c r="F1226" s="141">
        <f>IFERROR(STOCKS!$E1226-STOCKS昨天!$E1226,"0")</f>
        <v>-0.30000000000000071</v>
      </c>
      <c r="G1226" s="63">
        <f t="shared" si="19"/>
        <v>-2.2988505747126489E-2</v>
      </c>
    </row>
    <row r="1227" spans="1:7">
      <c r="A1227" s="120">
        <v>8299</v>
      </c>
      <c r="B1227" s="125" t="s">
        <v>4728</v>
      </c>
      <c r="C1227" s="125" t="s">
        <v>5606</v>
      </c>
      <c r="D1227" s="120">
        <v>8299</v>
      </c>
      <c r="E1227" s="60">
        <f>[1]!'8299.TW-PreClose'</f>
        <v>425.5</v>
      </c>
      <c r="F1227" s="141" t="str">
        <f>IFERROR(STOCKS!$E1227-STOCKS昨天!$E1227,"0")</f>
        <v>0</v>
      </c>
      <c r="G1227" s="63">
        <f t="shared" si="19"/>
        <v>0</v>
      </c>
    </row>
    <row r="1228" spans="1:7">
      <c r="A1228" s="120">
        <v>1569</v>
      </c>
      <c r="B1228" s="125" t="s">
        <v>4729</v>
      </c>
      <c r="C1228" s="125" t="s">
        <v>5608</v>
      </c>
      <c r="D1228" s="120">
        <v>1569</v>
      </c>
      <c r="E1228" s="60">
        <f>[1]!'1569.TW-PreClose'</f>
        <v>24.95</v>
      </c>
      <c r="F1228" s="141" t="str">
        <f>IFERROR(STOCKS!$E1228-STOCKS昨天!$E1228,"0")</f>
        <v>0</v>
      </c>
      <c r="G1228" s="63">
        <f t="shared" si="19"/>
        <v>0</v>
      </c>
    </row>
    <row r="1229" spans="1:7">
      <c r="A1229" s="120">
        <v>3071</v>
      </c>
      <c r="B1229" s="125" t="s">
        <v>4730</v>
      </c>
      <c r="C1229" s="125" t="s">
        <v>5608</v>
      </c>
      <c r="D1229" s="120">
        <v>3071</v>
      </c>
      <c r="E1229" s="60">
        <f>[1]!'3071.TW-PreClose'</f>
        <v>23.2</v>
      </c>
      <c r="F1229" s="141" t="str">
        <f>IFERROR(STOCKS!$E1229-STOCKS昨天!$E1229,"0")</f>
        <v>0</v>
      </c>
      <c r="G1229" s="63">
        <f t="shared" si="19"/>
        <v>0</v>
      </c>
    </row>
    <row r="1230" spans="1:7">
      <c r="A1230" s="120">
        <v>3088</v>
      </c>
      <c r="B1230" s="125" t="s">
        <v>4731</v>
      </c>
      <c r="C1230" s="125" t="s">
        <v>5608</v>
      </c>
      <c r="D1230" s="120">
        <v>3088</v>
      </c>
      <c r="E1230" s="60">
        <f>[1]!'3088.TW-PreClose'</f>
        <v>53.7</v>
      </c>
      <c r="F1230" s="141" t="str">
        <f>IFERROR(STOCKS!$E1230-STOCKS昨天!$E1230,"0")</f>
        <v>0</v>
      </c>
      <c r="G1230" s="63">
        <f t="shared" si="19"/>
        <v>0</v>
      </c>
    </row>
    <row r="1231" spans="1:7">
      <c r="A1231" s="120">
        <v>3211</v>
      </c>
      <c r="B1231" s="125" t="s">
        <v>4732</v>
      </c>
      <c r="C1231" s="125" t="s">
        <v>5608</v>
      </c>
      <c r="D1231" s="120">
        <v>3211</v>
      </c>
      <c r="E1231" s="60">
        <f>[1]!'3211.TW-PreClose'</f>
        <v>98.3</v>
      </c>
      <c r="F1231" s="141">
        <f>IFERROR(STOCKS!$E1231-STOCKS昨天!$E1231,"0")</f>
        <v>-0.20000000000000284</v>
      </c>
      <c r="G1231" s="63">
        <f t="shared" si="19"/>
        <v>-2.034587995930853E-3</v>
      </c>
    </row>
    <row r="1232" spans="1:7">
      <c r="A1232" s="120">
        <v>3213</v>
      </c>
      <c r="B1232" s="125" t="s">
        <v>4733</v>
      </c>
      <c r="C1232" s="125" t="s">
        <v>5608</v>
      </c>
      <c r="D1232" s="120">
        <v>3213</v>
      </c>
      <c r="E1232" s="60">
        <f>[1]!'3213.TW-PreClose'</f>
        <v>61.4</v>
      </c>
      <c r="F1232" s="141" t="str">
        <f>IFERROR(STOCKS!$E1232-STOCKS昨天!$E1232,"0")</f>
        <v>0</v>
      </c>
      <c r="G1232" s="63">
        <f t="shared" si="19"/>
        <v>0</v>
      </c>
    </row>
    <row r="1233" spans="1:7">
      <c r="A1233" s="120">
        <v>3272</v>
      </c>
      <c r="B1233" s="125" t="s">
        <v>4734</v>
      </c>
      <c r="C1233" s="125" t="s">
        <v>5608</v>
      </c>
      <c r="D1233" s="120">
        <v>3272</v>
      </c>
      <c r="E1233" s="60">
        <f>[1]!'3272.TW-PreClose'</f>
        <v>39.6</v>
      </c>
      <c r="F1233" s="141" t="str">
        <f>IFERROR(STOCKS!$E1233-STOCKS昨天!$E1233,"0")</f>
        <v>0</v>
      </c>
      <c r="G1233" s="63">
        <f t="shared" si="19"/>
        <v>0</v>
      </c>
    </row>
    <row r="1234" spans="1:7">
      <c r="A1234" s="120">
        <v>3287</v>
      </c>
      <c r="B1234" s="125" t="s">
        <v>4735</v>
      </c>
      <c r="C1234" s="125" t="s">
        <v>5608</v>
      </c>
      <c r="D1234" s="120">
        <v>3287</v>
      </c>
      <c r="E1234" s="60">
        <f>[1]!'3287.TW-PreClose'</f>
        <v>17.649999999999999</v>
      </c>
      <c r="F1234" s="141" t="str">
        <f>IFERROR(STOCKS!$E1234-STOCKS昨天!$E1234,"0")</f>
        <v>0</v>
      </c>
      <c r="G1234" s="63">
        <f t="shared" si="19"/>
        <v>0</v>
      </c>
    </row>
    <row r="1235" spans="1:7">
      <c r="A1235" s="120">
        <v>3323</v>
      </c>
      <c r="B1235" s="125" t="s">
        <v>4736</v>
      </c>
      <c r="C1235" s="125" t="s">
        <v>5608</v>
      </c>
      <c r="D1235" s="120">
        <v>3323</v>
      </c>
      <c r="E1235" s="60">
        <f>[1]!'3323.TW-PreClose'</f>
        <v>42.1</v>
      </c>
      <c r="F1235" s="141" t="str">
        <f>IFERROR(STOCKS!$E1235-STOCKS昨天!$E1235,"0")</f>
        <v>0</v>
      </c>
      <c r="G1235" s="63">
        <f t="shared" si="19"/>
        <v>0</v>
      </c>
    </row>
    <row r="1236" spans="1:7">
      <c r="A1236" s="120">
        <v>3325</v>
      </c>
      <c r="B1236" s="125" t="s">
        <v>4737</v>
      </c>
      <c r="C1236" s="125" t="s">
        <v>5608</v>
      </c>
      <c r="D1236" s="120">
        <v>3325</v>
      </c>
      <c r="E1236" s="60">
        <f>[1]!'3325.TW-PreClose'</f>
        <v>15.9</v>
      </c>
      <c r="F1236" s="141" t="str">
        <f>IFERROR(STOCKS!$E1236-STOCKS昨天!$E1236,"0")</f>
        <v>0</v>
      </c>
      <c r="G1236" s="63">
        <f t="shared" si="19"/>
        <v>0</v>
      </c>
    </row>
    <row r="1237" spans="1:7">
      <c r="A1237" s="120">
        <v>3479</v>
      </c>
      <c r="B1237" s="125" t="s">
        <v>4738</v>
      </c>
      <c r="C1237" s="125" t="s">
        <v>5608</v>
      </c>
      <c r="D1237" s="120">
        <v>3479</v>
      </c>
      <c r="E1237" s="60">
        <f>[1]!'3479.TW-PreClose'</f>
        <v>52</v>
      </c>
      <c r="F1237" s="141" t="str">
        <f>IFERROR(STOCKS!$E1237-STOCKS昨天!$E1237,"0")</f>
        <v>0</v>
      </c>
      <c r="G1237" s="63">
        <f t="shared" si="19"/>
        <v>0</v>
      </c>
    </row>
    <row r="1238" spans="1:7">
      <c r="A1238" s="120">
        <v>3483</v>
      </c>
      <c r="B1238" s="125" t="s">
        <v>4739</v>
      </c>
      <c r="C1238" s="125" t="s">
        <v>5608</v>
      </c>
      <c r="D1238" s="120">
        <v>3483</v>
      </c>
      <c r="E1238" s="60">
        <f>[1]!'3483.TW-PreClose'</f>
        <v>93.5</v>
      </c>
      <c r="F1238" s="141">
        <f>IFERROR(STOCKS!$E1238-STOCKS昨天!$E1238,"0")</f>
        <v>4.0999999999999943</v>
      </c>
      <c r="G1238" s="63">
        <f t="shared" si="19"/>
        <v>4.3850267379679085E-2</v>
      </c>
    </row>
    <row r="1239" spans="1:7">
      <c r="A1239" s="120">
        <v>3521</v>
      </c>
      <c r="B1239" s="125" t="s">
        <v>4740</v>
      </c>
      <c r="C1239" s="125" t="s">
        <v>5608</v>
      </c>
      <c r="D1239" s="120">
        <v>3521</v>
      </c>
      <c r="E1239" s="60" t="str">
        <f>[1]!'3521.TW-PreClose'</f>
        <v>--</v>
      </c>
      <c r="F1239" s="141" t="str">
        <f>IFERROR(STOCKS!$E1239-STOCKS昨天!$E1239,"0")</f>
        <v>0</v>
      </c>
      <c r="G1239" s="63" t="str">
        <f t="shared" si="19"/>
        <v>0</v>
      </c>
    </row>
    <row r="1240" spans="1:7">
      <c r="A1240" s="120">
        <v>3540</v>
      </c>
      <c r="B1240" s="125" t="s">
        <v>4741</v>
      </c>
      <c r="C1240" s="125" t="s">
        <v>5608</v>
      </c>
      <c r="D1240" s="120">
        <v>3540</v>
      </c>
      <c r="E1240" s="60" t="str">
        <f>[1]!'3540.TW-PreClose'</f>
        <v>--</v>
      </c>
      <c r="F1240" s="141" t="str">
        <f>IFERROR(STOCKS!$E1240-STOCKS昨天!$E1240,"0")</f>
        <v>0</v>
      </c>
      <c r="G1240" s="63" t="str">
        <f t="shared" si="19"/>
        <v>0</v>
      </c>
    </row>
    <row r="1241" spans="1:7">
      <c r="A1241" s="120">
        <v>3577</v>
      </c>
      <c r="B1241" s="125" t="s">
        <v>4742</v>
      </c>
      <c r="C1241" s="125" t="s">
        <v>5608</v>
      </c>
      <c r="D1241" s="120">
        <v>3577</v>
      </c>
      <c r="E1241" s="60">
        <f>[1]!'3577.TW-PreClose'</f>
        <v>51.1</v>
      </c>
      <c r="F1241" s="141" t="str">
        <f>IFERROR(STOCKS!$E1241-STOCKS昨天!$E1241,"0")</f>
        <v>0</v>
      </c>
      <c r="G1241" s="63">
        <f t="shared" si="19"/>
        <v>0</v>
      </c>
    </row>
    <row r="1242" spans="1:7">
      <c r="A1242" s="120">
        <v>3594</v>
      </c>
      <c r="B1242" s="125" t="s">
        <v>4743</v>
      </c>
      <c r="C1242" s="125" t="s">
        <v>5608</v>
      </c>
      <c r="D1242" s="120">
        <v>3594</v>
      </c>
      <c r="E1242" s="60">
        <f>[1]!'3594.TW-PreClose'</f>
        <v>22.2</v>
      </c>
      <c r="F1242" s="141" t="str">
        <f>IFERROR(STOCKS!$E1242-STOCKS昨天!$E1242,"0")</f>
        <v>0</v>
      </c>
      <c r="G1242" s="63">
        <f t="shared" si="19"/>
        <v>0</v>
      </c>
    </row>
    <row r="1243" spans="1:7">
      <c r="A1243" s="120">
        <v>3611</v>
      </c>
      <c r="B1243" s="125" t="s">
        <v>4744</v>
      </c>
      <c r="C1243" s="125" t="s">
        <v>5608</v>
      </c>
      <c r="D1243" s="120">
        <v>3611</v>
      </c>
      <c r="E1243" s="60" t="str">
        <f>[1]!'3611.TW-PreClose'</f>
        <v>--</v>
      </c>
      <c r="F1243" s="141" t="str">
        <f>IFERROR(STOCKS!$E1243-STOCKS昨天!$E1243,"0")</f>
        <v>0</v>
      </c>
      <c r="G1243" s="63" t="str">
        <f t="shared" si="19"/>
        <v>0</v>
      </c>
    </row>
    <row r="1244" spans="1:7">
      <c r="A1244" s="120">
        <v>3625</v>
      </c>
      <c r="B1244" s="125" t="s">
        <v>4745</v>
      </c>
      <c r="C1244" s="125" t="s">
        <v>5608</v>
      </c>
      <c r="D1244" s="120">
        <v>3625</v>
      </c>
      <c r="E1244" s="60">
        <f>[1]!'3625.TW-PreClose'</f>
        <v>22.8</v>
      </c>
      <c r="F1244" s="141">
        <f>IFERROR(STOCKS!$E1244-STOCKS昨天!$E1244,"0")</f>
        <v>0.55000000000000071</v>
      </c>
      <c r="G1244" s="63">
        <f t="shared" si="19"/>
        <v>2.412280701754389E-2</v>
      </c>
    </row>
    <row r="1245" spans="1:7">
      <c r="A1245" s="120">
        <v>3652</v>
      </c>
      <c r="B1245" s="125" t="s">
        <v>4746</v>
      </c>
      <c r="C1245" s="125" t="s">
        <v>5608</v>
      </c>
      <c r="D1245" s="120">
        <v>3652</v>
      </c>
      <c r="E1245" s="60">
        <f>[1]!'3652.TW-PreClose'</f>
        <v>24.6</v>
      </c>
      <c r="F1245" s="141" t="str">
        <f>IFERROR(STOCKS!$E1245-STOCKS昨天!$E1245,"0")</f>
        <v>0</v>
      </c>
      <c r="G1245" s="63">
        <f t="shared" si="19"/>
        <v>0</v>
      </c>
    </row>
    <row r="1246" spans="1:7">
      <c r="A1246" s="120">
        <v>3693</v>
      </c>
      <c r="B1246" s="125" t="s">
        <v>4747</v>
      </c>
      <c r="C1246" s="125" t="s">
        <v>5608</v>
      </c>
      <c r="D1246" s="120">
        <v>3693</v>
      </c>
      <c r="E1246" s="60">
        <f>[1]!'3693.TW-PreClose'</f>
        <v>46.8</v>
      </c>
      <c r="F1246" s="141" t="str">
        <f>IFERROR(STOCKS!$E1246-STOCKS昨天!$E1246,"0")</f>
        <v>0</v>
      </c>
      <c r="G1246" s="63">
        <f t="shared" si="19"/>
        <v>0</v>
      </c>
    </row>
    <row r="1247" spans="1:7">
      <c r="A1247" s="120">
        <v>3709</v>
      </c>
      <c r="B1247" s="125" t="s">
        <v>4748</v>
      </c>
      <c r="C1247" s="125" t="s">
        <v>5608</v>
      </c>
      <c r="D1247" s="120">
        <v>3709</v>
      </c>
      <c r="E1247" s="60">
        <f>[1]!'3709.TW-PreClose'</f>
        <v>38.75</v>
      </c>
      <c r="F1247" s="141" t="str">
        <f>IFERROR(STOCKS!$E1247-STOCKS昨天!$E1247,"0")</f>
        <v>0</v>
      </c>
      <c r="G1247" s="63">
        <f t="shared" si="19"/>
        <v>0</v>
      </c>
    </row>
    <row r="1248" spans="1:7">
      <c r="A1248" s="120">
        <v>4924</v>
      </c>
      <c r="B1248" s="125" t="s">
        <v>4749</v>
      </c>
      <c r="C1248" s="125" t="s">
        <v>5609</v>
      </c>
      <c r="D1248" s="120">
        <v>4924</v>
      </c>
      <c r="E1248" s="60">
        <f>[1]!'4924.TW-PreClose'</f>
        <v>13.85</v>
      </c>
      <c r="F1248" s="141" t="str">
        <f>IFERROR(STOCKS!$E1248-STOCKS昨天!$E1248,"0")</f>
        <v>0</v>
      </c>
      <c r="G1248" s="63">
        <f t="shared" si="19"/>
        <v>0</v>
      </c>
    </row>
    <row r="1249" spans="1:7">
      <c r="A1249" s="120">
        <v>4931</v>
      </c>
      <c r="B1249" s="125" t="s">
        <v>4750</v>
      </c>
      <c r="C1249" s="125" t="s">
        <v>5608</v>
      </c>
      <c r="D1249" s="120">
        <v>4931</v>
      </c>
      <c r="E1249" s="60">
        <f>[1]!'4931.TW-PreClose'</f>
        <v>19</v>
      </c>
      <c r="F1249" s="141">
        <f>IFERROR(STOCKS!$E1249-STOCKS昨天!$E1249,"0")</f>
        <v>0.10000000000000142</v>
      </c>
      <c r="G1249" s="63">
        <f t="shared" si="19"/>
        <v>5.2631578947369166E-3</v>
      </c>
    </row>
    <row r="1250" spans="1:7">
      <c r="A1250" s="120">
        <v>4987</v>
      </c>
      <c r="B1250" s="125" t="s">
        <v>4751</v>
      </c>
      <c r="C1250" s="125" t="s">
        <v>5608</v>
      </c>
      <c r="D1250" s="120">
        <v>4987</v>
      </c>
      <c r="E1250" s="60">
        <f>[1]!'4987.TW-PreClose'</f>
        <v>52</v>
      </c>
      <c r="F1250" s="141" t="str">
        <f>IFERROR(STOCKS!$E1250-STOCKS昨天!$E1250,"0")</f>
        <v>0</v>
      </c>
      <c r="G1250" s="63">
        <f t="shared" si="19"/>
        <v>0</v>
      </c>
    </row>
    <row r="1251" spans="1:7">
      <c r="A1251" s="120">
        <v>5223</v>
      </c>
      <c r="B1251" s="125" t="s">
        <v>4752</v>
      </c>
      <c r="C1251" s="125" t="s">
        <v>5609</v>
      </c>
      <c r="D1251" s="120">
        <v>5223</v>
      </c>
      <c r="E1251" s="60">
        <f>[1]!'5223.TW-PreClose'</f>
        <v>52.8</v>
      </c>
      <c r="F1251" s="141" t="str">
        <f>IFERROR(STOCKS!$E1251-STOCKS昨天!$E1251,"0")</f>
        <v>0</v>
      </c>
      <c r="G1251" s="63">
        <f t="shared" si="19"/>
        <v>0</v>
      </c>
    </row>
    <row r="1252" spans="1:7">
      <c r="A1252" s="120">
        <v>5289</v>
      </c>
      <c r="B1252" s="125" t="s">
        <v>4753</v>
      </c>
      <c r="C1252" s="125" t="s">
        <v>5608</v>
      </c>
      <c r="D1252" s="120">
        <v>5289</v>
      </c>
      <c r="E1252" s="60" t="str">
        <f>[1]!'5289.TW-PreClose'</f>
        <v>--</v>
      </c>
      <c r="F1252" s="141" t="str">
        <f>IFERROR(STOCKS!$E1252-STOCKS昨天!$E1252,"0")</f>
        <v>0</v>
      </c>
      <c r="G1252" s="63" t="str">
        <f t="shared" si="19"/>
        <v>0</v>
      </c>
    </row>
    <row r="1253" spans="1:7">
      <c r="A1253" s="120">
        <v>5356</v>
      </c>
      <c r="B1253" s="125" t="s">
        <v>4754</v>
      </c>
      <c r="C1253" s="125" t="s">
        <v>5608</v>
      </c>
      <c r="D1253" s="120">
        <v>5356</v>
      </c>
      <c r="E1253" s="60">
        <f>[1]!'5356.TW-PreClose'</f>
        <v>26</v>
      </c>
      <c r="F1253" s="141" t="str">
        <f>IFERROR(STOCKS!$E1253-STOCKS昨天!$E1253,"0")</f>
        <v>0</v>
      </c>
      <c r="G1253" s="63">
        <f t="shared" si="19"/>
        <v>0</v>
      </c>
    </row>
    <row r="1254" spans="1:7">
      <c r="A1254" s="120">
        <v>5386</v>
      </c>
      <c r="B1254" s="125" t="s">
        <v>3616</v>
      </c>
      <c r="C1254" s="125" t="s">
        <v>5608</v>
      </c>
      <c r="D1254" s="120">
        <v>5386</v>
      </c>
      <c r="E1254" s="60" t="str">
        <f>[1]!'5386.TW-PreClose'</f>
        <v>--</v>
      </c>
      <c r="F1254" s="141" t="str">
        <f>IFERROR(STOCKS!$E1254-STOCKS昨天!$E1254,"0")</f>
        <v>0</v>
      </c>
      <c r="G1254" s="63" t="str">
        <f t="shared" si="19"/>
        <v>0</v>
      </c>
    </row>
    <row r="1255" spans="1:7">
      <c r="A1255" s="120">
        <v>5426</v>
      </c>
      <c r="B1255" s="125" t="s">
        <v>4755</v>
      </c>
      <c r="C1255" s="125" t="s">
        <v>5608</v>
      </c>
      <c r="D1255" s="120">
        <v>5426</v>
      </c>
      <c r="E1255" s="60" t="str">
        <f>[1]!'5426.TW-PreClose'</f>
        <v>--</v>
      </c>
      <c r="F1255" s="141" t="str">
        <f>IFERROR(STOCKS!$E1255-STOCKS昨天!$E1255,"0")</f>
        <v>0</v>
      </c>
      <c r="G1255" s="63" t="str">
        <f t="shared" si="19"/>
        <v>0</v>
      </c>
    </row>
    <row r="1256" spans="1:7">
      <c r="A1256" s="120">
        <v>5438</v>
      </c>
      <c r="B1256" s="125" t="s">
        <v>4756</v>
      </c>
      <c r="C1256" s="125" t="s">
        <v>5608</v>
      </c>
      <c r="D1256" s="120">
        <v>5438</v>
      </c>
      <c r="E1256" s="60">
        <f>[1]!'5438.TW-PreClose'</f>
        <v>18</v>
      </c>
      <c r="F1256" s="141" t="str">
        <f>IFERROR(STOCKS!$E1256-STOCKS昨天!$E1256,"0")</f>
        <v>0</v>
      </c>
      <c r="G1256" s="63">
        <f t="shared" si="19"/>
        <v>0</v>
      </c>
    </row>
    <row r="1257" spans="1:7">
      <c r="A1257" s="120">
        <v>5465</v>
      </c>
      <c r="B1257" s="125" t="s">
        <v>4757</v>
      </c>
      <c r="C1257" s="125" t="s">
        <v>5608</v>
      </c>
      <c r="D1257" s="120">
        <v>5465</v>
      </c>
      <c r="E1257" s="60" t="str">
        <f>[1]!'5465.TW-PreClose'</f>
        <v>--</v>
      </c>
      <c r="F1257" s="141" t="str">
        <f>IFERROR(STOCKS!$E1257-STOCKS昨天!$E1257,"0")</f>
        <v>0</v>
      </c>
      <c r="G1257" s="63" t="str">
        <f t="shared" si="19"/>
        <v>0</v>
      </c>
    </row>
    <row r="1258" spans="1:7">
      <c r="A1258" s="120">
        <v>5474</v>
      </c>
      <c r="B1258" s="125" t="s">
        <v>4758</v>
      </c>
      <c r="C1258" s="125" t="s">
        <v>5608</v>
      </c>
      <c r="D1258" s="120">
        <v>5474</v>
      </c>
      <c r="E1258" s="60">
        <f>[1]!'5474.TW-PreClose'</f>
        <v>125.5</v>
      </c>
      <c r="F1258" s="141" t="str">
        <f>IFERROR(STOCKS!$E1258-STOCKS昨天!$E1258,"0")</f>
        <v>0</v>
      </c>
      <c r="G1258" s="63">
        <f t="shared" si="19"/>
        <v>0</v>
      </c>
    </row>
    <row r="1259" spans="1:7">
      <c r="A1259" s="120">
        <v>5490</v>
      </c>
      <c r="B1259" s="125" t="s">
        <v>4759</v>
      </c>
      <c r="C1259" s="125" t="s">
        <v>5608</v>
      </c>
      <c r="D1259" s="120">
        <v>5490</v>
      </c>
      <c r="E1259" s="60">
        <f>[1]!'5490.TW-PreClose'</f>
        <v>27</v>
      </c>
      <c r="F1259" s="141" t="str">
        <f>IFERROR(STOCKS!$E1259-STOCKS昨天!$E1259,"0")</f>
        <v>0</v>
      </c>
      <c r="G1259" s="63">
        <f t="shared" si="19"/>
        <v>0</v>
      </c>
    </row>
    <row r="1260" spans="1:7">
      <c r="A1260" s="120">
        <v>6121</v>
      </c>
      <c r="B1260" s="125" t="s">
        <v>4760</v>
      </c>
      <c r="C1260" s="125" t="s">
        <v>5608</v>
      </c>
      <c r="D1260" s="120">
        <v>6121</v>
      </c>
      <c r="E1260" s="60">
        <f>[1]!'6121.TW-PreClose'</f>
        <v>325.5</v>
      </c>
      <c r="F1260" s="141" t="str">
        <f>IFERROR(STOCKS!$E1260-STOCKS昨天!$E1260,"0")</f>
        <v>0</v>
      </c>
      <c r="G1260" s="63">
        <f t="shared" si="19"/>
        <v>0</v>
      </c>
    </row>
    <row r="1261" spans="1:7">
      <c r="A1261" s="120">
        <v>6123</v>
      </c>
      <c r="B1261" s="125" t="s">
        <v>4761</v>
      </c>
      <c r="C1261" s="125" t="s">
        <v>5608</v>
      </c>
      <c r="D1261" s="120">
        <v>6123</v>
      </c>
      <c r="E1261" s="60" t="str">
        <f>[1]!'6123.TW-PreClose'</f>
        <v>--</v>
      </c>
      <c r="F1261" s="141" t="str">
        <f>IFERROR(STOCKS!$E1261-STOCKS昨天!$E1261,"0")</f>
        <v>0</v>
      </c>
      <c r="G1261" s="63" t="str">
        <f t="shared" si="19"/>
        <v>0</v>
      </c>
    </row>
    <row r="1262" spans="1:7">
      <c r="A1262" s="120">
        <v>6150</v>
      </c>
      <c r="B1262" s="125" t="s">
        <v>3531</v>
      </c>
      <c r="C1262" s="125" t="s">
        <v>5608</v>
      </c>
      <c r="D1262" s="120">
        <v>6150</v>
      </c>
      <c r="E1262" s="60">
        <f>[1]!'6150.TW-PreClose'</f>
        <v>155</v>
      </c>
      <c r="F1262" s="141" t="str">
        <f>IFERROR(STOCKS!$E1262-STOCKS昨天!$E1262,"0")</f>
        <v>0</v>
      </c>
      <c r="G1262" s="63">
        <f t="shared" si="19"/>
        <v>0</v>
      </c>
    </row>
    <row r="1263" spans="1:7">
      <c r="A1263" s="120">
        <v>6160</v>
      </c>
      <c r="B1263" s="125" t="s">
        <v>4762</v>
      </c>
      <c r="C1263" s="125" t="s">
        <v>5608</v>
      </c>
      <c r="D1263" s="120">
        <v>6160</v>
      </c>
      <c r="E1263" s="60">
        <f>[1]!'6160.TW-PreClose'</f>
        <v>17.45</v>
      </c>
      <c r="F1263" s="141">
        <f>IFERROR(STOCKS!$E1263-STOCKS昨天!$E1263,"0")</f>
        <v>0</v>
      </c>
      <c r="G1263" s="63">
        <f t="shared" si="19"/>
        <v>0</v>
      </c>
    </row>
    <row r="1264" spans="1:7">
      <c r="A1264" s="120">
        <v>6161</v>
      </c>
      <c r="B1264" s="125" t="s">
        <v>4763</v>
      </c>
      <c r="C1264" s="125" t="s">
        <v>5608</v>
      </c>
      <c r="D1264" s="120">
        <v>6161</v>
      </c>
      <c r="E1264" s="60">
        <f>[1]!'6161.TW-PreClose'</f>
        <v>30</v>
      </c>
      <c r="F1264" s="141" t="str">
        <f>IFERROR(STOCKS!$E1264-STOCKS昨天!$E1264,"0")</f>
        <v>0</v>
      </c>
      <c r="G1264" s="63">
        <f t="shared" si="19"/>
        <v>0</v>
      </c>
    </row>
    <row r="1265" spans="1:7">
      <c r="A1265" s="120">
        <v>6188</v>
      </c>
      <c r="B1265" s="125" t="s">
        <v>4764</v>
      </c>
      <c r="C1265" s="125" t="s">
        <v>5608</v>
      </c>
      <c r="D1265" s="120">
        <v>6188</v>
      </c>
      <c r="E1265" s="60">
        <f>[1]!'6188.TW-PreClose'</f>
        <v>40.049999999999997</v>
      </c>
      <c r="F1265" s="141" t="str">
        <f>IFERROR(STOCKS!$E1265-STOCKS昨天!$E1265,"0")</f>
        <v>0</v>
      </c>
      <c r="G1265" s="63">
        <f t="shared" si="19"/>
        <v>0</v>
      </c>
    </row>
    <row r="1266" spans="1:7">
      <c r="A1266" s="120">
        <v>6228</v>
      </c>
      <c r="B1266" s="125" t="s">
        <v>4765</v>
      </c>
      <c r="C1266" s="125" t="s">
        <v>5608</v>
      </c>
      <c r="D1266" s="120">
        <v>6228</v>
      </c>
      <c r="E1266" s="60" t="str">
        <f>[1]!'6228.TW-PreClose'</f>
        <v>--</v>
      </c>
      <c r="F1266" s="141" t="str">
        <f>IFERROR(STOCKS!$E1266-STOCKS昨天!$E1266,"0")</f>
        <v>0</v>
      </c>
      <c r="G1266" s="63" t="str">
        <f t="shared" si="19"/>
        <v>0</v>
      </c>
    </row>
    <row r="1267" spans="1:7">
      <c r="A1267" s="120">
        <v>6276</v>
      </c>
      <c r="B1267" s="125" t="s">
        <v>4766</v>
      </c>
      <c r="C1267" s="125" t="s">
        <v>5608</v>
      </c>
      <c r="D1267" s="120">
        <v>6276</v>
      </c>
      <c r="E1267" s="60" t="str">
        <f>[1]!'6276.TW-PreClose'</f>
        <v>--</v>
      </c>
      <c r="F1267" s="141" t="str">
        <f>IFERROR(STOCKS!$E1267-STOCKS昨天!$E1267,"0")</f>
        <v>0</v>
      </c>
      <c r="G1267" s="63" t="str">
        <f t="shared" si="19"/>
        <v>0</v>
      </c>
    </row>
    <row r="1268" spans="1:7">
      <c r="A1268" s="120">
        <v>6441</v>
      </c>
      <c r="B1268" s="125" t="s">
        <v>4767</v>
      </c>
      <c r="C1268" s="125" t="s">
        <v>5608</v>
      </c>
      <c r="D1268" s="120">
        <v>6441</v>
      </c>
      <c r="E1268" s="60" t="str">
        <f>[1]!'6441.TW-PreClose'</f>
        <v>--</v>
      </c>
      <c r="F1268" s="141" t="str">
        <f>IFERROR(STOCKS!$E1268-STOCKS昨天!$E1268,"0")</f>
        <v>0</v>
      </c>
      <c r="G1268" s="63" t="str">
        <f t="shared" si="19"/>
        <v>0</v>
      </c>
    </row>
    <row r="1269" spans="1:7">
      <c r="A1269" s="120">
        <v>6570</v>
      </c>
      <c r="B1269" s="125" t="s">
        <v>4768</v>
      </c>
      <c r="C1269" s="125" t="s">
        <v>5608</v>
      </c>
      <c r="D1269" s="120">
        <v>6570</v>
      </c>
      <c r="E1269" s="60">
        <f>[1]!'6570.TW-PreClose'</f>
        <v>36.9</v>
      </c>
      <c r="F1269" s="141" t="str">
        <f>IFERROR(STOCKS!$E1269-STOCKS昨天!$E1269,"0")</f>
        <v>0</v>
      </c>
      <c r="G1269" s="63">
        <f t="shared" si="19"/>
        <v>0</v>
      </c>
    </row>
    <row r="1270" spans="1:7">
      <c r="A1270" s="120">
        <v>6577</v>
      </c>
      <c r="B1270" s="125" t="s">
        <v>4769</v>
      </c>
      <c r="C1270" s="125" t="s">
        <v>5608</v>
      </c>
      <c r="D1270" s="120">
        <v>6577</v>
      </c>
      <c r="E1270" s="60">
        <f>[1]!'6577.TW-PreClose'</f>
        <v>61.4</v>
      </c>
      <c r="F1270" s="141" t="str">
        <f>IFERROR(STOCKS!$E1270-STOCKS昨天!$E1270,"0")</f>
        <v>0</v>
      </c>
      <c r="G1270" s="63">
        <f t="shared" si="19"/>
        <v>0</v>
      </c>
    </row>
    <row r="1271" spans="1:7">
      <c r="A1271" s="120">
        <v>6680</v>
      </c>
      <c r="B1271" s="125" t="s">
        <v>4770</v>
      </c>
      <c r="C1271" s="125" t="s">
        <v>5608</v>
      </c>
      <c r="D1271" s="120">
        <v>6680</v>
      </c>
      <c r="E1271" s="60">
        <f>[1]!'6680.TW-PreClose'</f>
        <v>50.1</v>
      </c>
      <c r="F1271" s="141" t="str">
        <f>IFERROR(STOCKS!$E1271-STOCKS昨天!$E1271,"0")</f>
        <v>0</v>
      </c>
      <c r="G1271" s="63">
        <f t="shared" si="19"/>
        <v>0</v>
      </c>
    </row>
    <row r="1272" spans="1:7">
      <c r="A1272" s="120">
        <v>8050</v>
      </c>
      <c r="B1272" s="125" t="s">
        <v>4771</v>
      </c>
      <c r="C1272" s="125" t="s">
        <v>5608</v>
      </c>
      <c r="D1272" s="120">
        <v>8050</v>
      </c>
      <c r="E1272" s="60" t="str">
        <f>[1]!'8050.TW-PreClose'</f>
        <v>--</v>
      </c>
      <c r="F1272" s="141" t="str">
        <f>IFERROR(STOCKS!$E1272-STOCKS昨天!$E1272,"0")</f>
        <v>0</v>
      </c>
      <c r="G1272" s="63" t="str">
        <f t="shared" si="19"/>
        <v>0</v>
      </c>
    </row>
    <row r="1273" spans="1:7">
      <c r="A1273" s="120">
        <v>8076</v>
      </c>
      <c r="B1273" s="125" t="s">
        <v>4772</v>
      </c>
      <c r="C1273" s="125" t="s">
        <v>5608</v>
      </c>
      <c r="D1273" s="120">
        <v>8076</v>
      </c>
      <c r="E1273" s="60">
        <f>[1]!'8076.TW-PreClose'</f>
        <v>32</v>
      </c>
      <c r="F1273" s="141" t="str">
        <f>IFERROR(STOCKS!$E1273-STOCKS昨天!$E1273,"0")</f>
        <v>0</v>
      </c>
      <c r="G1273" s="63">
        <f t="shared" si="19"/>
        <v>0</v>
      </c>
    </row>
    <row r="1274" spans="1:7">
      <c r="A1274" s="120">
        <v>8234</v>
      </c>
      <c r="B1274" s="125" t="s">
        <v>4773</v>
      </c>
      <c r="C1274" s="125" t="s">
        <v>5608</v>
      </c>
      <c r="D1274" s="120">
        <v>8234</v>
      </c>
      <c r="E1274" s="60">
        <f>[1]!'8234.TW-PreClose'</f>
        <v>23.45</v>
      </c>
      <c r="F1274" s="141" t="str">
        <f>IFERROR(STOCKS!$E1274-STOCKS昨天!$E1274,"0")</f>
        <v>0</v>
      </c>
      <c r="G1274" s="63">
        <f t="shared" si="19"/>
        <v>0</v>
      </c>
    </row>
    <row r="1275" spans="1:7">
      <c r="A1275" s="120">
        <v>8410</v>
      </c>
      <c r="B1275" s="125" t="s">
        <v>4774</v>
      </c>
      <c r="C1275" s="125" t="s">
        <v>5608</v>
      </c>
      <c r="D1275" s="120">
        <v>8410</v>
      </c>
      <c r="E1275" s="60">
        <f>[1]!'8410.TW-PreClose'</f>
        <v>32.049999999999997</v>
      </c>
      <c r="F1275" s="141" t="str">
        <f>IFERROR(STOCKS!$E1275-STOCKS昨天!$E1275,"0")</f>
        <v>0</v>
      </c>
      <c r="G1275" s="63">
        <f t="shared" si="19"/>
        <v>0</v>
      </c>
    </row>
    <row r="1276" spans="1:7">
      <c r="A1276" s="120">
        <v>3066</v>
      </c>
      <c r="B1276" s="125" t="s">
        <v>4775</v>
      </c>
      <c r="C1276" s="125" t="s">
        <v>5610</v>
      </c>
      <c r="D1276" s="120">
        <v>3066</v>
      </c>
      <c r="E1276" s="60">
        <f>[1]!'3066.TW-PreClose'</f>
        <v>16.149999999999999</v>
      </c>
      <c r="F1276" s="141">
        <f>IFERROR(STOCKS!$E1276-STOCKS昨天!$E1276,"0")</f>
        <v>1.6000000000000014</v>
      </c>
      <c r="G1276" s="63">
        <f t="shared" si="19"/>
        <v>9.907120743034066E-2</v>
      </c>
    </row>
    <row r="1277" spans="1:7">
      <c r="A1277" s="120">
        <v>3128</v>
      </c>
      <c r="B1277" s="125" t="s">
        <v>3653</v>
      </c>
      <c r="C1277" s="125" t="s">
        <v>5610</v>
      </c>
      <c r="D1277" s="120">
        <v>3128</v>
      </c>
      <c r="E1277" s="60">
        <f>[1]!'3128.TW-PreClose'</f>
        <v>22.95</v>
      </c>
      <c r="F1277" s="141" t="str">
        <f>IFERROR(STOCKS!$E1277-STOCKS昨天!$E1277,"0")</f>
        <v>0</v>
      </c>
      <c r="G1277" s="63">
        <f t="shared" si="19"/>
        <v>0</v>
      </c>
    </row>
    <row r="1278" spans="1:7">
      <c r="A1278" s="120">
        <v>3230</v>
      </c>
      <c r="B1278" s="125" t="s">
        <v>4776</v>
      </c>
      <c r="C1278" s="125" t="s">
        <v>5610</v>
      </c>
      <c r="D1278" s="120">
        <v>3230</v>
      </c>
      <c r="E1278" s="60">
        <f>[1]!'3230.TW-PreClose'</f>
        <v>20.2</v>
      </c>
      <c r="F1278" s="141" t="str">
        <f>IFERROR(STOCKS!$E1278-STOCKS昨天!$E1278,"0")</f>
        <v>0</v>
      </c>
      <c r="G1278" s="63">
        <f t="shared" si="19"/>
        <v>0</v>
      </c>
    </row>
    <row r="1279" spans="1:7">
      <c r="A1279" s="120">
        <v>3297</v>
      </c>
      <c r="B1279" s="125" t="s">
        <v>4777</v>
      </c>
      <c r="C1279" s="125" t="s">
        <v>5610</v>
      </c>
      <c r="D1279" s="120">
        <v>3297</v>
      </c>
      <c r="E1279" s="60">
        <f>[1]!'3297.TW-PreClose'</f>
        <v>19.100000000000001</v>
      </c>
      <c r="F1279" s="141" t="str">
        <f>IFERROR(STOCKS!$E1279-STOCKS昨天!$E1279,"0")</f>
        <v>0</v>
      </c>
      <c r="G1279" s="63">
        <f t="shared" si="19"/>
        <v>0</v>
      </c>
    </row>
    <row r="1280" spans="1:7">
      <c r="A1280" s="120">
        <v>3339</v>
      </c>
      <c r="B1280" s="125" t="s">
        <v>4778</v>
      </c>
      <c r="C1280" s="125" t="s">
        <v>5610</v>
      </c>
      <c r="D1280" s="120">
        <v>3339</v>
      </c>
      <c r="E1280" s="60">
        <f>[1]!'3339.TW-PreClose'</f>
        <v>20.100000000000001</v>
      </c>
      <c r="F1280" s="141" t="str">
        <f>IFERROR(STOCKS!$E1280-STOCKS昨天!$E1280,"0")</f>
        <v>0</v>
      </c>
      <c r="G1280" s="63">
        <f t="shared" si="19"/>
        <v>0</v>
      </c>
    </row>
    <row r="1281" spans="1:7">
      <c r="A1281" s="120">
        <v>3362</v>
      </c>
      <c r="B1281" s="125" t="s">
        <v>3598</v>
      </c>
      <c r="C1281" s="125" t="s">
        <v>5610</v>
      </c>
      <c r="D1281" s="120">
        <v>3362</v>
      </c>
      <c r="E1281" s="60" t="str">
        <f>[1]!'3362.TW-PreClose'</f>
        <v>--</v>
      </c>
      <c r="F1281" s="141" t="str">
        <f>IFERROR(STOCKS!$E1281-STOCKS昨天!$E1281,"0")</f>
        <v>0</v>
      </c>
      <c r="G1281" s="63" t="str">
        <f t="shared" si="19"/>
        <v>0</v>
      </c>
    </row>
    <row r="1282" spans="1:7">
      <c r="A1282" s="120">
        <v>3434</v>
      </c>
      <c r="B1282" s="125" t="s">
        <v>4779</v>
      </c>
      <c r="C1282" s="125" t="s">
        <v>5610</v>
      </c>
      <c r="D1282" s="120">
        <v>3434</v>
      </c>
      <c r="E1282" s="60">
        <f>[1]!'3434.TW-PreClose'</f>
        <v>16.05</v>
      </c>
      <c r="F1282" s="141" t="str">
        <f>IFERROR(STOCKS!$E1282-STOCKS昨天!$E1282,"0")</f>
        <v>0</v>
      </c>
      <c r="G1282" s="63">
        <f t="shared" si="19"/>
        <v>0</v>
      </c>
    </row>
    <row r="1283" spans="1:7">
      <c r="A1283" s="120">
        <v>3441</v>
      </c>
      <c r="B1283" s="125" t="s">
        <v>4780</v>
      </c>
      <c r="C1283" s="125" t="s">
        <v>5610</v>
      </c>
      <c r="D1283" s="120">
        <v>3441</v>
      </c>
      <c r="E1283" s="60">
        <f>[1]!'3441.TW-PreClose'</f>
        <v>39.85</v>
      </c>
      <c r="F1283" s="141" t="str">
        <f>IFERROR(STOCKS!$E1283-STOCKS昨天!$E1283,"0")</f>
        <v>0</v>
      </c>
      <c r="G1283" s="63">
        <f t="shared" ref="G1283:G1346" si="20">IFERROR($F1283/$E1283,"0")</f>
        <v>0</v>
      </c>
    </row>
    <row r="1284" spans="1:7">
      <c r="A1284" s="120">
        <v>3455</v>
      </c>
      <c r="B1284" s="125" t="s">
        <v>4781</v>
      </c>
      <c r="C1284" s="125" t="s">
        <v>5610</v>
      </c>
      <c r="D1284" s="120">
        <v>3455</v>
      </c>
      <c r="E1284" s="60" t="str">
        <f>[1]!'3455.TW-PreClose'</f>
        <v>--</v>
      </c>
      <c r="F1284" s="141" t="str">
        <f>IFERROR(STOCKS!$E1284-STOCKS昨天!$E1284,"0")</f>
        <v>0</v>
      </c>
      <c r="G1284" s="63" t="str">
        <f t="shared" si="20"/>
        <v>0</v>
      </c>
    </row>
    <row r="1285" spans="1:7">
      <c r="A1285" s="120">
        <v>3490</v>
      </c>
      <c r="B1285" s="125" t="s">
        <v>4782</v>
      </c>
      <c r="C1285" s="125" t="s">
        <v>5610</v>
      </c>
      <c r="D1285" s="120">
        <v>3490</v>
      </c>
      <c r="E1285" s="60">
        <f>[1]!'3490.TW-PreClose'</f>
        <v>31.9</v>
      </c>
      <c r="F1285" s="141" t="str">
        <f>IFERROR(STOCKS!$E1285-STOCKS昨天!$E1285,"0")</f>
        <v>0</v>
      </c>
      <c r="G1285" s="63">
        <f t="shared" si="20"/>
        <v>0</v>
      </c>
    </row>
    <row r="1286" spans="1:7">
      <c r="A1286" s="120">
        <v>3516</v>
      </c>
      <c r="B1286" s="125" t="s">
        <v>4783</v>
      </c>
      <c r="C1286" s="125" t="s">
        <v>5610</v>
      </c>
      <c r="D1286" s="120">
        <v>3516</v>
      </c>
      <c r="E1286" s="60">
        <f>[1]!'3516.TW-PreClose'</f>
        <v>16.3</v>
      </c>
      <c r="F1286" s="141" t="str">
        <f>IFERROR(STOCKS!$E1286-STOCKS昨天!$E1286,"0")</f>
        <v>0</v>
      </c>
      <c r="G1286" s="63">
        <f t="shared" si="20"/>
        <v>0</v>
      </c>
    </row>
    <row r="1287" spans="1:7">
      <c r="A1287" s="120">
        <v>3523</v>
      </c>
      <c r="B1287" s="125" t="s">
        <v>4784</v>
      </c>
      <c r="C1287" s="125" t="s">
        <v>5610</v>
      </c>
      <c r="D1287" s="120">
        <v>3523</v>
      </c>
      <c r="E1287" s="60" t="str">
        <f>[1]!'3523.TW-PreClose'</f>
        <v>--</v>
      </c>
      <c r="F1287" s="141" t="str">
        <f>IFERROR(STOCKS!$E1287-STOCKS昨天!$E1287,"0")</f>
        <v>0</v>
      </c>
      <c r="G1287" s="63" t="str">
        <f t="shared" si="20"/>
        <v>0</v>
      </c>
    </row>
    <row r="1288" spans="1:7">
      <c r="A1288" s="120">
        <v>3531</v>
      </c>
      <c r="B1288" s="125" t="s">
        <v>4785</v>
      </c>
      <c r="C1288" s="125" t="s">
        <v>5610</v>
      </c>
      <c r="D1288" s="120">
        <v>3531</v>
      </c>
      <c r="E1288" s="60" t="str">
        <f>[1]!'3531.TW-PreClose'</f>
        <v>--</v>
      </c>
      <c r="F1288" s="141" t="str">
        <f>IFERROR(STOCKS!$E1288-STOCKS昨天!$E1288,"0")</f>
        <v>0</v>
      </c>
      <c r="G1288" s="63" t="str">
        <f t="shared" si="20"/>
        <v>0</v>
      </c>
    </row>
    <row r="1289" spans="1:7">
      <c r="A1289" s="120">
        <v>3615</v>
      </c>
      <c r="B1289" s="125" t="s">
        <v>4786</v>
      </c>
      <c r="C1289" s="125" t="s">
        <v>5610</v>
      </c>
      <c r="D1289" s="120">
        <v>3615</v>
      </c>
      <c r="E1289" s="60">
        <f>[1]!'3615.TW-PreClose'</f>
        <v>22.05</v>
      </c>
      <c r="F1289" s="141" t="str">
        <f>IFERROR(STOCKS!$E1289-STOCKS昨天!$E1289,"0")</f>
        <v>0</v>
      </c>
      <c r="G1289" s="63">
        <f t="shared" si="20"/>
        <v>0</v>
      </c>
    </row>
    <row r="1290" spans="1:7">
      <c r="A1290" s="120">
        <v>3623</v>
      </c>
      <c r="B1290" s="125" t="s">
        <v>4787</v>
      </c>
      <c r="C1290" s="125" t="s">
        <v>5610</v>
      </c>
      <c r="D1290" s="120">
        <v>3623</v>
      </c>
      <c r="E1290" s="60">
        <f>[1]!'3623.TW-PreClose'</f>
        <v>15.7</v>
      </c>
      <c r="F1290" s="141" t="str">
        <f>IFERROR(STOCKS!$E1290-STOCKS昨天!$E1290,"0")</f>
        <v>0</v>
      </c>
      <c r="G1290" s="63">
        <f t="shared" si="20"/>
        <v>0</v>
      </c>
    </row>
    <row r="1291" spans="1:7">
      <c r="A1291" s="120">
        <v>3630</v>
      </c>
      <c r="B1291" s="125" t="s">
        <v>4788</v>
      </c>
      <c r="C1291" s="125" t="s">
        <v>5610</v>
      </c>
      <c r="D1291" s="120">
        <v>3630</v>
      </c>
      <c r="E1291" s="60">
        <f>[1]!'3630.TW-PreClose'</f>
        <v>40.6</v>
      </c>
      <c r="F1291" s="141" t="str">
        <f>IFERROR(STOCKS!$E1291-STOCKS昨天!$E1291,"0")</f>
        <v>0</v>
      </c>
      <c r="G1291" s="63">
        <f t="shared" si="20"/>
        <v>0</v>
      </c>
    </row>
    <row r="1292" spans="1:7">
      <c r="A1292" s="120">
        <v>3666</v>
      </c>
      <c r="B1292" s="125" t="s">
        <v>39</v>
      </c>
      <c r="C1292" s="125" t="s">
        <v>5610</v>
      </c>
      <c r="D1292" s="120">
        <v>3666</v>
      </c>
      <c r="E1292" s="60">
        <f>[1]!'3666.TW-PreClose'</f>
        <v>32.549999999999997</v>
      </c>
      <c r="F1292" s="141" t="str">
        <f>IFERROR(STOCKS!$E1292-STOCKS昨天!$E1292,"0")</f>
        <v>0</v>
      </c>
      <c r="G1292" s="63">
        <f t="shared" si="20"/>
        <v>0</v>
      </c>
    </row>
    <row r="1293" spans="1:7">
      <c r="A1293" s="120">
        <v>3691</v>
      </c>
      <c r="B1293" s="125" t="s">
        <v>4790</v>
      </c>
      <c r="C1293" s="125" t="s">
        <v>5610</v>
      </c>
      <c r="D1293" s="120">
        <v>3691</v>
      </c>
      <c r="E1293" s="60">
        <f>[1]!'3691.TW-PreClose'</f>
        <v>184</v>
      </c>
      <c r="F1293" s="141">
        <f>IFERROR(STOCKS!$E1293-STOCKS昨天!$E1293,"0")</f>
        <v>2</v>
      </c>
      <c r="G1293" s="63">
        <f t="shared" si="20"/>
        <v>1.0869565217391304E-2</v>
      </c>
    </row>
    <row r="1294" spans="1:7">
      <c r="A1294" s="120">
        <v>3713</v>
      </c>
      <c r="B1294" s="125" t="s">
        <v>4791</v>
      </c>
      <c r="C1294" s="125" t="s">
        <v>5610</v>
      </c>
      <c r="D1294" s="120">
        <v>3713</v>
      </c>
      <c r="E1294" s="60" t="str">
        <f>[1]!'3713.TW-PreClose'</f>
        <v>--</v>
      </c>
      <c r="F1294" s="141" t="str">
        <f>IFERROR(STOCKS!$E1294-STOCKS昨天!$E1294,"0")</f>
        <v>0</v>
      </c>
      <c r="G1294" s="63" t="str">
        <f t="shared" si="20"/>
        <v>0</v>
      </c>
    </row>
    <row r="1295" spans="1:7">
      <c r="A1295" s="120">
        <v>4729</v>
      </c>
      <c r="B1295" s="125" t="s">
        <v>4792</v>
      </c>
      <c r="C1295" s="125" t="s">
        <v>5610</v>
      </c>
      <c r="D1295" s="120">
        <v>4729</v>
      </c>
      <c r="E1295" s="60" t="str">
        <f>[1]!'4729.TW-PreClose'</f>
        <v>--</v>
      </c>
      <c r="F1295" s="141" t="str">
        <f>IFERROR(STOCKS!$E1295-STOCKS昨天!$E1295,"0")</f>
        <v>0</v>
      </c>
      <c r="G1295" s="63" t="str">
        <f t="shared" si="20"/>
        <v>0</v>
      </c>
    </row>
    <row r="1296" spans="1:7">
      <c r="A1296" s="120">
        <v>4933</v>
      </c>
      <c r="B1296" s="125" t="s">
        <v>4793</v>
      </c>
      <c r="C1296" s="125" t="s">
        <v>5610</v>
      </c>
      <c r="D1296" s="120">
        <v>4933</v>
      </c>
      <c r="E1296" s="60">
        <f>[1]!'4933.TW-PreClose'</f>
        <v>34.799999999999997</v>
      </c>
      <c r="F1296" s="141" t="str">
        <f>IFERROR(STOCKS!$E1296-STOCKS昨天!$E1296,"0")</f>
        <v>0</v>
      </c>
      <c r="G1296" s="63">
        <f t="shared" si="20"/>
        <v>0</v>
      </c>
    </row>
    <row r="1297" spans="1:7">
      <c r="A1297" s="120">
        <v>4944</v>
      </c>
      <c r="B1297" s="125" t="s">
        <v>4794</v>
      </c>
      <c r="C1297" s="125" t="s">
        <v>5610</v>
      </c>
      <c r="D1297" s="120">
        <v>4944</v>
      </c>
      <c r="E1297" s="60">
        <f>[1]!'4944.TW-PreClose'</f>
        <v>19.600000000000001</v>
      </c>
      <c r="F1297" s="141" t="str">
        <f>IFERROR(STOCKS!$E1297-STOCKS昨天!$E1297,"0")</f>
        <v>0</v>
      </c>
      <c r="G1297" s="63">
        <f t="shared" si="20"/>
        <v>0</v>
      </c>
    </row>
    <row r="1298" spans="1:7">
      <c r="A1298" s="120">
        <v>4972</v>
      </c>
      <c r="B1298" s="125" t="s">
        <v>4795</v>
      </c>
      <c r="C1298" s="125" t="s">
        <v>5610</v>
      </c>
      <c r="D1298" s="120">
        <v>4972</v>
      </c>
      <c r="E1298" s="60">
        <f>[1]!'4972.TW-PreClose'</f>
        <v>31.45</v>
      </c>
      <c r="F1298" s="141" t="str">
        <f>IFERROR(STOCKS!$E1298-STOCKS昨天!$E1298,"0")</f>
        <v>0</v>
      </c>
      <c r="G1298" s="63">
        <f t="shared" si="20"/>
        <v>0</v>
      </c>
    </row>
    <row r="1299" spans="1:7">
      <c r="A1299" s="120">
        <v>4995</v>
      </c>
      <c r="B1299" s="125" t="s">
        <v>4796</v>
      </c>
      <c r="C1299" s="125" t="s">
        <v>5610</v>
      </c>
      <c r="D1299" s="120">
        <v>4995</v>
      </c>
      <c r="E1299" s="60" t="str">
        <f>[1]!'4995.TW-PreClose'</f>
        <v>--</v>
      </c>
      <c r="F1299" s="141" t="str">
        <f>IFERROR(STOCKS!$E1299-STOCKS昨天!$E1299,"0")</f>
        <v>0</v>
      </c>
      <c r="G1299" s="63" t="str">
        <f t="shared" si="20"/>
        <v>0</v>
      </c>
    </row>
    <row r="1300" spans="1:7">
      <c r="A1300" s="120">
        <v>5220</v>
      </c>
      <c r="B1300" s="125" t="s">
        <v>4797</v>
      </c>
      <c r="C1300" s="125" t="s">
        <v>5610</v>
      </c>
      <c r="D1300" s="120">
        <v>5220</v>
      </c>
      <c r="E1300" s="60" t="str">
        <f>[1]!'5220.TW-PreClose'</f>
        <v>--</v>
      </c>
      <c r="F1300" s="141" t="str">
        <f>IFERROR(STOCKS!$E1300-STOCKS昨天!$E1300,"0")</f>
        <v>0</v>
      </c>
      <c r="G1300" s="63" t="str">
        <f t="shared" si="20"/>
        <v>0</v>
      </c>
    </row>
    <row r="1301" spans="1:7">
      <c r="A1301" s="120">
        <v>5230</v>
      </c>
      <c r="B1301" s="125" t="s">
        <v>4798</v>
      </c>
      <c r="C1301" s="125" t="s">
        <v>5610</v>
      </c>
      <c r="D1301" s="120">
        <v>5230</v>
      </c>
      <c r="E1301" s="60">
        <f>[1]!'5230.TW-PreClose'</f>
        <v>35.35</v>
      </c>
      <c r="F1301" s="141" t="str">
        <f>IFERROR(STOCKS!$E1301-STOCKS昨天!$E1301,"0")</f>
        <v>0</v>
      </c>
      <c r="G1301" s="63">
        <f t="shared" si="20"/>
        <v>0</v>
      </c>
    </row>
    <row r="1302" spans="1:7">
      <c r="A1302" s="120">
        <v>5245</v>
      </c>
      <c r="B1302" s="125" t="s">
        <v>4799</v>
      </c>
      <c r="C1302" s="125" t="s">
        <v>5610</v>
      </c>
      <c r="D1302" s="120">
        <v>5245</v>
      </c>
      <c r="E1302" s="60">
        <f>[1]!'5245.TW-PreClose'</f>
        <v>51</v>
      </c>
      <c r="F1302" s="141" t="str">
        <f>IFERROR(STOCKS!$E1302-STOCKS昨天!$E1302,"0")</f>
        <v>0</v>
      </c>
      <c r="G1302" s="63">
        <f t="shared" si="20"/>
        <v>0</v>
      </c>
    </row>
    <row r="1303" spans="1:7">
      <c r="A1303" s="120">
        <v>5251</v>
      </c>
      <c r="B1303" s="125" t="s">
        <v>4800</v>
      </c>
      <c r="C1303" s="125" t="s">
        <v>5610</v>
      </c>
      <c r="D1303" s="120">
        <v>5251</v>
      </c>
      <c r="E1303" s="60">
        <f>[1]!'5251.TW-PreClose'</f>
        <v>14.05</v>
      </c>
      <c r="F1303" s="141" t="str">
        <f>IFERROR(STOCKS!$E1303-STOCKS昨天!$E1303,"0")</f>
        <v>0</v>
      </c>
      <c r="G1303" s="63">
        <f t="shared" si="20"/>
        <v>0</v>
      </c>
    </row>
    <row r="1304" spans="1:7">
      <c r="A1304" s="120">
        <v>5281</v>
      </c>
      <c r="B1304" s="125" t="s">
        <v>4801</v>
      </c>
      <c r="C1304" s="125" t="s">
        <v>5611</v>
      </c>
      <c r="D1304" s="120">
        <v>5281</v>
      </c>
      <c r="E1304" s="60">
        <f>[1]!'5281.TW-PreClose'</f>
        <v>20.2</v>
      </c>
      <c r="F1304" s="141" t="str">
        <f>IFERROR(STOCKS!$E1304-STOCKS昨天!$E1304,"0")</f>
        <v>0</v>
      </c>
      <c r="G1304" s="63">
        <f t="shared" si="20"/>
        <v>0</v>
      </c>
    </row>
    <row r="1305" spans="1:7">
      <c r="A1305" s="120">
        <v>5315</v>
      </c>
      <c r="B1305" s="125" t="s">
        <v>3666</v>
      </c>
      <c r="C1305" s="125" t="s">
        <v>5610</v>
      </c>
      <c r="D1305" s="120">
        <v>5315</v>
      </c>
      <c r="E1305" s="60" t="str">
        <f>[1]!'5315.TW-PreClose'</f>
        <v>--</v>
      </c>
      <c r="F1305" s="141" t="str">
        <f>IFERROR(STOCKS!$E1305-STOCKS昨天!$E1305,"0")</f>
        <v>0</v>
      </c>
      <c r="G1305" s="63" t="str">
        <f t="shared" si="20"/>
        <v>0</v>
      </c>
    </row>
    <row r="1306" spans="1:7">
      <c r="A1306" s="120">
        <v>5371</v>
      </c>
      <c r="B1306" s="125" t="s">
        <v>4802</v>
      </c>
      <c r="C1306" s="125" t="s">
        <v>5610</v>
      </c>
      <c r="D1306" s="120">
        <v>5371</v>
      </c>
      <c r="E1306" s="60">
        <f>[1]!'5371.TW-PreClose'</f>
        <v>82.4</v>
      </c>
      <c r="F1306" s="141" t="str">
        <f>IFERROR(STOCKS!$E1306-STOCKS昨天!$E1306,"0")</f>
        <v>0</v>
      </c>
      <c r="G1306" s="63">
        <f t="shared" si="20"/>
        <v>0</v>
      </c>
    </row>
    <row r="1307" spans="1:7">
      <c r="A1307" s="120">
        <v>5392</v>
      </c>
      <c r="B1307" s="125" t="s">
        <v>5510</v>
      </c>
      <c r="C1307" s="125" t="s">
        <v>5610</v>
      </c>
      <c r="D1307" s="120">
        <v>5392</v>
      </c>
      <c r="E1307" s="60">
        <f>[1]!'5392.TW-PreClose'</f>
        <v>25.1</v>
      </c>
      <c r="F1307" s="141" t="str">
        <f>IFERROR(STOCKS!$E1307-STOCKS昨天!$E1307,"0")</f>
        <v>0</v>
      </c>
      <c r="G1307" s="63">
        <f t="shared" si="20"/>
        <v>0</v>
      </c>
    </row>
    <row r="1308" spans="1:7">
      <c r="A1308" s="120">
        <v>5432</v>
      </c>
      <c r="B1308" s="125" t="s">
        <v>5511</v>
      </c>
      <c r="C1308" s="125" t="s">
        <v>5610</v>
      </c>
      <c r="D1308" s="120">
        <v>5432</v>
      </c>
      <c r="E1308" s="60" t="str">
        <f>[1]!'5432.TW-PreClose'</f>
        <v>--</v>
      </c>
      <c r="F1308" s="141" t="str">
        <f>IFERROR(STOCKS!$E1308-STOCKS昨天!$E1308,"0")</f>
        <v>0</v>
      </c>
      <c r="G1308" s="63" t="str">
        <f t="shared" si="20"/>
        <v>0</v>
      </c>
    </row>
    <row r="1309" spans="1:7">
      <c r="A1309" s="120">
        <v>5443</v>
      </c>
      <c r="B1309" s="125" t="s">
        <v>4803</v>
      </c>
      <c r="C1309" s="125" t="s">
        <v>5610</v>
      </c>
      <c r="D1309" s="120">
        <v>5443</v>
      </c>
      <c r="E1309" s="60" t="str">
        <f>[1]!'5443.TW-PreClose'</f>
        <v>--</v>
      </c>
      <c r="F1309" s="141" t="str">
        <f>IFERROR(STOCKS!$E1309-STOCKS昨天!$E1309,"0")</f>
        <v>0</v>
      </c>
      <c r="G1309" s="63" t="str">
        <f t="shared" si="20"/>
        <v>0</v>
      </c>
    </row>
    <row r="1310" spans="1:7">
      <c r="A1310" s="120">
        <v>6125</v>
      </c>
      <c r="B1310" s="125" t="s">
        <v>4804</v>
      </c>
      <c r="C1310" s="125" t="s">
        <v>5610</v>
      </c>
      <c r="D1310" s="120">
        <v>6125</v>
      </c>
      <c r="E1310" s="60" t="str">
        <f>[1]!'6125.TW-PreClose'</f>
        <v>--</v>
      </c>
      <c r="F1310" s="141" t="str">
        <f>IFERROR(STOCKS!$E1310-STOCKS昨天!$E1310,"0")</f>
        <v>0</v>
      </c>
      <c r="G1310" s="63" t="str">
        <f t="shared" si="20"/>
        <v>0</v>
      </c>
    </row>
    <row r="1311" spans="1:7">
      <c r="A1311" s="120">
        <v>6167</v>
      </c>
      <c r="B1311" s="125" t="s">
        <v>4805</v>
      </c>
      <c r="C1311" s="125" t="s">
        <v>5610</v>
      </c>
      <c r="D1311" s="120">
        <v>6167</v>
      </c>
      <c r="E1311" s="60" t="str">
        <f>[1]!'6167.TW-PreClose'</f>
        <v>--</v>
      </c>
      <c r="F1311" s="141" t="str">
        <f>IFERROR(STOCKS!$E1311-STOCKS昨天!$E1311,"0")</f>
        <v>0</v>
      </c>
      <c r="G1311" s="63" t="str">
        <f t="shared" si="20"/>
        <v>0</v>
      </c>
    </row>
    <row r="1312" spans="1:7">
      <c r="A1312" s="120">
        <v>6222</v>
      </c>
      <c r="B1312" s="125" t="s">
        <v>4806</v>
      </c>
      <c r="C1312" s="125" t="s">
        <v>5610</v>
      </c>
      <c r="D1312" s="120">
        <v>6222</v>
      </c>
      <c r="E1312" s="60">
        <f>[1]!'6222.TW-PreClose'</f>
        <v>14.75</v>
      </c>
      <c r="F1312" s="141" t="str">
        <f>IFERROR(STOCKS!$E1312-STOCKS昨天!$E1312,"0")</f>
        <v>0</v>
      </c>
      <c r="G1312" s="63">
        <f t="shared" si="20"/>
        <v>0</v>
      </c>
    </row>
    <row r="1313" spans="1:7">
      <c r="A1313" s="120">
        <v>6234</v>
      </c>
      <c r="B1313" s="125" t="s">
        <v>4807</v>
      </c>
      <c r="C1313" s="125" t="s">
        <v>5610</v>
      </c>
      <c r="D1313" s="120">
        <v>6234</v>
      </c>
      <c r="E1313" s="60">
        <f>[1]!'6234.TW-PreClose'</f>
        <v>20.7</v>
      </c>
      <c r="F1313" s="141" t="str">
        <f>IFERROR(STOCKS!$E1313-STOCKS昨天!$E1313,"0")</f>
        <v>0</v>
      </c>
      <c r="G1313" s="63">
        <f t="shared" si="20"/>
        <v>0</v>
      </c>
    </row>
    <row r="1314" spans="1:7">
      <c r="A1314" s="120">
        <v>6244</v>
      </c>
      <c r="B1314" s="125" t="s">
        <v>3659</v>
      </c>
      <c r="C1314" s="125" t="s">
        <v>5610</v>
      </c>
      <c r="D1314" s="120">
        <v>6244</v>
      </c>
      <c r="E1314" s="60">
        <f>[1]!'6244.TW-PreClose'</f>
        <v>34.35</v>
      </c>
      <c r="F1314" s="141">
        <f>IFERROR(STOCKS!$E1314-STOCKS昨天!$E1314,"0")</f>
        <v>-0.45000000000000284</v>
      </c>
      <c r="G1314" s="63">
        <f t="shared" si="20"/>
        <v>-1.310043668122279E-2</v>
      </c>
    </row>
    <row r="1315" spans="1:7">
      <c r="A1315" s="120">
        <v>6246</v>
      </c>
      <c r="B1315" s="125" t="s">
        <v>4808</v>
      </c>
      <c r="C1315" s="125" t="s">
        <v>5610</v>
      </c>
      <c r="D1315" s="120">
        <v>6246</v>
      </c>
      <c r="E1315" s="60">
        <f>[1]!'6246.TW-PreClose'</f>
        <v>17.899999999999999</v>
      </c>
      <c r="F1315" s="141" t="str">
        <f>IFERROR(STOCKS!$E1315-STOCKS昨天!$E1315,"0")</f>
        <v>0</v>
      </c>
      <c r="G1315" s="63">
        <f t="shared" si="20"/>
        <v>0</v>
      </c>
    </row>
    <row r="1316" spans="1:7">
      <c r="A1316" s="120">
        <v>6419</v>
      </c>
      <c r="B1316" s="125" t="s">
        <v>4809</v>
      </c>
      <c r="C1316" s="125" t="s">
        <v>5610</v>
      </c>
      <c r="D1316" s="120">
        <v>6419</v>
      </c>
      <c r="E1316" s="60">
        <f>[1]!'6419.TW-PreClose'</f>
        <v>43.4</v>
      </c>
      <c r="F1316" s="141" t="str">
        <f>IFERROR(STOCKS!$E1316-STOCKS昨天!$E1316,"0")</f>
        <v>0</v>
      </c>
      <c r="G1316" s="63">
        <f t="shared" si="20"/>
        <v>0</v>
      </c>
    </row>
    <row r="1317" spans="1:7">
      <c r="A1317" s="120">
        <v>6556</v>
      </c>
      <c r="B1317" s="125" t="s">
        <v>4810</v>
      </c>
      <c r="C1317" s="125" t="s">
        <v>5610</v>
      </c>
      <c r="D1317" s="120">
        <v>6556</v>
      </c>
      <c r="E1317" s="60">
        <f>[1]!'6556.TW-PreClose'</f>
        <v>48.05</v>
      </c>
      <c r="F1317" s="141" t="str">
        <f>IFERROR(STOCKS!$E1317-STOCKS昨天!$E1317,"0")</f>
        <v>0</v>
      </c>
      <c r="G1317" s="63">
        <f t="shared" si="20"/>
        <v>0</v>
      </c>
    </row>
    <row r="1318" spans="1:7">
      <c r="A1318" s="120">
        <v>6560</v>
      </c>
      <c r="B1318" s="125" t="s">
        <v>4811</v>
      </c>
      <c r="C1318" s="125" t="s">
        <v>5610</v>
      </c>
      <c r="D1318" s="120">
        <v>6560</v>
      </c>
      <c r="E1318" s="60">
        <f>[1]!'6560.TW-PreClose'</f>
        <v>85.2</v>
      </c>
      <c r="F1318" s="141" t="str">
        <f>IFERROR(STOCKS!$E1318-STOCKS昨天!$E1318,"0")</f>
        <v>0</v>
      </c>
      <c r="G1318" s="63">
        <f t="shared" si="20"/>
        <v>0</v>
      </c>
    </row>
    <row r="1319" spans="1:7">
      <c r="A1319" s="120">
        <v>7402</v>
      </c>
      <c r="B1319" s="125" t="s">
        <v>4812</v>
      </c>
      <c r="C1319" s="125" t="s">
        <v>5610</v>
      </c>
      <c r="D1319" s="120">
        <v>7402</v>
      </c>
      <c r="E1319" s="60">
        <f>[1]!'7402.TW-PreClose'</f>
        <v>48.25</v>
      </c>
      <c r="F1319" s="141" t="str">
        <f>IFERROR(STOCKS!$E1319-STOCKS昨天!$E1319,"0")</f>
        <v>0</v>
      </c>
      <c r="G1319" s="63">
        <f t="shared" si="20"/>
        <v>0</v>
      </c>
    </row>
    <row r="1320" spans="1:7">
      <c r="A1320" s="120">
        <v>8049</v>
      </c>
      <c r="B1320" s="125" t="s">
        <v>4813</v>
      </c>
      <c r="C1320" s="125" t="s">
        <v>5610</v>
      </c>
      <c r="D1320" s="120">
        <v>8049</v>
      </c>
      <c r="E1320" s="60">
        <f>[1]!'8049.TW-PreClose'</f>
        <v>25</v>
      </c>
      <c r="F1320" s="141" t="str">
        <f>IFERROR(STOCKS!$E1320-STOCKS昨天!$E1320,"0")</f>
        <v>0</v>
      </c>
      <c r="G1320" s="63">
        <f t="shared" si="20"/>
        <v>0</v>
      </c>
    </row>
    <row r="1321" spans="1:7">
      <c r="A1321" s="120">
        <v>8064</v>
      </c>
      <c r="B1321" s="125" t="s">
        <v>4814</v>
      </c>
      <c r="C1321" s="125" t="s">
        <v>5610</v>
      </c>
      <c r="D1321" s="120">
        <v>8064</v>
      </c>
      <c r="E1321" s="60">
        <f>[1]!'8064.TW-PreClose'</f>
        <v>22.4</v>
      </c>
      <c r="F1321" s="141">
        <f>IFERROR(STOCKS!$E1321-STOCKS昨天!$E1321,"0")</f>
        <v>1.25</v>
      </c>
      <c r="G1321" s="63">
        <f t="shared" si="20"/>
        <v>5.5803571428571432E-2</v>
      </c>
    </row>
    <row r="1322" spans="1:7">
      <c r="A1322" s="120">
        <v>8069</v>
      </c>
      <c r="B1322" s="125" t="s">
        <v>3688</v>
      </c>
      <c r="C1322" s="125" t="s">
        <v>5610</v>
      </c>
      <c r="D1322" s="120">
        <v>8069</v>
      </c>
      <c r="E1322" s="60">
        <f>[1]!'8069.TW-PreClose'</f>
        <v>122</v>
      </c>
      <c r="F1322" s="141">
        <f>IFERROR(STOCKS!$E1322-STOCKS昨天!$E1322,"0")</f>
        <v>5</v>
      </c>
      <c r="G1322" s="63">
        <f t="shared" si="20"/>
        <v>4.0983606557377046E-2</v>
      </c>
    </row>
    <row r="1323" spans="1:7">
      <c r="A1323" s="120">
        <v>8087</v>
      </c>
      <c r="B1323" s="125" t="s">
        <v>4815</v>
      </c>
      <c r="C1323" s="125" t="s">
        <v>5610</v>
      </c>
      <c r="D1323" s="120">
        <v>8087</v>
      </c>
      <c r="E1323" s="60" t="str">
        <f>[1]!'8087.TW-PreClose'</f>
        <v>--</v>
      </c>
      <c r="F1323" s="141" t="str">
        <f>IFERROR(STOCKS!$E1323-STOCKS昨天!$E1323,"0")</f>
        <v>0</v>
      </c>
      <c r="G1323" s="63" t="str">
        <f t="shared" si="20"/>
        <v>0</v>
      </c>
    </row>
    <row r="1324" spans="1:7">
      <c r="A1324" s="120">
        <v>8111</v>
      </c>
      <c r="B1324" s="125" t="s">
        <v>4816</v>
      </c>
      <c r="C1324" s="125" t="s">
        <v>5610</v>
      </c>
      <c r="D1324" s="120">
        <v>8111</v>
      </c>
      <c r="E1324" s="60" t="str">
        <f>[1]!'8111.TW-PreClose'</f>
        <v>--</v>
      </c>
      <c r="F1324" s="141" t="str">
        <f>IFERROR(STOCKS!$E1324-STOCKS昨天!$E1324,"0")</f>
        <v>0</v>
      </c>
      <c r="G1324" s="63" t="str">
        <f t="shared" si="20"/>
        <v>0</v>
      </c>
    </row>
    <row r="1325" spans="1:7">
      <c r="A1325" s="120">
        <v>8240</v>
      </c>
      <c r="B1325" s="125" t="s">
        <v>4817</v>
      </c>
      <c r="C1325" s="125" t="s">
        <v>5610</v>
      </c>
      <c r="D1325" s="120">
        <v>8240</v>
      </c>
      <c r="E1325" s="60">
        <f>[1]!'8240.TW-PreClose'</f>
        <v>31.45</v>
      </c>
      <c r="F1325" s="141" t="str">
        <f>IFERROR(STOCKS!$E1325-STOCKS昨天!$E1325,"0")</f>
        <v>0</v>
      </c>
      <c r="G1325" s="63">
        <f t="shared" si="20"/>
        <v>0</v>
      </c>
    </row>
    <row r="1326" spans="1:7">
      <c r="A1326" s="120">
        <v>3081</v>
      </c>
      <c r="B1326" s="125" t="s">
        <v>4818</v>
      </c>
      <c r="C1326" s="125" t="s">
        <v>5612</v>
      </c>
      <c r="D1326" s="120">
        <v>3081</v>
      </c>
      <c r="E1326" s="60">
        <f>[1]!'3081.TW-PreClose'</f>
        <v>191</v>
      </c>
      <c r="F1326" s="141" t="str">
        <f>IFERROR(STOCKS!$E1326-STOCKS昨天!$E1326,"0")</f>
        <v>0</v>
      </c>
      <c r="G1326" s="63">
        <f t="shared" si="20"/>
        <v>0</v>
      </c>
    </row>
    <row r="1327" spans="1:7">
      <c r="A1327" s="120">
        <v>3095</v>
      </c>
      <c r="B1327" s="125" t="s">
        <v>4819</v>
      </c>
      <c r="C1327" s="125" t="s">
        <v>5612</v>
      </c>
      <c r="D1327" s="120">
        <v>3095</v>
      </c>
      <c r="E1327" s="60">
        <f>[1]!'3095.TW-PreClose'</f>
        <v>3</v>
      </c>
      <c r="F1327" s="141" t="str">
        <f>IFERROR(STOCKS!$E1327-STOCKS昨天!$E1327,"0")</f>
        <v>0</v>
      </c>
      <c r="G1327" s="63">
        <f t="shared" si="20"/>
        <v>0</v>
      </c>
    </row>
    <row r="1328" spans="1:7">
      <c r="A1328" s="120">
        <v>3152</v>
      </c>
      <c r="B1328" s="125" t="s">
        <v>3610</v>
      </c>
      <c r="C1328" s="125" t="s">
        <v>5612</v>
      </c>
      <c r="D1328" s="120">
        <v>3152</v>
      </c>
      <c r="E1328" s="60">
        <f>[1]!'3152.TW-PreClose'</f>
        <v>384.5</v>
      </c>
      <c r="F1328" s="141" t="str">
        <f>IFERROR(STOCKS!$E1328-STOCKS昨天!$E1328,"0")</f>
        <v>0</v>
      </c>
      <c r="G1328" s="63">
        <f t="shared" si="20"/>
        <v>0</v>
      </c>
    </row>
    <row r="1329" spans="1:7">
      <c r="A1329" s="120">
        <v>3163</v>
      </c>
      <c r="B1329" s="125" t="s">
        <v>4820</v>
      </c>
      <c r="C1329" s="125" t="s">
        <v>5612</v>
      </c>
      <c r="D1329" s="120">
        <v>3163</v>
      </c>
      <c r="E1329" s="60">
        <f>[1]!'3163.TW-PreClose'</f>
        <v>41.4</v>
      </c>
      <c r="F1329" s="141" t="str">
        <f>IFERROR(STOCKS!$E1329-STOCKS昨天!$E1329,"0")</f>
        <v>0</v>
      </c>
      <c r="G1329" s="63">
        <f t="shared" si="20"/>
        <v>0</v>
      </c>
    </row>
    <row r="1330" spans="1:7">
      <c r="A1330" s="120">
        <v>3221</v>
      </c>
      <c r="B1330" s="125" t="s">
        <v>4821</v>
      </c>
      <c r="C1330" s="125" t="s">
        <v>5612</v>
      </c>
      <c r="D1330" s="120">
        <v>3221</v>
      </c>
      <c r="E1330" s="60">
        <f>[1]!'3221.TW-PreClose'</f>
        <v>39.200000000000003</v>
      </c>
      <c r="F1330" s="141" t="str">
        <f>IFERROR(STOCKS!$E1330-STOCKS昨天!$E1330,"0")</f>
        <v>0</v>
      </c>
      <c r="G1330" s="63">
        <f t="shared" si="20"/>
        <v>0</v>
      </c>
    </row>
    <row r="1331" spans="1:7">
      <c r="A1331" s="120">
        <v>3234</v>
      </c>
      <c r="B1331" s="125" t="s">
        <v>4822</v>
      </c>
      <c r="C1331" s="125" t="s">
        <v>5612</v>
      </c>
      <c r="D1331" s="120">
        <v>3234</v>
      </c>
      <c r="E1331" s="60">
        <f>[1]!'3234.TW-PreClose'</f>
        <v>28.65</v>
      </c>
      <c r="F1331" s="141" t="str">
        <f>IFERROR(STOCKS!$E1331-STOCKS昨天!$E1331,"0")</f>
        <v>0</v>
      </c>
      <c r="G1331" s="63">
        <f t="shared" si="20"/>
        <v>0</v>
      </c>
    </row>
    <row r="1332" spans="1:7">
      <c r="A1332" s="120">
        <v>3306</v>
      </c>
      <c r="B1332" s="125" t="s">
        <v>4823</v>
      </c>
      <c r="C1332" s="125" t="s">
        <v>5612</v>
      </c>
      <c r="D1332" s="120">
        <v>3306</v>
      </c>
      <c r="E1332" s="60">
        <f>[1]!'3306.TW-PreClose'</f>
        <v>27.9</v>
      </c>
      <c r="F1332" s="141" t="str">
        <f>IFERROR(STOCKS!$E1332-STOCKS昨天!$E1332,"0")</f>
        <v>0</v>
      </c>
      <c r="G1332" s="63">
        <f t="shared" si="20"/>
        <v>0</v>
      </c>
    </row>
    <row r="1333" spans="1:7">
      <c r="A1333" s="120">
        <v>3363</v>
      </c>
      <c r="B1333" s="125" t="s">
        <v>4824</v>
      </c>
      <c r="C1333" s="125" t="s">
        <v>5612</v>
      </c>
      <c r="D1333" s="120">
        <v>3363</v>
      </c>
      <c r="E1333" s="60">
        <f>[1]!'3363.TW-PreClose'</f>
        <v>34.450000000000003</v>
      </c>
      <c r="F1333" s="141" t="str">
        <f>IFERROR(STOCKS!$E1333-STOCKS昨天!$E1333,"0")</f>
        <v>0</v>
      </c>
      <c r="G1333" s="63">
        <f t="shared" si="20"/>
        <v>0</v>
      </c>
    </row>
    <row r="1334" spans="1:7">
      <c r="A1334" s="120">
        <v>3466</v>
      </c>
      <c r="B1334" s="125" t="s">
        <v>4825</v>
      </c>
      <c r="C1334" s="125" t="s">
        <v>5612</v>
      </c>
      <c r="D1334" s="120">
        <v>3466</v>
      </c>
      <c r="E1334" s="60">
        <f>[1]!'3466.TW-PreClose'</f>
        <v>16.95</v>
      </c>
      <c r="F1334" s="141" t="str">
        <f>IFERROR(STOCKS!$E1334-STOCKS昨天!$E1334,"0")</f>
        <v>0</v>
      </c>
      <c r="G1334" s="63">
        <f t="shared" si="20"/>
        <v>0</v>
      </c>
    </row>
    <row r="1335" spans="1:7">
      <c r="A1335" s="120">
        <v>3491</v>
      </c>
      <c r="B1335" s="125" t="s">
        <v>4826</v>
      </c>
      <c r="C1335" s="125" t="s">
        <v>5612</v>
      </c>
      <c r="D1335" s="120">
        <v>3491</v>
      </c>
      <c r="E1335" s="60" t="str">
        <f>[1]!'3491.TW-PreClose'</f>
        <v>--</v>
      </c>
      <c r="F1335" s="141" t="str">
        <f>IFERROR(STOCKS!$E1335-STOCKS昨天!$E1335,"0")</f>
        <v>0</v>
      </c>
      <c r="G1335" s="63" t="str">
        <f t="shared" si="20"/>
        <v>0</v>
      </c>
    </row>
    <row r="1336" spans="1:7">
      <c r="A1336" s="120">
        <v>3499</v>
      </c>
      <c r="B1336" s="125" t="s">
        <v>4827</v>
      </c>
      <c r="C1336" s="125" t="s">
        <v>5612</v>
      </c>
      <c r="D1336" s="120">
        <v>3499</v>
      </c>
      <c r="E1336" s="60">
        <f>[1]!'3499.TW-PreClose'</f>
        <v>15.5</v>
      </c>
      <c r="F1336" s="141" t="str">
        <f>IFERROR(STOCKS!$E1336-STOCKS昨天!$E1336,"0")</f>
        <v>0</v>
      </c>
      <c r="G1336" s="63">
        <f t="shared" si="20"/>
        <v>0</v>
      </c>
    </row>
    <row r="1337" spans="1:7">
      <c r="A1337" s="120">
        <v>3558</v>
      </c>
      <c r="B1337" s="125" t="s">
        <v>4828</v>
      </c>
      <c r="C1337" s="125" t="s">
        <v>5612</v>
      </c>
      <c r="D1337" s="120">
        <v>3558</v>
      </c>
      <c r="E1337" s="60">
        <f>[1]!'3558.TW-PreClose'</f>
        <v>97.1</v>
      </c>
      <c r="F1337" s="141" t="str">
        <f>IFERROR(STOCKS!$E1337-STOCKS昨天!$E1337,"0")</f>
        <v>0</v>
      </c>
      <c r="G1337" s="63">
        <f t="shared" si="20"/>
        <v>0</v>
      </c>
    </row>
    <row r="1338" spans="1:7">
      <c r="A1338" s="120">
        <v>3564</v>
      </c>
      <c r="B1338" s="125" t="s">
        <v>4829</v>
      </c>
      <c r="C1338" s="125" t="s">
        <v>5612</v>
      </c>
      <c r="D1338" s="120">
        <v>3564</v>
      </c>
      <c r="E1338" s="60">
        <f>[1]!'3564.TW-PreClose'</f>
        <v>26.85</v>
      </c>
      <c r="F1338" s="141" t="str">
        <f>IFERROR(STOCKS!$E1338-STOCKS昨天!$E1338,"0")</f>
        <v>0</v>
      </c>
      <c r="G1338" s="63">
        <f t="shared" si="20"/>
        <v>0</v>
      </c>
    </row>
    <row r="1339" spans="1:7">
      <c r="A1339" s="120">
        <v>3632</v>
      </c>
      <c r="B1339" s="125" t="s">
        <v>4830</v>
      </c>
      <c r="C1339" s="125" t="s">
        <v>5612</v>
      </c>
      <c r="D1339" s="120">
        <v>3632</v>
      </c>
      <c r="E1339" s="60" t="str">
        <f>[1]!'3632.TW-PreClose'</f>
        <v>--</v>
      </c>
      <c r="F1339" s="141" t="str">
        <f>IFERROR(STOCKS!$E1339-STOCKS昨天!$E1339,"0")</f>
        <v>0</v>
      </c>
      <c r="G1339" s="63" t="str">
        <f t="shared" si="20"/>
        <v>0</v>
      </c>
    </row>
    <row r="1340" spans="1:7">
      <c r="A1340" s="120">
        <v>3664</v>
      </c>
      <c r="B1340" s="125" t="s">
        <v>4831</v>
      </c>
      <c r="C1340" s="125" t="s">
        <v>5613</v>
      </c>
      <c r="D1340" s="120">
        <v>3664</v>
      </c>
      <c r="E1340" s="60">
        <f>[1]!'3664.TW-PreClose'</f>
        <v>9.27</v>
      </c>
      <c r="F1340" s="141" t="str">
        <f>IFERROR(STOCKS!$E1340-STOCKS昨天!$E1340,"0")</f>
        <v>0</v>
      </c>
      <c r="G1340" s="63">
        <f t="shared" si="20"/>
        <v>0</v>
      </c>
    </row>
    <row r="1341" spans="1:7">
      <c r="A1341" s="120">
        <v>3672</v>
      </c>
      <c r="B1341" s="125" t="s">
        <v>4832</v>
      </c>
      <c r="C1341" s="125" t="s">
        <v>5612</v>
      </c>
      <c r="D1341" s="120">
        <v>3672</v>
      </c>
      <c r="E1341" s="60">
        <f>[1]!'3672.TW-PreClose'</f>
        <v>30.4</v>
      </c>
      <c r="F1341" s="141">
        <f>IFERROR(STOCKS!$E1341-STOCKS昨天!$E1341,"0")</f>
        <v>-0.5</v>
      </c>
      <c r="G1341" s="63">
        <f t="shared" si="20"/>
        <v>-1.6447368421052631E-2</v>
      </c>
    </row>
    <row r="1342" spans="1:7">
      <c r="A1342" s="120">
        <v>3684</v>
      </c>
      <c r="B1342" s="125" t="s">
        <v>4833</v>
      </c>
      <c r="C1342" s="125" t="s">
        <v>5612</v>
      </c>
      <c r="D1342" s="120">
        <v>3684</v>
      </c>
      <c r="E1342" s="60" t="str">
        <f>[1]!'3684.TW-PreClose'</f>
        <v>--</v>
      </c>
      <c r="F1342" s="141" t="str">
        <f>IFERROR(STOCKS!$E1342-STOCKS昨天!$E1342,"0")</f>
        <v>0</v>
      </c>
      <c r="G1342" s="63" t="str">
        <f t="shared" si="20"/>
        <v>0</v>
      </c>
    </row>
    <row r="1343" spans="1:7">
      <c r="A1343" s="120">
        <v>4903</v>
      </c>
      <c r="B1343" s="125" t="s">
        <v>4834</v>
      </c>
      <c r="C1343" s="125" t="s">
        <v>5612</v>
      </c>
      <c r="D1343" s="120">
        <v>4903</v>
      </c>
      <c r="E1343" s="60">
        <f>[1]!'4903.TW-PreClose'</f>
        <v>11.8</v>
      </c>
      <c r="F1343" s="141" t="str">
        <f>IFERROR(STOCKS!$E1343-STOCKS昨天!$E1343,"0")</f>
        <v>0</v>
      </c>
      <c r="G1343" s="63">
        <f t="shared" si="20"/>
        <v>0</v>
      </c>
    </row>
    <row r="1344" spans="1:7">
      <c r="A1344" s="120">
        <v>4905</v>
      </c>
      <c r="B1344" s="125" t="s">
        <v>4835</v>
      </c>
      <c r="C1344" s="125" t="s">
        <v>5612</v>
      </c>
      <c r="D1344" s="120">
        <v>4905</v>
      </c>
      <c r="E1344" s="60">
        <f>[1]!'4905.TW-PreClose'</f>
        <v>50.8</v>
      </c>
      <c r="F1344" s="141" t="str">
        <f>IFERROR(STOCKS!$E1344-STOCKS昨天!$E1344,"0")</f>
        <v>0</v>
      </c>
      <c r="G1344" s="63">
        <f t="shared" si="20"/>
        <v>0</v>
      </c>
    </row>
    <row r="1345" spans="1:7">
      <c r="A1345" s="120">
        <v>4908</v>
      </c>
      <c r="B1345" s="125" t="s">
        <v>4836</v>
      </c>
      <c r="C1345" s="125" t="s">
        <v>5612</v>
      </c>
      <c r="D1345" s="120">
        <v>4908</v>
      </c>
      <c r="E1345" s="60">
        <f>[1]!'4908.TW-PreClose'</f>
        <v>32.35</v>
      </c>
      <c r="F1345" s="141" t="str">
        <f>IFERROR(STOCKS!$E1345-STOCKS昨天!$E1345,"0")</f>
        <v>0</v>
      </c>
      <c r="G1345" s="63">
        <f t="shared" si="20"/>
        <v>0</v>
      </c>
    </row>
    <row r="1346" spans="1:7">
      <c r="A1346" s="120">
        <v>4909</v>
      </c>
      <c r="B1346" s="125" t="s">
        <v>4837</v>
      </c>
      <c r="C1346" s="125" t="s">
        <v>5612</v>
      </c>
      <c r="D1346" s="120">
        <v>4909</v>
      </c>
      <c r="E1346" s="60">
        <f>[1]!'4909.TW-PreClose'</f>
        <v>22.7</v>
      </c>
      <c r="F1346" s="141" t="str">
        <f>IFERROR(STOCKS!$E1346-STOCKS昨天!$E1346,"0")</f>
        <v>0</v>
      </c>
      <c r="G1346" s="63">
        <f t="shared" si="20"/>
        <v>0</v>
      </c>
    </row>
    <row r="1347" spans="1:7">
      <c r="A1347" s="120">
        <v>4979</v>
      </c>
      <c r="B1347" s="125" t="s">
        <v>4838</v>
      </c>
      <c r="C1347" s="125" t="s">
        <v>5612</v>
      </c>
      <c r="D1347" s="120">
        <v>4979</v>
      </c>
      <c r="E1347" s="60" t="str">
        <f>[1]!'4979.TW-PreClose'</f>
        <v>--</v>
      </c>
      <c r="F1347" s="141" t="str">
        <f>IFERROR(STOCKS!$E1347-STOCKS昨天!$E1347,"0")</f>
        <v>0</v>
      </c>
      <c r="G1347" s="63" t="str">
        <f t="shared" ref="G1347:G1410" si="21">IFERROR($F1347/$E1347,"0")</f>
        <v>0</v>
      </c>
    </row>
    <row r="1348" spans="1:7">
      <c r="A1348" s="120">
        <v>5348</v>
      </c>
      <c r="B1348" s="125" t="s">
        <v>4839</v>
      </c>
      <c r="C1348" s="125" t="s">
        <v>5612</v>
      </c>
      <c r="D1348" s="120">
        <v>5348</v>
      </c>
      <c r="E1348" s="60">
        <f>[1]!'5348.TW-PreClose'</f>
        <v>8.4499999999999993</v>
      </c>
      <c r="F1348" s="141" t="str">
        <f>IFERROR(STOCKS!$E1348-STOCKS昨天!$E1348,"0")</f>
        <v>0</v>
      </c>
      <c r="G1348" s="63">
        <f t="shared" si="21"/>
        <v>0</v>
      </c>
    </row>
    <row r="1349" spans="1:7">
      <c r="A1349" s="120">
        <v>5353</v>
      </c>
      <c r="B1349" s="125" t="s">
        <v>4840</v>
      </c>
      <c r="C1349" s="125" t="s">
        <v>5612</v>
      </c>
      <c r="D1349" s="120">
        <v>5353</v>
      </c>
      <c r="E1349" s="60">
        <f>[1]!'5353.TW-PreClose'</f>
        <v>20.45</v>
      </c>
      <c r="F1349" s="141" t="str">
        <f>IFERROR(STOCKS!$E1349-STOCKS昨天!$E1349,"0")</f>
        <v>0</v>
      </c>
      <c r="G1349" s="63">
        <f t="shared" si="21"/>
        <v>0</v>
      </c>
    </row>
    <row r="1350" spans="1:7">
      <c r="A1350" s="120">
        <v>6109</v>
      </c>
      <c r="B1350" s="125" t="s">
        <v>4841</v>
      </c>
      <c r="C1350" s="125" t="s">
        <v>5612</v>
      </c>
      <c r="D1350" s="120">
        <v>6109</v>
      </c>
      <c r="E1350" s="60" t="str">
        <f>[1]!'6109.TW-PreClose'</f>
        <v>--</v>
      </c>
      <c r="F1350" s="141" t="str">
        <f>IFERROR(STOCKS!$E1350-STOCKS昨天!$E1350,"0")</f>
        <v>0</v>
      </c>
      <c r="G1350" s="63" t="str">
        <f t="shared" si="21"/>
        <v>0</v>
      </c>
    </row>
    <row r="1351" spans="1:7">
      <c r="A1351" s="120">
        <v>6143</v>
      </c>
      <c r="B1351" s="125" t="s">
        <v>4842</v>
      </c>
      <c r="C1351" s="125" t="s">
        <v>5612</v>
      </c>
      <c r="D1351" s="120">
        <v>6143</v>
      </c>
      <c r="E1351" s="60" t="str">
        <f>[1]!'6143.TW-PreClose'</f>
        <v>--</v>
      </c>
      <c r="F1351" s="141" t="str">
        <f>IFERROR(STOCKS!$E1351-STOCKS昨天!$E1351,"0")</f>
        <v>0</v>
      </c>
      <c r="G1351" s="63" t="str">
        <f t="shared" si="21"/>
        <v>0</v>
      </c>
    </row>
    <row r="1352" spans="1:7">
      <c r="A1352" s="120">
        <v>6163</v>
      </c>
      <c r="B1352" s="125" t="s">
        <v>4843</v>
      </c>
      <c r="C1352" s="125" t="s">
        <v>5612</v>
      </c>
      <c r="D1352" s="120">
        <v>6163</v>
      </c>
      <c r="E1352" s="60">
        <f>[1]!'6163.TW-PreClose'</f>
        <v>20.5</v>
      </c>
      <c r="F1352" s="141" t="str">
        <f>IFERROR(STOCKS!$E1352-STOCKS昨天!$E1352,"0")</f>
        <v>0</v>
      </c>
      <c r="G1352" s="63">
        <f t="shared" si="21"/>
        <v>0</v>
      </c>
    </row>
    <row r="1353" spans="1:7">
      <c r="A1353" s="120">
        <v>6170</v>
      </c>
      <c r="B1353" s="125" t="s">
        <v>4844</v>
      </c>
      <c r="C1353" s="125" t="s">
        <v>5612</v>
      </c>
      <c r="D1353" s="120">
        <v>6170</v>
      </c>
      <c r="E1353" s="60">
        <f>[1]!'6170.TW-PreClose'</f>
        <v>45.55</v>
      </c>
      <c r="F1353" s="141" t="str">
        <f>IFERROR(STOCKS!$E1353-STOCKS昨天!$E1353,"0")</f>
        <v>0</v>
      </c>
      <c r="G1353" s="63">
        <f t="shared" si="21"/>
        <v>0</v>
      </c>
    </row>
    <row r="1354" spans="1:7">
      <c r="A1354" s="120">
        <v>6190</v>
      </c>
      <c r="B1354" s="125" t="s">
        <v>4845</v>
      </c>
      <c r="C1354" s="125" t="s">
        <v>5612</v>
      </c>
      <c r="D1354" s="120">
        <v>6190</v>
      </c>
      <c r="E1354" s="60" t="str">
        <f>[1]!'6190.TW-PreClose'</f>
        <v>--</v>
      </c>
      <c r="F1354" s="141" t="str">
        <f>IFERROR(STOCKS!$E1354-STOCKS昨天!$E1354,"0")</f>
        <v>0</v>
      </c>
      <c r="G1354" s="63" t="str">
        <f t="shared" si="21"/>
        <v>0</v>
      </c>
    </row>
    <row r="1355" spans="1:7">
      <c r="A1355" s="120">
        <v>6218</v>
      </c>
      <c r="B1355" s="125" t="s">
        <v>4846</v>
      </c>
      <c r="C1355" s="125" t="s">
        <v>5612</v>
      </c>
      <c r="D1355" s="120">
        <v>6218</v>
      </c>
      <c r="E1355" s="60" t="str">
        <f>[1]!'6218.TW-PreClose'</f>
        <v>--</v>
      </c>
      <c r="F1355" s="141" t="str">
        <f>IFERROR(STOCKS!$E1355-STOCKS昨天!$E1355,"0")</f>
        <v>0</v>
      </c>
      <c r="G1355" s="63" t="str">
        <f t="shared" si="21"/>
        <v>0</v>
      </c>
    </row>
    <row r="1356" spans="1:7">
      <c r="A1356" s="120">
        <v>6241</v>
      </c>
      <c r="B1356" s="125" t="s">
        <v>4847</v>
      </c>
      <c r="C1356" s="125" t="s">
        <v>5612</v>
      </c>
      <c r="D1356" s="120">
        <v>6241</v>
      </c>
      <c r="E1356" s="60">
        <f>[1]!'6241.TW-PreClose'</f>
        <v>22.9</v>
      </c>
      <c r="F1356" s="141" t="str">
        <f>IFERROR(STOCKS!$E1356-STOCKS昨天!$E1356,"0")</f>
        <v>0</v>
      </c>
      <c r="G1356" s="63">
        <f t="shared" si="21"/>
        <v>0</v>
      </c>
    </row>
    <row r="1357" spans="1:7">
      <c r="A1357" s="120">
        <v>6245</v>
      </c>
      <c r="B1357" s="125" t="s">
        <v>4848</v>
      </c>
      <c r="C1357" s="125" t="s">
        <v>5612</v>
      </c>
      <c r="D1357" s="120">
        <v>6245</v>
      </c>
      <c r="E1357" s="60">
        <f>[1]!'6245.TW-PreClose'</f>
        <v>50.9</v>
      </c>
      <c r="F1357" s="141" t="str">
        <f>IFERROR(STOCKS!$E1357-STOCKS昨天!$E1357,"0")</f>
        <v>0</v>
      </c>
      <c r="G1357" s="63">
        <f t="shared" si="21"/>
        <v>0</v>
      </c>
    </row>
    <row r="1358" spans="1:7">
      <c r="A1358" s="120">
        <v>6263</v>
      </c>
      <c r="B1358" s="125" t="s">
        <v>4849</v>
      </c>
      <c r="C1358" s="125" t="s">
        <v>5612</v>
      </c>
      <c r="D1358" s="120">
        <v>6263</v>
      </c>
      <c r="E1358" s="60">
        <f>[1]!'6263.TW-PreClose'</f>
        <v>68</v>
      </c>
      <c r="F1358" s="141" t="str">
        <f>IFERROR(STOCKS!$E1358-STOCKS昨天!$E1358,"0")</f>
        <v>0</v>
      </c>
      <c r="G1358" s="63">
        <f t="shared" si="21"/>
        <v>0</v>
      </c>
    </row>
    <row r="1359" spans="1:7">
      <c r="A1359" s="120">
        <v>6417</v>
      </c>
      <c r="B1359" s="125" t="s">
        <v>4850</v>
      </c>
      <c r="C1359" s="125" t="s">
        <v>5612</v>
      </c>
      <c r="D1359" s="120">
        <v>6417</v>
      </c>
      <c r="E1359" s="60">
        <f>[1]!'6417.TW-PreClose'</f>
        <v>79.3</v>
      </c>
      <c r="F1359" s="141" t="str">
        <f>IFERROR(STOCKS!$E1359-STOCKS昨天!$E1359,"0")</f>
        <v>0</v>
      </c>
      <c r="G1359" s="63">
        <f t="shared" si="21"/>
        <v>0</v>
      </c>
    </row>
    <row r="1360" spans="1:7">
      <c r="A1360" s="120">
        <v>6465</v>
      </c>
      <c r="B1360" s="125" t="s">
        <v>4851</v>
      </c>
      <c r="C1360" s="125" t="s">
        <v>5612</v>
      </c>
      <c r="D1360" s="120">
        <v>6465</v>
      </c>
      <c r="E1360" s="60">
        <f>[1]!'6465.TW-PreClose'</f>
        <v>22.5</v>
      </c>
      <c r="F1360" s="141" t="str">
        <f>IFERROR(STOCKS!$E1360-STOCKS昨天!$E1360,"0")</f>
        <v>0</v>
      </c>
      <c r="G1360" s="63">
        <f t="shared" si="21"/>
        <v>0</v>
      </c>
    </row>
    <row r="1361" spans="1:7">
      <c r="A1361" s="120">
        <v>6470</v>
      </c>
      <c r="B1361" s="125" t="s">
        <v>4852</v>
      </c>
      <c r="C1361" s="125" t="s">
        <v>5612</v>
      </c>
      <c r="D1361" s="120">
        <v>6470</v>
      </c>
      <c r="E1361" s="60">
        <f>[1]!'6470.TW-PreClose'</f>
        <v>43.9</v>
      </c>
      <c r="F1361" s="141" t="str">
        <f>IFERROR(STOCKS!$E1361-STOCKS昨天!$E1361,"0")</f>
        <v>0</v>
      </c>
      <c r="G1361" s="63">
        <f t="shared" si="21"/>
        <v>0</v>
      </c>
    </row>
    <row r="1362" spans="1:7">
      <c r="A1362" s="120">
        <v>6486</v>
      </c>
      <c r="B1362" s="125" t="s">
        <v>4853</v>
      </c>
      <c r="C1362" s="125" t="s">
        <v>5612</v>
      </c>
      <c r="D1362" s="120">
        <v>6486</v>
      </c>
      <c r="E1362" s="60">
        <f>[1]!'6486.TW-PreClose'</f>
        <v>74.2</v>
      </c>
      <c r="F1362" s="141" t="str">
        <f>IFERROR(STOCKS!$E1362-STOCKS昨天!$E1362,"0")</f>
        <v>0</v>
      </c>
      <c r="G1362" s="63">
        <f t="shared" si="21"/>
        <v>0</v>
      </c>
    </row>
    <row r="1363" spans="1:7">
      <c r="A1363" s="120">
        <v>6514</v>
      </c>
      <c r="B1363" s="125" t="s">
        <v>4854</v>
      </c>
      <c r="C1363" s="125" t="s">
        <v>5613</v>
      </c>
      <c r="D1363" s="120">
        <v>6514</v>
      </c>
      <c r="E1363" s="60" t="str">
        <f>[1]!'6514.TW-PreClose'</f>
        <v>--</v>
      </c>
      <c r="F1363" s="141" t="str">
        <f>IFERROR(STOCKS!$E1363-STOCKS昨天!$E1363,"0")</f>
        <v>0</v>
      </c>
      <c r="G1363" s="63" t="str">
        <f t="shared" si="21"/>
        <v>0</v>
      </c>
    </row>
    <row r="1364" spans="1:7">
      <c r="A1364" s="120">
        <v>6530</v>
      </c>
      <c r="B1364" s="125" t="s">
        <v>4855</v>
      </c>
      <c r="C1364" s="125" t="s">
        <v>5612</v>
      </c>
      <c r="D1364" s="120">
        <v>6530</v>
      </c>
      <c r="E1364" s="60">
        <f>[1]!'6530.TW-PreClose'</f>
        <v>21.9</v>
      </c>
      <c r="F1364" s="141" t="str">
        <f>IFERROR(STOCKS!$E1364-STOCKS昨天!$E1364,"0")</f>
        <v>0</v>
      </c>
      <c r="G1364" s="63">
        <f t="shared" si="21"/>
        <v>0</v>
      </c>
    </row>
    <row r="1365" spans="1:7">
      <c r="A1365" s="120">
        <v>6561</v>
      </c>
      <c r="B1365" s="125" t="s">
        <v>4856</v>
      </c>
      <c r="C1365" s="125" t="s">
        <v>5612</v>
      </c>
      <c r="D1365" s="120">
        <v>6561</v>
      </c>
      <c r="E1365" s="60">
        <f>[1]!'6561.TW-PreClose'</f>
        <v>282</v>
      </c>
      <c r="F1365" s="141" t="str">
        <f>IFERROR(STOCKS!$E1365-STOCKS昨天!$E1365,"0")</f>
        <v>0</v>
      </c>
      <c r="G1365" s="63">
        <f t="shared" si="21"/>
        <v>0</v>
      </c>
    </row>
    <row r="1366" spans="1:7">
      <c r="A1366" s="120">
        <v>6588</v>
      </c>
      <c r="B1366" s="125" t="s">
        <v>4857</v>
      </c>
      <c r="C1366" s="125" t="s">
        <v>5612</v>
      </c>
      <c r="D1366" s="120">
        <v>6588</v>
      </c>
      <c r="E1366" s="60" t="str">
        <f>[1]!'6588.TW-PreClose'</f>
        <v>--</v>
      </c>
      <c r="F1366" s="141" t="str">
        <f>IFERROR(STOCKS!$E1366-STOCKS昨天!$E1366,"0")</f>
        <v>0</v>
      </c>
      <c r="G1366" s="63" t="str">
        <f t="shared" si="21"/>
        <v>0</v>
      </c>
    </row>
    <row r="1367" spans="1:7">
      <c r="A1367" s="120">
        <v>8034</v>
      </c>
      <c r="B1367" s="125" t="s">
        <v>4858</v>
      </c>
      <c r="C1367" s="125" t="s">
        <v>5612</v>
      </c>
      <c r="D1367" s="120">
        <v>8034</v>
      </c>
      <c r="E1367" s="60" t="str">
        <f>[1]!'8034.TW-PreClose'</f>
        <v>--</v>
      </c>
      <c r="F1367" s="141" t="str">
        <f>IFERROR(STOCKS!$E1367-STOCKS昨天!$E1367,"0")</f>
        <v>0</v>
      </c>
      <c r="G1367" s="63" t="str">
        <f t="shared" si="21"/>
        <v>0</v>
      </c>
    </row>
    <row r="1368" spans="1:7">
      <c r="A1368" s="120">
        <v>8048</v>
      </c>
      <c r="B1368" s="125" t="s">
        <v>4859</v>
      </c>
      <c r="C1368" s="125" t="s">
        <v>5612</v>
      </c>
      <c r="D1368" s="120">
        <v>8048</v>
      </c>
      <c r="E1368" s="60">
        <f>[1]!'8048.TW-PreClose'</f>
        <v>36</v>
      </c>
      <c r="F1368" s="141" t="str">
        <f>IFERROR(STOCKS!$E1368-STOCKS昨天!$E1368,"0")</f>
        <v>0</v>
      </c>
      <c r="G1368" s="63">
        <f t="shared" si="21"/>
        <v>0</v>
      </c>
    </row>
    <row r="1369" spans="1:7">
      <c r="A1369" s="120">
        <v>8059</v>
      </c>
      <c r="B1369" s="125" t="s">
        <v>4860</v>
      </c>
      <c r="C1369" s="125" t="s">
        <v>5612</v>
      </c>
      <c r="D1369" s="120">
        <v>8059</v>
      </c>
      <c r="E1369" s="60" t="str">
        <f>[1]!'8059.TW-PreClose'</f>
        <v>--</v>
      </c>
      <c r="F1369" s="141" t="str">
        <f>IFERROR(STOCKS!$E1369-STOCKS昨天!$E1369,"0")</f>
        <v>0</v>
      </c>
      <c r="G1369" s="63" t="str">
        <f t="shared" si="21"/>
        <v>0</v>
      </c>
    </row>
    <row r="1370" spans="1:7">
      <c r="A1370" s="120">
        <v>8089</v>
      </c>
      <c r="B1370" s="125" t="s">
        <v>4861</v>
      </c>
      <c r="C1370" s="125" t="s">
        <v>5612</v>
      </c>
      <c r="D1370" s="120">
        <v>8089</v>
      </c>
      <c r="E1370" s="60">
        <f>[1]!'8089.TW-PreClose'</f>
        <v>27.15</v>
      </c>
      <c r="F1370" s="141" t="str">
        <f>IFERROR(STOCKS!$E1370-STOCKS昨天!$E1370,"0")</f>
        <v>0</v>
      </c>
      <c r="G1370" s="63">
        <f t="shared" si="21"/>
        <v>0</v>
      </c>
    </row>
    <row r="1371" spans="1:7">
      <c r="A1371" s="120">
        <v>8097</v>
      </c>
      <c r="B1371" s="125" t="s">
        <v>4862</v>
      </c>
      <c r="C1371" s="125" t="s">
        <v>5612</v>
      </c>
      <c r="D1371" s="120">
        <v>8097</v>
      </c>
      <c r="E1371" s="60">
        <f>[1]!'8097.TW-PreClose'</f>
        <v>26.1</v>
      </c>
      <c r="F1371" s="141" t="str">
        <f>IFERROR(STOCKS!$E1371-STOCKS昨天!$E1371,"0")</f>
        <v>0</v>
      </c>
      <c r="G1371" s="63">
        <f t="shared" si="21"/>
        <v>0</v>
      </c>
    </row>
    <row r="1372" spans="1:7">
      <c r="A1372" s="120">
        <v>8171</v>
      </c>
      <c r="B1372" s="125" t="s">
        <v>4863</v>
      </c>
      <c r="C1372" s="125" t="s">
        <v>5612</v>
      </c>
      <c r="D1372" s="120">
        <v>8171</v>
      </c>
      <c r="E1372" s="60">
        <f>[1]!'8171.TW-PreClose'</f>
        <v>50.6</v>
      </c>
      <c r="F1372" s="141" t="str">
        <f>IFERROR(STOCKS!$E1372-STOCKS昨天!$E1372,"0")</f>
        <v>0</v>
      </c>
      <c r="G1372" s="63">
        <f t="shared" si="21"/>
        <v>0</v>
      </c>
    </row>
    <row r="1373" spans="1:7">
      <c r="A1373" s="120">
        <v>8176</v>
      </c>
      <c r="B1373" s="125" t="s">
        <v>4864</v>
      </c>
      <c r="C1373" s="125" t="s">
        <v>5612</v>
      </c>
      <c r="D1373" s="120">
        <v>8176</v>
      </c>
      <c r="E1373" s="60">
        <f>[1]!'8176.TW-PreClose'</f>
        <v>8.77</v>
      </c>
      <c r="F1373" s="141" t="str">
        <f>IFERROR(STOCKS!$E1373-STOCKS昨天!$E1373,"0")</f>
        <v>0</v>
      </c>
      <c r="G1373" s="63">
        <f t="shared" si="21"/>
        <v>0</v>
      </c>
    </row>
    <row r="1374" spans="1:7">
      <c r="A1374" s="120">
        <v>1336</v>
      </c>
      <c r="B1374" s="125" t="s">
        <v>4865</v>
      </c>
      <c r="C1374" s="125" t="s">
        <v>5614</v>
      </c>
      <c r="D1374" s="120">
        <v>1336</v>
      </c>
      <c r="E1374" s="60">
        <f>[1]!'1336.TW-PreClose'</f>
        <v>20.6</v>
      </c>
      <c r="F1374" s="141" t="str">
        <f>IFERROR(STOCKS!$E1374-STOCKS昨天!$E1374,"0")</f>
        <v>0</v>
      </c>
      <c r="G1374" s="63">
        <f t="shared" si="21"/>
        <v>0</v>
      </c>
    </row>
    <row r="1375" spans="1:7">
      <c r="A1375" s="120">
        <v>1595</v>
      </c>
      <c r="B1375" s="125" t="s">
        <v>4866</v>
      </c>
      <c r="C1375" s="125" t="s">
        <v>5614</v>
      </c>
      <c r="D1375" s="120">
        <v>1595</v>
      </c>
      <c r="E1375" s="60">
        <f>[1]!'1595.TW-PreClose'</f>
        <v>48.2</v>
      </c>
      <c r="F1375" s="141" t="str">
        <f>IFERROR(STOCKS!$E1375-STOCKS昨天!$E1375,"0")</f>
        <v>0</v>
      </c>
      <c r="G1375" s="63">
        <f t="shared" si="21"/>
        <v>0</v>
      </c>
    </row>
    <row r="1376" spans="1:7">
      <c r="A1376" s="120">
        <v>1815</v>
      </c>
      <c r="B1376" s="125" t="s">
        <v>4867</v>
      </c>
      <c r="C1376" s="125" t="s">
        <v>5614</v>
      </c>
      <c r="D1376" s="120">
        <v>1815</v>
      </c>
      <c r="E1376" s="60">
        <f>[1]!'1815.TW-PreClose'</f>
        <v>17.05</v>
      </c>
      <c r="F1376" s="141" t="str">
        <f>IFERROR(STOCKS!$E1376-STOCKS昨天!$E1376,"0")</f>
        <v>0</v>
      </c>
      <c r="G1376" s="63">
        <f t="shared" si="21"/>
        <v>0</v>
      </c>
    </row>
    <row r="1377" spans="1:7">
      <c r="A1377" s="120">
        <v>3078</v>
      </c>
      <c r="B1377" s="125" t="s">
        <v>4868</v>
      </c>
      <c r="C1377" s="125" t="s">
        <v>5614</v>
      </c>
      <c r="D1377" s="120">
        <v>3078</v>
      </c>
      <c r="E1377" s="60">
        <f>[1]!'3078.TW-PreClose'</f>
        <v>40.700000000000003</v>
      </c>
      <c r="F1377" s="141">
        <f>IFERROR(STOCKS!$E1377-STOCKS昨天!$E1377,"0")</f>
        <v>1.2999999999999972</v>
      </c>
      <c r="G1377" s="63">
        <f t="shared" si="21"/>
        <v>3.1941031941031872E-2</v>
      </c>
    </row>
    <row r="1378" spans="1:7">
      <c r="A1378" s="120">
        <v>3089</v>
      </c>
      <c r="B1378" s="125" t="s">
        <v>5521</v>
      </c>
      <c r="C1378" s="125" t="s">
        <v>5614</v>
      </c>
      <c r="D1378" s="120">
        <v>3089</v>
      </c>
      <c r="E1378" s="60">
        <f>[1]!'3089.TW-PreClose'</f>
        <v>33.700000000000003</v>
      </c>
      <c r="F1378" s="141" t="str">
        <f>IFERROR(STOCKS!$E1378-STOCKS昨天!$E1378,"0")</f>
        <v>0</v>
      </c>
      <c r="G1378" s="63">
        <f t="shared" si="21"/>
        <v>0</v>
      </c>
    </row>
    <row r="1379" spans="1:7">
      <c r="A1379" s="120">
        <v>3114</v>
      </c>
      <c r="B1379" s="125" t="s">
        <v>4869</v>
      </c>
      <c r="C1379" s="125" t="s">
        <v>5614</v>
      </c>
      <c r="D1379" s="120">
        <v>3114</v>
      </c>
      <c r="E1379" s="60">
        <f>[1]!'3114.TW-PreClose'</f>
        <v>26.85</v>
      </c>
      <c r="F1379" s="141" t="str">
        <f>IFERROR(STOCKS!$E1379-STOCKS昨天!$E1379,"0")</f>
        <v>0</v>
      </c>
      <c r="G1379" s="63">
        <f t="shared" si="21"/>
        <v>0</v>
      </c>
    </row>
    <row r="1380" spans="1:7">
      <c r="A1380" s="120">
        <v>3115</v>
      </c>
      <c r="B1380" s="125" t="s">
        <v>4870</v>
      </c>
      <c r="C1380" s="125" t="s">
        <v>5614</v>
      </c>
      <c r="D1380" s="120">
        <v>3115</v>
      </c>
      <c r="E1380" s="60">
        <f>[1]!'3115.TW-PreClose'</f>
        <v>13.05</v>
      </c>
      <c r="F1380" s="141" t="str">
        <f>IFERROR(STOCKS!$E1380-STOCKS昨天!$E1380,"0")</f>
        <v>0</v>
      </c>
      <c r="G1380" s="63">
        <f t="shared" si="21"/>
        <v>0</v>
      </c>
    </row>
    <row r="1381" spans="1:7">
      <c r="A1381" s="120">
        <v>3144</v>
      </c>
      <c r="B1381" s="125" t="s">
        <v>4871</v>
      </c>
      <c r="C1381" s="125" t="s">
        <v>5614</v>
      </c>
      <c r="D1381" s="120">
        <v>3144</v>
      </c>
      <c r="E1381" s="60">
        <f>[1]!'3144.TW-PreClose'</f>
        <v>38.15</v>
      </c>
      <c r="F1381" s="141" t="str">
        <f>IFERROR(STOCKS!$E1381-STOCKS昨天!$E1381,"0")</f>
        <v>0</v>
      </c>
      <c r="G1381" s="63">
        <f t="shared" si="21"/>
        <v>0</v>
      </c>
    </row>
    <row r="1382" spans="1:7">
      <c r="A1382" s="120">
        <v>3191</v>
      </c>
      <c r="B1382" s="125" t="s">
        <v>4872</v>
      </c>
      <c r="C1382" s="125" t="s">
        <v>5614</v>
      </c>
      <c r="D1382" s="120">
        <v>3191</v>
      </c>
      <c r="E1382" s="60">
        <f>[1]!'3191.TW-PreClose'</f>
        <v>7.15</v>
      </c>
      <c r="F1382" s="141" t="str">
        <f>IFERROR(STOCKS!$E1382-STOCKS昨天!$E1382,"0")</f>
        <v>0</v>
      </c>
      <c r="G1382" s="63">
        <f t="shared" si="21"/>
        <v>0</v>
      </c>
    </row>
    <row r="1383" spans="1:7">
      <c r="A1383" s="120">
        <v>3202</v>
      </c>
      <c r="B1383" s="125" t="s">
        <v>4873</v>
      </c>
      <c r="C1383" s="125" t="s">
        <v>5614</v>
      </c>
      <c r="D1383" s="120">
        <v>3202</v>
      </c>
      <c r="E1383" s="60" t="str">
        <f>[1]!'3202.TW-PreClose'</f>
        <v>--</v>
      </c>
      <c r="F1383" s="141" t="str">
        <f>IFERROR(STOCKS!$E1383-STOCKS昨天!$E1383,"0")</f>
        <v>0</v>
      </c>
      <c r="G1383" s="63" t="str">
        <f t="shared" si="21"/>
        <v>0</v>
      </c>
    </row>
    <row r="1384" spans="1:7">
      <c r="A1384" s="120">
        <v>3206</v>
      </c>
      <c r="B1384" s="125" t="s">
        <v>4874</v>
      </c>
      <c r="C1384" s="125" t="s">
        <v>5614</v>
      </c>
      <c r="D1384" s="120">
        <v>3206</v>
      </c>
      <c r="E1384" s="60">
        <f>[1]!'3206.TW-PreClose'</f>
        <v>28.7</v>
      </c>
      <c r="F1384" s="141" t="str">
        <f>IFERROR(STOCKS!$E1384-STOCKS昨天!$E1384,"0")</f>
        <v>0</v>
      </c>
      <c r="G1384" s="63">
        <f t="shared" si="21"/>
        <v>0</v>
      </c>
    </row>
    <row r="1385" spans="1:7">
      <c r="A1385" s="120">
        <v>3207</v>
      </c>
      <c r="B1385" s="125" t="s">
        <v>4875</v>
      </c>
      <c r="C1385" s="125" t="s">
        <v>5614</v>
      </c>
      <c r="D1385" s="120">
        <v>3207</v>
      </c>
      <c r="E1385" s="60">
        <f>[1]!'3207.TW-PreClose'</f>
        <v>21.9</v>
      </c>
      <c r="F1385" s="141" t="str">
        <f>IFERROR(STOCKS!$E1385-STOCKS昨天!$E1385,"0")</f>
        <v>0</v>
      </c>
      <c r="G1385" s="63">
        <f t="shared" si="21"/>
        <v>0</v>
      </c>
    </row>
    <row r="1386" spans="1:7">
      <c r="A1386" s="120">
        <v>3217</v>
      </c>
      <c r="B1386" s="125" t="s">
        <v>48</v>
      </c>
      <c r="C1386" s="125" t="s">
        <v>5614</v>
      </c>
      <c r="D1386" s="120">
        <v>3217</v>
      </c>
      <c r="E1386" s="60">
        <f>[1]!'3217.TW-PreClose'</f>
        <v>94.2</v>
      </c>
      <c r="F1386" s="141" t="str">
        <f>IFERROR(STOCKS!$E1386-STOCKS昨天!$E1386,"0")</f>
        <v>0</v>
      </c>
      <c r="G1386" s="63">
        <f t="shared" si="21"/>
        <v>0</v>
      </c>
    </row>
    <row r="1387" spans="1:7">
      <c r="A1387" s="120">
        <v>3236</v>
      </c>
      <c r="B1387" s="125" t="s">
        <v>4876</v>
      </c>
      <c r="C1387" s="125" t="s">
        <v>5614</v>
      </c>
      <c r="D1387" s="120">
        <v>3236</v>
      </c>
      <c r="E1387" s="60">
        <f>[1]!'3236.TW-PreClose'</f>
        <v>25.9</v>
      </c>
      <c r="F1387" s="141" t="str">
        <f>IFERROR(STOCKS!$E1387-STOCKS昨天!$E1387,"0")</f>
        <v>0</v>
      </c>
      <c r="G1387" s="63">
        <f t="shared" si="21"/>
        <v>0</v>
      </c>
    </row>
    <row r="1388" spans="1:7">
      <c r="A1388" s="120">
        <v>3276</v>
      </c>
      <c r="B1388" s="125" t="s">
        <v>4877</v>
      </c>
      <c r="C1388" s="125" t="s">
        <v>5614</v>
      </c>
      <c r="D1388" s="120">
        <v>3276</v>
      </c>
      <c r="E1388" s="60" t="str">
        <f>[1]!'3276.TW-PreClose'</f>
        <v>--</v>
      </c>
      <c r="F1388" s="141" t="str">
        <f>IFERROR(STOCKS!$E1388-STOCKS昨天!$E1388,"0")</f>
        <v>0</v>
      </c>
      <c r="G1388" s="63" t="str">
        <f t="shared" si="21"/>
        <v>0</v>
      </c>
    </row>
    <row r="1389" spans="1:7">
      <c r="A1389" s="120">
        <v>3288</v>
      </c>
      <c r="B1389" s="125" t="s">
        <v>4878</v>
      </c>
      <c r="C1389" s="125" t="s">
        <v>5614</v>
      </c>
      <c r="D1389" s="120">
        <v>3288</v>
      </c>
      <c r="E1389" s="60">
        <f>[1]!'3288.TW-PreClose'</f>
        <v>16</v>
      </c>
      <c r="F1389" s="141" t="str">
        <f>IFERROR(STOCKS!$E1389-STOCKS昨天!$E1389,"0")</f>
        <v>0</v>
      </c>
      <c r="G1389" s="63">
        <f t="shared" si="21"/>
        <v>0</v>
      </c>
    </row>
    <row r="1390" spans="1:7">
      <c r="A1390" s="120">
        <v>3290</v>
      </c>
      <c r="B1390" s="125" t="s">
        <v>4879</v>
      </c>
      <c r="C1390" s="125" t="s">
        <v>5614</v>
      </c>
      <c r="D1390" s="120">
        <v>3290</v>
      </c>
      <c r="E1390" s="60">
        <f>[1]!'3290.TW-PreClose'</f>
        <v>17.2</v>
      </c>
      <c r="F1390" s="141">
        <f>IFERROR(STOCKS!$E1390-STOCKS昨天!$E1390,"0")</f>
        <v>0.80000000000000071</v>
      </c>
      <c r="G1390" s="63">
        <f t="shared" si="21"/>
        <v>4.6511627906976785E-2</v>
      </c>
    </row>
    <row r="1391" spans="1:7">
      <c r="A1391" s="120">
        <v>3294</v>
      </c>
      <c r="B1391" s="125" t="s">
        <v>4880</v>
      </c>
      <c r="C1391" s="125" t="s">
        <v>5614</v>
      </c>
      <c r="D1391" s="120">
        <v>3294</v>
      </c>
      <c r="E1391" s="60" t="str">
        <f>[1]!'3294.TW-PreClose'</f>
        <v>--</v>
      </c>
      <c r="F1391" s="141" t="str">
        <f>IFERROR(STOCKS!$E1391-STOCKS昨天!$E1391,"0")</f>
        <v>0</v>
      </c>
      <c r="G1391" s="63" t="str">
        <f t="shared" si="21"/>
        <v>0</v>
      </c>
    </row>
    <row r="1392" spans="1:7">
      <c r="A1392" s="120">
        <v>3310</v>
      </c>
      <c r="B1392" s="125" t="s">
        <v>4881</v>
      </c>
      <c r="C1392" s="125" t="s">
        <v>5614</v>
      </c>
      <c r="D1392" s="120">
        <v>3310</v>
      </c>
      <c r="E1392" s="60">
        <f>[1]!'3310.TW-PreClose'</f>
        <v>30.9</v>
      </c>
      <c r="F1392" s="141" t="str">
        <f>IFERROR(STOCKS!$E1392-STOCKS昨天!$E1392,"0")</f>
        <v>0</v>
      </c>
      <c r="G1392" s="63">
        <f t="shared" si="21"/>
        <v>0</v>
      </c>
    </row>
    <row r="1393" spans="1:7">
      <c r="A1393" s="120">
        <v>3322</v>
      </c>
      <c r="B1393" s="125" t="s">
        <v>4883</v>
      </c>
      <c r="C1393" s="125" t="s">
        <v>5614</v>
      </c>
      <c r="D1393" s="120">
        <v>3322</v>
      </c>
      <c r="E1393" s="60">
        <f>[1]!'3322.TW-PreClose'</f>
        <v>16.95</v>
      </c>
      <c r="F1393" s="141" t="str">
        <f>IFERROR(STOCKS!$E1393-STOCKS昨天!$E1393,"0")</f>
        <v>0</v>
      </c>
      <c r="G1393" s="63">
        <f t="shared" si="21"/>
        <v>0</v>
      </c>
    </row>
    <row r="1394" spans="1:7">
      <c r="A1394" s="120">
        <v>3332</v>
      </c>
      <c r="B1394" s="125" t="s">
        <v>4884</v>
      </c>
      <c r="C1394" s="125" t="s">
        <v>5614</v>
      </c>
      <c r="D1394" s="120">
        <v>3332</v>
      </c>
      <c r="E1394" s="60" t="str">
        <f>[1]!'3332.TW-PreClose'</f>
        <v>--</v>
      </c>
      <c r="F1394" s="141" t="str">
        <f>IFERROR(STOCKS!$E1394-STOCKS昨天!$E1394,"0")</f>
        <v>0</v>
      </c>
      <c r="G1394" s="63" t="str">
        <f t="shared" si="21"/>
        <v>0</v>
      </c>
    </row>
    <row r="1395" spans="1:7">
      <c r="A1395" s="120">
        <v>3354</v>
      </c>
      <c r="B1395" s="125" t="s">
        <v>4885</v>
      </c>
      <c r="C1395" s="125" t="s">
        <v>5614</v>
      </c>
      <c r="D1395" s="120">
        <v>3354</v>
      </c>
      <c r="E1395" s="60">
        <f>[1]!'3354.TW-PreClose'</f>
        <v>18.600000000000001</v>
      </c>
      <c r="F1395" s="141" t="str">
        <f>IFERROR(STOCKS!$E1395-STOCKS昨天!$E1395,"0")</f>
        <v>0</v>
      </c>
      <c r="G1395" s="63">
        <f t="shared" si="21"/>
        <v>0</v>
      </c>
    </row>
    <row r="1396" spans="1:7">
      <c r="A1396" s="120">
        <v>3357</v>
      </c>
      <c r="B1396" s="125" t="s">
        <v>35</v>
      </c>
      <c r="C1396" s="125" t="s">
        <v>5614</v>
      </c>
      <c r="D1396" s="120">
        <v>3357</v>
      </c>
      <c r="E1396" s="60">
        <f>[1]!'3357.TW-PreClose'</f>
        <v>135.5</v>
      </c>
      <c r="F1396" s="141" t="str">
        <f>IFERROR(STOCKS!$E1396-STOCKS昨天!$E1396,"0")</f>
        <v>0</v>
      </c>
      <c r="G1396" s="63">
        <f t="shared" si="21"/>
        <v>0</v>
      </c>
    </row>
    <row r="1397" spans="1:7">
      <c r="A1397" s="120">
        <v>3388</v>
      </c>
      <c r="B1397" s="125" t="s">
        <v>4886</v>
      </c>
      <c r="C1397" s="125" t="s">
        <v>5614</v>
      </c>
      <c r="D1397" s="120">
        <v>3388</v>
      </c>
      <c r="E1397" s="60">
        <f>[1]!'3388.TW-PreClose'</f>
        <v>81.5</v>
      </c>
      <c r="F1397" s="141" t="str">
        <f>IFERROR(STOCKS!$E1397-STOCKS昨天!$E1397,"0")</f>
        <v>0</v>
      </c>
      <c r="G1397" s="63">
        <f t="shared" si="21"/>
        <v>0</v>
      </c>
    </row>
    <row r="1398" spans="1:7">
      <c r="A1398" s="120">
        <v>3390</v>
      </c>
      <c r="B1398" s="125" t="s">
        <v>4887</v>
      </c>
      <c r="C1398" s="125" t="s">
        <v>5614</v>
      </c>
      <c r="D1398" s="120">
        <v>3390</v>
      </c>
      <c r="E1398" s="60">
        <f>[1]!'3390.TW-PreClose'</f>
        <v>21.9</v>
      </c>
      <c r="F1398" s="141" t="str">
        <f>IFERROR(STOCKS!$E1398-STOCKS昨天!$E1398,"0")</f>
        <v>0</v>
      </c>
      <c r="G1398" s="63">
        <f t="shared" si="21"/>
        <v>0</v>
      </c>
    </row>
    <row r="1399" spans="1:7">
      <c r="A1399" s="120">
        <v>3465</v>
      </c>
      <c r="B1399" s="125" t="s">
        <v>4888</v>
      </c>
      <c r="C1399" s="125" t="s">
        <v>5614</v>
      </c>
      <c r="D1399" s="120">
        <v>3465</v>
      </c>
      <c r="E1399" s="60">
        <f>[1]!'3465.TW-PreClose'</f>
        <v>237</v>
      </c>
      <c r="F1399" s="141" t="str">
        <f>IFERROR(STOCKS!$E1399-STOCKS昨天!$E1399,"0")</f>
        <v>0</v>
      </c>
      <c r="G1399" s="63">
        <f t="shared" si="21"/>
        <v>0</v>
      </c>
    </row>
    <row r="1400" spans="1:7">
      <c r="A1400" s="120">
        <v>3484</v>
      </c>
      <c r="B1400" s="125" t="s">
        <v>4889</v>
      </c>
      <c r="C1400" s="125" t="s">
        <v>5614</v>
      </c>
      <c r="D1400" s="120">
        <v>3484</v>
      </c>
      <c r="E1400" s="60">
        <f>[1]!'3484.TW-PreClose'</f>
        <v>74.599999999999994</v>
      </c>
      <c r="F1400" s="141" t="str">
        <f>IFERROR(STOCKS!$E1400-STOCKS昨天!$E1400,"0")</f>
        <v>0</v>
      </c>
      <c r="G1400" s="63">
        <f t="shared" si="21"/>
        <v>0</v>
      </c>
    </row>
    <row r="1401" spans="1:7">
      <c r="A1401" s="120">
        <v>3492</v>
      </c>
      <c r="B1401" s="125" t="s">
        <v>4890</v>
      </c>
      <c r="C1401" s="125" t="s">
        <v>5614</v>
      </c>
      <c r="D1401" s="120">
        <v>3492</v>
      </c>
      <c r="E1401" s="60">
        <f>[1]!'3492.TW-PreClose'</f>
        <v>19.100000000000001</v>
      </c>
      <c r="F1401" s="141" t="str">
        <f>IFERROR(STOCKS!$E1401-STOCKS昨天!$E1401,"0")</f>
        <v>0</v>
      </c>
      <c r="G1401" s="63">
        <f t="shared" si="21"/>
        <v>0</v>
      </c>
    </row>
    <row r="1402" spans="1:7">
      <c r="A1402" s="120">
        <v>3511</v>
      </c>
      <c r="B1402" s="125" t="s">
        <v>4891</v>
      </c>
      <c r="C1402" s="125" t="s">
        <v>5614</v>
      </c>
      <c r="D1402" s="120">
        <v>3511</v>
      </c>
      <c r="E1402" s="60">
        <f>[1]!'3511.TW-PreClose'</f>
        <v>38.700000000000003</v>
      </c>
      <c r="F1402" s="141" t="str">
        <f>IFERROR(STOCKS!$E1402-STOCKS昨天!$E1402,"0")</f>
        <v>0</v>
      </c>
      <c r="G1402" s="63">
        <f t="shared" si="21"/>
        <v>0</v>
      </c>
    </row>
    <row r="1403" spans="1:7">
      <c r="A1403" s="120">
        <v>3512</v>
      </c>
      <c r="B1403" s="125" t="s">
        <v>4892</v>
      </c>
      <c r="C1403" s="125" t="s">
        <v>5614</v>
      </c>
      <c r="D1403" s="120">
        <v>3512</v>
      </c>
      <c r="E1403" s="60">
        <f>[1]!'3512.TW-PreClose'</f>
        <v>34.35</v>
      </c>
      <c r="F1403" s="141" t="str">
        <f>IFERROR(STOCKS!$E1403-STOCKS昨天!$E1403,"0")</f>
        <v>0</v>
      </c>
      <c r="G1403" s="63">
        <f t="shared" si="21"/>
        <v>0</v>
      </c>
    </row>
    <row r="1404" spans="1:7">
      <c r="A1404" s="120">
        <v>3520</v>
      </c>
      <c r="B1404" s="125" t="s">
        <v>4893</v>
      </c>
      <c r="C1404" s="125" t="s">
        <v>5614</v>
      </c>
      <c r="D1404" s="120">
        <v>3520</v>
      </c>
      <c r="E1404" s="60">
        <f>[1]!'3520.TW-PreClose'</f>
        <v>14.35</v>
      </c>
      <c r="F1404" s="141" t="str">
        <f>IFERROR(STOCKS!$E1404-STOCKS昨天!$E1404,"0")</f>
        <v>0</v>
      </c>
      <c r="G1404" s="63">
        <f t="shared" si="21"/>
        <v>0</v>
      </c>
    </row>
    <row r="1405" spans="1:7">
      <c r="A1405" s="120">
        <v>3526</v>
      </c>
      <c r="B1405" s="125" t="s">
        <v>4894</v>
      </c>
      <c r="C1405" s="125" t="s">
        <v>5614</v>
      </c>
      <c r="D1405" s="120">
        <v>3526</v>
      </c>
      <c r="E1405" s="60">
        <f>[1]!'3526.TW-PreClose'</f>
        <v>167.5</v>
      </c>
      <c r="F1405" s="141">
        <f>IFERROR(STOCKS!$E1405-STOCKS昨天!$E1405,"0")</f>
        <v>3</v>
      </c>
      <c r="G1405" s="63">
        <f t="shared" si="21"/>
        <v>1.7910447761194031E-2</v>
      </c>
    </row>
    <row r="1406" spans="1:7">
      <c r="A1406" s="120">
        <v>3537</v>
      </c>
      <c r="B1406" s="125" t="s">
        <v>4895</v>
      </c>
      <c r="C1406" s="125" t="s">
        <v>5614</v>
      </c>
      <c r="D1406" s="120">
        <v>3537</v>
      </c>
      <c r="E1406" s="60">
        <f>[1]!'3537.TW-PreClose'</f>
        <v>36.799999999999997</v>
      </c>
      <c r="F1406" s="141" t="str">
        <f>IFERROR(STOCKS!$E1406-STOCKS昨天!$E1406,"0")</f>
        <v>0</v>
      </c>
      <c r="G1406" s="63">
        <f t="shared" si="21"/>
        <v>0</v>
      </c>
    </row>
    <row r="1407" spans="1:7">
      <c r="A1407" s="120">
        <v>3548</v>
      </c>
      <c r="B1407" s="125" t="s">
        <v>4896</v>
      </c>
      <c r="C1407" s="125" t="s">
        <v>5614</v>
      </c>
      <c r="D1407" s="120">
        <v>3548</v>
      </c>
      <c r="E1407" s="60">
        <f>[1]!'3548.TW-PreClose'</f>
        <v>58</v>
      </c>
      <c r="F1407" s="141" t="str">
        <f>IFERROR(STOCKS!$E1407-STOCKS昨天!$E1407,"0")</f>
        <v>0</v>
      </c>
      <c r="G1407" s="63">
        <f t="shared" si="21"/>
        <v>0</v>
      </c>
    </row>
    <row r="1408" spans="1:7">
      <c r="A1408" s="120">
        <v>3597</v>
      </c>
      <c r="B1408" s="125" t="s">
        <v>4897</v>
      </c>
      <c r="C1408" s="125" t="s">
        <v>5614</v>
      </c>
      <c r="D1408" s="120">
        <v>3597</v>
      </c>
      <c r="E1408" s="60">
        <f>[1]!'3597.TW-PreClose'</f>
        <v>27.4</v>
      </c>
      <c r="F1408" s="141" t="str">
        <f>IFERROR(STOCKS!$E1408-STOCKS昨天!$E1408,"0")</f>
        <v>0</v>
      </c>
      <c r="G1408" s="63">
        <f t="shared" si="21"/>
        <v>0</v>
      </c>
    </row>
    <row r="1409" spans="1:7">
      <c r="A1409" s="120">
        <v>3609</v>
      </c>
      <c r="B1409" s="125" t="s">
        <v>5508</v>
      </c>
      <c r="C1409" s="125" t="s">
        <v>5614</v>
      </c>
      <c r="D1409" s="120">
        <v>3609</v>
      </c>
      <c r="E1409" s="60">
        <f>[1]!'3609.TW-PreClose'</f>
        <v>53.5</v>
      </c>
      <c r="F1409" s="141" t="str">
        <f>IFERROR(STOCKS!$E1409-STOCKS昨天!$E1409,"0")</f>
        <v>0</v>
      </c>
      <c r="G1409" s="63">
        <f t="shared" si="21"/>
        <v>0</v>
      </c>
    </row>
    <row r="1410" spans="1:7">
      <c r="A1410" s="120">
        <v>3624</v>
      </c>
      <c r="B1410" s="125" t="s">
        <v>4898</v>
      </c>
      <c r="C1410" s="125" t="s">
        <v>5614</v>
      </c>
      <c r="D1410" s="120">
        <v>3624</v>
      </c>
      <c r="E1410" s="60">
        <f>[1]!'3624.TW-PreClose'</f>
        <v>48.4</v>
      </c>
      <c r="F1410" s="141">
        <f>IFERROR(STOCKS!$E1410-STOCKS昨天!$E1410,"0")</f>
        <v>0.80000000000000426</v>
      </c>
      <c r="G1410" s="63">
        <f t="shared" si="21"/>
        <v>1.6528925619834798E-2</v>
      </c>
    </row>
    <row r="1411" spans="1:7">
      <c r="A1411" s="120">
        <v>3631</v>
      </c>
      <c r="B1411" s="125" t="s">
        <v>4899</v>
      </c>
      <c r="C1411" s="125" t="s">
        <v>5614</v>
      </c>
      <c r="D1411" s="120">
        <v>3631</v>
      </c>
      <c r="E1411" s="60" t="str">
        <f>[1]!'3631.TW-PreClose'</f>
        <v>--</v>
      </c>
      <c r="F1411" s="141" t="str">
        <f>IFERROR(STOCKS!$E1411-STOCKS昨天!$E1411,"0")</f>
        <v>0</v>
      </c>
      <c r="G1411" s="63" t="str">
        <f t="shared" ref="G1411:G1474" si="22">IFERROR($F1411/$E1411,"0")</f>
        <v>0</v>
      </c>
    </row>
    <row r="1412" spans="1:7">
      <c r="A1412" s="120">
        <v>3646</v>
      </c>
      <c r="B1412" s="125" t="s">
        <v>4900</v>
      </c>
      <c r="C1412" s="125" t="s">
        <v>5614</v>
      </c>
      <c r="D1412" s="120">
        <v>3646</v>
      </c>
      <c r="E1412" s="60">
        <f>[1]!'3646.TW-PreClose'</f>
        <v>26.25</v>
      </c>
      <c r="F1412" s="141" t="str">
        <f>IFERROR(STOCKS!$E1412-STOCKS昨天!$E1412,"0")</f>
        <v>0</v>
      </c>
      <c r="G1412" s="63">
        <f t="shared" si="22"/>
        <v>0</v>
      </c>
    </row>
    <row r="1413" spans="1:7">
      <c r="A1413" s="120">
        <v>3689</v>
      </c>
      <c r="B1413" s="125" t="s">
        <v>4901</v>
      </c>
      <c r="C1413" s="125" t="s">
        <v>5614</v>
      </c>
      <c r="D1413" s="120">
        <v>3689</v>
      </c>
      <c r="E1413" s="60">
        <f>[1]!'3689.TW-PreClose'</f>
        <v>42.25</v>
      </c>
      <c r="F1413" s="141" t="str">
        <f>IFERROR(STOCKS!$E1413-STOCKS昨天!$E1413,"0")</f>
        <v>0</v>
      </c>
      <c r="G1413" s="63">
        <f t="shared" si="22"/>
        <v>0</v>
      </c>
    </row>
    <row r="1414" spans="1:7">
      <c r="A1414" s="120">
        <v>3710</v>
      </c>
      <c r="B1414" s="125" t="s">
        <v>4902</v>
      </c>
      <c r="C1414" s="125" t="s">
        <v>5614</v>
      </c>
      <c r="D1414" s="120">
        <v>3710</v>
      </c>
      <c r="E1414" s="60">
        <f>[1]!'3710.TW-PreClose'</f>
        <v>8.41</v>
      </c>
      <c r="F1414" s="141" t="str">
        <f>IFERROR(STOCKS!$E1414-STOCKS昨天!$E1414,"0")</f>
        <v>0</v>
      </c>
      <c r="G1414" s="63">
        <f t="shared" si="22"/>
        <v>0</v>
      </c>
    </row>
    <row r="1415" spans="1:7">
      <c r="A1415" s="120">
        <v>4542</v>
      </c>
      <c r="B1415" s="125" t="s">
        <v>4903</v>
      </c>
      <c r="C1415" s="125" t="s">
        <v>5614</v>
      </c>
      <c r="D1415" s="120">
        <v>4542</v>
      </c>
      <c r="E1415" s="60">
        <f>[1]!'4542.TW-PreClose'</f>
        <v>26.45</v>
      </c>
      <c r="F1415" s="141" t="str">
        <f>IFERROR(STOCKS!$E1415-STOCKS昨天!$E1415,"0")</f>
        <v>0</v>
      </c>
      <c r="G1415" s="63">
        <f t="shared" si="22"/>
        <v>0</v>
      </c>
    </row>
    <row r="1416" spans="1:7">
      <c r="A1416" s="120">
        <v>4939</v>
      </c>
      <c r="B1416" s="125" t="s">
        <v>4904</v>
      </c>
      <c r="C1416" s="125" t="s">
        <v>5614</v>
      </c>
      <c r="D1416" s="120">
        <v>4939</v>
      </c>
      <c r="E1416" s="60">
        <f>[1]!'4939.TW-PreClose'</f>
        <v>20.25</v>
      </c>
      <c r="F1416" s="141" t="str">
        <f>IFERROR(STOCKS!$E1416-STOCKS昨天!$E1416,"0")</f>
        <v>0</v>
      </c>
      <c r="G1416" s="63">
        <f t="shared" si="22"/>
        <v>0</v>
      </c>
    </row>
    <row r="1417" spans="1:7">
      <c r="A1417" s="120">
        <v>4974</v>
      </c>
      <c r="B1417" s="125" t="s">
        <v>4905</v>
      </c>
      <c r="C1417" s="125" t="s">
        <v>5614</v>
      </c>
      <c r="D1417" s="120">
        <v>4974</v>
      </c>
      <c r="E1417" s="60">
        <f>[1]!'4974.TW-PreClose'</f>
        <v>53.7</v>
      </c>
      <c r="F1417" s="141" t="str">
        <f>IFERROR(STOCKS!$E1417-STOCKS昨天!$E1417,"0")</f>
        <v>0</v>
      </c>
      <c r="G1417" s="63">
        <f t="shared" si="22"/>
        <v>0</v>
      </c>
    </row>
    <row r="1418" spans="1:7">
      <c r="A1418" s="120">
        <v>5227</v>
      </c>
      <c r="B1418" s="125" t="s">
        <v>4906</v>
      </c>
      <c r="C1418" s="125" t="s">
        <v>5615</v>
      </c>
      <c r="D1418" s="120">
        <v>5227</v>
      </c>
      <c r="E1418" s="60" t="str">
        <f>[1]!'5227.TW-PreClose'</f>
        <v>--</v>
      </c>
      <c r="F1418" s="141" t="str">
        <f>IFERROR(STOCKS!$E1418-STOCKS昨天!$E1418,"0")</f>
        <v>0</v>
      </c>
      <c r="G1418" s="63" t="str">
        <f t="shared" si="22"/>
        <v>0</v>
      </c>
    </row>
    <row r="1419" spans="1:7">
      <c r="A1419" s="120">
        <v>5291</v>
      </c>
      <c r="B1419" s="125" t="s">
        <v>4907</v>
      </c>
      <c r="C1419" s="125" t="s">
        <v>5614</v>
      </c>
      <c r="D1419" s="120">
        <v>5291</v>
      </c>
      <c r="E1419" s="60">
        <f>[1]!'5291.TW-PreClose'</f>
        <v>37.35</v>
      </c>
      <c r="F1419" s="141">
        <f>IFERROR(STOCKS!$E1419-STOCKS昨天!$E1419,"0")</f>
        <v>1.1000000000000014</v>
      </c>
      <c r="G1419" s="63">
        <f t="shared" si="22"/>
        <v>2.9451137884872861E-2</v>
      </c>
    </row>
    <row r="1420" spans="1:7">
      <c r="A1420" s="120">
        <v>5309</v>
      </c>
      <c r="B1420" s="125" t="s">
        <v>4908</v>
      </c>
      <c r="C1420" s="125" t="s">
        <v>5614</v>
      </c>
      <c r="D1420" s="120">
        <v>5309</v>
      </c>
      <c r="E1420" s="60">
        <f>[1]!'5309.TW-PreClose'</f>
        <v>42.05</v>
      </c>
      <c r="F1420" s="141" t="str">
        <f>IFERROR(STOCKS!$E1420-STOCKS昨天!$E1420,"0")</f>
        <v>0</v>
      </c>
      <c r="G1420" s="63">
        <f t="shared" si="22"/>
        <v>0</v>
      </c>
    </row>
    <row r="1421" spans="1:7">
      <c r="A1421" s="120">
        <v>5321</v>
      </c>
      <c r="B1421" s="125" t="s">
        <v>5509</v>
      </c>
      <c r="C1421" s="125" t="s">
        <v>5614</v>
      </c>
      <c r="D1421" s="120">
        <v>5321</v>
      </c>
      <c r="E1421" s="60">
        <f>[1]!'5321.TW-PreClose'</f>
        <v>100.5</v>
      </c>
      <c r="F1421" s="141" t="str">
        <f>IFERROR(STOCKS!$E1421-STOCKS昨天!$E1421,"0")</f>
        <v>0</v>
      </c>
      <c r="G1421" s="63">
        <f t="shared" si="22"/>
        <v>0</v>
      </c>
    </row>
    <row r="1422" spans="1:7">
      <c r="A1422" s="120">
        <v>5328</v>
      </c>
      <c r="B1422" s="125" t="s">
        <v>4909</v>
      </c>
      <c r="C1422" s="125" t="s">
        <v>5614</v>
      </c>
      <c r="D1422" s="120">
        <v>5328</v>
      </c>
      <c r="E1422" s="60" t="str">
        <f>[1]!'5328.TW-PreClose'</f>
        <v>--</v>
      </c>
      <c r="F1422" s="141" t="str">
        <f>IFERROR(STOCKS!$E1422-STOCKS昨天!$E1422,"0")</f>
        <v>0</v>
      </c>
      <c r="G1422" s="63" t="str">
        <f t="shared" si="22"/>
        <v>0</v>
      </c>
    </row>
    <row r="1423" spans="1:7">
      <c r="A1423" s="120">
        <v>5340</v>
      </c>
      <c r="B1423" s="125" t="s">
        <v>4910</v>
      </c>
      <c r="C1423" s="125" t="s">
        <v>5614</v>
      </c>
      <c r="D1423" s="120">
        <v>5340</v>
      </c>
      <c r="E1423" s="60">
        <f>[1]!'5340.TW-PreClose'</f>
        <v>38.75</v>
      </c>
      <c r="F1423" s="141" t="str">
        <f>IFERROR(STOCKS!$E1423-STOCKS昨天!$E1423,"0")</f>
        <v>0</v>
      </c>
      <c r="G1423" s="63">
        <f t="shared" si="22"/>
        <v>0</v>
      </c>
    </row>
    <row r="1424" spans="1:7">
      <c r="A1424" s="120">
        <v>5355</v>
      </c>
      <c r="B1424" s="125" t="s">
        <v>4912</v>
      </c>
      <c r="C1424" s="125" t="s">
        <v>5614</v>
      </c>
      <c r="D1424" s="120">
        <v>5355</v>
      </c>
      <c r="E1424" s="60">
        <f>[1]!'5355.TW-PreClose'</f>
        <v>6.4</v>
      </c>
      <c r="F1424" s="141" t="str">
        <f>IFERROR(STOCKS!$E1424-STOCKS昨天!$E1424,"0")</f>
        <v>0</v>
      </c>
      <c r="G1424" s="63">
        <f t="shared" si="22"/>
        <v>0</v>
      </c>
    </row>
    <row r="1425" spans="1:7">
      <c r="A1425" s="120">
        <v>5381</v>
      </c>
      <c r="B1425" s="125" t="s">
        <v>4913</v>
      </c>
      <c r="C1425" s="125" t="s">
        <v>5614</v>
      </c>
      <c r="D1425" s="120">
        <v>5381</v>
      </c>
      <c r="E1425" s="60">
        <f>[1]!'5381.TW-PreClose'</f>
        <v>6.2</v>
      </c>
      <c r="F1425" s="141" t="str">
        <f>IFERROR(STOCKS!$E1425-STOCKS昨天!$E1425,"0")</f>
        <v>0</v>
      </c>
      <c r="G1425" s="63">
        <f t="shared" si="22"/>
        <v>0</v>
      </c>
    </row>
    <row r="1426" spans="1:7">
      <c r="A1426" s="120">
        <v>5439</v>
      </c>
      <c r="B1426" s="125" t="s">
        <v>4914</v>
      </c>
      <c r="C1426" s="125" t="s">
        <v>5614</v>
      </c>
      <c r="D1426" s="120">
        <v>5439</v>
      </c>
      <c r="E1426" s="60" t="str">
        <f>[1]!'5439.TW-PreClose'</f>
        <v>--</v>
      </c>
      <c r="F1426" s="141" t="str">
        <f>IFERROR(STOCKS!$E1426-STOCKS昨天!$E1426,"0")</f>
        <v>0</v>
      </c>
      <c r="G1426" s="63" t="str">
        <f t="shared" si="22"/>
        <v>0</v>
      </c>
    </row>
    <row r="1427" spans="1:7">
      <c r="A1427" s="120">
        <v>5457</v>
      </c>
      <c r="B1427" s="125" t="s">
        <v>3525</v>
      </c>
      <c r="C1427" s="125" t="s">
        <v>5614</v>
      </c>
      <c r="D1427" s="120">
        <v>5457</v>
      </c>
      <c r="E1427" s="60">
        <f>[1]!'5457.TW-PreClose'</f>
        <v>79</v>
      </c>
      <c r="F1427" s="141" t="str">
        <f>IFERROR(STOCKS!$E1427-STOCKS昨天!$E1427,"0")</f>
        <v>0</v>
      </c>
      <c r="G1427" s="63">
        <f t="shared" si="22"/>
        <v>0</v>
      </c>
    </row>
    <row r="1428" spans="1:7">
      <c r="A1428" s="120">
        <v>5460</v>
      </c>
      <c r="B1428" s="125" t="s">
        <v>4915</v>
      </c>
      <c r="C1428" s="125" t="s">
        <v>5614</v>
      </c>
      <c r="D1428" s="120">
        <v>5460</v>
      </c>
      <c r="E1428" s="60">
        <f>[1]!'5460.TW-PreClose'</f>
        <v>13.4</v>
      </c>
      <c r="F1428" s="141" t="str">
        <f>IFERROR(STOCKS!$E1428-STOCKS昨天!$E1428,"0")</f>
        <v>0</v>
      </c>
      <c r="G1428" s="63">
        <f t="shared" si="22"/>
        <v>0</v>
      </c>
    </row>
    <row r="1429" spans="1:7">
      <c r="A1429" s="120">
        <v>5464</v>
      </c>
      <c r="B1429" s="125" t="s">
        <v>4916</v>
      </c>
      <c r="C1429" s="125" t="s">
        <v>5614</v>
      </c>
      <c r="D1429" s="120">
        <v>5464</v>
      </c>
      <c r="E1429" s="60">
        <f>[1]!'5464.TW-PreClose'</f>
        <v>24.65</v>
      </c>
      <c r="F1429" s="141" t="str">
        <f>IFERROR(STOCKS!$E1429-STOCKS昨天!$E1429,"0")</f>
        <v>0</v>
      </c>
      <c r="G1429" s="63">
        <f t="shared" si="22"/>
        <v>0</v>
      </c>
    </row>
    <row r="1430" spans="1:7">
      <c r="A1430" s="120">
        <v>5475</v>
      </c>
      <c r="B1430" s="125" t="s">
        <v>3620</v>
      </c>
      <c r="C1430" s="125" t="s">
        <v>5614</v>
      </c>
      <c r="D1430" s="120">
        <v>5475</v>
      </c>
      <c r="E1430" s="60" t="str">
        <f>[1]!'5475.TW-PreClose'</f>
        <v>--</v>
      </c>
      <c r="F1430" s="141" t="str">
        <f>IFERROR(STOCKS!$E1430-STOCKS昨天!$E1430,"0")</f>
        <v>0</v>
      </c>
      <c r="G1430" s="63" t="str">
        <f t="shared" si="22"/>
        <v>0</v>
      </c>
    </row>
    <row r="1431" spans="1:7">
      <c r="A1431" s="120">
        <v>5488</v>
      </c>
      <c r="B1431" s="125" t="s">
        <v>4917</v>
      </c>
      <c r="C1431" s="125" t="s">
        <v>5614</v>
      </c>
      <c r="D1431" s="120">
        <v>5488</v>
      </c>
      <c r="E1431" s="60">
        <f>[1]!'5488.TW-PreClose'</f>
        <v>8.82</v>
      </c>
      <c r="F1431" s="141" t="str">
        <f>IFERROR(STOCKS!$E1431-STOCKS昨天!$E1431,"0")</f>
        <v>0</v>
      </c>
      <c r="G1431" s="63">
        <f t="shared" si="22"/>
        <v>0</v>
      </c>
    </row>
    <row r="1432" spans="1:7">
      <c r="A1432" s="120">
        <v>5498</v>
      </c>
      <c r="B1432" s="125" t="s">
        <v>4918</v>
      </c>
      <c r="C1432" s="125" t="s">
        <v>5614</v>
      </c>
      <c r="D1432" s="120">
        <v>5498</v>
      </c>
      <c r="E1432" s="60">
        <f>[1]!'5498.TW-PreClose'</f>
        <v>14.15</v>
      </c>
      <c r="F1432" s="141" t="str">
        <f>IFERROR(STOCKS!$E1432-STOCKS昨天!$E1432,"0")</f>
        <v>0</v>
      </c>
      <c r="G1432" s="63">
        <f t="shared" si="22"/>
        <v>0</v>
      </c>
    </row>
    <row r="1433" spans="1:7">
      <c r="A1433" s="120">
        <v>6114</v>
      </c>
      <c r="B1433" s="125" t="s">
        <v>4919</v>
      </c>
      <c r="C1433" s="125" t="s">
        <v>5614</v>
      </c>
      <c r="D1433" s="120">
        <v>6114</v>
      </c>
      <c r="E1433" s="60">
        <f>[1]!'6114.TW-PreClose'</f>
        <v>23.15</v>
      </c>
      <c r="F1433" s="141" t="str">
        <f>IFERROR(STOCKS!$E1433-STOCKS昨天!$E1433,"0")</f>
        <v>0</v>
      </c>
      <c r="G1433" s="63">
        <f t="shared" si="22"/>
        <v>0</v>
      </c>
    </row>
    <row r="1434" spans="1:7">
      <c r="A1434" s="120">
        <v>6124</v>
      </c>
      <c r="B1434" s="125" t="s">
        <v>4920</v>
      </c>
      <c r="C1434" s="125" t="s">
        <v>5614</v>
      </c>
      <c r="D1434" s="120">
        <v>6124</v>
      </c>
      <c r="E1434" s="60">
        <f>[1]!'6124.TW-PreClose'</f>
        <v>27.25</v>
      </c>
      <c r="F1434" s="141" t="str">
        <f>IFERROR(STOCKS!$E1434-STOCKS昨天!$E1434,"0")</f>
        <v>0</v>
      </c>
      <c r="G1434" s="63">
        <f t="shared" si="22"/>
        <v>0</v>
      </c>
    </row>
    <row r="1435" spans="1:7">
      <c r="A1435" s="120">
        <v>6126</v>
      </c>
      <c r="B1435" s="125" t="s">
        <v>4921</v>
      </c>
      <c r="C1435" s="125" t="s">
        <v>5614</v>
      </c>
      <c r="D1435" s="120">
        <v>6126</v>
      </c>
      <c r="E1435" s="60">
        <f>[1]!'6126.TW-PreClose'</f>
        <v>27.35</v>
      </c>
      <c r="F1435" s="141" t="str">
        <f>IFERROR(STOCKS!$E1435-STOCKS昨天!$E1435,"0")</f>
        <v>0</v>
      </c>
      <c r="G1435" s="63">
        <f t="shared" si="22"/>
        <v>0</v>
      </c>
    </row>
    <row r="1436" spans="1:7">
      <c r="A1436" s="120">
        <v>6127</v>
      </c>
      <c r="B1436" s="125" t="s">
        <v>4922</v>
      </c>
      <c r="C1436" s="125" t="s">
        <v>5614</v>
      </c>
      <c r="D1436" s="120">
        <v>6127</v>
      </c>
      <c r="E1436" s="60">
        <f>[1]!'6127.TW-PreClose'</f>
        <v>26.2</v>
      </c>
      <c r="F1436" s="141" t="str">
        <f>IFERROR(STOCKS!$E1436-STOCKS昨天!$E1436,"0")</f>
        <v>0</v>
      </c>
      <c r="G1436" s="63">
        <f t="shared" si="22"/>
        <v>0</v>
      </c>
    </row>
    <row r="1437" spans="1:7">
      <c r="A1437" s="120">
        <v>6134</v>
      </c>
      <c r="B1437" s="125" t="s">
        <v>4923</v>
      </c>
      <c r="C1437" s="125" t="s">
        <v>5614</v>
      </c>
      <c r="D1437" s="120">
        <v>6134</v>
      </c>
      <c r="E1437" s="60" t="str">
        <f>[1]!'6134.TW-PreClose'</f>
        <v>--</v>
      </c>
      <c r="F1437" s="141" t="str">
        <f>IFERROR(STOCKS!$E1437-STOCKS昨天!$E1437,"0")</f>
        <v>0</v>
      </c>
      <c r="G1437" s="63" t="str">
        <f t="shared" si="22"/>
        <v>0</v>
      </c>
    </row>
    <row r="1438" spans="1:7">
      <c r="A1438" s="120">
        <v>6156</v>
      </c>
      <c r="B1438" s="125" t="s">
        <v>4924</v>
      </c>
      <c r="C1438" s="125" t="s">
        <v>5614</v>
      </c>
      <c r="D1438" s="120">
        <v>6156</v>
      </c>
      <c r="E1438" s="60">
        <f>[1]!'6156.TW-PreClose'</f>
        <v>18.05</v>
      </c>
      <c r="F1438" s="141" t="str">
        <f>IFERROR(STOCKS!$E1438-STOCKS昨天!$E1438,"0")</f>
        <v>0</v>
      </c>
      <c r="G1438" s="63">
        <f t="shared" si="22"/>
        <v>0</v>
      </c>
    </row>
    <row r="1439" spans="1:7">
      <c r="A1439" s="120">
        <v>6158</v>
      </c>
      <c r="B1439" s="125" t="s">
        <v>4925</v>
      </c>
      <c r="C1439" s="125" t="s">
        <v>5614</v>
      </c>
      <c r="D1439" s="120">
        <v>6158</v>
      </c>
      <c r="E1439" s="60">
        <f>[1]!'6158.TW-PreClose'</f>
        <v>33.299999999999997</v>
      </c>
      <c r="F1439" s="141" t="str">
        <f>IFERROR(STOCKS!$E1439-STOCKS昨天!$E1439,"0")</f>
        <v>0</v>
      </c>
      <c r="G1439" s="63">
        <f t="shared" si="22"/>
        <v>0</v>
      </c>
    </row>
    <row r="1440" spans="1:7">
      <c r="A1440" s="120">
        <v>6173</v>
      </c>
      <c r="B1440" s="125" t="s">
        <v>4926</v>
      </c>
      <c r="C1440" s="125" t="s">
        <v>5614</v>
      </c>
      <c r="D1440" s="120">
        <v>6173</v>
      </c>
      <c r="E1440" s="60">
        <f>[1]!'6173.TW-PreClose'</f>
        <v>63</v>
      </c>
      <c r="F1440" s="141" t="str">
        <f>IFERROR(STOCKS!$E1440-STOCKS昨天!$E1440,"0")</f>
        <v>0</v>
      </c>
      <c r="G1440" s="63">
        <f t="shared" si="22"/>
        <v>0</v>
      </c>
    </row>
    <row r="1441" spans="1:7">
      <c r="A1441" s="120">
        <v>6174</v>
      </c>
      <c r="B1441" s="125" t="s">
        <v>4927</v>
      </c>
      <c r="C1441" s="125" t="s">
        <v>5614</v>
      </c>
      <c r="D1441" s="120">
        <v>6174</v>
      </c>
      <c r="E1441" s="60">
        <f>[1]!'6174.TW-PreClose'</f>
        <v>32.5</v>
      </c>
      <c r="F1441" s="141" t="str">
        <f>IFERROR(STOCKS!$E1441-STOCKS昨天!$E1441,"0")</f>
        <v>0</v>
      </c>
      <c r="G1441" s="63">
        <f t="shared" si="22"/>
        <v>0</v>
      </c>
    </row>
    <row r="1442" spans="1:7">
      <c r="A1442" s="120">
        <v>6175</v>
      </c>
      <c r="B1442" s="125" t="s">
        <v>4928</v>
      </c>
      <c r="C1442" s="125" t="s">
        <v>5614</v>
      </c>
      <c r="D1442" s="120">
        <v>6175</v>
      </c>
      <c r="E1442" s="60" t="str">
        <f>[1]!'6175.TW-PreClose'</f>
        <v>--</v>
      </c>
      <c r="F1442" s="141" t="str">
        <f>IFERROR(STOCKS!$E1442-STOCKS昨天!$E1442,"0")</f>
        <v>0</v>
      </c>
      <c r="G1442" s="63" t="str">
        <f t="shared" si="22"/>
        <v>0</v>
      </c>
    </row>
    <row r="1443" spans="1:7">
      <c r="A1443" s="120">
        <v>6185</v>
      </c>
      <c r="B1443" s="125" t="s">
        <v>4929</v>
      </c>
      <c r="C1443" s="125" t="s">
        <v>5614</v>
      </c>
      <c r="D1443" s="120">
        <v>6185</v>
      </c>
      <c r="E1443" s="60">
        <f>[1]!'6185.TW-PreClose'</f>
        <v>13.25</v>
      </c>
      <c r="F1443" s="141" t="str">
        <f>IFERROR(STOCKS!$E1443-STOCKS昨天!$E1443,"0")</f>
        <v>0</v>
      </c>
      <c r="G1443" s="63">
        <f t="shared" si="22"/>
        <v>0</v>
      </c>
    </row>
    <row r="1444" spans="1:7">
      <c r="A1444" s="120">
        <v>6194</v>
      </c>
      <c r="B1444" s="125" t="s">
        <v>4930</v>
      </c>
      <c r="C1444" s="125" t="s">
        <v>5614</v>
      </c>
      <c r="D1444" s="120">
        <v>6194</v>
      </c>
      <c r="E1444" s="60">
        <f>[1]!'6194.TW-PreClose'</f>
        <v>25.05</v>
      </c>
      <c r="F1444" s="141" t="str">
        <f>IFERROR(STOCKS!$E1444-STOCKS昨天!$E1444,"0")</f>
        <v>0</v>
      </c>
      <c r="G1444" s="63">
        <f t="shared" si="22"/>
        <v>0</v>
      </c>
    </row>
    <row r="1445" spans="1:7">
      <c r="A1445" s="120">
        <v>6203</v>
      </c>
      <c r="B1445" s="125" t="s">
        <v>4931</v>
      </c>
      <c r="C1445" s="125" t="s">
        <v>5614</v>
      </c>
      <c r="D1445" s="120">
        <v>6203</v>
      </c>
      <c r="E1445" s="60">
        <f>[1]!'6203.TW-PreClose'</f>
        <v>83.6</v>
      </c>
      <c r="F1445" s="141" t="str">
        <f>IFERROR(STOCKS!$E1445-STOCKS昨天!$E1445,"0")</f>
        <v>0</v>
      </c>
      <c r="G1445" s="63">
        <f t="shared" si="22"/>
        <v>0</v>
      </c>
    </row>
    <row r="1446" spans="1:7">
      <c r="A1446" s="120">
        <v>6204</v>
      </c>
      <c r="B1446" s="125" t="s">
        <v>4932</v>
      </c>
      <c r="C1446" s="125" t="s">
        <v>5614</v>
      </c>
      <c r="D1446" s="120">
        <v>6204</v>
      </c>
      <c r="E1446" s="60" t="str">
        <f>[1]!'6204.TW-PreClose'</f>
        <v>--</v>
      </c>
      <c r="F1446" s="141" t="str">
        <f>IFERROR(STOCKS!$E1446-STOCKS昨天!$E1446,"0")</f>
        <v>0</v>
      </c>
      <c r="G1446" s="63" t="str">
        <f t="shared" si="22"/>
        <v>0</v>
      </c>
    </row>
    <row r="1447" spans="1:7">
      <c r="A1447" s="120">
        <v>6207</v>
      </c>
      <c r="B1447" s="125" t="s">
        <v>4933</v>
      </c>
      <c r="C1447" s="125" t="s">
        <v>5614</v>
      </c>
      <c r="D1447" s="120">
        <v>6207</v>
      </c>
      <c r="E1447" s="60" t="str">
        <f>[1]!'6207.TW-PreClose'</f>
        <v>--</v>
      </c>
      <c r="F1447" s="141" t="str">
        <f>IFERROR(STOCKS!$E1447-STOCKS昨天!$E1447,"0")</f>
        <v>0</v>
      </c>
      <c r="G1447" s="63" t="str">
        <f t="shared" si="22"/>
        <v>0</v>
      </c>
    </row>
    <row r="1448" spans="1:7">
      <c r="A1448" s="120">
        <v>6208</v>
      </c>
      <c r="B1448" s="125" t="s">
        <v>4934</v>
      </c>
      <c r="C1448" s="125" t="s">
        <v>5614</v>
      </c>
      <c r="D1448" s="120">
        <v>6208</v>
      </c>
      <c r="E1448" s="60">
        <f>[1]!'6208.TW-PreClose'</f>
        <v>52.5</v>
      </c>
      <c r="F1448" s="141">
        <f>IFERROR(STOCKS!$E1448-STOCKS昨天!$E1448,"0")</f>
        <v>0.5</v>
      </c>
      <c r="G1448" s="63">
        <f t="shared" si="22"/>
        <v>9.5238095238095247E-3</v>
      </c>
    </row>
    <row r="1449" spans="1:7">
      <c r="A1449" s="120">
        <v>6210</v>
      </c>
      <c r="B1449" s="125" t="s">
        <v>4935</v>
      </c>
      <c r="C1449" s="125" t="s">
        <v>5614</v>
      </c>
      <c r="D1449" s="120">
        <v>6210</v>
      </c>
      <c r="E1449" s="60">
        <f>[1]!'6210.TW-PreClose'</f>
        <v>40.65</v>
      </c>
      <c r="F1449" s="141" t="str">
        <f>IFERROR(STOCKS!$E1449-STOCKS昨天!$E1449,"0")</f>
        <v>0</v>
      </c>
      <c r="G1449" s="63">
        <f t="shared" si="22"/>
        <v>0</v>
      </c>
    </row>
    <row r="1450" spans="1:7">
      <c r="A1450" s="120">
        <v>6217</v>
      </c>
      <c r="B1450" s="125" t="s">
        <v>4936</v>
      </c>
      <c r="C1450" s="125" t="s">
        <v>5614</v>
      </c>
      <c r="D1450" s="120">
        <v>6217</v>
      </c>
      <c r="E1450" s="60">
        <f>[1]!'6217.TW-PreClose'</f>
        <v>55</v>
      </c>
      <c r="F1450" s="141" t="str">
        <f>IFERROR(STOCKS!$E1450-STOCKS昨天!$E1450,"0")</f>
        <v>0</v>
      </c>
      <c r="G1450" s="63">
        <f t="shared" si="22"/>
        <v>0</v>
      </c>
    </row>
    <row r="1451" spans="1:7">
      <c r="A1451" s="120">
        <v>6220</v>
      </c>
      <c r="B1451" s="125" t="s">
        <v>4937</v>
      </c>
      <c r="C1451" s="125" t="s">
        <v>5614</v>
      </c>
      <c r="D1451" s="120">
        <v>6220</v>
      </c>
      <c r="E1451" s="60" t="str">
        <f>[1]!'6220.TW-PreClose'</f>
        <v>--</v>
      </c>
      <c r="F1451" s="141" t="str">
        <f>IFERROR(STOCKS!$E1451-STOCKS昨天!$E1451,"0")</f>
        <v>0</v>
      </c>
      <c r="G1451" s="63" t="str">
        <f t="shared" si="22"/>
        <v>0</v>
      </c>
    </row>
    <row r="1452" spans="1:7">
      <c r="A1452" s="120">
        <v>6259</v>
      </c>
      <c r="B1452" s="125" t="s">
        <v>4938</v>
      </c>
      <c r="C1452" s="125" t="s">
        <v>5614</v>
      </c>
      <c r="D1452" s="120">
        <v>6259</v>
      </c>
      <c r="E1452" s="60">
        <f>[1]!'6259.TW-PreClose'</f>
        <v>33.5</v>
      </c>
      <c r="F1452" s="141" t="str">
        <f>IFERROR(STOCKS!$E1452-STOCKS昨天!$E1452,"0")</f>
        <v>0</v>
      </c>
      <c r="G1452" s="63">
        <f t="shared" si="22"/>
        <v>0</v>
      </c>
    </row>
    <row r="1453" spans="1:7">
      <c r="A1453" s="120">
        <v>6266</v>
      </c>
      <c r="B1453" s="125" t="s">
        <v>4939</v>
      </c>
      <c r="C1453" s="125" t="s">
        <v>5614</v>
      </c>
      <c r="D1453" s="120">
        <v>6266</v>
      </c>
      <c r="E1453" s="60">
        <f>[1]!'6266.TW-PreClose'</f>
        <v>19.649999999999999</v>
      </c>
      <c r="F1453" s="141">
        <f>IFERROR(STOCKS!$E1453-STOCKS昨天!$E1453,"0")</f>
        <v>0.15000000000000213</v>
      </c>
      <c r="G1453" s="63">
        <f t="shared" si="22"/>
        <v>7.633587786259651E-3</v>
      </c>
    </row>
    <row r="1454" spans="1:7">
      <c r="A1454" s="120">
        <v>6274</v>
      </c>
      <c r="B1454" s="125" t="s">
        <v>4940</v>
      </c>
      <c r="C1454" s="125" t="s">
        <v>5614</v>
      </c>
      <c r="D1454" s="120">
        <v>6274</v>
      </c>
      <c r="E1454" s="60">
        <f>[1]!'6274.TW-PreClose'</f>
        <v>100.5</v>
      </c>
      <c r="F1454" s="141" t="str">
        <f>IFERROR(STOCKS!$E1454-STOCKS昨天!$E1454,"0")</f>
        <v>0</v>
      </c>
      <c r="G1454" s="63">
        <f t="shared" si="22"/>
        <v>0</v>
      </c>
    </row>
    <row r="1455" spans="1:7">
      <c r="A1455" s="120">
        <v>6275</v>
      </c>
      <c r="B1455" s="125" t="s">
        <v>5035</v>
      </c>
      <c r="C1455" s="125" t="s">
        <v>5614</v>
      </c>
      <c r="D1455" s="120">
        <v>6275</v>
      </c>
      <c r="E1455" s="60">
        <f>[1]!'6275.TW-PreClose'</f>
        <v>31.8</v>
      </c>
      <c r="F1455" s="141">
        <f>IFERROR(STOCKS!$E1455-STOCKS昨天!$E1455,"0")</f>
        <v>0.19999999999999929</v>
      </c>
      <c r="G1455" s="63">
        <f t="shared" si="22"/>
        <v>6.2893081761006067E-3</v>
      </c>
    </row>
    <row r="1456" spans="1:7">
      <c r="A1456" s="120">
        <v>6279</v>
      </c>
      <c r="B1456" s="125" t="s">
        <v>4941</v>
      </c>
      <c r="C1456" s="125" t="s">
        <v>5614</v>
      </c>
      <c r="D1456" s="120">
        <v>6279</v>
      </c>
      <c r="E1456" s="60" t="str">
        <f>[1]!'6279.TW-PreClose'</f>
        <v>--</v>
      </c>
      <c r="F1456" s="141" t="str">
        <f>IFERROR(STOCKS!$E1456-STOCKS昨天!$E1456,"0")</f>
        <v>0</v>
      </c>
      <c r="G1456" s="63" t="str">
        <f t="shared" si="22"/>
        <v>0</v>
      </c>
    </row>
    <row r="1457" spans="1:7">
      <c r="A1457" s="120">
        <v>6284</v>
      </c>
      <c r="B1457" s="125" t="s">
        <v>4942</v>
      </c>
      <c r="C1457" s="125" t="s">
        <v>5614</v>
      </c>
      <c r="D1457" s="120">
        <v>6284</v>
      </c>
      <c r="E1457" s="60">
        <f>[1]!'6284.TW-PreClose'</f>
        <v>64.3</v>
      </c>
      <c r="F1457" s="141">
        <f>IFERROR(STOCKS!$E1457-STOCKS昨天!$E1457,"0")</f>
        <v>-9.9999999999994316E-2</v>
      </c>
      <c r="G1457" s="63">
        <f t="shared" si="22"/>
        <v>-1.5552099533436131E-3</v>
      </c>
    </row>
    <row r="1458" spans="1:7">
      <c r="A1458" s="120">
        <v>6290</v>
      </c>
      <c r="B1458" s="125" t="s">
        <v>4943</v>
      </c>
      <c r="C1458" s="125" t="s">
        <v>5614</v>
      </c>
      <c r="D1458" s="120">
        <v>6290</v>
      </c>
      <c r="E1458" s="60">
        <f>[1]!'6290.TW-PreClose'</f>
        <v>53</v>
      </c>
      <c r="F1458" s="141" t="str">
        <f>IFERROR(STOCKS!$E1458-STOCKS昨天!$E1458,"0")</f>
        <v>0</v>
      </c>
      <c r="G1458" s="63">
        <f t="shared" si="22"/>
        <v>0</v>
      </c>
    </row>
    <row r="1459" spans="1:7">
      <c r="A1459" s="120">
        <v>6292</v>
      </c>
      <c r="B1459" s="125" t="s">
        <v>4944</v>
      </c>
      <c r="C1459" s="125" t="s">
        <v>5614</v>
      </c>
      <c r="D1459" s="120">
        <v>6292</v>
      </c>
      <c r="E1459" s="60" t="str">
        <f>[1]!'6292.TW-PreClose'</f>
        <v>--</v>
      </c>
      <c r="F1459" s="141" t="str">
        <f>IFERROR(STOCKS!$E1459-STOCKS昨天!$E1459,"0")</f>
        <v>0</v>
      </c>
      <c r="G1459" s="63" t="str">
        <f t="shared" si="22"/>
        <v>0</v>
      </c>
    </row>
    <row r="1460" spans="1:7">
      <c r="A1460" s="120">
        <v>6418</v>
      </c>
      <c r="B1460" s="125" t="s">
        <v>4945</v>
      </c>
      <c r="C1460" s="125" t="s">
        <v>5614</v>
      </c>
      <c r="D1460" s="120">
        <v>6418</v>
      </c>
      <c r="E1460" s="60">
        <f>[1]!'6418.TW-PreClose'</f>
        <v>24.45</v>
      </c>
      <c r="F1460" s="141" t="str">
        <f>IFERROR(STOCKS!$E1460-STOCKS昨天!$E1460,"0")</f>
        <v>0</v>
      </c>
      <c r="G1460" s="63">
        <f t="shared" si="22"/>
        <v>0</v>
      </c>
    </row>
    <row r="1461" spans="1:7">
      <c r="A1461" s="120">
        <v>6432</v>
      </c>
      <c r="B1461" s="125" t="s">
        <v>4946</v>
      </c>
      <c r="C1461" s="125" t="s">
        <v>5614</v>
      </c>
      <c r="D1461" s="120">
        <v>6432</v>
      </c>
      <c r="E1461" s="60" t="str">
        <f>[1]!'6432.TW-PreClose'</f>
        <v>--</v>
      </c>
      <c r="F1461" s="141" t="str">
        <f>IFERROR(STOCKS!$E1461-STOCKS昨天!$E1461,"0")</f>
        <v>0</v>
      </c>
      <c r="G1461" s="63" t="str">
        <f t="shared" si="22"/>
        <v>0</v>
      </c>
    </row>
    <row r="1462" spans="1:7">
      <c r="A1462" s="120">
        <v>6538</v>
      </c>
      <c r="B1462" s="125" t="s">
        <v>3608</v>
      </c>
      <c r="C1462" s="125" t="s">
        <v>5614</v>
      </c>
      <c r="D1462" s="120">
        <v>6538</v>
      </c>
      <c r="E1462" s="60">
        <f>[1]!'6538.TW-PreClose'</f>
        <v>73.8</v>
      </c>
      <c r="F1462" s="141" t="str">
        <f>IFERROR(STOCKS!$E1462-STOCKS昨天!$E1462,"0")</f>
        <v>0</v>
      </c>
      <c r="G1462" s="63">
        <f t="shared" si="22"/>
        <v>0</v>
      </c>
    </row>
    <row r="1463" spans="1:7">
      <c r="A1463" s="120">
        <v>6642</v>
      </c>
      <c r="B1463" s="125" t="s">
        <v>4947</v>
      </c>
      <c r="C1463" s="125" t="s">
        <v>5614</v>
      </c>
      <c r="D1463" s="120">
        <v>6642</v>
      </c>
      <c r="E1463" s="60">
        <f>[1]!'6642.TW-PreClose'</f>
        <v>69</v>
      </c>
      <c r="F1463" s="141" t="str">
        <f>IFERROR(STOCKS!$E1463-STOCKS昨天!$E1463,"0")</f>
        <v>0</v>
      </c>
      <c r="G1463" s="63">
        <f t="shared" si="22"/>
        <v>0</v>
      </c>
    </row>
    <row r="1464" spans="1:7">
      <c r="A1464" s="120">
        <v>6664</v>
      </c>
      <c r="B1464" s="125" t="s">
        <v>4948</v>
      </c>
      <c r="C1464" s="125" t="s">
        <v>5614</v>
      </c>
      <c r="D1464" s="120">
        <v>6664</v>
      </c>
      <c r="E1464" s="60">
        <f>[1]!'6664.TW-PreClose'</f>
        <v>65</v>
      </c>
      <c r="F1464" s="141" t="str">
        <f>IFERROR(STOCKS!$E1464-STOCKS昨天!$E1464,"0")</f>
        <v>0</v>
      </c>
      <c r="G1464" s="63">
        <f t="shared" si="22"/>
        <v>0</v>
      </c>
    </row>
    <row r="1465" spans="1:7">
      <c r="A1465" s="120">
        <v>6727</v>
      </c>
      <c r="B1465" s="125" t="s">
        <v>4949</v>
      </c>
      <c r="C1465" s="125" t="s">
        <v>5614</v>
      </c>
      <c r="D1465" s="120">
        <v>6727</v>
      </c>
      <c r="E1465" s="60">
        <f>[1]!'6727.TW-PreClose'</f>
        <v>68.2</v>
      </c>
      <c r="F1465" s="141" t="str">
        <f>IFERROR(STOCKS!$E1465-STOCKS昨天!$E1465,"0")</f>
        <v>0</v>
      </c>
      <c r="G1465" s="63">
        <f t="shared" si="22"/>
        <v>0</v>
      </c>
    </row>
    <row r="1466" spans="1:7">
      <c r="A1466" s="120">
        <v>8038</v>
      </c>
      <c r="B1466" s="125" t="s">
        <v>4950</v>
      </c>
      <c r="C1466" s="125" t="s">
        <v>5614</v>
      </c>
      <c r="D1466" s="120">
        <v>8038</v>
      </c>
      <c r="E1466" s="60">
        <f>[1]!'8038.TW-PreClose'</f>
        <v>37.1</v>
      </c>
      <c r="F1466" s="141" t="str">
        <f>IFERROR(STOCKS!$E1466-STOCKS昨天!$E1466,"0")</f>
        <v>0</v>
      </c>
      <c r="G1466" s="63">
        <f t="shared" si="22"/>
        <v>0</v>
      </c>
    </row>
    <row r="1467" spans="1:7">
      <c r="A1467" s="120">
        <v>8042</v>
      </c>
      <c r="B1467" s="125" t="s">
        <v>4951</v>
      </c>
      <c r="C1467" s="125" t="s">
        <v>5614</v>
      </c>
      <c r="D1467" s="120">
        <v>8042</v>
      </c>
      <c r="E1467" s="60">
        <f>[1]!'8042.TW-PreClose'</f>
        <v>46.2</v>
      </c>
      <c r="F1467" s="141" t="str">
        <f>IFERROR(STOCKS!$E1467-STOCKS昨天!$E1467,"0")</f>
        <v>0</v>
      </c>
      <c r="G1467" s="63">
        <f t="shared" si="22"/>
        <v>0</v>
      </c>
    </row>
    <row r="1468" spans="1:7">
      <c r="A1468" s="120">
        <v>8043</v>
      </c>
      <c r="B1468" s="125" t="s">
        <v>4952</v>
      </c>
      <c r="C1468" s="125" t="s">
        <v>5614</v>
      </c>
      <c r="D1468" s="120">
        <v>8043</v>
      </c>
      <c r="E1468" s="60" t="str">
        <f>[1]!'8043.TW-PreClose'</f>
        <v>--</v>
      </c>
      <c r="F1468" s="141" t="str">
        <f>IFERROR(STOCKS!$E1468-STOCKS昨天!$E1468,"0")</f>
        <v>0</v>
      </c>
      <c r="G1468" s="63" t="str">
        <f t="shared" si="22"/>
        <v>0</v>
      </c>
    </row>
    <row r="1469" spans="1:7">
      <c r="A1469" s="120">
        <v>8071</v>
      </c>
      <c r="B1469" s="125" t="s">
        <v>4953</v>
      </c>
      <c r="C1469" s="125" t="s">
        <v>5614</v>
      </c>
      <c r="D1469" s="120">
        <v>8071</v>
      </c>
      <c r="E1469" s="60">
        <f>[1]!'8071.TW-PreClose'</f>
        <v>12.4</v>
      </c>
      <c r="F1469" s="141" t="str">
        <f>IFERROR(STOCKS!$E1469-STOCKS昨天!$E1469,"0")</f>
        <v>0</v>
      </c>
      <c r="G1469" s="63">
        <f t="shared" si="22"/>
        <v>0</v>
      </c>
    </row>
    <row r="1470" spans="1:7">
      <c r="A1470" s="120">
        <v>8074</v>
      </c>
      <c r="B1470" s="125" t="s">
        <v>4954</v>
      </c>
      <c r="C1470" s="125" t="s">
        <v>5614</v>
      </c>
      <c r="D1470" s="120">
        <v>8074</v>
      </c>
      <c r="E1470" s="60">
        <f>[1]!'8074.TW-PreClose'</f>
        <v>19.3</v>
      </c>
      <c r="F1470" s="141" t="str">
        <f>IFERROR(STOCKS!$E1470-STOCKS昨天!$E1470,"0")</f>
        <v>0</v>
      </c>
      <c r="G1470" s="63">
        <f t="shared" si="22"/>
        <v>0</v>
      </c>
    </row>
    <row r="1471" spans="1:7">
      <c r="A1471" s="120">
        <v>8080</v>
      </c>
      <c r="B1471" s="125" t="s">
        <v>5538</v>
      </c>
      <c r="C1471" s="125" t="s">
        <v>5614</v>
      </c>
      <c r="D1471" s="120">
        <v>8080</v>
      </c>
      <c r="E1471" s="60" t="str">
        <f>[1]!'8080.TW-PreClose'</f>
        <v>--</v>
      </c>
      <c r="F1471" s="141" t="str">
        <f>IFERROR(STOCKS!$E1471-STOCKS昨天!$E1471,"0")</f>
        <v>0</v>
      </c>
      <c r="G1471" s="63" t="str">
        <f t="shared" si="22"/>
        <v>0</v>
      </c>
    </row>
    <row r="1472" spans="1:7">
      <c r="A1472" s="120">
        <v>8091</v>
      </c>
      <c r="B1472" s="125" t="s">
        <v>4955</v>
      </c>
      <c r="C1472" s="125" t="s">
        <v>5614</v>
      </c>
      <c r="D1472" s="120">
        <v>8091</v>
      </c>
      <c r="E1472" s="60" t="str">
        <f>[1]!'8091.TW-PreClose'</f>
        <v>--</v>
      </c>
      <c r="F1472" s="141" t="str">
        <f>IFERROR(STOCKS!$E1472-STOCKS昨天!$E1472,"0")</f>
        <v>0</v>
      </c>
      <c r="G1472" s="63" t="str">
        <f t="shared" si="22"/>
        <v>0</v>
      </c>
    </row>
    <row r="1473" spans="1:7">
      <c r="A1473" s="120">
        <v>8093</v>
      </c>
      <c r="B1473" s="125" t="s">
        <v>4956</v>
      </c>
      <c r="C1473" s="125" t="s">
        <v>5614</v>
      </c>
      <c r="D1473" s="120">
        <v>8093</v>
      </c>
      <c r="E1473" s="60" t="str">
        <f>[1]!'8093.TW-PreClose'</f>
        <v>--</v>
      </c>
      <c r="F1473" s="141" t="str">
        <f>IFERROR(STOCKS!$E1473-STOCKS昨天!$E1473,"0")</f>
        <v>0</v>
      </c>
      <c r="G1473" s="63" t="str">
        <f t="shared" si="22"/>
        <v>0</v>
      </c>
    </row>
    <row r="1474" spans="1:7">
      <c r="A1474" s="120">
        <v>8109</v>
      </c>
      <c r="B1474" s="125" t="s">
        <v>4957</v>
      </c>
      <c r="C1474" s="125" t="s">
        <v>5614</v>
      </c>
      <c r="D1474" s="120">
        <v>8109</v>
      </c>
      <c r="E1474" s="60">
        <f>[1]!'8109.TW-PreClose'</f>
        <v>71.8</v>
      </c>
      <c r="F1474" s="141" t="str">
        <f>IFERROR(STOCKS!$E1474-STOCKS昨天!$E1474,"0")</f>
        <v>0</v>
      </c>
      <c r="G1474" s="63">
        <f t="shared" si="22"/>
        <v>0</v>
      </c>
    </row>
    <row r="1475" spans="1:7">
      <c r="A1475" s="120">
        <v>8121</v>
      </c>
      <c r="B1475" s="125" t="s">
        <v>4958</v>
      </c>
      <c r="C1475" s="125" t="s">
        <v>5614</v>
      </c>
      <c r="D1475" s="120">
        <v>8121</v>
      </c>
      <c r="E1475" s="60" t="str">
        <f>[1]!'8121.TW-PreClose'</f>
        <v>--</v>
      </c>
      <c r="F1475" s="141" t="str">
        <f>IFERROR(STOCKS!$E1475-STOCKS昨天!$E1475,"0")</f>
        <v>0</v>
      </c>
      <c r="G1475" s="63" t="str">
        <f t="shared" ref="G1475:G1538" si="23">IFERROR($F1475/$E1475,"0")</f>
        <v>0</v>
      </c>
    </row>
    <row r="1476" spans="1:7">
      <c r="A1476" s="120">
        <v>8147</v>
      </c>
      <c r="B1476" s="125" t="s">
        <v>4959</v>
      </c>
      <c r="C1476" s="125" t="s">
        <v>5614</v>
      </c>
      <c r="D1476" s="120">
        <v>8147</v>
      </c>
      <c r="E1476" s="60" t="str">
        <f>[1]!'8147.TW-PreClose'</f>
        <v>--</v>
      </c>
      <c r="F1476" s="141" t="str">
        <f>IFERROR(STOCKS!$E1476-STOCKS昨天!$E1476,"0")</f>
        <v>0</v>
      </c>
      <c r="G1476" s="63" t="str">
        <f t="shared" si="23"/>
        <v>0</v>
      </c>
    </row>
    <row r="1477" spans="1:7">
      <c r="A1477" s="120">
        <v>8155</v>
      </c>
      <c r="B1477" s="125" t="s">
        <v>4960</v>
      </c>
      <c r="C1477" s="125" t="s">
        <v>5614</v>
      </c>
      <c r="D1477" s="120">
        <v>8155</v>
      </c>
      <c r="E1477" s="60">
        <f>[1]!'8155.TW-PreClose'</f>
        <v>141.5</v>
      </c>
      <c r="F1477" s="141" t="str">
        <f>IFERROR(STOCKS!$E1477-STOCKS昨天!$E1477,"0")</f>
        <v>0</v>
      </c>
      <c r="G1477" s="63">
        <f t="shared" si="23"/>
        <v>0</v>
      </c>
    </row>
    <row r="1478" spans="1:7">
      <c r="A1478" s="120">
        <v>8182</v>
      </c>
      <c r="B1478" s="125" t="s">
        <v>4961</v>
      </c>
      <c r="C1478" s="125" t="s">
        <v>5614</v>
      </c>
      <c r="D1478" s="120">
        <v>8182</v>
      </c>
      <c r="E1478" s="60" t="str">
        <f>[1]!'8182.TW-PreClose'</f>
        <v>--</v>
      </c>
      <c r="F1478" s="141" t="str">
        <f>IFERROR(STOCKS!$E1478-STOCKS昨天!$E1478,"0")</f>
        <v>0</v>
      </c>
      <c r="G1478" s="63" t="str">
        <f t="shared" si="23"/>
        <v>0</v>
      </c>
    </row>
    <row r="1479" spans="1:7">
      <c r="A1479" s="120">
        <v>8289</v>
      </c>
      <c r="B1479" s="125" t="s">
        <v>4962</v>
      </c>
      <c r="C1479" s="125" t="s">
        <v>5614</v>
      </c>
      <c r="D1479" s="120">
        <v>8289</v>
      </c>
      <c r="E1479" s="60">
        <f>[1]!'8289.TW-PreClose'</f>
        <v>37.15</v>
      </c>
      <c r="F1479" s="141">
        <f>IFERROR(STOCKS!$E1479-STOCKS昨天!$E1479,"0")</f>
        <v>5.0000000000004263E-2</v>
      </c>
      <c r="G1479" s="63">
        <f t="shared" si="23"/>
        <v>1.34589502018854E-3</v>
      </c>
    </row>
    <row r="1480" spans="1:7">
      <c r="A1480" s="120">
        <v>8291</v>
      </c>
      <c r="B1480" s="125" t="s">
        <v>4963</v>
      </c>
      <c r="C1480" s="125" t="s">
        <v>5614</v>
      </c>
      <c r="D1480" s="120">
        <v>8291</v>
      </c>
      <c r="E1480" s="60">
        <f>[1]!'8291.TW-PreClose'</f>
        <v>7.18</v>
      </c>
      <c r="F1480" s="141" t="str">
        <f>IFERROR(STOCKS!$E1480-STOCKS昨天!$E1480,"0")</f>
        <v>0</v>
      </c>
      <c r="G1480" s="63">
        <f t="shared" si="23"/>
        <v>0</v>
      </c>
    </row>
    <row r="1481" spans="1:7">
      <c r="A1481" s="120">
        <v>8358</v>
      </c>
      <c r="B1481" s="125" t="s">
        <v>3643</v>
      </c>
      <c r="C1481" s="125" t="s">
        <v>5614</v>
      </c>
      <c r="D1481" s="120">
        <v>8358</v>
      </c>
      <c r="E1481" s="60">
        <f>[1]!'8358.TW-PreClose'</f>
        <v>78.8</v>
      </c>
      <c r="F1481" s="141">
        <f>IFERROR(STOCKS!$E1481-STOCKS昨天!$E1481,"0")</f>
        <v>0</v>
      </c>
      <c r="G1481" s="63">
        <f t="shared" si="23"/>
        <v>0</v>
      </c>
    </row>
    <row r="1482" spans="1:7">
      <c r="A1482" s="120">
        <v>3224</v>
      </c>
      <c r="B1482" s="125" t="s">
        <v>4964</v>
      </c>
      <c r="C1482" s="125" t="s">
        <v>5616</v>
      </c>
      <c r="D1482" s="120">
        <v>3224</v>
      </c>
      <c r="E1482" s="60">
        <f>[1]!'3224.TW-PreClose'</f>
        <v>56.6</v>
      </c>
      <c r="F1482" s="141" t="str">
        <f>IFERROR(STOCKS!$E1482-STOCKS昨天!$E1482,"0")</f>
        <v>0</v>
      </c>
      <c r="G1482" s="63">
        <f t="shared" si="23"/>
        <v>0</v>
      </c>
    </row>
    <row r="1483" spans="1:7">
      <c r="A1483" s="120">
        <v>3232</v>
      </c>
      <c r="B1483" s="125" t="s">
        <v>4965</v>
      </c>
      <c r="C1483" s="125" t="s">
        <v>5616</v>
      </c>
      <c r="D1483" s="120">
        <v>3232</v>
      </c>
      <c r="E1483" s="60">
        <f>[1]!'3232.TW-PreClose'</f>
        <v>27.5</v>
      </c>
      <c r="F1483" s="141" t="str">
        <f>IFERROR(STOCKS!$E1483-STOCKS昨天!$E1483,"0")</f>
        <v>0</v>
      </c>
      <c r="G1483" s="63">
        <f t="shared" si="23"/>
        <v>0</v>
      </c>
    </row>
    <row r="1484" spans="1:7">
      <c r="A1484" s="120">
        <v>3360</v>
      </c>
      <c r="B1484" s="125" t="s">
        <v>4966</v>
      </c>
      <c r="C1484" s="125" t="s">
        <v>5616</v>
      </c>
      <c r="D1484" s="120">
        <v>3360</v>
      </c>
      <c r="E1484" s="60">
        <f>[1]!'3360.TW-PreClose'</f>
        <v>14.85</v>
      </c>
      <c r="F1484" s="141" t="str">
        <f>IFERROR(STOCKS!$E1484-STOCKS昨天!$E1484,"0")</f>
        <v>0</v>
      </c>
      <c r="G1484" s="63">
        <f t="shared" si="23"/>
        <v>0</v>
      </c>
    </row>
    <row r="1485" spans="1:7">
      <c r="A1485" s="120">
        <v>3444</v>
      </c>
      <c r="B1485" s="125" t="s">
        <v>4967</v>
      </c>
      <c r="C1485" s="125" t="s">
        <v>5616</v>
      </c>
      <c r="D1485" s="120">
        <v>3444</v>
      </c>
      <c r="E1485" s="60">
        <f>[1]!'3444.TW-PreClose'</f>
        <v>62</v>
      </c>
      <c r="F1485" s="141" t="str">
        <f>IFERROR(STOCKS!$E1485-STOCKS昨天!$E1485,"0")</f>
        <v>0</v>
      </c>
      <c r="G1485" s="63">
        <f t="shared" si="23"/>
        <v>0</v>
      </c>
    </row>
    <row r="1486" spans="1:7">
      <c r="A1486" s="120">
        <v>6113</v>
      </c>
      <c r="B1486" s="125" t="s">
        <v>4968</v>
      </c>
      <c r="C1486" s="125" t="s">
        <v>5616</v>
      </c>
      <c r="D1486" s="120">
        <v>6113</v>
      </c>
      <c r="E1486" s="60">
        <f>[1]!'6113.TW-PreClose'</f>
        <v>12.55</v>
      </c>
      <c r="F1486" s="141" t="str">
        <f>IFERROR(STOCKS!$E1486-STOCKS昨天!$E1486,"0")</f>
        <v>0</v>
      </c>
      <c r="G1486" s="63">
        <f t="shared" si="23"/>
        <v>0</v>
      </c>
    </row>
    <row r="1487" spans="1:7">
      <c r="A1487" s="120">
        <v>6118</v>
      </c>
      <c r="B1487" s="125" t="s">
        <v>4969</v>
      </c>
      <c r="C1487" s="125" t="s">
        <v>5616</v>
      </c>
      <c r="D1487" s="120">
        <v>6118</v>
      </c>
      <c r="E1487" s="60" t="str">
        <f>[1]!'6118.TW-PreClose'</f>
        <v>--</v>
      </c>
      <c r="F1487" s="141" t="str">
        <f>IFERROR(STOCKS!$E1487-STOCKS昨天!$E1487,"0")</f>
        <v>0</v>
      </c>
      <c r="G1487" s="63" t="str">
        <f t="shared" si="23"/>
        <v>0</v>
      </c>
    </row>
    <row r="1488" spans="1:7">
      <c r="A1488" s="120">
        <v>6154</v>
      </c>
      <c r="B1488" s="125" t="s">
        <v>4970</v>
      </c>
      <c r="C1488" s="125" t="s">
        <v>5616</v>
      </c>
      <c r="D1488" s="120">
        <v>6154</v>
      </c>
      <c r="E1488" s="60" t="str">
        <f>[1]!'6154.TW-PreClose'</f>
        <v>--</v>
      </c>
      <c r="F1488" s="141" t="str">
        <f>IFERROR(STOCKS!$E1488-STOCKS昨天!$E1488,"0")</f>
        <v>0</v>
      </c>
      <c r="G1488" s="63" t="str">
        <f t="shared" si="23"/>
        <v>0</v>
      </c>
    </row>
    <row r="1489" spans="1:7">
      <c r="A1489" s="120">
        <v>6227</v>
      </c>
      <c r="B1489" s="125" t="s">
        <v>4971</v>
      </c>
      <c r="C1489" s="125" t="s">
        <v>5616</v>
      </c>
      <c r="D1489" s="120">
        <v>6227</v>
      </c>
      <c r="E1489" s="60">
        <f>[1]!'6227.TW-PreClose'</f>
        <v>36</v>
      </c>
      <c r="F1489" s="141" t="str">
        <f>IFERROR(STOCKS!$E1489-STOCKS昨天!$E1489,"0")</f>
        <v>0</v>
      </c>
      <c r="G1489" s="63">
        <f t="shared" si="23"/>
        <v>0</v>
      </c>
    </row>
    <row r="1490" spans="1:7">
      <c r="A1490" s="120">
        <v>6265</v>
      </c>
      <c r="B1490" s="125" t="s">
        <v>4972</v>
      </c>
      <c r="C1490" s="125" t="s">
        <v>5616</v>
      </c>
      <c r="D1490" s="120">
        <v>6265</v>
      </c>
      <c r="E1490" s="60">
        <f>[1]!'6265.TW-PreClose'</f>
        <v>15.4</v>
      </c>
      <c r="F1490" s="141">
        <f>IFERROR(STOCKS!$E1490-STOCKS昨天!$E1490,"0")</f>
        <v>9.9999999999999645E-2</v>
      </c>
      <c r="G1490" s="63">
        <f t="shared" si="23"/>
        <v>6.4935064935064705E-3</v>
      </c>
    </row>
    <row r="1491" spans="1:7">
      <c r="A1491" s="120">
        <v>6270</v>
      </c>
      <c r="B1491" s="125" t="s">
        <v>4973</v>
      </c>
      <c r="C1491" s="125" t="s">
        <v>5616</v>
      </c>
      <c r="D1491" s="120">
        <v>6270</v>
      </c>
      <c r="E1491" s="60">
        <f>[1]!'6270.TW-PreClose'</f>
        <v>22.7</v>
      </c>
      <c r="F1491" s="141" t="str">
        <f>IFERROR(STOCKS!$E1491-STOCKS昨天!$E1491,"0")</f>
        <v>0</v>
      </c>
      <c r="G1491" s="63">
        <f t="shared" si="23"/>
        <v>0</v>
      </c>
    </row>
    <row r="1492" spans="1:7">
      <c r="A1492" s="120">
        <v>8032</v>
      </c>
      <c r="B1492" s="125" t="s">
        <v>4974</v>
      </c>
      <c r="C1492" s="125" t="s">
        <v>5616</v>
      </c>
      <c r="D1492" s="120">
        <v>8032</v>
      </c>
      <c r="E1492" s="60">
        <f>[1]!'8032.TW-PreClose'</f>
        <v>28.65</v>
      </c>
      <c r="F1492" s="141" t="str">
        <f>IFERROR(STOCKS!$E1492-STOCKS昨天!$E1492,"0")</f>
        <v>0</v>
      </c>
      <c r="G1492" s="63">
        <f t="shared" si="23"/>
        <v>0</v>
      </c>
    </row>
    <row r="1493" spans="1:7">
      <c r="A1493" s="120">
        <v>8067</v>
      </c>
      <c r="B1493" s="125" t="s">
        <v>4975</v>
      </c>
      <c r="C1493" s="125" t="s">
        <v>5616</v>
      </c>
      <c r="D1493" s="120">
        <v>8067</v>
      </c>
      <c r="E1493" s="60">
        <f>[1]!'8067.TW-PreClose'</f>
        <v>9.24</v>
      </c>
      <c r="F1493" s="141" t="str">
        <f>IFERROR(STOCKS!$E1493-STOCKS昨天!$E1493,"0")</f>
        <v>0</v>
      </c>
      <c r="G1493" s="63">
        <f t="shared" si="23"/>
        <v>0</v>
      </c>
    </row>
    <row r="1494" spans="1:7">
      <c r="A1494" s="120">
        <v>8068</v>
      </c>
      <c r="B1494" s="125" t="s">
        <v>4976</v>
      </c>
      <c r="C1494" s="125" t="s">
        <v>5616</v>
      </c>
      <c r="D1494" s="120">
        <v>8068</v>
      </c>
      <c r="E1494" s="60">
        <f>[1]!'8068.TW-PreClose'</f>
        <v>26.35</v>
      </c>
      <c r="F1494" s="141" t="str">
        <f>IFERROR(STOCKS!$E1494-STOCKS昨天!$E1494,"0")</f>
        <v>0</v>
      </c>
      <c r="G1494" s="63">
        <f t="shared" si="23"/>
        <v>0</v>
      </c>
    </row>
    <row r="1495" spans="1:7">
      <c r="A1495" s="120">
        <v>8084</v>
      </c>
      <c r="B1495" s="125" t="s">
        <v>4977</v>
      </c>
      <c r="C1495" s="125" t="s">
        <v>5616</v>
      </c>
      <c r="D1495" s="120">
        <v>8084</v>
      </c>
      <c r="E1495" s="60" t="str">
        <f>[1]!'8084.TW-PreClose'</f>
        <v>--</v>
      </c>
      <c r="F1495" s="141" t="str">
        <f>IFERROR(STOCKS!$E1495-STOCKS昨天!$E1495,"0")</f>
        <v>0</v>
      </c>
      <c r="G1495" s="63" t="str">
        <f t="shared" si="23"/>
        <v>0</v>
      </c>
    </row>
    <row r="1496" spans="1:7">
      <c r="A1496" s="120">
        <v>8096</v>
      </c>
      <c r="B1496" s="125" t="s">
        <v>4978</v>
      </c>
      <c r="C1496" s="125" t="s">
        <v>5616</v>
      </c>
      <c r="D1496" s="120">
        <v>8096</v>
      </c>
      <c r="E1496" s="60">
        <f>[1]!'8096.TW-PreClose'</f>
        <v>13.35</v>
      </c>
      <c r="F1496" s="141" t="str">
        <f>IFERROR(STOCKS!$E1496-STOCKS昨天!$E1496,"0")</f>
        <v>0</v>
      </c>
      <c r="G1496" s="63">
        <f t="shared" si="23"/>
        <v>0</v>
      </c>
    </row>
    <row r="1497" spans="1:7">
      <c r="A1497" s="120">
        <v>3147</v>
      </c>
      <c r="B1497" s="125" t="s">
        <v>4979</v>
      </c>
      <c r="C1497" s="125" t="s">
        <v>5617</v>
      </c>
      <c r="D1497" s="120">
        <v>3147</v>
      </c>
      <c r="E1497" s="60">
        <f>[1]!'3147.TW-PreClose'</f>
        <v>51.4</v>
      </c>
      <c r="F1497" s="141" t="str">
        <f>IFERROR(STOCKS!$E1497-STOCKS昨天!$E1497,"0")</f>
        <v>0</v>
      </c>
      <c r="G1497" s="63">
        <f t="shared" si="23"/>
        <v>0</v>
      </c>
    </row>
    <row r="1498" spans="1:7">
      <c r="A1498" s="120">
        <v>3570</v>
      </c>
      <c r="B1498" s="125" t="s">
        <v>4980</v>
      </c>
      <c r="C1498" s="125" t="s">
        <v>5617</v>
      </c>
      <c r="D1498" s="120">
        <v>3570</v>
      </c>
      <c r="E1498" s="60">
        <f>[1]!'3570.TW-PreClose'</f>
        <v>77.900000000000006</v>
      </c>
      <c r="F1498" s="141" t="str">
        <f>IFERROR(STOCKS!$E1498-STOCKS昨天!$E1498,"0")</f>
        <v>0</v>
      </c>
      <c r="G1498" s="63">
        <f t="shared" si="23"/>
        <v>0</v>
      </c>
    </row>
    <row r="1499" spans="1:7">
      <c r="A1499" s="120">
        <v>4953</v>
      </c>
      <c r="B1499" s="125" t="s">
        <v>4981</v>
      </c>
      <c r="C1499" s="125" t="s">
        <v>5617</v>
      </c>
      <c r="D1499" s="120">
        <v>4953</v>
      </c>
      <c r="E1499" s="60" t="str">
        <f>[1]!'4953.TW-PreClose'</f>
        <v>--</v>
      </c>
      <c r="F1499" s="141" t="str">
        <f>IFERROR(STOCKS!$E1499-STOCKS昨天!$E1499,"0")</f>
        <v>0</v>
      </c>
      <c r="G1499" s="63" t="str">
        <f t="shared" si="23"/>
        <v>0</v>
      </c>
    </row>
    <row r="1500" spans="1:7">
      <c r="A1500" s="120">
        <v>5201</v>
      </c>
      <c r="B1500" s="125" t="s">
        <v>4982</v>
      </c>
      <c r="C1500" s="125" t="s">
        <v>5617</v>
      </c>
      <c r="D1500" s="120">
        <v>5201</v>
      </c>
      <c r="E1500" s="60">
        <f>[1]!'5201.TW-PreClose'</f>
        <v>25.95</v>
      </c>
      <c r="F1500" s="141" t="str">
        <f>IFERROR(STOCKS!$E1500-STOCKS昨天!$E1500,"0")</f>
        <v>0</v>
      </c>
      <c r="G1500" s="63">
        <f t="shared" si="23"/>
        <v>0</v>
      </c>
    </row>
    <row r="1501" spans="1:7">
      <c r="A1501" s="120">
        <v>5202</v>
      </c>
      <c r="B1501" s="125" t="s">
        <v>4983</v>
      </c>
      <c r="C1501" s="125" t="s">
        <v>5617</v>
      </c>
      <c r="D1501" s="120">
        <v>5202</v>
      </c>
      <c r="E1501" s="60" t="str">
        <f>[1]!'5202.TW-PreClose'</f>
        <v>--</v>
      </c>
      <c r="F1501" s="141" t="str">
        <f>IFERROR(STOCKS!$E1501-STOCKS昨天!$E1501,"0")</f>
        <v>0</v>
      </c>
      <c r="G1501" s="63" t="str">
        <f t="shared" si="23"/>
        <v>0</v>
      </c>
    </row>
    <row r="1502" spans="1:7">
      <c r="A1502" s="120">
        <v>5209</v>
      </c>
      <c r="B1502" s="125" t="s">
        <v>4984</v>
      </c>
      <c r="C1502" s="125" t="s">
        <v>5617</v>
      </c>
      <c r="D1502" s="120">
        <v>5209</v>
      </c>
      <c r="E1502" s="60">
        <f>[1]!'5209.TW-PreClose'</f>
        <v>69.8</v>
      </c>
      <c r="F1502" s="141" t="str">
        <f>IFERROR(STOCKS!$E1502-STOCKS昨天!$E1502,"0")</f>
        <v>0</v>
      </c>
      <c r="G1502" s="63">
        <f t="shared" si="23"/>
        <v>0</v>
      </c>
    </row>
    <row r="1503" spans="1:7">
      <c r="A1503" s="120">
        <v>5210</v>
      </c>
      <c r="B1503" s="125" t="s">
        <v>4985</v>
      </c>
      <c r="C1503" s="125" t="s">
        <v>5617</v>
      </c>
      <c r="D1503" s="120">
        <v>5210</v>
      </c>
      <c r="E1503" s="60">
        <f>[1]!'5210.TW-PreClose'</f>
        <v>21.7</v>
      </c>
      <c r="F1503" s="141" t="str">
        <f>IFERROR(STOCKS!$E1503-STOCKS昨天!$E1503,"0")</f>
        <v>0</v>
      </c>
      <c r="G1503" s="63">
        <f t="shared" si="23"/>
        <v>0</v>
      </c>
    </row>
    <row r="1504" spans="1:7">
      <c r="A1504" s="120">
        <v>5211</v>
      </c>
      <c r="B1504" s="125" t="s">
        <v>4986</v>
      </c>
      <c r="C1504" s="125" t="s">
        <v>5617</v>
      </c>
      <c r="D1504" s="120">
        <v>5211</v>
      </c>
      <c r="E1504" s="60">
        <f>[1]!'5211.TW-PreClose'</f>
        <v>21</v>
      </c>
      <c r="F1504" s="141" t="str">
        <f>IFERROR(STOCKS!$E1504-STOCKS昨天!$E1504,"0")</f>
        <v>0</v>
      </c>
      <c r="G1504" s="63">
        <f t="shared" si="23"/>
        <v>0</v>
      </c>
    </row>
    <row r="1505" spans="1:7">
      <c r="A1505" s="120">
        <v>5212</v>
      </c>
      <c r="B1505" s="125" t="s">
        <v>4987</v>
      </c>
      <c r="C1505" s="125" t="s">
        <v>5617</v>
      </c>
      <c r="D1505" s="120">
        <v>5212</v>
      </c>
      <c r="E1505" s="60" t="str">
        <f>[1]!'5212.TW-PreClose'</f>
        <v>--</v>
      </c>
      <c r="F1505" s="141" t="str">
        <f>IFERROR(STOCKS!$E1505-STOCKS昨天!$E1505,"0")</f>
        <v>0</v>
      </c>
      <c r="G1505" s="63" t="str">
        <f t="shared" si="23"/>
        <v>0</v>
      </c>
    </row>
    <row r="1506" spans="1:7">
      <c r="A1506" s="120">
        <v>5310</v>
      </c>
      <c r="B1506" s="125" t="s">
        <v>4988</v>
      </c>
      <c r="C1506" s="125" t="s">
        <v>5617</v>
      </c>
      <c r="D1506" s="120">
        <v>5310</v>
      </c>
      <c r="E1506" s="60" t="str">
        <f>[1]!'5310.TW-PreClose'</f>
        <v>--</v>
      </c>
      <c r="F1506" s="141" t="str">
        <f>IFERROR(STOCKS!$E1506-STOCKS昨天!$E1506,"0")</f>
        <v>0</v>
      </c>
      <c r="G1506" s="63" t="str">
        <f t="shared" si="23"/>
        <v>0</v>
      </c>
    </row>
    <row r="1507" spans="1:7">
      <c r="A1507" s="120">
        <v>5403</v>
      </c>
      <c r="B1507" s="125" t="s">
        <v>4989</v>
      </c>
      <c r="C1507" s="125" t="s">
        <v>5617</v>
      </c>
      <c r="D1507" s="120">
        <v>5403</v>
      </c>
      <c r="E1507" s="60" t="str">
        <f>[1]!'5403.TW-PreClose'</f>
        <v>--</v>
      </c>
      <c r="F1507" s="141" t="str">
        <f>IFERROR(STOCKS!$E1507-STOCKS昨天!$E1507,"0")</f>
        <v>0</v>
      </c>
      <c r="G1507" s="63" t="str">
        <f t="shared" si="23"/>
        <v>0</v>
      </c>
    </row>
    <row r="1508" spans="1:7">
      <c r="A1508" s="120">
        <v>5410</v>
      </c>
      <c r="B1508" s="125" t="s">
        <v>4990</v>
      </c>
      <c r="C1508" s="125" t="s">
        <v>5617</v>
      </c>
      <c r="D1508" s="120">
        <v>5410</v>
      </c>
      <c r="E1508" s="60">
        <f>[1]!'5410.TW-PreClose'</f>
        <v>24</v>
      </c>
      <c r="F1508" s="141" t="str">
        <f>IFERROR(STOCKS!$E1508-STOCKS昨天!$E1508,"0")</f>
        <v>0</v>
      </c>
      <c r="G1508" s="63">
        <f t="shared" si="23"/>
        <v>0</v>
      </c>
    </row>
    <row r="1509" spans="1:7">
      <c r="A1509" s="120">
        <v>6140</v>
      </c>
      <c r="B1509" s="125" t="s">
        <v>4991</v>
      </c>
      <c r="C1509" s="125" t="s">
        <v>5617</v>
      </c>
      <c r="D1509" s="120">
        <v>6140</v>
      </c>
      <c r="E1509" s="60">
        <f>[1]!'6140.TW-PreClose'</f>
        <v>23.1</v>
      </c>
      <c r="F1509" s="141" t="str">
        <f>IFERROR(STOCKS!$E1509-STOCKS昨天!$E1509,"0")</f>
        <v>0</v>
      </c>
      <c r="G1509" s="63">
        <f t="shared" si="23"/>
        <v>0</v>
      </c>
    </row>
    <row r="1510" spans="1:7">
      <c r="A1510" s="120">
        <v>6148</v>
      </c>
      <c r="B1510" s="125" t="s">
        <v>4992</v>
      </c>
      <c r="C1510" s="125" t="s">
        <v>5617</v>
      </c>
      <c r="D1510" s="120">
        <v>6148</v>
      </c>
      <c r="E1510" s="60">
        <f>[1]!'6148.TW-PreClose'</f>
        <v>13.95</v>
      </c>
      <c r="F1510" s="141" t="str">
        <f>IFERROR(STOCKS!$E1510-STOCKS昨天!$E1510,"0")</f>
        <v>0</v>
      </c>
      <c r="G1510" s="63">
        <f t="shared" si="23"/>
        <v>0</v>
      </c>
    </row>
    <row r="1511" spans="1:7">
      <c r="A1511" s="120">
        <v>6221</v>
      </c>
      <c r="B1511" s="125" t="s">
        <v>4993</v>
      </c>
      <c r="C1511" s="125" t="s">
        <v>5617</v>
      </c>
      <c r="D1511" s="120">
        <v>6221</v>
      </c>
      <c r="E1511" s="60" t="str">
        <f>[1]!'6221.TW-PreClose'</f>
        <v>--</v>
      </c>
      <c r="F1511" s="141" t="str">
        <f>IFERROR(STOCKS!$E1511-STOCKS昨天!$E1511,"0")</f>
        <v>0</v>
      </c>
      <c r="G1511" s="63" t="str">
        <f t="shared" si="23"/>
        <v>0</v>
      </c>
    </row>
    <row r="1512" spans="1:7">
      <c r="A1512" s="120">
        <v>6231</v>
      </c>
      <c r="B1512" s="125" t="s">
        <v>3644</v>
      </c>
      <c r="C1512" s="125" t="s">
        <v>5617</v>
      </c>
      <c r="D1512" s="120">
        <v>6231</v>
      </c>
      <c r="E1512" s="60" t="str">
        <f>[1]!'6231.TW-PreClose'</f>
        <v>--</v>
      </c>
      <c r="F1512" s="141" t="str">
        <f>IFERROR(STOCKS!$E1512-STOCKS昨天!$E1512,"0")</f>
        <v>0</v>
      </c>
      <c r="G1512" s="63" t="str">
        <f t="shared" si="23"/>
        <v>0</v>
      </c>
    </row>
    <row r="1513" spans="1:7">
      <c r="A1513" s="120">
        <v>6404</v>
      </c>
      <c r="B1513" s="125" t="s">
        <v>4995</v>
      </c>
      <c r="C1513" s="125" t="s">
        <v>5618</v>
      </c>
      <c r="D1513" s="120">
        <v>6404</v>
      </c>
      <c r="E1513" s="60">
        <f>[1]!'6404.TW-PreClose'</f>
        <v>21.8</v>
      </c>
      <c r="F1513" s="141" t="str">
        <f>IFERROR(STOCKS!$E1513-STOCKS昨天!$E1513,"0")</f>
        <v>0</v>
      </c>
      <c r="G1513" s="63">
        <f t="shared" si="23"/>
        <v>0</v>
      </c>
    </row>
    <row r="1514" spans="1:7">
      <c r="A1514" s="120">
        <v>6516</v>
      </c>
      <c r="B1514" s="125" t="s">
        <v>4996</v>
      </c>
      <c r="C1514" s="125" t="s">
        <v>5617</v>
      </c>
      <c r="D1514" s="120">
        <v>6516</v>
      </c>
      <c r="E1514" s="60">
        <f>[1]!'6516.TW-PreClose'</f>
        <v>99.9</v>
      </c>
      <c r="F1514" s="141" t="str">
        <f>IFERROR(STOCKS!$E1514-STOCKS昨天!$E1514,"0")</f>
        <v>0</v>
      </c>
      <c r="G1514" s="63">
        <f t="shared" si="23"/>
        <v>0</v>
      </c>
    </row>
    <row r="1515" spans="1:7">
      <c r="A1515" s="120">
        <v>6590</v>
      </c>
      <c r="B1515" s="125" t="s">
        <v>4997</v>
      </c>
      <c r="C1515" s="125" t="s">
        <v>5617</v>
      </c>
      <c r="D1515" s="120">
        <v>6590</v>
      </c>
      <c r="E1515" s="60" t="str">
        <f>[1]!'6590.TW-PreClose'</f>
        <v>--</v>
      </c>
      <c r="F1515" s="141" t="str">
        <f>IFERROR(STOCKS!$E1515-STOCKS昨天!$E1515,"0")</f>
        <v>0</v>
      </c>
      <c r="G1515" s="63" t="str">
        <f t="shared" si="23"/>
        <v>0</v>
      </c>
    </row>
    <row r="1516" spans="1:7">
      <c r="A1516" s="120">
        <v>6593</v>
      </c>
      <c r="B1516" s="125" t="s">
        <v>4998</v>
      </c>
      <c r="C1516" s="125" t="s">
        <v>5617</v>
      </c>
      <c r="D1516" s="120">
        <v>6593</v>
      </c>
      <c r="E1516" s="60">
        <f>[1]!'6593.TW-PreClose'</f>
        <v>27.35</v>
      </c>
      <c r="F1516" s="141" t="str">
        <f>IFERROR(STOCKS!$E1516-STOCKS昨天!$E1516,"0")</f>
        <v>0</v>
      </c>
      <c r="G1516" s="63">
        <f t="shared" si="23"/>
        <v>0</v>
      </c>
    </row>
    <row r="1517" spans="1:7">
      <c r="A1517" s="120">
        <v>6690</v>
      </c>
      <c r="B1517" s="125" t="s">
        <v>4999</v>
      </c>
      <c r="C1517" s="125" t="s">
        <v>5617</v>
      </c>
      <c r="D1517" s="120">
        <v>6690</v>
      </c>
      <c r="E1517" s="60">
        <f>[1]!'6690.TW-PreClose'</f>
        <v>121</v>
      </c>
      <c r="F1517" s="141" t="str">
        <f>IFERROR(STOCKS!$E1517-STOCKS昨天!$E1517,"0")</f>
        <v>0</v>
      </c>
      <c r="G1517" s="63">
        <f t="shared" si="23"/>
        <v>0</v>
      </c>
    </row>
    <row r="1518" spans="1:7">
      <c r="A1518" s="120">
        <v>6697</v>
      </c>
      <c r="B1518" s="125" t="s">
        <v>5000</v>
      </c>
      <c r="C1518" s="125" t="s">
        <v>5617</v>
      </c>
      <c r="D1518" s="120">
        <v>6697</v>
      </c>
      <c r="E1518" s="60" t="str">
        <f>[1]!'6697.TW-PreClose'</f>
        <v>--</v>
      </c>
      <c r="F1518" s="141" t="str">
        <f>IFERROR(STOCKS!$E1518-STOCKS昨天!$E1518,"0")</f>
        <v>0</v>
      </c>
      <c r="G1518" s="63" t="str">
        <f t="shared" si="23"/>
        <v>0</v>
      </c>
    </row>
    <row r="1519" spans="1:7">
      <c r="A1519" s="120">
        <v>6751</v>
      </c>
      <c r="B1519" s="125" t="s">
        <v>5001</v>
      </c>
      <c r="C1519" s="125" t="s">
        <v>5617</v>
      </c>
      <c r="D1519" s="120">
        <v>6751</v>
      </c>
      <c r="E1519" s="60">
        <f>[1]!'6751.TW-PreClose'</f>
        <v>51.2</v>
      </c>
      <c r="F1519" s="141" t="str">
        <f>IFERROR(STOCKS!$E1519-STOCKS昨天!$E1519,"0")</f>
        <v>0</v>
      </c>
      <c r="G1519" s="63">
        <f t="shared" si="23"/>
        <v>0</v>
      </c>
    </row>
    <row r="1520" spans="1:7">
      <c r="A1520" s="120">
        <v>6752</v>
      </c>
      <c r="B1520" s="125" t="s">
        <v>5002</v>
      </c>
      <c r="C1520" s="125" t="s">
        <v>5617</v>
      </c>
      <c r="D1520" s="120">
        <v>6752</v>
      </c>
      <c r="E1520" s="60">
        <f>[1]!'6752.TW-PreClose'</f>
        <v>62.4</v>
      </c>
      <c r="F1520" s="141" t="str">
        <f>IFERROR(STOCKS!$E1520-STOCKS昨天!$E1520,"0")</f>
        <v>0</v>
      </c>
      <c r="G1520" s="63">
        <f t="shared" si="23"/>
        <v>0</v>
      </c>
    </row>
    <row r="1521" spans="1:7">
      <c r="A1521" s="120">
        <v>8099</v>
      </c>
      <c r="B1521" s="125" t="s">
        <v>3603</v>
      </c>
      <c r="C1521" s="125" t="s">
        <v>5617</v>
      </c>
      <c r="D1521" s="120">
        <v>8099</v>
      </c>
      <c r="E1521" s="60">
        <f>[1]!'8099.TW-PreClose'</f>
        <v>41.4</v>
      </c>
      <c r="F1521" s="141" t="str">
        <f>IFERROR(STOCKS!$E1521-STOCKS昨天!$E1521,"0")</f>
        <v>0</v>
      </c>
      <c r="G1521" s="63">
        <f t="shared" si="23"/>
        <v>0</v>
      </c>
    </row>
    <row r="1522" spans="1:7">
      <c r="A1522" s="120">
        <v>8284</v>
      </c>
      <c r="B1522" s="125" t="s">
        <v>5003</v>
      </c>
      <c r="C1522" s="125" t="s">
        <v>5617</v>
      </c>
      <c r="D1522" s="120">
        <v>8284</v>
      </c>
      <c r="E1522" s="60" t="str">
        <f>[1]!'8284.TW-PreClose'</f>
        <v>--</v>
      </c>
      <c r="F1522" s="141" t="str">
        <f>IFERROR(STOCKS!$E1522-STOCKS昨天!$E1522,"0")</f>
        <v>0</v>
      </c>
      <c r="G1522" s="63" t="str">
        <f t="shared" si="23"/>
        <v>0</v>
      </c>
    </row>
    <row r="1523" spans="1:7">
      <c r="A1523" s="120">
        <v>8416</v>
      </c>
      <c r="B1523" s="125" t="s">
        <v>5004</v>
      </c>
      <c r="C1523" s="125" t="s">
        <v>5617</v>
      </c>
      <c r="D1523" s="120">
        <v>8416</v>
      </c>
      <c r="E1523" s="60" t="str">
        <f>[1]!'8416.TW-PreClose'</f>
        <v>--</v>
      </c>
      <c r="F1523" s="141" t="str">
        <f>IFERROR(STOCKS!$E1523-STOCKS昨天!$E1523,"0")</f>
        <v>0</v>
      </c>
      <c r="G1523" s="63" t="str">
        <f t="shared" si="23"/>
        <v>0</v>
      </c>
    </row>
    <row r="1524" spans="1:7">
      <c r="A1524" s="120">
        <v>1785</v>
      </c>
      <c r="B1524" s="125" t="s">
        <v>5005</v>
      </c>
      <c r="C1524" s="125" t="s">
        <v>5619</v>
      </c>
      <c r="D1524" s="120">
        <v>1785</v>
      </c>
      <c r="E1524" s="60">
        <f>[1]!'1785.TW-PreClose'</f>
        <v>51.4</v>
      </c>
      <c r="F1524" s="141" t="str">
        <f>IFERROR(STOCKS!$E1524-STOCKS昨天!$E1524,"0")</f>
        <v>0</v>
      </c>
      <c r="G1524" s="63">
        <f t="shared" si="23"/>
        <v>0</v>
      </c>
    </row>
    <row r="1525" spans="1:7">
      <c r="A1525" s="120">
        <v>3067</v>
      </c>
      <c r="B1525" s="125" t="s">
        <v>5006</v>
      </c>
      <c r="C1525" s="125" t="s">
        <v>5619</v>
      </c>
      <c r="D1525" s="120">
        <v>3067</v>
      </c>
      <c r="E1525" s="60">
        <f>[1]!'3067.TW-PreClose'</f>
        <v>27</v>
      </c>
      <c r="F1525" s="141" t="str">
        <f>IFERROR(STOCKS!$E1525-STOCKS昨天!$E1525,"0")</f>
        <v>0</v>
      </c>
      <c r="G1525" s="63">
        <f t="shared" si="23"/>
        <v>0</v>
      </c>
    </row>
    <row r="1526" spans="1:7">
      <c r="A1526" s="120">
        <v>3093</v>
      </c>
      <c r="B1526" s="125" t="s">
        <v>5007</v>
      </c>
      <c r="C1526" s="125" t="s">
        <v>5619</v>
      </c>
      <c r="D1526" s="120">
        <v>3093</v>
      </c>
      <c r="E1526" s="60" t="str">
        <f>[1]!'3093.TW-PreClose'</f>
        <v>--</v>
      </c>
      <c r="F1526" s="141" t="str">
        <f>IFERROR(STOCKS!$E1526-STOCKS昨天!$E1526,"0")</f>
        <v>0</v>
      </c>
      <c r="G1526" s="63" t="str">
        <f t="shared" si="23"/>
        <v>0</v>
      </c>
    </row>
    <row r="1527" spans="1:7">
      <c r="A1527" s="120">
        <v>3131</v>
      </c>
      <c r="B1527" s="125" t="s">
        <v>5008</v>
      </c>
      <c r="C1527" s="125" t="s">
        <v>5619</v>
      </c>
      <c r="D1527" s="120">
        <v>3131</v>
      </c>
      <c r="E1527" s="60">
        <f>[1]!'3131.TW-PreClose'</f>
        <v>373</v>
      </c>
      <c r="F1527" s="141" t="str">
        <f>IFERROR(STOCKS!$E1527-STOCKS昨天!$E1527,"0")</f>
        <v>0</v>
      </c>
      <c r="G1527" s="63">
        <f t="shared" si="23"/>
        <v>0</v>
      </c>
    </row>
    <row r="1528" spans="1:7">
      <c r="A1528" s="120">
        <v>3219</v>
      </c>
      <c r="B1528" s="125" t="s">
        <v>5507</v>
      </c>
      <c r="C1528" s="125" t="s">
        <v>5619</v>
      </c>
      <c r="D1528" s="120">
        <v>3219</v>
      </c>
      <c r="E1528" s="60">
        <f>[1]!'3219.TW-PreClose'</f>
        <v>92.8</v>
      </c>
      <c r="F1528" s="141" t="str">
        <f>IFERROR(STOCKS!$E1528-STOCKS昨天!$E1528,"0")</f>
        <v>0</v>
      </c>
      <c r="G1528" s="63">
        <f t="shared" si="23"/>
        <v>0</v>
      </c>
    </row>
    <row r="1529" spans="1:7">
      <c r="A1529" s="120">
        <v>3285</v>
      </c>
      <c r="B1529" s="125" t="s">
        <v>5009</v>
      </c>
      <c r="C1529" s="125" t="s">
        <v>5619</v>
      </c>
      <c r="D1529" s="120">
        <v>3285</v>
      </c>
      <c r="E1529" s="60">
        <f>[1]!'3285.TW-PreClose'</f>
        <v>20.45</v>
      </c>
      <c r="F1529" s="141" t="str">
        <f>IFERROR(STOCKS!$E1529-STOCKS昨天!$E1529,"0")</f>
        <v>0</v>
      </c>
      <c r="G1529" s="63">
        <f t="shared" si="23"/>
        <v>0</v>
      </c>
    </row>
    <row r="1530" spans="1:7">
      <c r="A1530" s="120">
        <v>3289</v>
      </c>
      <c r="B1530" s="125" t="s">
        <v>5010</v>
      </c>
      <c r="C1530" s="125" t="s">
        <v>5619</v>
      </c>
      <c r="D1530" s="120">
        <v>3289</v>
      </c>
      <c r="E1530" s="60">
        <f>[1]!'3289.TW-PreClose'</f>
        <v>56.7</v>
      </c>
      <c r="F1530" s="141" t="str">
        <f>IFERROR(STOCKS!$E1530-STOCKS昨天!$E1530,"0")</f>
        <v>0</v>
      </c>
      <c r="G1530" s="63">
        <f t="shared" si="23"/>
        <v>0</v>
      </c>
    </row>
    <row r="1531" spans="1:7">
      <c r="A1531" s="120">
        <v>3303</v>
      </c>
      <c r="B1531" s="125" t="s">
        <v>5011</v>
      </c>
      <c r="C1531" s="125" t="s">
        <v>5619</v>
      </c>
      <c r="D1531" s="120">
        <v>3303</v>
      </c>
      <c r="E1531" s="60">
        <f>[1]!'3303.TW-PreClose'</f>
        <v>26.35</v>
      </c>
      <c r="F1531" s="141" t="str">
        <f>IFERROR(STOCKS!$E1531-STOCKS昨天!$E1531,"0")</f>
        <v>0</v>
      </c>
      <c r="G1531" s="63">
        <f t="shared" si="23"/>
        <v>0</v>
      </c>
    </row>
    <row r="1532" spans="1:7">
      <c r="A1532" s="120">
        <v>3324</v>
      </c>
      <c r="B1532" s="125" t="s">
        <v>5012</v>
      </c>
      <c r="C1532" s="125" t="s">
        <v>5619</v>
      </c>
      <c r="D1532" s="120">
        <v>3324</v>
      </c>
      <c r="E1532" s="60">
        <f>[1]!'3324.TW-PreClose'</f>
        <v>185</v>
      </c>
      <c r="F1532" s="141" t="str">
        <f>IFERROR(STOCKS!$E1532-STOCKS昨天!$E1532,"0")</f>
        <v>0</v>
      </c>
      <c r="G1532" s="63">
        <f t="shared" si="23"/>
        <v>0</v>
      </c>
    </row>
    <row r="1533" spans="1:7">
      <c r="A1533" s="120">
        <v>3373</v>
      </c>
      <c r="B1533" s="125" t="s">
        <v>31</v>
      </c>
      <c r="C1533" s="125" t="s">
        <v>5619</v>
      </c>
      <c r="D1533" s="120">
        <v>3373</v>
      </c>
      <c r="E1533" s="60">
        <f>[1]!'3373.TW-PreClose'</f>
        <v>34.6</v>
      </c>
      <c r="F1533" s="141" t="str">
        <f>IFERROR(STOCKS!$E1533-STOCKS昨天!$E1533,"0")</f>
        <v>0</v>
      </c>
      <c r="G1533" s="63">
        <f t="shared" si="23"/>
        <v>0</v>
      </c>
    </row>
    <row r="1534" spans="1:7">
      <c r="A1534" s="120">
        <v>3402</v>
      </c>
      <c r="B1534" s="125" t="s">
        <v>5013</v>
      </c>
      <c r="C1534" s="125" t="s">
        <v>5619</v>
      </c>
      <c r="D1534" s="120">
        <v>3402</v>
      </c>
      <c r="E1534" s="60" t="str">
        <f>[1]!'3402.TW-PreClose'</f>
        <v>--</v>
      </c>
      <c r="F1534" s="141" t="str">
        <f>IFERROR(STOCKS!$E1534-STOCKS昨天!$E1534,"0")</f>
        <v>0</v>
      </c>
      <c r="G1534" s="63" t="str">
        <f t="shared" si="23"/>
        <v>0</v>
      </c>
    </row>
    <row r="1535" spans="1:7">
      <c r="A1535" s="120">
        <v>3498</v>
      </c>
      <c r="B1535" s="125" t="s">
        <v>5014</v>
      </c>
      <c r="C1535" s="125" t="s">
        <v>5619</v>
      </c>
      <c r="D1535" s="120">
        <v>3498</v>
      </c>
      <c r="E1535" s="60">
        <f>[1]!'3498.TW-PreClose'</f>
        <v>32.85</v>
      </c>
      <c r="F1535" s="141" t="str">
        <f>IFERROR(STOCKS!$E1535-STOCKS昨天!$E1535,"0")</f>
        <v>0</v>
      </c>
      <c r="G1535" s="63">
        <f t="shared" si="23"/>
        <v>0</v>
      </c>
    </row>
    <row r="1536" spans="1:7">
      <c r="A1536" s="120">
        <v>3508</v>
      </c>
      <c r="B1536" s="125" t="s">
        <v>5015</v>
      </c>
      <c r="C1536" s="125" t="s">
        <v>5619</v>
      </c>
      <c r="D1536" s="120">
        <v>3508</v>
      </c>
      <c r="E1536" s="60">
        <f>[1]!'3508.TW-PreClose'</f>
        <v>49</v>
      </c>
      <c r="F1536" s="141" t="str">
        <f>IFERROR(STOCKS!$E1536-STOCKS昨天!$E1536,"0")</f>
        <v>0</v>
      </c>
      <c r="G1536" s="63">
        <f t="shared" si="23"/>
        <v>0</v>
      </c>
    </row>
    <row r="1537" spans="1:7">
      <c r="A1537" s="120">
        <v>3541</v>
      </c>
      <c r="B1537" s="125" t="s">
        <v>5016</v>
      </c>
      <c r="C1537" s="125" t="s">
        <v>5619</v>
      </c>
      <c r="D1537" s="120">
        <v>3541</v>
      </c>
      <c r="E1537" s="60" t="str">
        <f>[1]!'3541.TW-PreClose'</f>
        <v>--</v>
      </c>
      <c r="F1537" s="141" t="str">
        <f>IFERROR(STOCKS!$E1537-STOCKS昨天!$E1537,"0")</f>
        <v>0</v>
      </c>
      <c r="G1537" s="63" t="str">
        <f t="shared" si="23"/>
        <v>0</v>
      </c>
    </row>
    <row r="1538" spans="1:7">
      <c r="A1538" s="120">
        <v>3551</v>
      </c>
      <c r="B1538" s="125" t="s">
        <v>5017</v>
      </c>
      <c r="C1538" s="125" t="s">
        <v>5619</v>
      </c>
      <c r="D1538" s="120">
        <v>3551</v>
      </c>
      <c r="E1538" s="60">
        <f>[1]!'3551.TW-PreClose'</f>
        <v>70.599999999999994</v>
      </c>
      <c r="F1538" s="141" t="str">
        <f>IFERROR(STOCKS!$E1538-STOCKS昨天!$E1538,"0")</f>
        <v>0</v>
      </c>
      <c r="G1538" s="63">
        <f t="shared" si="23"/>
        <v>0</v>
      </c>
    </row>
    <row r="1539" spans="1:7">
      <c r="A1539" s="120">
        <v>3552</v>
      </c>
      <c r="B1539" s="125" t="s">
        <v>5018</v>
      </c>
      <c r="C1539" s="125" t="s">
        <v>5619</v>
      </c>
      <c r="D1539" s="120">
        <v>3552</v>
      </c>
      <c r="E1539" s="60">
        <f>[1]!'3552.TW-PreClose'</f>
        <v>190</v>
      </c>
      <c r="F1539" s="141" t="str">
        <f>IFERROR(STOCKS!$E1539-STOCKS昨天!$E1539,"0")</f>
        <v>0</v>
      </c>
      <c r="G1539" s="63">
        <f t="shared" ref="G1539:G1602" si="24">IFERROR($F1539/$E1539,"0")</f>
        <v>0</v>
      </c>
    </row>
    <row r="1540" spans="1:7">
      <c r="A1540" s="120">
        <v>3580</v>
      </c>
      <c r="B1540" s="125" t="s">
        <v>5019</v>
      </c>
      <c r="C1540" s="125" t="s">
        <v>5619</v>
      </c>
      <c r="D1540" s="120">
        <v>3580</v>
      </c>
      <c r="E1540" s="60">
        <f>[1]!'3580.TW-PreClose'</f>
        <v>55</v>
      </c>
      <c r="F1540" s="141" t="str">
        <f>IFERROR(STOCKS!$E1540-STOCKS昨天!$E1540,"0")</f>
        <v>0</v>
      </c>
      <c r="G1540" s="63">
        <f t="shared" si="24"/>
        <v>0</v>
      </c>
    </row>
    <row r="1541" spans="1:7">
      <c r="A1541" s="120">
        <v>3587</v>
      </c>
      <c r="B1541" s="125" t="s">
        <v>5020</v>
      </c>
      <c r="C1541" s="125" t="s">
        <v>5619</v>
      </c>
      <c r="D1541" s="120">
        <v>3587</v>
      </c>
      <c r="E1541" s="60">
        <f>[1]!'3587.TW-PreClose'</f>
        <v>137</v>
      </c>
      <c r="F1541" s="141" t="str">
        <f>IFERROR(STOCKS!$E1541-STOCKS昨天!$E1541,"0")</f>
        <v>0</v>
      </c>
      <c r="G1541" s="63">
        <f t="shared" si="24"/>
        <v>0</v>
      </c>
    </row>
    <row r="1542" spans="1:7">
      <c r="A1542" s="120">
        <v>3628</v>
      </c>
      <c r="B1542" s="125" t="s">
        <v>5021</v>
      </c>
      <c r="C1542" s="125" t="s">
        <v>5619</v>
      </c>
      <c r="D1542" s="120">
        <v>3628</v>
      </c>
      <c r="E1542" s="60">
        <f>[1]!'3628.TW-PreClose'</f>
        <v>35.6</v>
      </c>
      <c r="F1542" s="141" t="str">
        <f>IFERROR(STOCKS!$E1542-STOCKS昨天!$E1542,"0")</f>
        <v>0</v>
      </c>
      <c r="G1542" s="63">
        <f t="shared" si="24"/>
        <v>0</v>
      </c>
    </row>
    <row r="1543" spans="1:7">
      <c r="A1543" s="120">
        <v>3642</v>
      </c>
      <c r="B1543" s="125" t="s">
        <v>5022</v>
      </c>
      <c r="C1543" s="125" t="s">
        <v>5619</v>
      </c>
      <c r="D1543" s="120">
        <v>3642</v>
      </c>
      <c r="E1543" s="60">
        <f>[1]!'3642.TW-PreClose'</f>
        <v>8.1</v>
      </c>
      <c r="F1543" s="141" t="str">
        <f>IFERROR(STOCKS!$E1543-STOCKS昨天!$E1543,"0")</f>
        <v>0</v>
      </c>
      <c r="G1543" s="63">
        <f t="shared" si="24"/>
        <v>0</v>
      </c>
    </row>
    <row r="1544" spans="1:7">
      <c r="A1544" s="120">
        <v>3663</v>
      </c>
      <c r="B1544" s="125" t="s">
        <v>5023</v>
      </c>
      <c r="C1544" s="125" t="s">
        <v>5619</v>
      </c>
      <c r="D1544" s="120">
        <v>3663</v>
      </c>
      <c r="E1544" s="60">
        <f>[1]!'3663.TW-PreClose'</f>
        <v>38.450000000000003</v>
      </c>
      <c r="F1544" s="141">
        <f>IFERROR(STOCKS!$E1544-STOCKS昨天!$E1544,"0")</f>
        <v>-0.15000000000000568</v>
      </c>
      <c r="G1544" s="63">
        <f t="shared" si="24"/>
        <v>-3.9011703511054791E-3</v>
      </c>
    </row>
    <row r="1545" spans="1:7">
      <c r="A1545" s="120">
        <v>4554</v>
      </c>
      <c r="B1545" s="125" t="s">
        <v>5024</v>
      </c>
      <c r="C1545" s="125" t="s">
        <v>5619</v>
      </c>
      <c r="D1545" s="120">
        <v>4554</v>
      </c>
      <c r="E1545" s="60">
        <f>[1]!'4554.TW-PreClose'</f>
        <v>30.4</v>
      </c>
      <c r="F1545" s="141" t="str">
        <f>IFERROR(STOCKS!$E1545-STOCKS昨天!$E1545,"0")</f>
        <v>0</v>
      </c>
      <c r="G1545" s="63">
        <f t="shared" si="24"/>
        <v>0</v>
      </c>
    </row>
    <row r="1546" spans="1:7">
      <c r="A1546" s="120">
        <v>4760</v>
      </c>
      <c r="B1546" s="125" t="s">
        <v>3679</v>
      </c>
      <c r="C1546" s="125" t="s">
        <v>5619</v>
      </c>
      <c r="D1546" s="120">
        <v>4760</v>
      </c>
      <c r="E1546" s="60">
        <f>[1]!'4760.TW-PreClose'</f>
        <v>97.9</v>
      </c>
      <c r="F1546" s="141" t="str">
        <f>IFERROR(STOCKS!$E1546-STOCKS昨天!$E1546,"0")</f>
        <v>0</v>
      </c>
      <c r="G1546" s="63">
        <f t="shared" si="24"/>
        <v>0</v>
      </c>
    </row>
    <row r="1547" spans="1:7">
      <c r="A1547" s="120">
        <v>5205</v>
      </c>
      <c r="B1547" s="125" t="s">
        <v>5025</v>
      </c>
      <c r="C1547" s="125" t="s">
        <v>5619</v>
      </c>
      <c r="D1547" s="120">
        <v>5205</v>
      </c>
      <c r="E1547" s="60">
        <f>[1]!'5205.TW-PreClose'</f>
        <v>12.35</v>
      </c>
      <c r="F1547" s="141" t="str">
        <f>IFERROR(STOCKS!$E1547-STOCKS昨天!$E1547,"0")</f>
        <v>0</v>
      </c>
      <c r="G1547" s="63">
        <f t="shared" si="24"/>
        <v>0</v>
      </c>
    </row>
    <row r="1548" spans="1:7">
      <c r="A1548" s="120">
        <v>5383</v>
      </c>
      <c r="B1548" s="125" t="s">
        <v>5026</v>
      </c>
      <c r="C1548" s="125" t="s">
        <v>5619</v>
      </c>
      <c r="D1548" s="120">
        <v>5383</v>
      </c>
      <c r="E1548" s="60">
        <f>[1]!'5383.TW-PreClose'</f>
        <v>31.55</v>
      </c>
      <c r="F1548" s="141" t="str">
        <f>IFERROR(STOCKS!$E1548-STOCKS昨天!$E1548,"0")</f>
        <v>0</v>
      </c>
      <c r="G1548" s="63">
        <f t="shared" si="24"/>
        <v>0</v>
      </c>
    </row>
    <row r="1549" spans="1:7">
      <c r="A1549" s="120">
        <v>5452</v>
      </c>
      <c r="B1549" s="125" t="s">
        <v>5027</v>
      </c>
      <c r="C1549" s="125" t="s">
        <v>5619</v>
      </c>
      <c r="D1549" s="120">
        <v>5452</v>
      </c>
      <c r="E1549" s="60">
        <f>[1]!'5452.TW-PreClose'</f>
        <v>20.6</v>
      </c>
      <c r="F1549" s="141" t="str">
        <f>IFERROR(STOCKS!$E1549-STOCKS昨天!$E1549,"0")</f>
        <v>0</v>
      </c>
      <c r="G1549" s="63">
        <f t="shared" si="24"/>
        <v>0</v>
      </c>
    </row>
    <row r="1550" spans="1:7">
      <c r="A1550" s="120">
        <v>5489</v>
      </c>
      <c r="B1550" s="125" t="s">
        <v>5028</v>
      </c>
      <c r="C1550" s="125" t="s">
        <v>5619</v>
      </c>
      <c r="D1550" s="120">
        <v>5489</v>
      </c>
      <c r="E1550" s="60">
        <f>[1]!'5489.TW-PreClose'</f>
        <v>35.200000000000003</v>
      </c>
      <c r="F1550" s="141" t="str">
        <f>IFERROR(STOCKS!$E1550-STOCKS昨天!$E1550,"0")</f>
        <v>0</v>
      </c>
      <c r="G1550" s="63">
        <f t="shared" si="24"/>
        <v>0</v>
      </c>
    </row>
    <row r="1551" spans="1:7">
      <c r="A1551" s="120">
        <v>5493</v>
      </c>
      <c r="B1551" s="125" t="s">
        <v>5029</v>
      </c>
      <c r="C1551" s="125" t="s">
        <v>5619</v>
      </c>
      <c r="D1551" s="120">
        <v>5493</v>
      </c>
      <c r="E1551" s="60">
        <f>[1]!'5493.TW-PreClose'</f>
        <v>42.8</v>
      </c>
      <c r="F1551" s="141" t="str">
        <f>IFERROR(STOCKS!$E1551-STOCKS昨天!$E1551,"0")</f>
        <v>0</v>
      </c>
      <c r="G1551" s="63">
        <f t="shared" si="24"/>
        <v>0</v>
      </c>
    </row>
    <row r="1552" spans="1:7">
      <c r="A1552" s="120">
        <v>5536</v>
      </c>
      <c r="B1552" s="125" t="s">
        <v>5030</v>
      </c>
      <c r="C1552" s="125" t="s">
        <v>5619</v>
      </c>
      <c r="D1552" s="120">
        <v>5536</v>
      </c>
      <c r="E1552" s="60">
        <f>[1]!'5536.TW-PreClose'</f>
        <v>196</v>
      </c>
      <c r="F1552" s="141" t="str">
        <f>IFERROR(STOCKS!$E1552-STOCKS昨天!$E1552,"0")</f>
        <v>0</v>
      </c>
      <c r="G1552" s="63">
        <f t="shared" si="24"/>
        <v>0</v>
      </c>
    </row>
    <row r="1553" spans="1:7">
      <c r="A1553" s="120">
        <v>6146</v>
      </c>
      <c r="B1553" s="125" t="s">
        <v>5031</v>
      </c>
      <c r="C1553" s="125" t="s">
        <v>5619</v>
      </c>
      <c r="D1553" s="120">
        <v>6146</v>
      </c>
      <c r="E1553" s="60" t="str">
        <f>[1]!'6146.TW-PreClose'</f>
        <v>--</v>
      </c>
      <c r="F1553" s="141" t="str">
        <f>IFERROR(STOCKS!$E1553-STOCKS昨天!$E1553,"0")</f>
        <v>0</v>
      </c>
      <c r="G1553" s="63" t="str">
        <f t="shared" si="24"/>
        <v>0</v>
      </c>
    </row>
    <row r="1554" spans="1:7">
      <c r="A1554" s="120">
        <v>6151</v>
      </c>
      <c r="B1554" s="125" t="s">
        <v>5032</v>
      </c>
      <c r="C1554" s="125" t="s">
        <v>5619</v>
      </c>
      <c r="D1554" s="120">
        <v>6151</v>
      </c>
      <c r="E1554" s="60">
        <f>[1]!'6151.TW-PreClose'</f>
        <v>36.950000000000003</v>
      </c>
      <c r="F1554" s="141" t="str">
        <f>IFERROR(STOCKS!$E1554-STOCKS昨天!$E1554,"0")</f>
        <v>0</v>
      </c>
      <c r="G1554" s="63">
        <f t="shared" si="24"/>
        <v>0</v>
      </c>
    </row>
    <row r="1555" spans="1:7">
      <c r="A1555" s="120">
        <v>6187</v>
      </c>
      <c r="B1555" s="125" t="s">
        <v>5033</v>
      </c>
      <c r="C1555" s="125" t="s">
        <v>5619</v>
      </c>
      <c r="D1555" s="120">
        <v>6187</v>
      </c>
      <c r="E1555" s="60" t="str">
        <f>[1]!'6187.TW-PreClose'</f>
        <v>--</v>
      </c>
      <c r="F1555" s="141" t="str">
        <f>IFERROR(STOCKS!$E1555-STOCKS昨天!$E1555,"0")</f>
        <v>0</v>
      </c>
      <c r="G1555" s="63" t="str">
        <f t="shared" si="24"/>
        <v>0</v>
      </c>
    </row>
    <row r="1556" spans="1:7">
      <c r="A1556" s="120">
        <v>6247</v>
      </c>
      <c r="B1556" s="125" t="s">
        <v>5034</v>
      </c>
      <c r="C1556" s="125" t="s">
        <v>5619</v>
      </c>
      <c r="D1556" s="120">
        <v>6247</v>
      </c>
      <c r="E1556" s="60" t="str">
        <f>[1]!'6247.TW-PreClose'</f>
        <v>--</v>
      </c>
      <c r="F1556" s="141" t="str">
        <f>IFERROR(STOCKS!$E1556-STOCKS昨天!$E1556,"0")</f>
        <v>0</v>
      </c>
      <c r="G1556" s="63" t="str">
        <f t="shared" si="24"/>
        <v>0</v>
      </c>
    </row>
    <row r="1557" spans="1:7">
      <c r="A1557" s="120">
        <v>6512</v>
      </c>
      <c r="B1557" s="125" t="s">
        <v>5036</v>
      </c>
      <c r="C1557" s="125" t="s">
        <v>5619</v>
      </c>
      <c r="D1557" s="120">
        <v>6512</v>
      </c>
      <c r="E1557" s="60">
        <f>[1]!'6512.TW-PreClose'</f>
        <v>19.7</v>
      </c>
      <c r="F1557" s="141" t="str">
        <f>IFERROR(STOCKS!$E1557-STOCKS昨天!$E1557,"0")</f>
        <v>0</v>
      </c>
      <c r="G1557" s="63">
        <f t="shared" si="24"/>
        <v>0</v>
      </c>
    </row>
    <row r="1558" spans="1:7">
      <c r="A1558" s="120">
        <v>6613</v>
      </c>
      <c r="B1558" s="125" t="s">
        <v>5037</v>
      </c>
      <c r="C1558" s="125" t="s">
        <v>5619</v>
      </c>
      <c r="D1558" s="120">
        <v>6613</v>
      </c>
      <c r="E1558" s="60">
        <f>[1]!'6613.TW-PreClose'</f>
        <v>154.5</v>
      </c>
      <c r="F1558" s="141" t="str">
        <f>IFERROR(STOCKS!$E1558-STOCKS昨天!$E1558,"0")</f>
        <v>0</v>
      </c>
      <c r="G1558" s="63">
        <f t="shared" si="24"/>
        <v>0</v>
      </c>
    </row>
    <row r="1559" spans="1:7">
      <c r="A1559" s="120">
        <v>6654</v>
      </c>
      <c r="B1559" s="125" t="s">
        <v>5038</v>
      </c>
      <c r="C1559" s="125" t="s">
        <v>5619</v>
      </c>
      <c r="D1559" s="120">
        <v>6654</v>
      </c>
      <c r="E1559" s="60" t="str">
        <f>[1]!'6654.TW-PreClose'</f>
        <v>--</v>
      </c>
      <c r="F1559" s="141" t="str">
        <f>IFERROR(STOCKS!$E1559-STOCKS昨天!$E1559,"0")</f>
        <v>0</v>
      </c>
      <c r="G1559" s="63" t="str">
        <f t="shared" si="24"/>
        <v>0</v>
      </c>
    </row>
    <row r="1560" spans="1:7">
      <c r="A1560" s="120">
        <v>6667</v>
      </c>
      <c r="B1560" s="125" t="s">
        <v>5039</v>
      </c>
      <c r="C1560" s="125" t="s">
        <v>5619</v>
      </c>
      <c r="D1560" s="120">
        <v>6667</v>
      </c>
      <c r="E1560" s="60">
        <f>[1]!'6667.TW-PreClose'</f>
        <v>74</v>
      </c>
      <c r="F1560" s="141" t="str">
        <f>IFERROR(STOCKS!$E1560-STOCKS昨天!$E1560,"0")</f>
        <v>0</v>
      </c>
      <c r="G1560" s="63">
        <f t="shared" si="24"/>
        <v>0</v>
      </c>
    </row>
    <row r="1561" spans="1:7">
      <c r="A1561" s="120">
        <v>6840</v>
      </c>
      <c r="B1561" s="125" t="s">
        <v>5532</v>
      </c>
      <c r="C1561" s="125" t="s">
        <v>5619</v>
      </c>
      <c r="D1561" s="120">
        <v>6840</v>
      </c>
      <c r="E1561" s="60" t="str">
        <f>[1]!'6840.TW-PreClose'</f>
        <v>--</v>
      </c>
      <c r="F1561" s="141" t="str">
        <f>IFERROR(STOCKS!$E1561-STOCKS昨天!$E1561,"0")</f>
        <v>0</v>
      </c>
      <c r="G1561" s="63" t="str">
        <f t="shared" si="24"/>
        <v>0</v>
      </c>
    </row>
    <row r="1562" spans="1:7">
      <c r="A1562" s="120">
        <v>6855</v>
      </c>
      <c r="B1562" s="125" t="s">
        <v>5534</v>
      </c>
      <c r="C1562" s="125" t="s">
        <v>5619</v>
      </c>
      <c r="D1562" s="120">
        <v>6855</v>
      </c>
      <c r="E1562" s="60">
        <f>[1]!'6855.TW-PreClose'</f>
        <v>97.5</v>
      </c>
      <c r="F1562" s="141" t="str">
        <f>IFERROR(STOCKS!$E1562-STOCKS昨天!$E1562,"0")</f>
        <v>0</v>
      </c>
      <c r="G1562" s="63">
        <f t="shared" si="24"/>
        <v>0</v>
      </c>
    </row>
    <row r="1563" spans="1:7">
      <c r="A1563" s="120">
        <v>8047</v>
      </c>
      <c r="B1563" s="125" t="s">
        <v>5040</v>
      </c>
      <c r="C1563" s="125" t="s">
        <v>5619</v>
      </c>
      <c r="D1563" s="120">
        <v>8047</v>
      </c>
      <c r="E1563" s="60">
        <f>[1]!'8047.TW-PreClose'</f>
        <v>12.8</v>
      </c>
      <c r="F1563" s="141" t="str">
        <f>IFERROR(STOCKS!$E1563-STOCKS昨天!$E1563,"0")</f>
        <v>0</v>
      </c>
      <c r="G1563" s="63">
        <f t="shared" si="24"/>
        <v>0</v>
      </c>
    </row>
    <row r="1564" spans="1:7">
      <c r="A1564" s="120">
        <v>8085</v>
      </c>
      <c r="B1564" s="125" t="s">
        <v>5041</v>
      </c>
      <c r="C1564" s="125" t="s">
        <v>5619</v>
      </c>
      <c r="D1564" s="120">
        <v>8085</v>
      </c>
      <c r="E1564" s="60">
        <f>[1]!'8085.TW-PreClose'</f>
        <v>16.95</v>
      </c>
      <c r="F1564" s="141" t="str">
        <f>IFERROR(STOCKS!$E1564-STOCKS昨天!$E1564,"0")</f>
        <v>0</v>
      </c>
      <c r="G1564" s="63">
        <f t="shared" si="24"/>
        <v>0</v>
      </c>
    </row>
    <row r="1565" spans="1:7">
      <c r="A1565" s="120">
        <v>8092</v>
      </c>
      <c r="B1565" s="125" t="s">
        <v>5042</v>
      </c>
      <c r="C1565" s="125" t="s">
        <v>5619</v>
      </c>
      <c r="D1565" s="120">
        <v>8092</v>
      </c>
      <c r="E1565" s="60">
        <f>[1]!'8092.TW-PreClose'</f>
        <v>9.1300000000000008</v>
      </c>
      <c r="F1565" s="141" t="str">
        <f>IFERROR(STOCKS!$E1565-STOCKS昨天!$E1565,"0")</f>
        <v>0</v>
      </c>
      <c r="G1565" s="63">
        <f t="shared" si="24"/>
        <v>0</v>
      </c>
    </row>
    <row r="1566" spans="1:7">
      <c r="A1566" s="120">
        <v>8183</v>
      </c>
      <c r="B1566" s="125" t="s">
        <v>3611</v>
      </c>
      <c r="C1566" s="125" t="s">
        <v>5619</v>
      </c>
      <c r="D1566" s="120">
        <v>8183</v>
      </c>
      <c r="E1566" s="60">
        <f>[1]!'8183.TW-PreClose'</f>
        <v>63.6</v>
      </c>
      <c r="F1566" s="141">
        <f>IFERROR(STOCKS!$E1566-STOCKS昨天!$E1566,"0")</f>
        <v>0.49999999999999289</v>
      </c>
      <c r="G1566" s="63">
        <f t="shared" si="24"/>
        <v>7.8616352201256751E-3</v>
      </c>
    </row>
    <row r="1567" spans="1:7">
      <c r="A1567" s="120">
        <v>8383</v>
      </c>
      <c r="B1567" s="125" t="s">
        <v>5043</v>
      </c>
      <c r="C1567" s="125" t="s">
        <v>5619</v>
      </c>
      <c r="D1567" s="120">
        <v>8383</v>
      </c>
      <c r="E1567" s="60" t="str">
        <f>[1]!'8383.TW-PreClose'</f>
        <v>--</v>
      </c>
      <c r="F1567" s="141" t="str">
        <f>IFERROR(STOCKS!$E1567-STOCKS昨天!$E1567,"0")</f>
        <v>0</v>
      </c>
      <c r="G1567" s="63" t="str">
        <f t="shared" si="24"/>
        <v>0</v>
      </c>
    </row>
    <row r="1568" spans="1:7">
      <c r="A1568" s="120">
        <v>8431</v>
      </c>
      <c r="B1568" s="125" t="s">
        <v>5044</v>
      </c>
      <c r="C1568" s="125" t="s">
        <v>5619</v>
      </c>
      <c r="D1568" s="120">
        <v>8431</v>
      </c>
      <c r="E1568" s="60" t="str">
        <f>[1]!'8431.TW-PreClose'</f>
        <v>--</v>
      </c>
      <c r="F1568" s="141" t="str">
        <f>IFERROR(STOCKS!$E1568-STOCKS昨天!$E1568,"0")</f>
        <v>0</v>
      </c>
      <c r="G1568" s="63" t="str">
        <f t="shared" si="24"/>
        <v>0</v>
      </c>
    </row>
    <row r="1569" spans="1:7">
      <c r="A1569" s="120">
        <v>8455</v>
      </c>
      <c r="B1569" s="125" t="s">
        <v>5045</v>
      </c>
      <c r="C1569" s="125" t="s">
        <v>5620</v>
      </c>
      <c r="D1569" s="120">
        <v>8455</v>
      </c>
      <c r="E1569" s="60">
        <f>[1]!'8455.TW-PreClose'</f>
        <v>18.75</v>
      </c>
      <c r="F1569" s="141" t="str">
        <f>IFERROR(STOCKS!$E1569-STOCKS昨天!$E1569,"0")</f>
        <v>0</v>
      </c>
      <c r="G1569" s="63">
        <f t="shared" si="24"/>
        <v>0</v>
      </c>
    </row>
    <row r="1570" spans="1:7">
      <c r="A1570" s="120">
        <v>2596</v>
      </c>
      <c r="B1570" s="125" t="s">
        <v>5046</v>
      </c>
      <c r="C1570" s="125" t="s">
        <v>5621</v>
      </c>
      <c r="D1570" s="120">
        <v>2596</v>
      </c>
      <c r="E1570" s="60">
        <f>[1]!'2596.TW-PreClose'</f>
        <v>23.5</v>
      </c>
      <c r="F1570" s="141" t="str">
        <f>IFERROR(STOCKS!$E1570-STOCKS昨天!$E1570,"0")</f>
        <v>0</v>
      </c>
      <c r="G1570" s="63">
        <f t="shared" si="24"/>
        <v>0</v>
      </c>
    </row>
    <row r="1571" spans="1:7">
      <c r="A1571" s="120">
        <v>3188</v>
      </c>
      <c r="B1571" s="125" t="s">
        <v>5048</v>
      </c>
      <c r="C1571" s="125" t="s">
        <v>5621</v>
      </c>
      <c r="D1571" s="120">
        <v>3188</v>
      </c>
      <c r="E1571" s="60">
        <f>[1]!'3188.TW-PreClose'</f>
        <v>17.25</v>
      </c>
      <c r="F1571" s="141" t="str">
        <f>IFERROR(STOCKS!$E1571-STOCKS昨天!$E1571,"0")</f>
        <v>0</v>
      </c>
      <c r="G1571" s="63">
        <f t="shared" si="24"/>
        <v>0</v>
      </c>
    </row>
    <row r="1572" spans="1:7">
      <c r="A1572" s="120">
        <v>3489</v>
      </c>
      <c r="B1572" s="125" t="s">
        <v>5049</v>
      </c>
      <c r="C1572" s="125" t="s">
        <v>5621</v>
      </c>
      <c r="D1572" s="120">
        <v>3489</v>
      </c>
      <c r="E1572" s="60">
        <f>[1]!'3489.TW-PreClose'</f>
        <v>14.25</v>
      </c>
      <c r="F1572" s="141" t="str">
        <f>IFERROR(STOCKS!$E1572-STOCKS昨天!$E1572,"0")</f>
        <v>0</v>
      </c>
      <c r="G1572" s="63">
        <f t="shared" si="24"/>
        <v>0</v>
      </c>
    </row>
    <row r="1573" spans="1:7">
      <c r="A1573" s="120">
        <v>4113</v>
      </c>
      <c r="B1573" s="125" t="s">
        <v>5050</v>
      </c>
      <c r="C1573" s="125" t="s">
        <v>5621</v>
      </c>
      <c r="D1573" s="120">
        <v>4113</v>
      </c>
      <c r="E1573" s="60">
        <f>[1]!'4113.TW-PreClose'</f>
        <v>14.15</v>
      </c>
      <c r="F1573" s="141" t="str">
        <f>IFERROR(STOCKS!$E1573-STOCKS昨天!$E1573,"0")</f>
        <v>0</v>
      </c>
      <c r="G1573" s="63">
        <f t="shared" si="24"/>
        <v>0</v>
      </c>
    </row>
    <row r="1574" spans="1:7">
      <c r="A1574" s="120">
        <v>4416</v>
      </c>
      <c r="B1574" s="125" t="s">
        <v>5051</v>
      </c>
      <c r="C1574" s="125" t="s">
        <v>5621</v>
      </c>
      <c r="D1574" s="120">
        <v>4416</v>
      </c>
      <c r="E1574" s="60">
        <f>[1]!'4416.TW-PreClose'</f>
        <v>114</v>
      </c>
      <c r="F1574" s="141" t="str">
        <f>IFERROR(STOCKS!$E1574-STOCKS昨天!$E1574,"0")</f>
        <v>0</v>
      </c>
      <c r="G1574" s="63">
        <f t="shared" si="24"/>
        <v>0</v>
      </c>
    </row>
    <row r="1575" spans="1:7">
      <c r="A1575" s="120">
        <v>4907</v>
      </c>
      <c r="B1575" s="125" t="s">
        <v>5052</v>
      </c>
      <c r="C1575" s="125" t="s">
        <v>5621</v>
      </c>
      <c r="D1575" s="120">
        <v>4907</v>
      </c>
      <c r="E1575" s="60">
        <f>[1]!'4907.TW-PreClose'</f>
        <v>25.7</v>
      </c>
      <c r="F1575" s="141" t="str">
        <f>IFERROR(STOCKS!$E1575-STOCKS昨天!$E1575,"0")</f>
        <v>0</v>
      </c>
      <c r="G1575" s="63">
        <f t="shared" si="24"/>
        <v>0</v>
      </c>
    </row>
    <row r="1576" spans="1:7">
      <c r="A1576" s="120">
        <v>5206</v>
      </c>
      <c r="B1576" s="125" t="s">
        <v>5053</v>
      </c>
      <c r="C1576" s="125" t="s">
        <v>5621</v>
      </c>
      <c r="D1576" s="120">
        <v>5206</v>
      </c>
      <c r="E1576" s="60">
        <f>[1]!'5206.TW-PreClose'</f>
        <v>16</v>
      </c>
      <c r="F1576" s="141" t="str">
        <f>IFERROR(STOCKS!$E1576-STOCKS昨天!$E1576,"0")</f>
        <v>0</v>
      </c>
      <c r="G1576" s="63">
        <f t="shared" si="24"/>
        <v>0</v>
      </c>
    </row>
    <row r="1577" spans="1:7">
      <c r="A1577" s="120">
        <v>5213</v>
      </c>
      <c r="B1577" s="125" t="s">
        <v>5054</v>
      </c>
      <c r="C1577" s="125" t="s">
        <v>5621</v>
      </c>
      <c r="D1577" s="120">
        <v>5213</v>
      </c>
      <c r="E1577" s="60">
        <f>[1]!'5213.TW-PreClose'</f>
        <v>21.9</v>
      </c>
      <c r="F1577" s="141" t="str">
        <f>IFERROR(STOCKS!$E1577-STOCKS昨天!$E1577,"0")</f>
        <v>0</v>
      </c>
      <c r="G1577" s="63">
        <f t="shared" si="24"/>
        <v>0</v>
      </c>
    </row>
    <row r="1578" spans="1:7">
      <c r="A1578" s="120">
        <v>5324</v>
      </c>
      <c r="B1578" s="125" t="s">
        <v>5055</v>
      </c>
      <c r="C1578" s="125" t="s">
        <v>5621</v>
      </c>
      <c r="D1578" s="120">
        <v>5324</v>
      </c>
      <c r="E1578" s="60">
        <f>[1]!'5324.TW-PreClose'</f>
        <v>9.49</v>
      </c>
      <c r="F1578" s="141" t="str">
        <f>IFERROR(STOCKS!$E1578-STOCKS昨天!$E1578,"0")</f>
        <v>0</v>
      </c>
      <c r="G1578" s="63">
        <f t="shared" si="24"/>
        <v>0</v>
      </c>
    </row>
    <row r="1579" spans="1:7">
      <c r="A1579" s="120">
        <v>5455</v>
      </c>
      <c r="B1579" s="125" t="s">
        <v>5056</v>
      </c>
      <c r="C1579" s="125" t="s">
        <v>5621</v>
      </c>
      <c r="D1579" s="120">
        <v>5455</v>
      </c>
      <c r="E1579" s="60" t="str">
        <f>[1]!'5455.TW-PreClose'</f>
        <v>--</v>
      </c>
      <c r="F1579" s="141" t="str">
        <f>IFERROR(STOCKS!$E1579-STOCKS昨天!$E1579,"0")</f>
        <v>0</v>
      </c>
      <c r="G1579" s="63" t="str">
        <f t="shared" si="24"/>
        <v>0</v>
      </c>
    </row>
    <row r="1580" spans="1:7">
      <c r="A1580" s="120">
        <v>5508</v>
      </c>
      <c r="B1580" s="125" t="s">
        <v>5057</v>
      </c>
      <c r="C1580" s="125" t="s">
        <v>5621</v>
      </c>
      <c r="D1580" s="120">
        <v>5508</v>
      </c>
      <c r="E1580" s="60" t="str">
        <f>[1]!'5508.TW-PreClose'</f>
        <v>--</v>
      </c>
      <c r="F1580" s="141" t="str">
        <f>IFERROR(STOCKS!$E1580-STOCKS昨天!$E1580,"0")</f>
        <v>0</v>
      </c>
      <c r="G1580" s="63" t="str">
        <f t="shared" si="24"/>
        <v>0</v>
      </c>
    </row>
    <row r="1581" spans="1:7">
      <c r="A1581" s="120">
        <v>5511</v>
      </c>
      <c r="B1581" s="125" t="s">
        <v>5058</v>
      </c>
      <c r="C1581" s="125" t="s">
        <v>5621</v>
      </c>
      <c r="D1581" s="120">
        <v>5511</v>
      </c>
      <c r="E1581" s="60">
        <f>[1]!'5511.TW-PreClose'</f>
        <v>29.85</v>
      </c>
      <c r="F1581" s="141" t="str">
        <f>IFERROR(STOCKS!$E1581-STOCKS昨天!$E1581,"0")</f>
        <v>0</v>
      </c>
      <c r="G1581" s="63">
        <f t="shared" si="24"/>
        <v>0</v>
      </c>
    </row>
    <row r="1582" spans="1:7">
      <c r="A1582" s="120">
        <v>5512</v>
      </c>
      <c r="B1582" s="125" t="s">
        <v>5059</v>
      </c>
      <c r="C1582" s="125" t="s">
        <v>5621</v>
      </c>
      <c r="D1582" s="120">
        <v>5512</v>
      </c>
      <c r="E1582" s="60">
        <f>[1]!'5512.TW-PreClose'</f>
        <v>9.48</v>
      </c>
      <c r="F1582" s="141">
        <f>IFERROR(STOCKS!$E1582-STOCKS昨天!$E1582,"0")</f>
        <v>-9.9999999999997868E-3</v>
      </c>
      <c r="G1582" s="63">
        <f t="shared" si="24"/>
        <v>-1.0548523206750828E-3</v>
      </c>
    </row>
    <row r="1583" spans="1:7">
      <c r="A1583" s="120">
        <v>5514</v>
      </c>
      <c r="B1583" s="125" t="s">
        <v>5060</v>
      </c>
      <c r="C1583" s="125" t="s">
        <v>5621</v>
      </c>
      <c r="D1583" s="120">
        <v>5514</v>
      </c>
      <c r="E1583" s="60">
        <f>[1]!'5514.TW-PreClose'</f>
        <v>21.9</v>
      </c>
      <c r="F1583" s="141" t="str">
        <f>IFERROR(STOCKS!$E1583-STOCKS昨天!$E1583,"0")</f>
        <v>0</v>
      </c>
      <c r="G1583" s="63">
        <f t="shared" si="24"/>
        <v>0</v>
      </c>
    </row>
    <row r="1584" spans="1:7">
      <c r="A1584" s="120">
        <v>5516</v>
      </c>
      <c r="B1584" s="125" t="s">
        <v>5061</v>
      </c>
      <c r="C1584" s="125" t="s">
        <v>5621</v>
      </c>
      <c r="D1584" s="120">
        <v>5516</v>
      </c>
      <c r="E1584" s="60">
        <f>[1]!'5516.TW-PreClose'</f>
        <v>13.6</v>
      </c>
      <c r="F1584" s="141" t="str">
        <f>IFERROR(STOCKS!$E1584-STOCKS昨天!$E1584,"0")</f>
        <v>0</v>
      </c>
      <c r="G1584" s="63">
        <f t="shared" si="24"/>
        <v>0</v>
      </c>
    </row>
    <row r="1585" spans="1:7">
      <c r="A1585" s="120">
        <v>5520</v>
      </c>
      <c r="B1585" s="125" t="s">
        <v>5062</v>
      </c>
      <c r="C1585" s="125" t="s">
        <v>5621</v>
      </c>
      <c r="D1585" s="120">
        <v>5520</v>
      </c>
      <c r="E1585" s="60">
        <f>[1]!'5520.TW-PreClose'</f>
        <v>51.6</v>
      </c>
      <c r="F1585" s="141" t="str">
        <f>IFERROR(STOCKS!$E1585-STOCKS昨天!$E1585,"0")</f>
        <v>0</v>
      </c>
      <c r="G1585" s="63">
        <f t="shared" si="24"/>
        <v>0</v>
      </c>
    </row>
    <row r="1586" spans="1:7">
      <c r="A1586" s="120">
        <v>5523</v>
      </c>
      <c r="B1586" s="125" t="s">
        <v>5063</v>
      </c>
      <c r="C1586" s="125" t="s">
        <v>5621</v>
      </c>
      <c r="D1586" s="120">
        <v>5523</v>
      </c>
      <c r="E1586" s="60">
        <f>[1]!'5523.TW-PreClose'</f>
        <v>29.45</v>
      </c>
      <c r="F1586" s="141" t="str">
        <f>IFERROR(STOCKS!$E1586-STOCKS昨天!$E1586,"0")</f>
        <v>0</v>
      </c>
      <c r="G1586" s="63">
        <f t="shared" si="24"/>
        <v>0</v>
      </c>
    </row>
    <row r="1587" spans="1:7">
      <c r="A1587" s="120">
        <v>5529</v>
      </c>
      <c r="B1587" s="125" t="s">
        <v>5525</v>
      </c>
      <c r="C1587" s="125" t="s">
        <v>5621</v>
      </c>
      <c r="D1587" s="120">
        <v>5529</v>
      </c>
      <c r="E1587" s="60" t="str">
        <f>[1]!'5529.TW-PreClose'</f>
        <v>--</v>
      </c>
      <c r="F1587" s="141" t="str">
        <f>IFERROR(STOCKS!$E1587-STOCKS昨天!$E1587,"0")</f>
        <v>0</v>
      </c>
      <c r="G1587" s="63" t="str">
        <f t="shared" si="24"/>
        <v>0</v>
      </c>
    </row>
    <row r="1588" spans="1:7">
      <c r="A1588" s="120">
        <v>5543</v>
      </c>
      <c r="B1588" s="125" t="s">
        <v>5064</v>
      </c>
      <c r="C1588" s="125" t="s">
        <v>5047</v>
      </c>
      <c r="D1588" s="120">
        <v>5543</v>
      </c>
      <c r="E1588" s="60">
        <f>[1]!'5543.TW-PreClose'</f>
        <v>68</v>
      </c>
      <c r="F1588" s="141" t="str">
        <f>IFERROR(STOCKS!$E1588-STOCKS昨天!$E1588,"0")</f>
        <v>0</v>
      </c>
      <c r="G1588" s="63">
        <f t="shared" si="24"/>
        <v>0</v>
      </c>
    </row>
    <row r="1589" spans="1:7">
      <c r="A1589" s="120">
        <v>6171</v>
      </c>
      <c r="B1589" s="125" t="s">
        <v>5512</v>
      </c>
      <c r="C1589" s="125" t="s">
        <v>5621</v>
      </c>
      <c r="D1589" s="120">
        <v>6171</v>
      </c>
      <c r="E1589" s="60">
        <f>[1]!'6171.TW-PreClose'</f>
        <v>28.35</v>
      </c>
      <c r="F1589" s="141" t="str">
        <f>IFERROR(STOCKS!$E1589-STOCKS昨天!$E1589,"0")</f>
        <v>0</v>
      </c>
      <c r="G1589" s="63">
        <f t="shared" si="24"/>
        <v>0</v>
      </c>
    </row>
    <row r="1590" spans="1:7">
      <c r="A1590" s="120">
        <v>6186</v>
      </c>
      <c r="B1590" s="125" t="s">
        <v>5065</v>
      </c>
      <c r="C1590" s="125" t="s">
        <v>5621</v>
      </c>
      <c r="D1590" s="120">
        <v>6186</v>
      </c>
      <c r="E1590" s="60">
        <f>[1]!'6186.TW-PreClose'</f>
        <v>27.05</v>
      </c>
      <c r="F1590" s="141">
        <f>IFERROR(STOCKS!$E1590-STOCKS昨天!$E1590,"0")</f>
        <v>5.0000000000000711E-2</v>
      </c>
      <c r="G1590" s="63">
        <f t="shared" si="24"/>
        <v>1.8484288354898599E-3</v>
      </c>
    </row>
    <row r="1591" spans="1:7">
      <c r="A1591" s="120">
        <v>6212</v>
      </c>
      <c r="B1591" s="125" t="s">
        <v>5066</v>
      </c>
      <c r="C1591" s="125" t="s">
        <v>5621</v>
      </c>
      <c r="D1591" s="120">
        <v>6212</v>
      </c>
      <c r="E1591" s="60">
        <f>[1]!'6212.TW-PreClose'</f>
        <v>58</v>
      </c>
      <c r="F1591" s="141" t="str">
        <f>IFERROR(STOCKS!$E1591-STOCKS昨天!$E1591,"0")</f>
        <v>0</v>
      </c>
      <c r="G1591" s="63">
        <f t="shared" si="24"/>
        <v>0</v>
      </c>
    </row>
    <row r="1592" spans="1:7">
      <c r="A1592" s="120">
        <v>6219</v>
      </c>
      <c r="B1592" s="125" t="s">
        <v>5067</v>
      </c>
      <c r="C1592" s="125" t="s">
        <v>5621</v>
      </c>
      <c r="D1592" s="120">
        <v>6219</v>
      </c>
      <c r="E1592" s="60">
        <f>[1]!'6219.TW-PreClose'</f>
        <v>19.3</v>
      </c>
      <c r="F1592" s="141" t="str">
        <f>IFERROR(STOCKS!$E1592-STOCKS昨天!$E1592,"0")</f>
        <v>0</v>
      </c>
      <c r="G1592" s="63">
        <f t="shared" si="24"/>
        <v>0</v>
      </c>
    </row>
    <row r="1593" spans="1:7">
      <c r="A1593" s="120">
        <v>6264</v>
      </c>
      <c r="B1593" s="125" t="s">
        <v>5068</v>
      </c>
      <c r="C1593" s="125" t="s">
        <v>5621</v>
      </c>
      <c r="D1593" s="120">
        <v>6264</v>
      </c>
      <c r="E1593" s="60" t="str">
        <f>[1]!'6264.TW-PreClose'</f>
        <v>--</v>
      </c>
      <c r="F1593" s="141" t="str">
        <f>IFERROR(STOCKS!$E1593-STOCKS昨天!$E1593,"0")</f>
        <v>0</v>
      </c>
      <c r="G1593" s="63" t="str">
        <f t="shared" si="24"/>
        <v>0</v>
      </c>
    </row>
    <row r="1594" spans="1:7">
      <c r="A1594" s="120">
        <v>8424</v>
      </c>
      <c r="B1594" s="125" t="s">
        <v>5069</v>
      </c>
      <c r="C1594" s="125" t="s">
        <v>5621</v>
      </c>
      <c r="D1594" s="120">
        <v>8424</v>
      </c>
      <c r="E1594" s="60">
        <f>[1]!'8424.TW-PreClose'</f>
        <v>61.1</v>
      </c>
      <c r="F1594" s="141" t="str">
        <f>IFERROR(STOCKS!$E1594-STOCKS昨天!$E1594,"0")</f>
        <v>0</v>
      </c>
      <c r="G1594" s="63">
        <f t="shared" si="24"/>
        <v>0</v>
      </c>
    </row>
    <row r="1595" spans="1:7">
      <c r="A1595" s="120">
        <v>2641</v>
      </c>
      <c r="B1595" s="125" t="s">
        <v>3579</v>
      </c>
      <c r="C1595" s="125" t="s">
        <v>5622</v>
      </c>
      <c r="D1595" s="120">
        <v>2641</v>
      </c>
      <c r="E1595" s="60">
        <f>[1]!'2641.TW-PreClose'</f>
        <v>24.6</v>
      </c>
      <c r="F1595" s="141" t="str">
        <f>IFERROR(STOCKS!$E1595-STOCKS昨天!$E1595,"0")</f>
        <v>0</v>
      </c>
      <c r="G1595" s="63">
        <f t="shared" si="24"/>
        <v>0</v>
      </c>
    </row>
    <row r="1596" spans="1:7">
      <c r="A1596" s="120">
        <v>2643</v>
      </c>
      <c r="B1596" s="125" t="s">
        <v>5070</v>
      </c>
      <c r="C1596" s="125" t="s">
        <v>5622</v>
      </c>
      <c r="D1596" s="120">
        <v>2643</v>
      </c>
      <c r="E1596" s="60">
        <f>[1]!'2643.TW-PreClose'</f>
        <v>77.3</v>
      </c>
      <c r="F1596" s="141" t="str">
        <f>IFERROR(STOCKS!$E1596-STOCKS昨天!$E1596,"0")</f>
        <v>0</v>
      </c>
      <c r="G1596" s="63">
        <f t="shared" si="24"/>
        <v>0</v>
      </c>
    </row>
    <row r="1597" spans="1:7">
      <c r="A1597" s="120">
        <v>5601</v>
      </c>
      <c r="B1597" s="125" t="s">
        <v>5071</v>
      </c>
      <c r="C1597" s="125" t="s">
        <v>5622</v>
      </c>
      <c r="D1597" s="120">
        <v>5601</v>
      </c>
      <c r="E1597" s="60" t="str">
        <f>[1]!'5601.TW-PreClose'</f>
        <v>--</v>
      </c>
      <c r="F1597" s="141" t="str">
        <f>IFERROR(STOCKS!$E1597-STOCKS昨天!$E1597,"0")</f>
        <v>0</v>
      </c>
      <c r="G1597" s="63" t="str">
        <f t="shared" si="24"/>
        <v>0</v>
      </c>
    </row>
    <row r="1598" spans="1:7">
      <c r="A1598" s="120">
        <v>5603</v>
      </c>
      <c r="B1598" s="125" t="s">
        <v>5072</v>
      </c>
      <c r="C1598" s="125" t="s">
        <v>5622</v>
      </c>
      <c r="D1598" s="120">
        <v>5603</v>
      </c>
      <c r="E1598" s="60">
        <f>[1]!'5603.TW-PreClose'</f>
        <v>31.5</v>
      </c>
      <c r="F1598" s="141" t="str">
        <f>IFERROR(STOCKS!$E1598-STOCKS昨天!$E1598,"0")</f>
        <v>0</v>
      </c>
      <c r="G1598" s="63">
        <f t="shared" si="24"/>
        <v>0</v>
      </c>
    </row>
    <row r="1599" spans="1:7">
      <c r="A1599" s="120">
        <v>5609</v>
      </c>
      <c r="B1599" s="125" t="s">
        <v>5074</v>
      </c>
      <c r="C1599" s="125" t="s">
        <v>5622</v>
      </c>
      <c r="D1599" s="120">
        <v>5609</v>
      </c>
      <c r="E1599" s="60">
        <f>[1]!'5609.TW-PreClose'</f>
        <v>102</v>
      </c>
      <c r="F1599" s="141" t="str">
        <f>IFERROR(STOCKS!$E1599-STOCKS昨天!$E1599,"0")</f>
        <v>0</v>
      </c>
      <c r="G1599" s="63">
        <f t="shared" si="24"/>
        <v>0</v>
      </c>
    </row>
    <row r="1600" spans="1:7">
      <c r="A1600" s="120">
        <v>1259</v>
      </c>
      <c r="B1600" s="125" t="s">
        <v>5075</v>
      </c>
      <c r="C1600" s="125" t="s">
        <v>5623</v>
      </c>
      <c r="D1600" s="120">
        <v>1259</v>
      </c>
      <c r="E1600" s="60">
        <f>[1]!'1259.TW-PreClose'</f>
        <v>69.3</v>
      </c>
      <c r="F1600" s="141" t="str">
        <f>IFERROR(STOCKS!$E1600-STOCKS昨天!$E1600,"0")</f>
        <v>0</v>
      </c>
      <c r="G1600" s="63">
        <f t="shared" si="24"/>
        <v>0</v>
      </c>
    </row>
    <row r="1601" spans="1:7">
      <c r="A1601" s="120">
        <v>1268</v>
      </c>
      <c r="B1601" s="125" t="s">
        <v>5076</v>
      </c>
      <c r="C1601" s="125" t="s">
        <v>5623</v>
      </c>
      <c r="D1601" s="120">
        <v>1268</v>
      </c>
      <c r="E1601" s="60">
        <f>[1]!'1268.TW-PreClose'</f>
        <v>119.5</v>
      </c>
      <c r="F1601" s="141">
        <f>IFERROR(STOCKS!$E1601-STOCKS昨天!$E1601,"0")</f>
        <v>0</v>
      </c>
      <c r="G1601" s="63">
        <f t="shared" si="24"/>
        <v>0</v>
      </c>
    </row>
    <row r="1602" spans="1:7">
      <c r="A1602" s="120">
        <v>2718</v>
      </c>
      <c r="B1602" s="125" t="s">
        <v>5077</v>
      </c>
      <c r="C1602" s="125" t="s">
        <v>5623</v>
      </c>
      <c r="D1602" s="120">
        <v>2718</v>
      </c>
      <c r="E1602" s="60">
        <f>[1]!'2718.TW-PreClose'</f>
        <v>31.1</v>
      </c>
      <c r="F1602" s="141" t="str">
        <f>IFERROR(STOCKS!$E1602-STOCKS昨天!$E1602,"0")</f>
        <v>0</v>
      </c>
      <c r="G1602" s="63">
        <f t="shared" si="24"/>
        <v>0</v>
      </c>
    </row>
    <row r="1603" spans="1:7">
      <c r="A1603" s="120">
        <v>2719</v>
      </c>
      <c r="B1603" s="125" t="s">
        <v>5078</v>
      </c>
      <c r="C1603" s="125" t="s">
        <v>5623</v>
      </c>
      <c r="D1603" s="120">
        <v>2719</v>
      </c>
      <c r="E1603" s="60">
        <f>[1]!'2719.TW-PreClose'</f>
        <v>12.1</v>
      </c>
      <c r="F1603" s="141" t="str">
        <f>IFERROR(STOCKS!$E1603-STOCKS昨天!$E1603,"0")</f>
        <v>0</v>
      </c>
      <c r="G1603" s="63">
        <f t="shared" ref="G1603:G1666" si="25">IFERROR($F1603/$E1603,"0")</f>
        <v>0</v>
      </c>
    </row>
    <row r="1604" spans="1:7">
      <c r="A1604" s="120">
        <v>2724</v>
      </c>
      <c r="B1604" s="125" t="s">
        <v>5079</v>
      </c>
      <c r="C1604" s="125" t="s">
        <v>5624</v>
      </c>
      <c r="D1604" s="120">
        <v>2724</v>
      </c>
      <c r="E1604" s="60">
        <f>[1]!'2724.TW-PreClose'</f>
        <v>7.5</v>
      </c>
      <c r="F1604" s="141" t="str">
        <f>IFERROR(STOCKS!$E1604-STOCKS昨天!$E1604,"0")</f>
        <v>0</v>
      </c>
      <c r="G1604" s="63">
        <f t="shared" si="25"/>
        <v>0</v>
      </c>
    </row>
    <row r="1605" spans="1:7">
      <c r="A1605" s="120">
        <v>2726</v>
      </c>
      <c r="B1605" s="125" t="s">
        <v>5080</v>
      </c>
      <c r="C1605" s="125" t="s">
        <v>5624</v>
      </c>
      <c r="D1605" s="120">
        <v>2726</v>
      </c>
      <c r="E1605" s="60">
        <f>[1]!'2726.TW-PreClose'</f>
        <v>33.700000000000003</v>
      </c>
      <c r="F1605" s="141" t="str">
        <f>IFERROR(STOCKS!$E1605-STOCKS昨天!$E1605,"0")</f>
        <v>0</v>
      </c>
      <c r="G1605" s="63">
        <f t="shared" si="25"/>
        <v>0</v>
      </c>
    </row>
    <row r="1606" spans="1:7">
      <c r="A1606" s="120">
        <v>2729</v>
      </c>
      <c r="B1606" s="125" t="s">
        <v>5081</v>
      </c>
      <c r="C1606" s="125" t="s">
        <v>5623</v>
      </c>
      <c r="D1606" s="120">
        <v>2729</v>
      </c>
      <c r="E1606" s="60">
        <f>[1]!'2729.TW-PreClose'</f>
        <v>230</v>
      </c>
      <c r="F1606" s="141" t="str">
        <f>IFERROR(STOCKS!$E1606-STOCKS昨天!$E1606,"0")</f>
        <v>0</v>
      </c>
      <c r="G1606" s="63">
        <f t="shared" si="25"/>
        <v>0</v>
      </c>
    </row>
    <row r="1607" spans="1:7">
      <c r="A1607" s="120">
        <v>2732</v>
      </c>
      <c r="B1607" s="125" t="s">
        <v>5082</v>
      </c>
      <c r="C1607" s="125" t="s">
        <v>5623</v>
      </c>
      <c r="D1607" s="120">
        <v>2732</v>
      </c>
      <c r="E1607" s="60" t="str">
        <f>[1]!'2732.TW-PreClose'</f>
        <v>--</v>
      </c>
      <c r="F1607" s="141" t="str">
        <f>IFERROR(STOCKS!$E1607-STOCKS昨天!$E1607,"0")</f>
        <v>0</v>
      </c>
      <c r="G1607" s="63" t="str">
        <f t="shared" si="25"/>
        <v>0</v>
      </c>
    </row>
    <row r="1608" spans="1:7">
      <c r="A1608" s="120">
        <v>2734</v>
      </c>
      <c r="B1608" s="125" t="s">
        <v>5083</v>
      </c>
      <c r="C1608" s="125" t="s">
        <v>5623</v>
      </c>
      <c r="D1608" s="120">
        <v>2734</v>
      </c>
      <c r="E1608" s="60">
        <f>[1]!'2734.TW-PreClose'</f>
        <v>22.8</v>
      </c>
      <c r="F1608" s="141" t="str">
        <f>IFERROR(STOCKS!$E1608-STOCKS昨天!$E1608,"0")</f>
        <v>0</v>
      </c>
      <c r="G1608" s="63">
        <f t="shared" si="25"/>
        <v>0</v>
      </c>
    </row>
    <row r="1609" spans="1:7">
      <c r="A1609" s="120">
        <v>2736</v>
      </c>
      <c r="B1609" s="125" t="s">
        <v>5084</v>
      </c>
      <c r="C1609" s="125" t="s">
        <v>5623</v>
      </c>
      <c r="D1609" s="120">
        <v>2736</v>
      </c>
      <c r="E1609" s="60">
        <f>[1]!'2736.TW-PreClose'</f>
        <v>15.4</v>
      </c>
      <c r="F1609" s="141" t="str">
        <f>IFERROR(STOCKS!$E1609-STOCKS昨天!$E1609,"0")</f>
        <v>0</v>
      </c>
      <c r="G1609" s="63">
        <f t="shared" si="25"/>
        <v>0</v>
      </c>
    </row>
    <row r="1610" spans="1:7">
      <c r="A1610" s="120">
        <v>2740</v>
      </c>
      <c r="B1610" s="125" t="s">
        <v>5085</v>
      </c>
      <c r="C1610" s="125" t="s">
        <v>5623</v>
      </c>
      <c r="D1610" s="120">
        <v>2740</v>
      </c>
      <c r="E1610" s="60">
        <f>[1]!'2740.TW-PreClose'</f>
        <v>21.15</v>
      </c>
      <c r="F1610" s="141" t="str">
        <f>IFERROR(STOCKS!$E1610-STOCKS昨天!$E1610,"0")</f>
        <v>0</v>
      </c>
      <c r="G1610" s="63">
        <f t="shared" si="25"/>
        <v>0</v>
      </c>
    </row>
    <row r="1611" spans="1:7">
      <c r="A1611" s="120">
        <v>2743</v>
      </c>
      <c r="B1611" s="125" t="s">
        <v>5086</v>
      </c>
      <c r="C1611" s="125" t="s">
        <v>5623</v>
      </c>
      <c r="D1611" s="120">
        <v>2743</v>
      </c>
      <c r="E1611" s="60">
        <f>[1]!'2743.TW-PreClose'</f>
        <v>23.65</v>
      </c>
      <c r="F1611" s="141" t="str">
        <f>IFERROR(STOCKS!$E1611-STOCKS昨天!$E1611,"0")</f>
        <v>0</v>
      </c>
      <c r="G1611" s="63">
        <f t="shared" si="25"/>
        <v>0</v>
      </c>
    </row>
    <row r="1612" spans="1:7">
      <c r="A1612" s="120">
        <v>2745</v>
      </c>
      <c r="B1612" s="125" t="s">
        <v>5087</v>
      </c>
      <c r="C1612" s="125" t="s">
        <v>5623</v>
      </c>
      <c r="D1612" s="120">
        <v>2745</v>
      </c>
      <c r="E1612" s="60">
        <f>[1]!'2745.TW-PreClose'</f>
        <v>24</v>
      </c>
      <c r="F1612" s="141" t="str">
        <f>IFERROR(STOCKS!$E1612-STOCKS昨天!$E1612,"0")</f>
        <v>0</v>
      </c>
      <c r="G1612" s="63">
        <f t="shared" si="25"/>
        <v>0</v>
      </c>
    </row>
    <row r="1613" spans="1:7">
      <c r="A1613" s="120">
        <v>2752</v>
      </c>
      <c r="B1613" s="125" t="s">
        <v>5088</v>
      </c>
      <c r="C1613" s="125" t="s">
        <v>5623</v>
      </c>
      <c r="D1613" s="120">
        <v>2752</v>
      </c>
      <c r="E1613" s="60">
        <f>[1]!'2752.TW-PreClose'</f>
        <v>156.5</v>
      </c>
      <c r="F1613" s="141" t="str">
        <f>IFERROR(STOCKS!$E1613-STOCKS昨天!$E1613,"0")</f>
        <v>0</v>
      </c>
      <c r="G1613" s="63">
        <f t="shared" si="25"/>
        <v>0</v>
      </c>
    </row>
    <row r="1614" spans="1:7">
      <c r="A1614" s="120">
        <v>2754</v>
      </c>
      <c r="B1614" s="125" t="s">
        <v>5089</v>
      </c>
      <c r="C1614" s="125" t="s">
        <v>5623</v>
      </c>
      <c r="D1614" s="120">
        <v>2754</v>
      </c>
      <c r="E1614" s="60" t="str">
        <f>[1]!'2754.TW-PreClose'</f>
        <v>--</v>
      </c>
      <c r="F1614" s="141" t="str">
        <f>IFERROR(STOCKS!$E1614-STOCKS昨天!$E1614,"0")</f>
        <v>0</v>
      </c>
      <c r="G1614" s="63" t="str">
        <f t="shared" si="25"/>
        <v>0</v>
      </c>
    </row>
    <row r="1615" spans="1:7">
      <c r="A1615" s="120">
        <v>2755</v>
      </c>
      <c r="B1615" s="125" t="s">
        <v>5090</v>
      </c>
      <c r="C1615" s="125" t="s">
        <v>5623</v>
      </c>
      <c r="D1615" s="120">
        <v>2755</v>
      </c>
      <c r="E1615" s="60">
        <f>[1]!'2755.TW-PreClose'</f>
        <v>55.8</v>
      </c>
      <c r="F1615" s="141" t="str">
        <f>IFERROR(STOCKS!$E1615-STOCKS昨天!$E1615,"0")</f>
        <v>0</v>
      </c>
      <c r="G1615" s="63">
        <f t="shared" si="25"/>
        <v>0</v>
      </c>
    </row>
    <row r="1616" spans="1:7">
      <c r="A1616" s="120">
        <v>3252</v>
      </c>
      <c r="B1616" s="125" t="s">
        <v>5091</v>
      </c>
      <c r="C1616" s="125" t="s">
        <v>5623</v>
      </c>
      <c r="D1616" s="120">
        <v>3252</v>
      </c>
      <c r="E1616" s="60">
        <f>[1]!'3252.TW-PreClose'</f>
        <v>16.850000000000001</v>
      </c>
      <c r="F1616" s="141" t="str">
        <f>IFERROR(STOCKS!$E1616-STOCKS昨天!$E1616,"0")</f>
        <v>0</v>
      </c>
      <c r="G1616" s="63">
        <f t="shared" si="25"/>
        <v>0</v>
      </c>
    </row>
    <row r="1617" spans="1:7">
      <c r="A1617" s="120">
        <v>3522</v>
      </c>
      <c r="B1617" s="125" t="s">
        <v>5092</v>
      </c>
      <c r="C1617" s="125" t="s">
        <v>5623</v>
      </c>
      <c r="D1617" s="120">
        <v>3522</v>
      </c>
      <c r="E1617" s="60" t="str">
        <f>[1]!'3522.TW-PreClose'</f>
        <v>--</v>
      </c>
      <c r="F1617" s="141" t="str">
        <f>IFERROR(STOCKS!$E1617-STOCKS昨天!$E1617,"0")</f>
        <v>0</v>
      </c>
      <c r="G1617" s="63" t="str">
        <f t="shared" si="25"/>
        <v>0</v>
      </c>
    </row>
    <row r="1618" spans="1:7">
      <c r="A1618" s="120">
        <v>4804</v>
      </c>
      <c r="B1618" s="125" t="s">
        <v>5093</v>
      </c>
      <c r="C1618" s="125" t="s">
        <v>5624</v>
      </c>
      <c r="D1618" s="120">
        <v>4804</v>
      </c>
      <c r="E1618" s="60" t="str">
        <f>[1]!'4804.TW-PreClose'</f>
        <v>--</v>
      </c>
      <c r="F1618" s="141" t="str">
        <f>IFERROR(STOCKS!$E1618-STOCKS昨天!$E1618,"0")</f>
        <v>0</v>
      </c>
      <c r="G1618" s="63" t="str">
        <f t="shared" si="25"/>
        <v>0</v>
      </c>
    </row>
    <row r="1619" spans="1:7">
      <c r="A1619" s="120">
        <v>5301</v>
      </c>
      <c r="B1619" s="125" t="s">
        <v>5094</v>
      </c>
      <c r="C1619" s="125" t="s">
        <v>5623</v>
      </c>
      <c r="D1619" s="120">
        <v>5301</v>
      </c>
      <c r="E1619" s="60">
        <f>[1]!'5301.TW-PreClose'</f>
        <v>8.92</v>
      </c>
      <c r="F1619" s="141" t="str">
        <f>IFERROR(STOCKS!$E1619-STOCKS昨天!$E1619,"0")</f>
        <v>0</v>
      </c>
      <c r="G1619" s="63">
        <f t="shared" si="25"/>
        <v>0</v>
      </c>
    </row>
    <row r="1620" spans="1:7">
      <c r="A1620" s="120">
        <v>5364</v>
      </c>
      <c r="B1620" s="125" t="s">
        <v>5095</v>
      </c>
      <c r="C1620" s="125" t="s">
        <v>5623</v>
      </c>
      <c r="D1620" s="120">
        <v>5364</v>
      </c>
      <c r="E1620" s="60" t="str">
        <f>[1]!'5364.TW-PreClose'</f>
        <v>--</v>
      </c>
      <c r="F1620" s="141" t="str">
        <f>IFERROR(STOCKS!$E1620-STOCKS昨天!$E1620,"0")</f>
        <v>0</v>
      </c>
      <c r="G1620" s="63" t="str">
        <f t="shared" si="25"/>
        <v>0</v>
      </c>
    </row>
    <row r="1621" spans="1:7">
      <c r="A1621" s="120">
        <v>5701</v>
      </c>
      <c r="B1621" s="125" t="s">
        <v>5096</v>
      </c>
      <c r="C1621" s="125" t="s">
        <v>5623</v>
      </c>
      <c r="D1621" s="120">
        <v>5701</v>
      </c>
      <c r="E1621" s="60">
        <f>[1]!'5701.TW-PreClose'</f>
        <v>3.11</v>
      </c>
      <c r="F1621" s="141" t="str">
        <f>IFERROR(STOCKS!$E1621-STOCKS昨天!$E1621,"0")</f>
        <v>0</v>
      </c>
      <c r="G1621" s="63">
        <f t="shared" si="25"/>
        <v>0</v>
      </c>
    </row>
    <row r="1622" spans="1:7">
      <c r="A1622" s="120">
        <v>5703</v>
      </c>
      <c r="B1622" s="125" t="s">
        <v>5097</v>
      </c>
      <c r="C1622" s="125" t="s">
        <v>5623</v>
      </c>
      <c r="D1622" s="120">
        <v>5703</v>
      </c>
      <c r="E1622" s="60">
        <f>[1]!'5703.TW-PreClose'</f>
        <v>27.85</v>
      </c>
      <c r="F1622" s="141" t="str">
        <f>IFERROR(STOCKS!$E1622-STOCKS昨天!$E1622,"0")</f>
        <v>0</v>
      </c>
      <c r="G1622" s="63">
        <f t="shared" si="25"/>
        <v>0</v>
      </c>
    </row>
    <row r="1623" spans="1:7">
      <c r="A1623" s="120">
        <v>5704</v>
      </c>
      <c r="B1623" s="125" t="s">
        <v>5098</v>
      </c>
      <c r="C1623" s="125" t="s">
        <v>5623</v>
      </c>
      <c r="D1623" s="120">
        <v>5704</v>
      </c>
      <c r="E1623" s="60" t="str">
        <f>[1]!'5704.TW-PreClose'</f>
        <v>--</v>
      </c>
      <c r="F1623" s="141" t="str">
        <f>IFERROR(STOCKS!$E1623-STOCKS昨天!$E1623,"0")</f>
        <v>0</v>
      </c>
      <c r="G1623" s="63" t="str">
        <f t="shared" si="25"/>
        <v>0</v>
      </c>
    </row>
    <row r="1624" spans="1:7">
      <c r="A1624" s="120">
        <v>8077</v>
      </c>
      <c r="B1624" s="125" t="s">
        <v>5099</v>
      </c>
      <c r="C1624" s="125" t="s">
        <v>5623</v>
      </c>
      <c r="D1624" s="120">
        <v>8077</v>
      </c>
      <c r="E1624" s="60">
        <f>[1]!'8077.TW-PreClose'</f>
        <v>11.25</v>
      </c>
      <c r="F1624" s="141" t="str">
        <f>IFERROR(STOCKS!$E1624-STOCKS昨天!$E1624,"0")</f>
        <v>0</v>
      </c>
      <c r="G1624" s="63">
        <f t="shared" si="25"/>
        <v>0</v>
      </c>
    </row>
    <row r="1625" spans="1:7">
      <c r="A1625" s="120">
        <v>5820</v>
      </c>
      <c r="B1625" s="125" t="s">
        <v>5100</v>
      </c>
      <c r="C1625" s="125" t="s">
        <v>5625</v>
      </c>
      <c r="D1625" s="120">
        <v>5820</v>
      </c>
      <c r="E1625" s="60">
        <f>[1]!'5820.TW-PreClose'</f>
        <v>12.35</v>
      </c>
      <c r="F1625" s="141" t="str">
        <f>IFERROR(STOCKS!$E1625-STOCKS昨天!$E1625,"0")</f>
        <v>0</v>
      </c>
      <c r="G1625" s="63">
        <f t="shared" si="25"/>
        <v>0</v>
      </c>
    </row>
    <row r="1626" spans="1:7">
      <c r="A1626" s="120">
        <v>5864</v>
      </c>
      <c r="B1626" s="125" t="s">
        <v>5101</v>
      </c>
      <c r="C1626" s="125" t="s">
        <v>5625</v>
      </c>
      <c r="D1626" s="120">
        <v>5864</v>
      </c>
      <c r="E1626" s="60">
        <f>[1]!'5864.TW-PreClose'</f>
        <v>15.55</v>
      </c>
      <c r="F1626" s="141" t="str">
        <f>IFERROR(STOCKS!$E1626-STOCKS昨天!$E1626,"0")</f>
        <v>0</v>
      </c>
      <c r="G1626" s="63">
        <f t="shared" si="25"/>
        <v>0</v>
      </c>
    </row>
    <row r="1627" spans="1:7">
      <c r="A1627" s="120">
        <v>5878</v>
      </c>
      <c r="B1627" s="125" t="s">
        <v>5102</v>
      </c>
      <c r="C1627" s="125" t="s">
        <v>5625</v>
      </c>
      <c r="D1627" s="120">
        <v>5878</v>
      </c>
      <c r="E1627" s="60" t="str">
        <f>[1]!'5878.TW-PreClose'</f>
        <v>--</v>
      </c>
      <c r="F1627" s="141" t="str">
        <f>IFERROR(STOCKS!$E1627-STOCKS昨天!$E1627,"0")</f>
        <v>0</v>
      </c>
      <c r="G1627" s="63" t="str">
        <f t="shared" si="25"/>
        <v>0</v>
      </c>
    </row>
    <row r="1628" spans="1:7">
      <c r="A1628" s="120">
        <v>6015</v>
      </c>
      <c r="B1628" s="125" t="s">
        <v>5103</v>
      </c>
      <c r="C1628" s="125" t="s">
        <v>5625</v>
      </c>
      <c r="D1628" s="120">
        <v>6015</v>
      </c>
      <c r="E1628" s="60">
        <f>[1]!'6015.TW-PreClose'</f>
        <v>16.8</v>
      </c>
      <c r="F1628" s="141">
        <f>IFERROR(STOCKS!$E1628-STOCKS昨天!$E1628,"0")</f>
        <v>5.0000000000000711E-2</v>
      </c>
      <c r="G1628" s="63">
        <f t="shared" si="25"/>
        <v>2.9761904761905185E-3</v>
      </c>
    </row>
    <row r="1629" spans="1:7">
      <c r="A1629" s="120">
        <v>6016</v>
      </c>
      <c r="B1629" s="125" t="s">
        <v>5104</v>
      </c>
      <c r="C1629" s="125" t="s">
        <v>5625</v>
      </c>
      <c r="D1629" s="120">
        <v>6016</v>
      </c>
      <c r="E1629" s="60">
        <f>[1]!'6016.TW-PreClose'</f>
        <v>14</v>
      </c>
      <c r="F1629" s="141" t="str">
        <f>IFERROR(STOCKS!$E1629-STOCKS昨天!$E1629,"0")</f>
        <v>0</v>
      </c>
      <c r="G1629" s="63">
        <f t="shared" si="25"/>
        <v>0</v>
      </c>
    </row>
    <row r="1630" spans="1:7">
      <c r="A1630" s="120">
        <v>6020</v>
      </c>
      <c r="B1630" s="125" t="s">
        <v>5105</v>
      </c>
      <c r="C1630" s="125" t="s">
        <v>5625</v>
      </c>
      <c r="D1630" s="120">
        <v>6020</v>
      </c>
      <c r="E1630" s="60">
        <f>[1]!'6020.TW-PreClose'</f>
        <v>22.55</v>
      </c>
      <c r="F1630" s="141" t="str">
        <f>IFERROR(STOCKS!$E1630-STOCKS昨天!$E1630,"0")</f>
        <v>0</v>
      </c>
      <c r="G1630" s="63">
        <f t="shared" si="25"/>
        <v>0</v>
      </c>
    </row>
    <row r="1631" spans="1:7">
      <c r="A1631" s="120">
        <v>6021</v>
      </c>
      <c r="B1631" s="125" t="s">
        <v>5106</v>
      </c>
      <c r="C1631" s="125" t="s">
        <v>5625</v>
      </c>
      <c r="D1631" s="120">
        <v>6021</v>
      </c>
      <c r="E1631" s="60">
        <f>[1]!'6021.TW-PreClose'</f>
        <v>21.25</v>
      </c>
      <c r="F1631" s="141" t="str">
        <f>IFERROR(STOCKS!$E1631-STOCKS昨天!$E1631,"0")</f>
        <v>0</v>
      </c>
      <c r="G1631" s="63">
        <f t="shared" si="25"/>
        <v>0</v>
      </c>
    </row>
    <row r="1632" spans="1:7">
      <c r="A1632" s="120">
        <v>6023</v>
      </c>
      <c r="B1632" s="125" t="s">
        <v>5107</v>
      </c>
      <c r="C1632" s="125" t="s">
        <v>5625</v>
      </c>
      <c r="D1632" s="120">
        <v>6023</v>
      </c>
      <c r="E1632" s="60" t="str">
        <f>[1]!'6023.TW-PreClose'</f>
        <v>--</v>
      </c>
      <c r="F1632" s="141" t="str">
        <f>IFERROR(STOCKS!$E1632-STOCKS昨天!$E1632,"0")</f>
        <v>0</v>
      </c>
      <c r="G1632" s="63" t="str">
        <f t="shared" si="25"/>
        <v>0</v>
      </c>
    </row>
    <row r="1633" spans="1:7">
      <c r="A1633" s="120">
        <v>6026</v>
      </c>
      <c r="B1633" s="125" t="s">
        <v>5108</v>
      </c>
      <c r="C1633" s="125" t="s">
        <v>5625</v>
      </c>
      <c r="D1633" s="120">
        <v>6026</v>
      </c>
      <c r="E1633" s="60" t="str">
        <f>[1]!'6026.TW-PreClose'</f>
        <v>--</v>
      </c>
      <c r="F1633" s="141" t="str">
        <f>IFERROR(STOCKS!$E1633-STOCKS昨天!$E1633,"0")</f>
        <v>0</v>
      </c>
      <c r="G1633" s="63" t="str">
        <f t="shared" si="25"/>
        <v>0</v>
      </c>
    </row>
    <row r="1634" spans="1:7">
      <c r="A1634" s="120">
        <v>2916</v>
      </c>
      <c r="B1634" s="125" t="s">
        <v>5109</v>
      </c>
      <c r="C1634" s="125" t="s">
        <v>5626</v>
      </c>
      <c r="D1634" s="120">
        <v>2916</v>
      </c>
      <c r="E1634" s="60">
        <f>[1]!'2916.TW-PreClose'</f>
        <v>20.7</v>
      </c>
      <c r="F1634" s="141" t="str">
        <f>IFERROR(STOCKS!$E1634-STOCKS昨天!$E1634,"0")</f>
        <v>0</v>
      </c>
      <c r="G1634" s="63">
        <f t="shared" si="25"/>
        <v>0</v>
      </c>
    </row>
    <row r="1635" spans="1:7">
      <c r="A1635" s="120">
        <v>2924</v>
      </c>
      <c r="B1635" s="125" t="s">
        <v>5110</v>
      </c>
      <c r="C1635" s="125" t="s">
        <v>5627</v>
      </c>
      <c r="D1635" s="120">
        <v>2924</v>
      </c>
      <c r="E1635" s="60" t="str">
        <f>[1]!'2924.TW-PreClose'</f>
        <v>--</v>
      </c>
      <c r="F1635" s="141" t="str">
        <f>IFERROR(STOCKS!$E1635-STOCKS昨天!$E1635,"0")</f>
        <v>0</v>
      </c>
      <c r="G1635" s="63" t="str">
        <f t="shared" si="25"/>
        <v>0</v>
      </c>
    </row>
    <row r="1636" spans="1:7">
      <c r="A1636" s="120">
        <v>2937</v>
      </c>
      <c r="B1636" s="125" t="s">
        <v>5111</v>
      </c>
      <c r="C1636" s="125" t="s">
        <v>5626</v>
      </c>
      <c r="D1636" s="120">
        <v>2937</v>
      </c>
      <c r="E1636" s="60">
        <f>[1]!'2937.TW-PreClose'</f>
        <v>37.35</v>
      </c>
      <c r="F1636" s="141" t="str">
        <f>IFERROR(STOCKS!$E1636-STOCKS昨天!$E1636,"0")</f>
        <v>0</v>
      </c>
      <c r="G1636" s="63">
        <f t="shared" si="25"/>
        <v>0</v>
      </c>
    </row>
    <row r="1637" spans="1:7">
      <c r="A1637" s="120">
        <v>2947</v>
      </c>
      <c r="B1637" s="125" t="s">
        <v>5425</v>
      </c>
      <c r="C1637" s="125" t="s">
        <v>5626</v>
      </c>
      <c r="D1637" s="120">
        <v>2947</v>
      </c>
      <c r="E1637" s="60">
        <f>[1]!'2947.TW-PreClose'</f>
        <v>115.5</v>
      </c>
      <c r="F1637" s="141" t="str">
        <f>IFERROR(STOCKS!$E1637-STOCKS昨天!$E1637,"0")</f>
        <v>0</v>
      </c>
      <c r="G1637" s="63">
        <f t="shared" si="25"/>
        <v>0</v>
      </c>
    </row>
    <row r="1638" spans="1:7">
      <c r="A1638" s="120">
        <v>3171</v>
      </c>
      <c r="B1638" s="125" t="s">
        <v>5112</v>
      </c>
      <c r="C1638" s="125" t="s">
        <v>5626</v>
      </c>
      <c r="D1638" s="120">
        <v>3171</v>
      </c>
      <c r="E1638" s="60">
        <f>[1]!'3171.TW-PreClose'</f>
        <v>20.65</v>
      </c>
      <c r="F1638" s="141" t="str">
        <f>IFERROR(STOCKS!$E1638-STOCKS昨天!$E1638,"0")</f>
        <v>0</v>
      </c>
      <c r="G1638" s="63">
        <f t="shared" si="25"/>
        <v>0</v>
      </c>
    </row>
    <row r="1639" spans="1:7">
      <c r="A1639" s="120">
        <v>5902</v>
      </c>
      <c r="B1639" s="125" t="s">
        <v>5113</v>
      </c>
      <c r="C1639" s="125" t="s">
        <v>5626</v>
      </c>
      <c r="D1639" s="120">
        <v>5902</v>
      </c>
      <c r="E1639" s="60">
        <f>[1]!'5902.TW-PreClose'</f>
        <v>24.5</v>
      </c>
      <c r="F1639" s="141" t="str">
        <f>IFERROR(STOCKS!$E1639-STOCKS昨天!$E1639,"0")</f>
        <v>0</v>
      </c>
      <c r="G1639" s="63">
        <f t="shared" si="25"/>
        <v>0</v>
      </c>
    </row>
    <row r="1640" spans="1:7">
      <c r="A1640" s="120">
        <v>5903</v>
      </c>
      <c r="B1640" s="125" t="s">
        <v>5114</v>
      </c>
      <c r="C1640" s="125" t="s">
        <v>5626</v>
      </c>
      <c r="D1640" s="120">
        <v>5903</v>
      </c>
      <c r="E1640" s="60">
        <f>[1]!'5903.TW-PreClose'</f>
        <v>255.5</v>
      </c>
      <c r="F1640" s="141" t="str">
        <f>IFERROR(STOCKS!$E1640-STOCKS昨天!$E1640,"0")</f>
        <v>0</v>
      </c>
      <c r="G1640" s="63">
        <f t="shared" si="25"/>
        <v>0</v>
      </c>
    </row>
    <row r="1641" spans="1:7">
      <c r="A1641" s="120">
        <v>5904</v>
      </c>
      <c r="B1641" s="125" t="s">
        <v>5115</v>
      </c>
      <c r="C1641" s="125" t="s">
        <v>5626</v>
      </c>
      <c r="D1641" s="120">
        <v>5904</v>
      </c>
      <c r="E1641" s="60">
        <f>[1]!'5904.TW-PreClose'</f>
        <v>503</v>
      </c>
      <c r="F1641" s="141" t="str">
        <f>IFERROR(STOCKS!$E1641-STOCKS昨天!$E1641,"0")</f>
        <v>0</v>
      </c>
      <c r="G1641" s="63">
        <f t="shared" si="25"/>
        <v>0</v>
      </c>
    </row>
    <row r="1642" spans="1:7">
      <c r="A1642" s="120">
        <v>5905</v>
      </c>
      <c r="B1642" s="125" t="s">
        <v>5116</v>
      </c>
      <c r="C1642" s="125" t="s">
        <v>5626</v>
      </c>
      <c r="D1642" s="120">
        <v>5905</v>
      </c>
      <c r="E1642" s="60">
        <f>[1]!'5905.TW-PreClose'</f>
        <v>14.6</v>
      </c>
      <c r="F1642" s="141" t="str">
        <f>IFERROR(STOCKS!$E1642-STOCKS昨天!$E1642,"0")</f>
        <v>0</v>
      </c>
      <c r="G1642" s="63">
        <f t="shared" si="25"/>
        <v>0</v>
      </c>
    </row>
    <row r="1643" spans="1:7">
      <c r="A1643" s="120">
        <v>6195</v>
      </c>
      <c r="B1643" s="125" t="s">
        <v>5117</v>
      </c>
      <c r="C1643" s="125" t="s">
        <v>5626</v>
      </c>
      <c r="D1643" s="120">
        <v>6195</v>
      </c>
      <c r="E1643" s="60">
        <f>[1]!'6195.TW-PreClose'</f>
        <v>53</v>
      </c>
      <c r="F1643" s="141" t="str">
        <f>IFERROR(STOCKS!$E1643-STOCKS昨天!$E1643,"0")</f>
        <v>0</v>
      </c>
      <c r="G1643" s="63">
        <f t="shared" si="25"/>
        <v>0</v>
      </c>
    </row>
    <row r="1644" spans="1:7">
      <c r="A1644" s="120">
        <v>6728</v>
      </c>
      <c r="B1644" s="125" t="s">
        <v>5118</v>
      </c>
      <c r="C1644" s="125" t="s">
        <v>5626</v>
      </c>
      <c r="D1644" s="120">
        <v>6728</v>
      </c>
      <c r="E1644" s="60">
        <f>[1]!'6728.TW-PreClose'</f>
        <v>90.5</v>
      </c>
      <c r="F1644" s="141" t="str">
        <f>IFERROR(STOCKS!$E1644-STOCKS昨天!$E1644,"0")</f>
        <v>0</v>
      </c>
      <c r="G1644" s="63">
        <f t="shared" si="25"/>
        <v>0</v>
      </c>
    </row>
    <row r="1645" spans="1:7">
      <c r="A1645" s="120">
        <v>8066</v>
      </c>
      <c r="B1645" s="125" t="s">
        <v>5119</v>
      </c>
      <c r="C1645" s="125" t="s">
        <v>5626</v>
      </c>
      <c r="D1645" s="120">
        <v>8066</v>
      </c>
      <c r="E1645" s="60">
        <f>[1]!'8066.TW-PreClose'</f>
        <v>33.35</v>
      </c>
      <c r="F1645" s="141" t="str">
        <f>IFERROR(STOCKS!$E1645-STOCKS昨天!$E1645,"0")</f>
        <v>0</v>
      </c>
      <c r="G1645" s="63">
        <f t="shared" si="25"/>
        <v>0</v>
      </c>
    </row>
    <row r="1646" spans="1:7">
      <c r="A1646" s="120">
        <v>8433</v>
      </c>
      <c r="B1646" s="125" t="s">
        <v>5120</v>
      </c>
      <c r="C1646" s="125" t="s">
        <v>5626</v>
      </c>
      <c r="D1646" s="120">
        <v>8433</v>
      </c>
      <c r="E1646" s="60">
        <f>[1]!'8433.TW-PreClose'</f>
        <v>42.6</v>
      </c>
      <c r="F1646" s="141" t="str">
        <f>IFERROR(STOCKS!$E1646-STOCKS昨天!$E1646,"0")</f>
        <v>0</v>
      </c>
      <c r="G1646" s="63">
        <f t="shared" si="25"/>
        <v>0</v>
      </c>
    </row>
    <row r="1647" spans="1:7">
      <c r="A1647" s="120">
        <v>8941</v>
      </c>
      <c r="B1647" s="125" t="s">
        <v>5121</v>
      </c>
      <c r="C1647" s="125" t="s">
        <v>5626</v>
      </c>
      <c r="D1647" s="120">
        <v>8941</v>
      </c>
      <c r="E1647" s="60" t="str">
        <f>[1]!'8941.TW-PreClose'</f>
        <v>--</v>
      </c>
      <c r="F1647" s="141" t="str">
        <f>IFERROR(STOCKS!$E1647-STOCKS昨天!$E1647,"0")</f>
        <v>0</v>
      </c>
      <c r="G1647" s="63" t="str">
        <f t="shared" si="25"/>
        <v>0</v>
      </c>
    </row>
    <row r="1648" spans="1:7">
      <c r="A1648" s="120">
        <v>9960</v>
      </c>
      <c r="B1648" s="125" t="s">
        <v>5122</v>
      </c>
      <c r="C1648" s="125" t="s">
        <v>5626</v>
      </c>
      <c r="D1648" s="120">
        <v>9960</v>
      </c>
      <c r="E1648" s="60" t="str">
        <f>[1]!'9960.TW-PreClose'</f>
        <v>--</v>
      </c>
      <c r="F1648" s="141" t="str">
        <f>IFERROR(STOCKS!$E1648-STOCKS昨天!$E1648,"0")</f>
        <v>0</v>
      </c>
      <c r="G1648" s="63" t="str">
        <f t="shared" si="25"/>
        <v>0</v>
      </c>
    </row>
    <row r="1649" spans="1:7">
      <c r="A1649" s="120">
        <v>8908</v>
      </c>
      <c r="B1649" s="125" t="s">
        <v>5123</v>
      </c>
      <c r="C1649" s="125" t="s">
        <v>5628</v>
      </c>
      <c r="D1649" s="120">
        <v>8908</v>
      </c>
      <c r="E1649" s="60" t="str">
        <f>[1]!'8908.TW-PreClose'</f>
        <v>--</v>
      </c>
      <c r="F1649" s="141" t="str">
        <f>IFERROR(STOCKS!$E1649-STOCKS昨天!$E1649,"0")</f>
        <v>0</v>
      </c>
      <c r="G1649" s="63" t="str">
        <f t="shared" si="25"/>
        <v>0</v>
      </c>
    </row>
    <row r="1650" spans="1:7">
      <c r="A1650" s="120">
        <v>8917</v>
      </c>
      <c r="B1650" s="125" t="s">
        <v>5124</v>
      </c>
      <c r="C1650" s="125" t="s">
        <v>5628</v>
      </c>
      <c r="D1650" s="120">
        <v>8917</v>
      </c>
      <c r="E1650" s="60">
        <f>[1]!'8917.TW-PreClose'</f>
        <v>88.8</v>
      </c>
      <c r="F1650" s="141" t="str">
        <f>IFERROR(STOCKS!$E1650-STOCKS昨天!$E1650,"0")</f>
        <v>0</v>
      </c>
      <c r="G1650" s="63">
        <f t="shared" si="25"/>
        <v>0</v>
      </c>
    </row>
    <row r="1651" spans="1:7">
      <c r="A1651" s="120">
        <v>8927</v>
      </c>
      <c r="B1651" s="125" t="s">
        <v>5125</v>
      </c>
      <c r="C1651" s="125" t="s">
        <v>5628</v>
      </c>
      <c r="D1651" s="120">
        <v>8927</v>
      </c>
      <c r="E1651" s="60" t="str">
        <f>[1]!'8927.TW-PreClose'</f>
        <v>--</v>
      </c>
      <c r="F1651" s="141" t="str">
        <f>IFERROR(STOCKS!$E1651-STOCKS昨天!$E1651,"0")</f>
        <v>0</v>
      </c>
      <c r="G1651" s="63" t="str">
        <f t="shared" si="25"/>
        <v>0</v>
      </c>
    </row>
    <row r="1652" spans="1:7">
      <c r="A1652" s="120">
        <v>8931</v>
      </c>
      <c r="B1652" s="125" t="s">
        <v>5126</v>
      </c>
      <c r="C1652" s="125" t="s">
        <v>5628</v>
      </c>
      <c r="D1652" s="120">
        <v>8931</v>
      </c>
      <c r="E1652" s="60">
        <f>[1]!'8931.TW-PreClose'</f>
        <v>31.8</v>
      </c>
      <c r="F1652" s="141" t="str">
        <f>IFERROR(STOCKS!$E1652-STOCKS昨天!$E1652,"0")</f>
        <v>0</v>
      </c>
      <c r="G1652" s="63">
        <f t="shared" si="25"/>
        <v>0</v>
      </c>
    </row>
    <row r="1653" spans="1:7">
      <c r="A1653" s="120">
        <v>1584</v>
      </c>
      <c r="B1653" s="125" t="s">
        <v>3589</v>
      </c>
      <c r="C1653" s="125" t="s">
        <v>5629</v>
      </c>
      <c r="D1653" s="120">
        <v>1584</v>
      </c>
      <c r="E1653" s="60">
        <f>[1]!'1584.TW-PreClose'</f>
        <v>17.8</v>
      </c>
      <c r="F1653" s="141" t="str">
        <f>IFERROR(STOCKS!$E1653-STOCKS昨天!$E1653,"0")</f>
        <v>0</v>
      </c>
      <c r="G1653" s="63">
        <f t="shared" si="25"/>
        <v>0</v>
      </c>
    </row>
    <row r="1654" spans="1:7">
      <c r="A1654" s="120">
        <v>2221</v>
      </c>
      <c r="B1654" s="125" t="s">
        <v>5127</v>
      </c>
      <c r="C1654" s="125" t="s">
        <v>5629</v>
      </c>
      <c r="D1654" s="120">
        <v>2221</v>
      </c>
      <c r="E1654" s="60">
        <f>[1]!'2221.TW-PreClose'</f>
        <v>41</v>
      </c>
      <c r="F1654" s="141" t="str">
        <f>IFERROR(STOCKS!$E1654-STOCKS昨天!$E1654,"0")</f>
        <v>0</v>
      </c>
      <c r="G1654" s="63">
        <f t="shared" si="25"/>
        <v>0</v>
      </c>
    </row>
    <row r="1655" spans="1:7">
      <c r="A1655" s="120">
        <v>2640</v>
      </c>
      <c r="B1655" s="125" t="s">
        <v>5128</v>
      </c>
      <c r="C1655" s="125" t="s">
        <v>5629</v>
      </c>
      <c r="D1655" s="120">
        <v>2640</v>
      </c>
      <c r="E1655" s="60">
        <f>[1]!'2640.TW-PreClose'</f>
        <v>74</v>
      </c>
      <c r="F1655" s="141" t="str">
        <f>IFERROR(STOCKS!$E1655-STOCKS昨天!$E1655,"0")</f>
        <v>0</v>
      </c>
      <c r="G1655" s="63">
        <f t="shared" si="25"/>
        <v>0</v>
      </c>
    </row>
    <row r="1656" spans="1:7">
      <c r="A1656" s="120">
        <v>3284</v>
      </c>
      <c r="B1656" s="125" t="s">
        <v>5129</v>
      </c>
      <c r="C1656" s="125" t="s">
        <v>5629</v>
      </c>
      <c r="D1656" s="120">
        <v>3284</v>
      </c>
      <c r="E1656" s="60">
        <f>[1]!'3284.TW-PreClose'</f>
        <v>12.25</v>
      </c>
      <c r="F1656" s="141" t="str">
        <f>IFERROR(STOCKS!$E1656-STOCKS昨天!$E1656,"0")</f>
        <v>0</v>
      </c>
      <c r="G1656" s="63">
        <f t="shared" si="25"/>
        <v>0</v>
      </c>
    </row>
    <row r="1657" spans="1:7">
      <c r="A1657" s="120">
        <v>3313</v>
      </c>
      <c r="B1657" s="125" t="s">
        <v>4882</v>
      </c>
      <c r="C1657" s="125" t="s">
        <v>5629</v>
      </c>
      <c r="D1657" s="120">
        <v>3313</v>
      </c>
      <c r="E1657" s="60">
        <f>[1]!'3313.TW-PreClose'</f>
        <v>12.6</v>
      </c>
      <c r="F1657" s="141" t="str">
        <f>IFERROR(STOCKS!$E1657-STOCKS昨天!$E1657,"0")</f>
        <v>0</v>
      </c>
      <c r="G1657" s="63">
        <f t="shared" si="25"/>
        <v>0</v>
      </c>
    </row>
    <row r="1658" spans="1:7">
      <c r="A1658" s="120">
        <v>4430</v>
      </c>
      <c r="B1658" s="125" t="s">
        <v>5130</v>
      </c>
      <c r="C1658" s="125" t="s">
        <v>5629</v>
      </c>
      <c r="D1658" s="120">
        <v>4430</v>
      </c>
      <c r="E1658" s="60" t="str">
        <f>[1]!'4430.TW-PreClose'</f>
        <v>--</v>
      </c>
      <c r="F1658" s="141" t="str">
        <f>IFERROR(STOCKS!$E1658-STOCKS昨天!$E1658,"0")</f>
        <v>0</v>
      </c>
      <c r="G1658" s="63" t="str">
        <f t="shared" si="25"/>
        <v>0</v>
      </c>
    </row>
    <row r="1659" spans="1:7">
      <c r="A1659" s="120">
        <v>4529</v>
      </c>
      <c r="B1659" s="125" t="s">
        <v>5131</v>
      </c>
      <c r="C1659" s="125" t="s">
        <v>5629</v>
      </c>
      <c r="D1659" s="120">
        <v>4529</v>
      </c>
      <c r="E1659" s="60">
        <f>[1]!'4529.TW-PreClose'</f>
        <v>13.15</v>
      </c>
      <c r="F1659" s="141" t="str">
        <f>IFERROR(STOCKS!$E1659-STOCKS昨天!$E1659,"0")</f>
        <v>0</v>
      </c>
      <c r="G1659" s="63">
        <f t="shared" si="25"/>
        <v>0</v>
      </c>
    </row>
    <row r="1660" spans="1:7">
      <c r="A1660" s="120">
        <v>4541</v>
      </c>
      <c r="B1660" s="125" t="s">
        <v>5132</v>
      </c>
      <c r="C1660" s="125" t="s">
        <v>5629</v>
      </c>
      <c r="D1660" s="120">
        <v>4541</v>
      </c>
      <c r="E1660" s="60">
        <f>[1]!'4541.TW-PreClose'</f>
        <v>24.5</v>
      </c>
      <c r="F1660" s="141" t="str">
        <f>IFERROR(STOCKS!$E1660-STOCKS昨天!$E1660,"0")</f>
        <v>0</v>
      </c>
      <c r="G1660" s="63">
        <f t="shared" si="25"/>
        <v>0</v>
      </c>
    </row>
    <row r="1661" spans="1:7">
      <c r="A1661" s="120">
        <v>4556</v>
      </c>
      <c r="B1661" s="125" t="s">
        <v>5133</v>
      </c>
      <c r="C1661" s="125" t="s">
        <v>5629</v>
      </c>
      <c r="D1661" s="120">
        <v>4556</v>
      </c>
      <c r="E1661" s="60">
        <f>[1]!'4556.TW-PreClose'</f>
        <v>30.7</v>
      </c>
      <c r="F1661" s="141" t="str">
        <f>IFERROR(STOCKS!$E1661-STOCKS昨天!$E1661,"0")</f>
        <v>0</v>
      </c>
      <c r="G1661" s="63">
        <f t="shared" si="25"/>
        <v>0</v>
      </c>
    </row>
    <row r="1662" spans="1:7">
      <c r="A1662" s="120">
        <v>4950</v>
      </c>
      <c r="B1662" s="125" t="s">
        <v>5134</v>
      </c>
      <c r="C1662" s="125" t="s">
        <v>5629</v>
      </c>
      <c r="D1662" s="120">
        <v>4950</v>
      </c>
      <c r="E1662" s="60">
        <f>[1]!'4950.TW-PreClose'</f>
        <v>19.3</v>
      </c>
      <c r="F1662" s="141" t="str">
        <f>IFERROR(STOCKS!$E1662-STOCKS昨天!$E1662,"0")</f>
        <v>0</v>
      </c>
      <c r="G1662" s="63">
        <f t="shared" si="25"/>
        <v>0</v>
      </c>
    </row>
    <row r="1663" spans="1:7">
      <c r="A1663" s="120">
        <v>5276</v>
      </c>
      <c r="B1663" s="125" t="s">
        <v>5135</v>
      </c>
      <c r="C1663" s="125" t="s">
        <v>5630</v>
      </c>
      <c r="D1663" s="120">
        <v>5276</v>
      </c>
      <c r="E1663" s="60">
        <f>[1]!'5276.TW-PreClose'</f>
        <v>15.9</v>
      </c>
      <c r="F1663" s="141" t="str">
        <f>IFERROR(STOCKS!$E1663-STOCKS昨天!$E1663,"0")</f>
        <v>0</v>
      </c>
      <c r="G1663" s="63">
        <f t="shared" si="25"/>
        <v>0</v>
      </c>
    </row>
    <row r="1664" spans="1:7">
      <c r="A1664" s="120">
        <v>5306</v>
      </c>
      <c r="B1664" s="125" t="s">
        <v>3648</v>
      </c>
      <c r="C1664" s="125" t="s">
        <v>5629</v>
      </c>
      <c r="D1664" s="120">
        <v>5306</v>
      </c>
      <c r="E1664" s="60">
        <f>[1]!'5306.TW-PreClose'</f>
        <v>205.5</v>
      </c>
      <c r="F1664" s="141" t="str">
        <f>IFERROR(STOCKS!$E1664-STOCKS昨天!$E1664,"0")</f>
        <v>0</v>
      </c>
      <c r="G1664" s="63">
        <f t="shared" si="25"/>
        <v>0</v>
      </c>
    </row>
    <row r="1665" spans="1:7">
      <c r="A1665" s="120">
        <v>5345</v>
      </c>
      <c r="B1665" s="125" t="s">
        <v>4911</v>
      </c>
      <c r="C1665" s="125" t="s">
        <v>5629</v>
      </c>
      <c r="D1665" s="120">
        <v>5345</v>
      </c>
      <c r="E1665" s="60">
        <f>[1]!'5345.TW-PreClose'</f>
        <v>5.7</v>
      </c>
      <c r="F1665" s="141" t="str">
        <f>IFERROR(STOCKS!$E1665-STOCKS昨天!$E1665,"0")</f>
        <v>0</v>
      </c>
      <c r="G1665" s="63">
        <f t="shared" si="25"/>
        <v>0</v>
      </c>
    </row>
    <row r="1666" spans="1:7">
      <c r="A1666" s="120">
        <v>5398</v>
      </c>
      <c r="B1666" s="125" t="s">
        <v>5136</v>
      </c>
      <c r="C1666" s="125" t="s">
        <v>5629</v>
      </c>
      <c r="D1666" s="120">
        <v>5398</v>
      </c>
      <c r="E1666" s="60">
        <f>[1]!'5398.TW-PreClose'</f>
        <v>19.45</v>
      </c>
      <c r="F1666" s="141" t="str">
        <f>IFERROR(STOCKS!$E1666-STOCKS昨天!$E1666,"0")</f>
        <v>0</v>
      </c>
      <c r="G1666" s="63">
        <f t="shared" si="25"/>
        <v>0</v>
      </c>
    </row>
    <row r="1667" spans="1:7">
      <c r="A1667" s="120">
        <v>5450</v>
      </c>
      <c r="B1667" s="125" t="s">
        <v>5137</v>
      </c>
      <c r="C1667" s="125" t="s">
        <v>5629</v>
      </c>
      <c r="D1667" s="120">
        <v>5450</v>
      </c>
      <c r="E1667" s="60">
        <f>[1]!'5450.TW-PreClose'</f>
        <v>17.05</v>
      </c>
      <c r="F1667" s="141" t="str">
        <f>IFERROR(STOCKS!$E1667-STOCKS昨天!$E1667,"0")</f>
        <v>0</v>
      </c>
      <c r="G1667" s="63">
        <f t="shared" ref="G1667:G1730" si="26">IFERROR($F1667/$E1667,"0")</f>
        <v>0</v>
      </c>
    </row>
    <row r="1668" spans="1:7">
      <c r="A1668" s="120">
        <v>5481</v>
      </c>
      <c r="B1668" s="125" t="s">
        <v>5138</v>
      </c>
      <c r="C1668" s="125" t="s">
        <v>5629</v>
      </c>
      <c r="D1668" s="120">
        <v>5481</v>
      </c>
      <c r="E1668" s="60" t="str">
        <f>[1]!'5481.TW-PreClose'</f>
        <v>--</v>
      </c>
      <c r="F1668" s="141" t="str">
        <f>IFERROR(STOCKS!$E1668-STOCKS昨天!$E1668,"0")</f>
        <v>0</v>
      </c>
      <c r="G1668" s="63" t="str">
        <f t="shared" si="26"/>
        <v>0</v>
      </c>
    </row>
    <row r="1669" spans="1:7">
      <c r="A1669" s="120">
        <v>5530</v>
      </c>
      <c r="B1669" s="125" t="s">
        <v>5139</v>
      </c>
      <c r="C1669" s="125" t="s">
        <v>5629</v>
      </c>
      <c r="D1669" s="120">
        <v>5530</v>
      </c>
      <c r="E1669" s="60" t="str">
        <f>[1]!'5530.TW-PreClose'</f>
        <v>--</v>
      </c>
      <c r="F1669" s="141" t="str">
        <f>IFERROR(STOCKS!$E1669-STOCKS昨天!$E1669,"0")</f>
        <v>0</v>
      </c>
      <c r="G1669" s="63" t="str">
        <f t="shared" si="26"/>
        <v>0</v>
      </c>
    </row>
    <row r="1670" spans="1:7">
      <c r="A1670" s="120">
        <v>5604</v>
      </c>
      <c r="B1670" s="125" t="s">
        <v>5073</v>
      </c>
      <c r="C1670" s="125" t="s">
        <v>5629</v>
      </c>
      <c r="D1670" s="120">
        <v>5604</v>
      </c>
      <c r="E1670" s="60" t="str">
        <f>[1]!'5604.TW-PreClose'</f>
        <v>--</v>
      </c>
      <c r="F1670" s="141" t="str">
        <f>IFERROR(STOCKS!$E1670-STOCKS昨天!$E1670,"0")</f>
        <v>0</v>
      </c>
      <c r="G1670" s="63" t="str">
        <f t="shared" si="26"/>
        <v>0</v>
      </c>
    </row>
    <row r="1671" spans="1:7">
      <c r="A1671" s="120">
        <v>6179</v>
      </c>
      <c r="B1671" s="125" t="s">
        <v>5140</v>
      </c>
      <c r="C1671" s="125" t="s">
        <v>5629</v>
      </c>
      <c r="D1671" s="120">
        <v>6179</v>
      </c>
      <c r="E1671" s="60">
        <f>[1]!'6179.TW-PreClose'</f>
        <v>31.4</v>
      </c>
      <c r="F1671" s="141" t="str">
        <f>IFERROR(STOCKS!$E1671-STOCKS昨天!$E1671,"0")</f>
        <v>0</v>
      </c>
      <c r="G1671" s="63">
        <f t="shared" si="26"/>
        <v>0</v>
      </c>
    </row>
    <row r="1672" spans="1:7">
      <c r="A1672" s="120">
        <v>6199</v>
      </c>
      <c r="B1672" s="125" t="s">
        <v>5141</v>
      </c>
      <c r="C1672" s="125" t="s">
        <v>5629</v>
      </c>
      <c r="D1672" s="120">
        <v>6199</v>
      </c>
      <c r="E1672" s="60">
        <f>[1]!'6199.TW-PreClose'</f>
        <v>15.35</v>
      </c>
      <c r="F1672" s="141" t="str">
        <f>IFERROR(STOCKS!$E1672-STOCKS昨天!$E1672,"0")</f>
        <v>0</v>
      </c>
      <c r="G1672" s="63">
        <f t="shared" si="26"/>
        <v>0</v>
      </c>
    </row>
    <row r="1673" spans="1:7">
      <c r="A1673" s="120">
        <v>6236</v>
      </c>
      <c r="B1673" s="125" t="s">
        <v>5142</v>
      </c>
      <c r="C1673" s="125" t="s">
        <v>5629</v>
      </c>
      <c r="D1673" s="120">
        <v>6236</v>
      </c>
      <c r="E1673" s="60">
        <f>[1]!'6236.TW-PreClose'</f>
        <v>18.55</v>
      </c>
      <c r="F1673" s="141" t="str">
        <f>IFERROR(STOCKS!$E1673-STOCKS昨天!$E1673,"0")</f>
        <v>0</v>
      </c>
      <c r="G1673" s="63">
        <f t="shared" si="26"/>
        <v>0</v>
      </c>
    </row>
    <row r="1674" spans="1:7">
      <c r="A1674" s="120">
        <v>6240</v>
      </c>
      <c r="B1674" s="125" t="s">
        <v>4994</v>
      </c>
      <c r="C1674" s="125" t="s">
        <v>5629</v>
      </c>
      <c r="D1674" s="120">
        <v>6240</v>
      </c>
      <c r="E1674" s="60">
        <f>[1]!'6240.TW-PreClose'</f>
        <v>14.3</v>
      </c>
      <c r="F1674" s="141" t="str">
        <f>IFERROR(STOCKS!$E1674-STOCKS昨天!$E1674,"0")</f>
        <v>0</v>
      </c>
      <c r="G1674" s="63">
        <f t="shared" si="26"/>
        <v>0</v>
      </c>
    </row>
    <row r="1675" spans="1:7">
      <c r="A1675" s="120">
        <v>6616</v>
      </c>
      <c r="B1675" s="125" t="s">
        <v>5143</v>
      </c>
      <c r="C1675" s="125" t="s">
        <v>5630</v>
      </c>
      <c r="D1675" s="120">
        <v>6616</v>
      </c>
      <c r="E1675" s="60" t="str">
        <f>[1]!'6616.TW-PreClose'</f>
        <v>--</v>
      </c>
      <c r="F1675" s="141" t="str">
        <f>IFERROR(STOCKS!$E1675-STOCKS昨天!$E1675,"0")</f>
        <v>0</v>
      </c>
      <c r="G1675" s="63" t="str">
        <f t="shared" si="26"/>
        <v>0</v>
      </c>
    </row>
    <row r="1676" spans="1:7">
      <c r="A1676" s="120">
        <v>6624</v>
      </c>
      <c r="B1676" s="125" t="s">
        <v>5144</v>
      </c>
      <c r="C1676" s="125" t="s">
        <v>5629</v>
      </c>
      <c r="D1676" s="120">
        <v>6624</v>
      </c>
      <c r="E1676" s="60">
        <f>[1]!'6624.TW-PreClose'</f>
        <v>31.8</v>
      </c>
      <c r="F1676" s="141" t="str">
        <f>IFERROR(STOCKS!$E1676-STOCKS昨天!$E1676,"0")</f>
        <v>0</v>
      </c>
      <c r="G1676" s="63">
        <f t="shared" si="26"/>
        <v>0</v>
      </c>
    </row>
    <row r="1677" spans="1:7">
      <c r="A1677" s="120">
        <v>6629</v>
      </c>
      <c r="B1677" s="125" t="s">
        <v>5145</v>
      </c>
      <c r="C1677" s="125" t="s">
        <v>5630</v>
      </c>
      <c r="D1677" s="120">
        <v>6629</v>
      </c>
      <c r="E1677" s="60">
        <f>[1]!'6629.TW-PreClose'</f>
        <v>58.8</v>
      </c>
      <c r="F1677" s="141" t="str">
        <f>IFERROR(STOCKS!$E1677-STOCKS昨天!$E1677,"0")</f>
        <v>0</v>
      </c>
      <c r="G1677" s="63">
        <f t="shared" si="26"/>
        <v>0</v>
      </c>
    </row>
    <row r="1678" spans="1:7">
      <c r="A1678" s="120">
        <v>6803</v>
      </c>
      <c r="B1678" s="125" t="s">
        <v>5146</v>
      </c>
      <c r="C1678" s="125" t="s">
        <v>5629</v>
      </c>
      <c r="D1678" s="120">
        <v>6803</v>
      </c>
      <c r="E1678" s="60">
        <f>[1]!'6803.TW-PreClose'</f>
        <v>236.5</v>
      </c>
      <c r="F1678" s="141" t="str">
        <f>IFERROR(STOCKS!$E1678-STOCKS昨天!$E1678,"0")</f>
        <v>0</v>
      </c>
      <c r="G1678" s="63">
        <f t="shared" si="26"/>
        <v>0</v>
      </c>
    </row>
    <row r="1679" spans="1:7">
      <c r="A1679" s="120">
        <v>8342</v>
      </c>
      <c r="B1679" s="125" t="s">
        <v>5147</v>
      </c>
      <c r="C1679" s="125" t="s">
        <v>5629</v>
      </c>
      <c r="D1679" s="120">
        <v>8342</v>
      </c>
      <c r="E1679" s="60" t="str">
        <f>[1]!'8342.TW-PreClose'</f>
        <v>--</v>
      </c>
      <c r="F1679" s="141" t="str">
        <f>IFERROR(STOCKS!$E1679-STOCKS昨天!$E1679,"0")</f>
        <v>0</v>
      </c>
      <c r="G1679" s="63" t="str">
        <f t="shared" si="26"/>
        <v>0</v>
      </c>
    </row>
    <row r="1680" spans="1:7">
      <c r="A1680" s="120">
        <v>8354</v>
      </c>
      <c r="B1680" s="125" t="s">
        <v>4508</v>
      </c>
      <c r="C1680" s="125" t="s">
        <v>5629</v>
      </c>
      <c r="D1680" s="120">
        <v>8354</v>
      </c>
      <c r="E1680" s="60">
        <f>[1]!'8354.TW-PreClose'</f>
        <v>14.55</v>
      </c>
      <c r="F1680" s="141" t="str">
        <f>IFERROR(STOCKS!$E1680-STOCKS昨天!$E1680,"0")</f>
        <v>0</v>
      </c>
      <c r="G1680" s="63">
        <f t="shared" si="26"/>
        <v>0</v>
      </c>
    </row>
    <row r="1681" spans="1:7">
      <c r="A1681" s="120">
        <v>8390</v>
      </c>
      <c r="B1681" s="125" t="s">
        <v>5148</v>
      </c>
      <c r="C1681" s="125" t="s">
        <v>5629</v>
      </c>
      <c r="D1681" s="120">
        <v>8390</v>
      </c>
      <c r="E1681" s="60">
        <f>[1]!'8390.TW-PreClose'</f>
        <v>33.65</v>
      </c>
      <c r="F1681" s="141" t="str">
        <f>IFERROR(STOCKS!$E1681-STOCKS昨天!$E1681,"0")</f>
        <v>0</v>
      </c>
      <c r="G1681" s="63">
        <f t="shared" si="26"/>
        <v>0</v>
      </c>
    </row>
    <row r="1682" spans="1:7">
      <c r="A1682" s="120">
        <v>8401</v>
      </c>
      <c r="B1682" s="125" t="s">
        <v>5149</v>
      </c>
      <c r="C1682" s="125" t="s">
        <v>5629</v>
      </c>
      <c r="D1682" s="120">
        <v>8401</v>
      </c>
      <c r="E1682" s="60">
        <f>[1]!'8401.TW-PreClose'</f>
        <v>13.9</v>
      </c>
      <c r="F1682" s="141" t="str">
        <f>IFERROR(STOCKS!$E1682-STOCKS昨天!$E1682,"0")</f>
        <v>0</v>
      </c>
      <c r="G1682" s="63">
        <f t="shared" si="26"/>
        <v>0</v>
      </c>
    </row>
    <row r="1683" spans="1:7">
      <c r="A1683" s="120">
        <v>8418</v>
      </c>
      <c r="B1683" s="125" t="s">
        <v>5150</v>
      </c>
      <c r="C1683" s="125" t="s">
        <v>5630</v>
      </c>
      <c r="D1683" s="120">
        <v>8418</v>
      </c>
      <c r="E1683" s="60">
        <f>[1]!'8418.TW-PreClose'</f>
        <v>10.6</v>
      </c>
      <c r="F1683" s="141" t="str">
        <f>IFERROR(STOCKS!$E1683-STOCKS昨天!$E1683,"0")</f>
        <v>0</v>
      </c>
      <c r="G1683" s="63">
        <f t="shared" si="26"/>
        <v>0</v>
      </c>
    </row>
    <row r="1684" spans="1:7">
      <c r="A1684" s="120">
        <v>8420</v>
      </c>
      <c r="B1684" s="125" t="s">
        <v>5151</v>
      </c>
      <c r="C1684" s="125" t="s">
        <v>5629</v>
      </c>
      <c r="D1684" s="120">
        <v>8420</v>
      </c>
      <c r="E1684" s="60">
        <f>[1]!'8420.TW-PreClose'</f>
        <v>38.1</v>
      </c>
      <c r="F1684" s="141" t="str">
        <f>IFERROR(STOCKS!$E1684-STOCKS昨天!$E1684,"0")</f>
        <v>0</v>
      </c>
      <c r="G1684" s="63">
        <f t="shared" si="26"/>
        <v>0</v>
      </c>
    </row>
    <row r="1685" spans="1:7">
      <c r="A1685" s="120">
        <v>8421</v>
      </c>
      <c r="B1685" s="125" t="s">
        <v>5152</v>
      </c>
      <c r="C1685" s="125" t="s">
        <v>5629</v>
      </c>
      <c r="D1685" s="120">
        <v>8421</v>
      </c>
      <c r="E1685" s="60">
        <f>[1]!'8421.TW-PreClose'</f>
        <v>10.050000000000001</v>
      </c>
      <c r="F1685" s="141" t="str">
        <f>IFERROR(STOCKS!$E1685-STOCKS昨天!$E1685,"0")</f>
        <v>0</v>
      </c>
      <c r="G1685" s="63">
        <f t="shared" si="26"/>
        <v>0</v>
      </c>
    </row>
    <row r="1686" spans="1:7">
      <c r="A1686" s="120">
        <v>8423</v>
      </c>
      <c r="B1686" s="125" t="s">
        <v>5153</v>
      </c>
      <c r="C1686" s="125" t="s">
        <v>5630</v>
      </c>
      <c r="D1686" s="120">
        <v>8423</v>
      </c>
      <c r="E1686" s="60">
        <f>[1]!'8423.TW-PreClose'</f>
        <v>17.600000000000001</v>
      </c>
      <c r="F1686" s="141" t="str">
        <f>IFERROR(STOCKS!$E1686-STOCKS昨天!$E1686,"0")</f>
        <v>0</v>
      </c>
      <c r="G1686" s="63">
        <f t="shared" si="26"/>
        <v>0</v>
      </c>
    </row>
    <row r="1687" spans="1:7">
      <c r="A1687" s="120">
        <v>8426</v>
      </c>
      <c r="B1687" s="125" t="s">
        <v>5154</v>
      </c>
      <c r="C1687" s="125" t="s">
        <v>5630</v>
      </c>
      <c r="D1687" s="120">
        <v>8426</v>
      </c>
      <c r="E1687" s="60">
        <f>[1]!'8426.TW-PreClose'</f>
        <v>16.899999999999999</v>
      </c>
      <c r="F1687" s="141" t="str">
        <f>IFERROR(STOCKS!$E1687-STOCKS昨天!$E1687,"0")</f>
        <v>0</v>
      </c>
      <c r="G1687" s="63">
        <f t="shared" si="26"/>
        <v>0</v>
      </c>
    </row>
    <row r="1688" spans="1:7">
      <c r="A1688" s="120">
        <v>8435</v>
      </c>
      <c r="B1688" s="125" t="s">
        <v>5155</v>
      </c>
      <c r="C1688" s="125" t="s">
        <v>5629</v>
      </c>
      <c r="D1688" s="120">
        <v>8435</v>
      </c>
      <c r="E1688" s="60" t="str">
        <f>[1]!'8435.TW-PreClose'</f>
        <v>--</v>
      </c>
      <c r="F1688" s="141" t="str">
        <f>IFERROR(STOCKS!$E1688-STOCKS昨天!$E1688,"0")</f>
        <v>0</v>
      </c>
      <c r="G1688" s="63" t="str">
        <f t="shared" si="26"/>
        <v>0</v>
      </c>
    </row>
    <row r="1689" spans="1:7">
      <c r="A1689" s="120">
        <v>8437</v>
      </c>
      <c r="B1689" s="125" t="s">
        <v>5156</v>
      </c>
      <c r="C1689" s="125" t="s">
        <v>5630</v>
      </c>
      <c r="D1689" s="120">
        <v>8437</v>
      </c>
      <c r="E1689" s="60">
        <f>[1]!'8437.TW-PreClose'</f>
        <v>148.5</v>
      </c>
      <c r="F1689" s="141" t="str">
        <f>IFERROR(STOCKS!$E1689-STOCKS昨天!$E1689,"0")</f>
        <v>0</v>
      </c>
      <c r="G1689" s="63">
        <f t="shared" si="26"/>
        <v>0</v>
      </c>
    </row>
    <row r="1690" spans="1:7">
      <c r="A1690" s="120">
        <v>8440</v>
      </c>
      <c r="B1690" s="125" t="s">
        <v>5157</v>
      </c>
      <c r="C1690" s="125" t="s">
        <v>5629</v>
      </c>
      <c r="D1690" s="120">
        <v>8440</v>
      </c>
      <c r="E1690" s="60">
        <f>[1]!'8440.TW-PreClose'</f>
        <v>19</v>
      </c>
      <c r="F1690" s="141" t="str">
        <f>IFERROR(STOCKS!$E1690-STOCKS昨天!$E1690,"0")</f>
        <v>0</v>
      </c>
      <c r="G1690" s="63">
        <f t="shared" si="26"/>
        <v>0</v>
      </c>
    </row>
    <row r="1691" spans="1:7">
      <c r="A1691" s="120">
        <v>8444</v>
      </c>
      <c r="B1691" s="125" t="s">
        <v>5158</v>
      </c>
      <c r="C1691" s="125" t="s">
        <v>5630</v>
      </c>
      <c r="D1691" s="120">
        <v>8444</v>
      </c>
      <c r="E1691" s="60">
        <f>[1]!'8444.TW-PreClose'</f>
        <v>125</v>
      </c>
      <c r="F1691" s="141" t="str">
        <f>IFERROR(STOCKS!$E1691-STOCKS昨天!$E1691,"0")</f>
        <v>0</v>
      </c>
      <c r="G1691" s="63">
        <f t="shared" si="26"/>
        <v>0</v>
      </c>
    </row>
    <row r="1692" spans="1:7">
      <c r="A1692" s="120">
        <v>8476</v>
      </c>
      <c r="B1692" s="125" t="s">
        <v>5159</v>
      </c>
      <c r="C1692" s="125" t="s">
        <v>5629</v>
      </c>
      <c r="D1692" s="120">
        <v>8476</v>
      </c>
      <c r="E1692" s="60">
        <f>[1]!'8476.TW-PreClose'</f>
        <v>58.6</v>
      </c>
      <c r="F1692" s="141" t="str">
        <f>IFERROR(STOCKS!$E1692-STOCKS昨天!$E1692,"0")</f>
        <v>0</v>
      </c>
      <c r="G1692" s="63">
        <f t="shared" si="26"/>
        <v>0</v>
      </c>
    </row>
    <row r="1693" spans="1:7">
      <c r="A1693" s="120">
        <v>8489</v>
      </c>
      <c r="B1693" s="125" t="s">
        <v>5195</v>
      </c>
      <c r="C1693" s="125" t="s">
        <v>5629</v>
      </c>
      <c r="D1693" s="120">
        <v>8489</v>
      </c>
      <c r="E1693" s="60">
        <f>[1]!'8489.TW-PreClose'</f>
        <v>31.55</v>
      </c>
      <c r="F1693" s="141" t="str">
        <f>IFERROR(STOCKS!$E1693-STOCKS昨天!$E1693,"0")</f>
        <v>0</v>
      </c>
      <c r="G1693" s="63">
        <f t="shared" si="26"/>
        <v>0</v>
      </c>
    </row>
    <row r="1694" spans="1:7">
      <c r="A1694" s="120">
        <v>8905</v>
      </c>
      <c r="B1694" s="125" t="s">
        <v>5160</v>
      </c>
      <c r="C1694" s="125" t="s">
        <v>5629</v>
      </c>
      <c r="D1694" s="120">
        <v>8905</v>
      </c>
      <c r="E1694" s="60" t="str">
        <f>[1]!'8905.TW-PreClose'</f>
        <v>--</v>
      </c>
      <c r="F1694" s="141" t="str">
        <f>IFERROR(STOCKS!$E1694-STOCKS昨天!$E1694,"0")</f>
        <v>0</v>
      </c>
      <c r="G1694" s="63" t="str">
        <f t="shared" si="26"/>
        <v>0</v>
      </c>
    </row>
    <row r="1695" spans="1:7">
      <c r="A1695" s="120">
        <v>8906</v>
      </c>
      <c r="B1695" s="125" t="s">
        <v>5161</v>
      </c>
      <c r="C1695" s="125" t="s">
        <v>5629</v>
      </c>
      <c r="D1695" s="120">
        <v>8906</v>
      </c>
      <c r="E1695" s="60">
        <f>[1]!'8906.TW-PreClose'</f>
        <v>15.45</v>
      </c>
      <c r="F1695" s="141" t="str">
        <f>IFERROR(STOCKS!$E1695-STOCKS昨天!$E1695,"0")</f>
        <v>0</v>
      </c>
      <c r="G1695" s="63">
        <f t="shared" si="26"/>
        <v>0</v>
      </c>
    </row>
    <row r="1696" spans="1:7">
      <c r="A1696" s="120">
        <v>8916</v>
      </c>
      <c r="B1696" s="125" t="s">
        <v>5162</v>
      </c>
      <c r="C1696" s="125" t="s">
        <v>5629</v>
      </c>
      <c r="D1696" s="120">
        <v>8916</v>
      </c>
      <c r="E1696" s="60" t="str">
        <f>[1]!'8916.TW-PreClose'</f>
        <v>--</v>
      </c>
      <c r="F1696" s="141" t="str">
        <f>IFERROR(STOCKS!$E1696-STOCKS昨天!$E1696,"0")</f>
        <v>0</v>
      </c>
      <c r="G1696" s="63" t="str">
        <f t="shared" si="26"/>
        <v>0</v>
      </c>
    </row>
    <row r="1697" spans="1:7">
      <c r="A1697" s="120">
        <v>8921</v>
      </c>
      <c r="B1697" s="125" t="s">
        <v>5163</v>
      </c>
      <c r="C1697" s="125" t="s">
        <v>5629</v>
      </c>
      <c r="D1697" s="120">
        <v>8921</v>
      </c>
      <c r="E1697" s="60" t="str">
        <f>[1]!'8921.TW-PreClose'</f>
        <v>--</v>
      </c>
      <c r="F1697" s="141" t="str">
        <f>IFERROR(STOCKS!$E1697-STOCKS昨天!$E1697,"0")</f>
        <v>0</v>
      </c>
      <c r="G1697" s="63" t="str">
        <f t="shared" si="26"/>
        <v>0</v>
      </c>
    </row>
    <row r="1698" spans="1:7">
      <c r="A1698" s="120">
        <v>8924</v>
      </c>
      <c r="B1698" s="125" t="s">
        <v>5164</v>
      </c>
      <c r="C1698" s="125" t="s">
        <v>5629</v>
      </c>
      <c r="D1698" s="120">
        <v>8924</v>
      </c>
      <c r="E1698" s="60">
        <f>[1]!'8924.TW-PreClose'</f>
        <v>156.5</v>
      </c>
      <c r="F1698" s="141">
        <f>IFERROR(STOCKS!$E1698-STOCKS昨天!$E1698,"0")</f>
        <v>0.5</v>
      </c>
      <c r="G1698" s="63">
        <f t="shared" si="26"/>
        <v>3.1948881789137379E-3</v>
      </c>
    </row>
    <row r="1699" spans="1:7">
      <c r="A1699" s="120">
        <v>8928</v>
      </c>
      <c r="B1699" s="125" t="s">
        <v>5165</v>
      </c>
      <c r="C1699" s="125" t="s">
        <v>5629</v>
      </c>
      <c r="D1699" s="120">
        <v>8928</v>
      </c>
      <c r="E1699" s="60">
        <f>[1]!'8928.TW-PreClose'</f>
        <v>34.4</v>
      </c>
      <c r="F1699" s="141" t="str">
        <f>IFERROR(STOCKS!$E1699-STOCKS昨天!$E1699,"0")</f>
        <v>0</v>
      </c>
      <c r="G1699" s="63">
        <f t="shared" si="26"/>
        <v>0</v>
      </c>
    </row>
    <row r="1700" spans="1:7">
      <c r="A1700" s="120">
        <v>8929</v>
      </c>
      <c r="B1700" s="125" t="s">
        <v>5166</v>
      </c>
      <c r="C1700" s="125" t="s">
        <v>5629</v>
      </c>
      <c r="D1700" s="120">
        <v>8929</v>
      </c>
      <c r="E1700" s="60">
        <f>[1]!'8929.TW-PreClose'</f>
        <v>21.05</v>
      </c>
      <c r="F1700" s="141" t="str">
        <f>IFERROR(STOCKS!$E1700-STOCKS昨天!$E1700,"0")</f>
        <v>0</v>
      </c>
      <c r="G1700" s="63">
        <f t="shared" si="26"/>
        <v>0</v>
      </c>
    </row>
    <row r="1701" spans="1:7">
      <c r="A1701" s="120">
        <v>8932</v>
      </c>
      <c r="B1701" s="125" t="s">
        <v>5167</v>
      </c>
      <c r="C1701" s="125" t="s">
        <v>5629</v>
      </c>
      <c r="D1701" s="120">
        <v>8932</v>
      </c>
      <c r="E1701" s="60" t="str">
        <f>[1]!'8932.TW-PreClose'</f>
        <v>--</v>
      </c>
      <c r="F1701" s="141" t="str">
        <f>IFERROR(STOCKS!$E1701-STOCKS昨天!$E1701,"0")</f>
        <v>0</v>
      </c>
      <c r="G1701" s="63" t="str">
        <f t="shared" si="26"/>
        <v>0</v>
      </c>
    </row>
    <row r="1702" spans="1:7">
      <c r="A1702" s="120">
        <v>8933</v>
      </c>
      <c r="B1702" s="125" t="s">
        <v>34</v>
      </c>
      <c r="C1702" s="125" t="s">
        <v>5629</v>
      </c>
      <c r="D1702" s="120">
        <v>8933</v>
      </c>
      <c r="E1702" s="60">
        <f>[1]!'8933.TW-PreClose'</f>
        <v>11.5</v>
      </c>
      <c r="F1702" s="141" t="str">
        <f>IFERROR(STOCKS!$E1702-STOCKS昨天!$E1702,"0")</f>
        <v>0</v>
      </c>
      <c r="G1702" s="63">
        <f t="shared" si="26"/>
        <v>0</v>
      </c>
    </row>
    <row r="1703" spans="1:7">
      <c r="A1703" s="120">
        <v>8935</v>
      </c>
      <c r="B1703" s="125" t="s">
        <v>5168</v>
      </c>
      <c r="C1703" s="125" t="s">
        <v>5629</v>
      </c>
      <c r="D1703" s="120">
        <v>8935</v>
      </c>
      <c r="E1703" s="60" t="str">
        <f>[1]!'8935.TW-PreClose'</f>
        <v>--</v>
      </c>
      <c r="F1703" s="141" t="str">
        <f>IFERROR(STOCKS!$E1703-STOCKS昨天!$E1703,"0")</f>
        <v>0</v>
      </c>
      <c r="G1703" s="63" t="str">
        <f t="shared" si="26"/>
        <v>0</v>
      </c>
    </row>
    <row r="1704" spans="1:7">
      <c r="A1704" s="120">
        <v>8936</v>
      </c>
      <c r="B1704" s="125" t="s">
        <v>5169</v>
      </c>
      <c r="C1704" s="125" t="s">
        <v>5629</v>
      </c>
      <c r="D1704" s="120">
        <v>8936</v>
      </c>
      <c r="E1704" s="60">
        <f>[1]!'8936.TW-PreClose'</f>
        <v>20.5</v>
      </c>
      <c r="F1704" s="141" t="str">
        <f>IFERROR(STOCKS!$E1704-STOCKS昨天!$E1704,"0")</f>
        <v>0</v>
      </c>
      <c r="G1704" s="63">
        <f t="shared" si="26"/>
        <v>0</v>
      </c>
    </row>
    <row r="1705" spans="1:7">
      <c r="A1705" s="120">
        <v>8937</v>
      </c>
      <c r="B1705" s="125" t="s">
        <v>5170</v>
      </c>
      <c r="C1705" s="125" t="s">
        <v>5629</v>
      </c>
      <c r="D1705" s="120">
        <v>8937</v>
      </c>
      <c r="E1705" s="60" t="str">
        <f>[1]!'8937.TW-PreClose'</f>
        <v>--</v>
      </c>
      <c r="F1705" s="141" t="str">
        <f>IFERROR(STOCKS!$E1705-STOCKS昨天!$E1705,"0")</f>
        <v>0</v>
      </c>
      <c r="G1705" s="63" t="str">
        <f t="shared" si="26"/>
        <v>0</v>
      </c>
    </row>
    <row r="1706" spans="1:7">
      <c r="A1706" s="120">
        <v>8938</v>
      </c>
      <c r="B1706" s="125" t="s">
        <v>5171</v>
      </c>
      <c r="C1706" s="125" t="s">
        <v>5629</v>
      </c>
      <c r="D1706" s="120">
        <v>8938</v>
      </c>
      <c r="E1706" s="60">
        <f>[1]!'8938.TW-PreClose'</f>
        <v>76.3</v>
      </c>
      <c r="F1706" s="141" t="str">
        <f>IFERROR(STOCKS!$E1706-STOCKS昨天!$E1706,"0")</f>
        <v>0</v>
      </c>
      <c r="G1706" s="63">
        <f t="shared" si="26"/>
        <v>0</v>
      </c>
    </row>
    <row r="1707" spans="1:7">
      <c r="A1707" s="120">
        <v>8942</v>
      </c>
      <c r="B1707" s="125" t="s">
        <v>5172</v>
      </c>
      <c r="C1707" s="125" t="s">
        <v>5629</v>
      </c>
      <c r="D1707" s="120">
        <v>8942</v>
      </c>
      <c r="E1707" s="60">
        <f>[1]!'8942.TW-PreClose'</f>
        <v>68</v>
      </c>
      <c r="F1707" s="141" t="str">
        <f>IFERROR(STOCKS!$E1707-STOCKS昨天!$E1707,"0")</f>
        <v>0</v>
      </c>
      <c r="G1707" s="63">
        <f t="shared" si="26"/>
        <v>0</v>
      </c>
    </row>
    <row r="1708" spans="1:7">
      <c r="A1708" s="120">
        <v>2926</v>
      </c>
      <c r="B1708" s="125" t="s">
        <v>5173</v>
      </c>
      <c r="C1708" s="125" t="s">
        <v>5631</v>
      </c>
      <c r="D1708" s="120">
        <v>2926</v>
      </c>
      <c r="E1708" s="60">
        <f>[1]!'2926.TW-PreClose'</f>
        <v>59.2</v>
      </c>
      <c r="F1708" s="141" t="str">
        <f>IFERROR(STOCKS!$E1708-STOCKS昨天!$E1708,"0")</f>
        <v>0</v>
      </c>
      <c r="G1708" s="63">
        <f t="shared" si="26"/>
        <v>0</v>
      </c>
    </row>
    <row r="1709" spans="1:7">
      <c r="A1709" s="120">
        <v>3064</v>
      </c>
      <c r="B1709" s="125" t="s">
        <v>5174</v>
      </c>
      <c r="C1709" s="125" t="s">
        <v>5631</v>
      </c>
      <c r="D1709" s="120">
        <v>3064</v>
      </c>
      <c r="E1709" s="60">
        <f>[1]!'3064.TW-PreClose'</f>
        <v>13.45</v>
      </c>
      <c r="F1709" s="141" t="str">
        <f>IFERROR(STOCKS!$E1709-STOCKS昨天!$E1709,"0")</f>
        <v>0</v>
      </c>
      <c r="G1709" s="63">
        <f t="shared" si="26"/>
        <v>0</v>
      </c>
    </row>
    <row r="1710" spans="1:7">
      <c r="A1710" s="120">
        <v>3083</v>
      </c>
      <c r="B1710" s="125" t="s">
        <v>5175</v>
      </c>
      <c r="C1710" s="125" t="s">
        <v>5631</v>
      </c>
      <c r="D1710" s="120">
        <v>3083</v>
      </c>
      <c r="E1710" s="60">
        <f>[1]!'3083.TW-PreClose'</f>
        <v>45.75</v>
      </c>
      <c r="F1710" s="141" t="str">
        <f>IFERROR(STOCKS!$E1710-STOCKS昨天!$E1710,"0")</f>
        <v>0</v>
      </c>
      <c r="G1710" s="63">
        <f t="shared" si="26"/>
        <v>0</v>
      </c>
    </row>
    <row r="1711" spans="1:7">
      <c r="A1711" s="120">
        <v>3086</v>
      </c>
      <c r="B1711" s="125" t="s">
        <v>5176</v>
      </c>
      <c r="C1711" s="125" t="s">
        <v>5631</v>
      </c>
      <c r="D1711" s="120">
        <v>3086</v>
      </c>
      <c r="E1711" s="60" t="str">
        <f>[1]!'3086.TW-PreClose'</f>
        <v>--</v>
      </c>
      <c r="F1711" s="141" t="str">
        <f>IFERROR(STOCKS!$E1711-STOCKS昨天!$E1711,"0")</f>
        <v>0</v>
      </c>
      <c r="G1711" s="63" t="str">
        <f t="shared" si="26"/>
        <v>0</v>
      </c>
    </row>
    <row r="1712" spans="1:7">
      <c r="A1712" s="120">
        <v>3293</v>
      </c>
      <c r="B1712" s="125" t="s">
        <v>5177</v>
      </c>
      <c r="C1712" s="125" t="s">
        <v>5631</v>
      </c>
      <c r="D1712" s="120">
        <v>3293</v>
      </c>
      <c r="E1712" s="60">
        <f>[1]!'3293.TW-PreClose'</f>
        <v>788</v>
      </c>
      <c r="F1712" s="141" t="str">
        <f>IFERROR(STOCKS!$E1712-STOCKS昨天!$E1712,"0")</f>
        <v>0</v>
      </c>
      <c r="G1712" s="63">
        <f t="shared" si="26"/>
        <v>0</v>
      </c>
    </row>
    <row r="1713" spans="1:7">
      <c r="A1713" s="120">
        <v>3546</v>
      </c>
      <c r="B1713" s="125" t="s">
        <v>5178</v>
      </c>
      <c r="C1713" s="125" t="s">
        <v>5631</v>
      </c>
      <c r="D1713" s="120">
        <v>3546</v>
      </c>
      <c r="E1713" s="60">
        <f>[1]!'3546.TW-PreClose'</f>
        <v>82</v>
      </c>
      <c r="F1713" s="141" t="str">
        <f>IFERROR(STOCKS!$E1713-STOCKS昨天!$E1713,"0")</f>
        <v>0</v>
      </c>
      <c r="G1713" s="63">
        <f t="shared" si="26"/>
        <v>0</v>
      </c>
    </row>
    <row r="1714" spans="1:7">
      <c r="A1714" s="120">
        <v>3629</v>
      </c>
      <c r="B1714" s="125" t="s">
        <v>5179</v>
      </c>
      <c r="C1714" s="125" t="s">
        <v>5631</v>
      </c>
      <c r="D1714" s="120">
        <v>3629</v>
      </c>
      <c r="E1714" s="60">
        <f>[1]!'3629.TW-PreClose'</f>
        <v>60.2</v>
      </c>
      <c r="F1714" s="141" t="str">
        <f>IFERROR(STOCKS!$E1714-STOCKS昨天!$E1714,"0")</f>
        <v>0</v>
      </c>
      <c r="G1714" s="63">
        <f t="shared" si="26"/>
        <v>0</v>
      </c>
    </row>
    <row r="1715" spans="1:7">
      <c r="A1715" s="120">
        <v>4803</v>
      </c>
      <c r="B1715" s="125" t="s">
        <v>2101</v>
      </c>
      <c r="C1715" s="125" t="s">
        <v>5632</v>
      </c>
      <c r="D1715" s="120">
        <v>4803</v>
      </c>
      <c r="E1715" s="60">
        <f>[1]!'4803.TW-PreClose'</f>
        <v>4.93</v>
      </c>
      <c r="F1715" s="141" t="str">
        <f>IFERROR(STOCKS!$E1715-STOCKS昨天!$E1715,"0")</f>
        <v>0</v>
      </c>
      <c r="G1715" s="63">
        <f t="shared" si="26"/>
        <v>0</v>
      </c>
    </row>
    <row r="1716" spans="1:7">
      <c r="A1716" s="120">
        <v>4806</v>
      </c>
      <c r="B1716" s="125" t="s">
        <v>5180</v>
      </c>
      <c r="C1716" s="125" t="s">
        <v>5631</v>
      </c>
      <c r="D1716" s="120">
        <v>4806</v>
      </c>
      <c r="E1716" s="60" t="str">
        <f>[1]!'4806.TW-PreClose'</f>
        <v>--</v>
      </c>
      <c r="F1716" s="141" t="str">
        <f>IFERROR(STOCKS!$E1716-STOCKS昨天!$E1716,"0")</f>
        <v>0</v>
      </c>
      <c r="G1716" s="63" t="str">
        <f t="shared" si="26"/>
        <v>0</v>
      </c>
    </row>
    <row r="1717" spans="1:7">
      <c r="A1717" s="120">
        <v>4946</v>
      </c>
      <c r="B1717" s="125" t="s">
        <v>5181</v>
      </c>
      <c r="C1717" s="125" t="s">
        <v>5631</v>
      </c>
      <c r="D1717" s="120">
        <v>4946</v>
      </c>
      <c r="E1717" s="60" t="str">
        <f>[1]!'4946.TW-PreClose'</f>
        <v>--</v>
      </c>
      <c r="F1717" s="141" t="str">
        <f>IFERROR(STOCKS!$E1717-STOCKS昨天!$E1717,"0")</f>
        <v>0</v>
      </c>
      <c r="G1717" s="63" t="str">
        <f t="shared" si="26"/>
        <v>0</v>
      </c>
    </row>
    <row r="1718" spans="1:7">
      <c r="A1718" s="120">
        <v>5263</v>
      </c>
      <c r="B1718" s="125" t="s">
        <v>5182</v>
      </c>
      <c r="C1718" s="125" t="s">
        <v>5631</v>
      </c>
      <c r="D1718" s="120">
        <v>5263</v>
      </c>
      <c r="E1718" s="60" t="str">
        <f>[1]!'5263.TW-PreClose'</f>
        <v>--</v>
      </c>
      <c r="F1718" s="141" t="str">
        <f>IFERROR(STOCKS!$E1718-STOCKS昨天!$E1718,"0")</f>
        <v>0</v>
      </c>
      <c r="G1718" s="63" t="str">
        <f t="shared" si="26"/>
        <v>0</v>
      </c>
    </row>
    <row r="1719" spans="1:7">
      <c r="A1719" s="120">
        <v>5478</v>
      </c>
      <c r="B1719" s="125" t="s">
        <v>5183</v>
      </c>
      <c r="C1719" s="125" t="s">
        <v>5631</v>
      </c>
      <c r="D1719" s="120">
        <v>5478</v>
      </c>
      <c r="E1719" s="60">
        <f>[1]!'5478.TW-PreClose'</f>
        <v>93.2</v>
      </c>
      <c r="F1719" s="141" t="str">
        <f>IFERROR(STOCKS!$E1719-STOCKS昨天!$E1719,"0")</f>
        <v>0</v>
      </c>
      <c r="G1719" s="63">
        <f t="shared" si="26"/>
        <v>0</v>
      </c>
    </row>
    <row r="1720" spans="1:7">
      <c r="A1720" s="120">
        <v>6101</v>
      </c>
      <c r="B1720" s="125" t="s">
        <v>5184</v>
      </c>
      <c r="C1720" s="125" t="s">
        <v>5631</v>
      </c>
      <c r="D1720" s="120">
        <v>6101</v>
      </c>
      <c r="E1720" s="60">
        <f>[1]!'6101.TW-PreClose'</f>
        <v>19.05</v>
      </c>
      <c r="F1720" s="141" t="str">
        <f>IFERROR(STOCKS!$E1720-STOCKS昨天!$E1720,"0")</f>
        <v>0</v>
      </c>
      <c r="G1720" s="63">
        <f t="shared" si="26"/>
        <v>0</v>
      </c>
    </row>
    <row r="1721" spans="1:7">
      <c r="A1721" s="120">
        <v>6111</v>
      </c>
      <c r="B1721" s="125" t="s">
        <v>5185</v>
      </c>
      <c r="C1721" s="125" t="s">
        <v>5631</v>
      </c>
      <c r="D1721" s="120">
        <v>6111</v>
      </c>
      <c r="E1721" s="60">
        <f>[1]!'6111.TW-PreClose'</f>
        <v>64.900000000000006</v>
      </c>
      <c r="F1721" s="141" t="str">
        <f>IFERROR(STOCKS!$E1721-STOCKS昨天!$E1721,"0")</f>
        <v>0</v>
      </c>
      <c r="G1721" s="63">
        <f t="shared" si="26"/>
        <v>0</v>
      </c>
    </row>
    <row r="1722" spans="1:7">
      <c r="A1722" s="120">
        <v>6144</v>
      </c>
      <c r="B1722" s="125" t="s">
        <v>5186</v>
      </c>
      <c r="C1722" s="125" t="s">
        <v>5631</v>
      </c>
      <c r="D1722" s="120">
        <v>6144</v>
      </c>
      <c r="E1722" s="60">
        <f>[1]!'6144.TW-PreClose'</f>
        <v>14.2</v>
      </c>
      <c r="F1722" s="141" t="str">
        <f>IFERROR(STOCKS!$E1722-STOCKS昨天!$E1722,"0")</f>
        <v>0</v>
      </c>
      <c r="G1722" s="63">
        <f t="shared" si="26"/>
        <v>0</v>
      </c>
    </row>
    <row r="1723" spans="1:7">
      <c r="A1723" s="120">
        <v>6169</v>
      </c>
      <c r="B1723" s="125" t="s">
        <v>5187</v>
      </c>
      <c r="C1723" s="125" t="s">
        <v>5631</v>
      </c>
      <c r="D1723" s="120">
        <v>6169</v>
      </c>
      <c r="E1723" s="60">
        <f>[1]!'6169.TW-PreClose'</f>
        <v>22.35</v>
      </c>
      <c r="F1723" s="141" t="str">
        <f>IFERROR(STOCKS!$E1723-STOCKS昨天!$E1723,"0")</f>
        <v>0</v>
      </c>
      <c r="G1723" s="63">
        <f t="shared" si="26"/>
        <v>0</v>
      </c>
    </row>
    <row r="1724" spans="1:7">
      <c r="A1724" s="120">
        <v>6180</v>
      </c>
      <c r="B1724" s="125" t="s">
        <v>5188</v>
      </c>
      <c r="C1724" s="125" t="s">
        <v>5631</v>
      </c>
      <c r="D1724" s="120">
        <v>6180</v>
      </c>
      <c r="E1724" s="60">
        <f>[1]!'6180.TW-PreClose'</f>
        <v>60.7</v>
      </c>
      <c r="F1724" s="141" t="str">
        <f>IFERROR(STOCKS!$E1724-STOCKS昨天!$E1724,"0")</f>
        <v>0</v>
      </c>
      <c r="G1724" s="63">
        <f t="shared" si="26"/>
        <v>0</v>
      </c>
    </row>
    <row r="1725" spans="1:7">
      <c r="A1725" s="120">
        <v>6294</v>
      </c>
      <c r="B1725" s="125" t="s">
        <v>5189</v>
      </c>
      <c r="C1725" s="125" t="s">
        <v>5631</v>
      </c>
      <c r="D1725" s="120">
        <v>6294</v>
      </c>
      <c r="E1725" s="60">
        <f>[1]!'6294.TW-PreClose'</f>
        <v>128.5</v>
      </c>
      <c r="F1725" s="141" t="str">
        <f>IFERROR(STOCKS!$E1725-STOCKS昨天!$E1725,"0")</f>
        <v>0</v>
      </c>
      <c r="G1725" s="63">
        <f t="shared" si="26"/>
        <v>0</v>
      </c>
    </row>
    <row r="1726" spans="1:7">
      <c r="A1726" s="120">
        <v>6482</v>
      </c>
      <c r="B1726" s="125" t="s">
        <v>5190</v>
      </c>
      <c r="C1726" s="125" t="s">
        <v>5631</v>
      </c>
      <c r="D1726" s="120">
        <v>6482</v>
      </c>
      <c r="E1726" s="60" t="str">
        <f>[1]!'6482.TW-PreClose'</f>
        <v>--</v>
      </c>
      <c r="F1726" s="141" t="str">
        <f>IFERROR(STOCKS!$E1726-STOCKS昨天!$E1726,"0")</f>
        <v>0</v>
      </c>
      <c r="G1726" s="63" t="str">
        <f t="shared" si="26"/>
        <v>0</v>
      </c>
    </row>
    <row r="1727" spans="1:7">
      <c r="A1727" s="120">
        <v>6542</v>
      </c>
      <c r="B1727" s="125" t="s">
        <v>5191</v>
      </c>
      <c r="C1727" s="125" t="s">
        <v>5631</v>
      </c>
      <c r="D1727" s="120">
        <v>6542</v>
      </c>
      <c r="E1727" s="60">
        <f>[1]!'6542.TW-PreClose'</f>
        <v>58</v>
      </c>
      <c r="F1727" s="141" t="str">
        <f>IFERROR(STOCKS!$E1727-STOCKS昨天!$E1727,"0")</f>
        <v>0</v>
      </c>
      <c r="G1727" s="63">
        <f t="shared" si="26"/>
        <v>0</v>
      </c>
    </row>
    <row r="1728" spans="1:7">
      <c r="A1728" s="120">
        <v>6596</v>
      </c>
      <c r="B1728" s="125" t="s">
        <v>5192</v>
      </c>
      <c r="C1728" s="125" t="s">
        <v>5631</v>
      </c>
      <c r="D1728" s="120">
        <v>6596</v>
      </c>
      <c r="E1728" s="60">
        <f>[1]!'6596.TW-PreClose'</f>
        <v>49.5</v>
      </c>
      <c r="F1728" s="141" t="str">
        <f>IFERROR(STOCKS!$E1728-STOCKS昨天!$E1728,"0")</f>
        <v>0</v>
      </c>
      <c r="G1728" s="63">
        <f t="shared" si="26"/>
        <v>0</v>
      </c>
    </row>
    <row r="1729" spans="1:7">
      <c r="A1729" s="120">
        <v>8446</v>
      </c>
      <c r="B1729" s="125" t="s">
        <v>5193</v>
      </c>
      <c r="C1729" s="125" t="s">
        <v>5631</v>
      </c>
      <c r="D1729" s="120">
        <v>8446</v>
      </c>
      <c r="E1729" s="60" t="str">
        <f>[1]!'8446.TW-PreClose'</f>
        <v>--</v>
      </c>
      <c r="F1729" s="141" t="str">
        <f>IFERROR(STOCKS!$E1729-STOCKS昨天!$E1729,"0")</f>
        <v>0</v>
      </c>
      <c r="G1729" s="63" t="str">
        <f t="shared" si="26"/>
        <v>0</v>
      </c>
    </row>
    <row r="1730" spans="1:7">
      <c r="A1730" s="120">
        <v>8450</v>
      </c>
      <c r="B1730" s="125" t="s">
        <v>5194</v>
      </c>
      <c r="C1730" s="125" t="s">
        <v>5631</v>
      </c>
      <c r="D1730" s="120">
        <v>8450</v>
      </c>
      <c r="E1730" s="60" t="str">
        <f>[1]!'8450.TW-PreClose'</f>
        <v>--</v>
      </c>
      <c r="F1730" s="141" t="str">
        <f>IFERROR(STOCKS!$E1730-STOCKS昨天!$E1730,"0")</f>
        <v>0</v>
      </c>
      <c r="G1730" s="63" t="str">
        <f t="shared" si="26"/>
        <v>0</v>
      </c>
    </row>
    <row r="1731" spans="1:7">
      <c r="A1731" s="120">
        <v>8923</v>
      </c>
      <c r="B1731" s="125" t="s">
        <v>5196</v>
      </c>
      <c r="C1731" s="125" t="s">
        <v>5631</v>
      </c>
      <c r="D1731" s="120">
        <v>8923</v>
      </c>
      <c r="E1731" s="60">
        <f>[1]!'8923.TW-PreClose'</f>
        <v>16.399999999999999</v>
      </c>
      <c r="F1731" s="141" t="str">
        <f>IFERROR(STOCKS!$E1731-STOCKS昨天!$E1731,"0")</f>
        <v>0</v>
      </c>
      <c r="G1731" s="63">
        <f t="shared" ref="G1731:G1744" si="27">IFERROR($F1731/$E1731,"0")</f>
        <v>0</v>
      </c>
    </row>
    <row r="1732" spans="1:7">
      <c r="A1732" s="120">
        <v>9949</v>
      </c>
      <c r="B1732" s="125" t="s">
        <v>5197</v>
      </c>
      <c r="C1732" s="125" t="s">
        <v>5631</v>
      </c>
      <c r="D1732" s="120">
        <v>9949</v>
      </c>
      <c r="E1732" s="60">
        <f>[1]!'9949.TW-PreClose'</f>
        <v>11.6</v>
      </c>
      <c r="F1732" s="141" t="str">
        <f>IFERROR(STOCKS!$E1732-STOCKS昨天!$E1732,"0")</f>
        <v>0</v>
      </c>
      <c r="G1732" s="63">
        <f t="shared" si="27"/>
        <v>0</v>
      </c>
    </row>
    <row r="1733" spans="1:7">
      <c r="A1733" s="120">
        <v>1240</v>
      </c>
      <c r="B1733" s="125" t="s">
        <v>5198</v>
      </c>
      <c r="C1733" s="125" t="s">
        <v>5633</v>
      </c>
      <c r="D1733" s="120">
        <v>1240</v>
      </c>
      <c r="E1733" s="60">
        <f>[1]!'1240.TW-PreClose'</f>
        <v>50.9</v>
      </c>
      <c r="F1733" s="141" t="str">
        <f>IFERROR(STOCKS!$E1733-STOCKS昨天!$E1733,"0")</f>
        <v>0</v>
      </c>
      <c r="G1733" s="63">
        <f t="shared" si="27"/>
        <v>0</v>
      </c>
    </row>
    <row r="1734" spans="1:7">
      <c r="A1734" s="120">
        <v>4171</v>
      </c>
      <c r="B1734" s="125" t="s">
        <v>3523</v>
      </c>
      <c r="C1734" s="125" t="s">
        <v>5633</v>
      </c>
      <c r="D1734" s="120">
        <v>4171</v>
      </c>
      <c r="E1734" s="60" t="str">
        <f>[1]!'4171.TW-PreClose'</f>
        <v>--</v>
      </c>
      <c r="F1734" s="141" t="str">
        <f>IFERROR(STOCKS!$E1734-STOCKS昨天!$E1734,"0")</f>
        <v>0</v>
      </c>
      <c r="G1734" s="63" t="str">
        <f t="shared" si="27"/>
        <v>0</v>
      </c>
    </row>
    <row r="1735" spans="1:7">
      <c r="A1735" s="120">
        <v>6508</v>
      </c>
      <c r="B1735" s="125" t="s">
        <v>5199</v>
      </c>
      <c r="C1735" s="125" t="s">
        <v>5633</v>
      </c>
      <c r="D1735" s="120">
        <v>6508</v>
      </c>
      <c r="E1735" s="60">
        <f>[1]!'6508.TW-PreClose'</f>
        <v>32.950000000000003</v>
      </c>
      <c r="F1735" s="141" t="str">
        <f>IFERROR(STOCKS!$E1735-STOCKS昨天!$E1735,"0")</f>
        <v>0</v>
      </c>
      <c r="G1735" s="63">
        <f t="shared" si="27"/>
        <v>0</v>
      </c>
    </row>
    <row r="1736" spans="1:7">
      <c r="A1736" s="120">
        <v>6578</v>
      </c>
      <c r="B1736" s="125" t="s">
        <v>5200</v>
      </c>
      <c r="C1736" s="125" t="s">
        <v>5633</v>
      </c>
      <c r="D1736" s="120">
        <v>6578</v>
      </c>
      <c r="E1736" s="60" t="str">
        <f>[1]!'6578.TW-PreClose'</f>
        <v>--</v>
      </c>
      <c r="F1736" s="141" t="str">
        <f>IFERROR(STOCKS!$E1736-STOCKS昨天!$E1736,"0")</f>
        <v>0</v>
      </c>
      <c r="G1736" s="63" t="str">
        <f t="shared" si="27"/>
        <v>0</v>
      </c>
    </row>
    <row r="1737" spans="1:7">
      <c r="A1737" s="120">
        <v>3085</v>
      </c>
      <c r="B1737" s="125" t="s">
        <v>5201</v>
      </c>
      <c r="C1737" s="125" t="s">
        <v>5634</v>
      </c>
      <c r="D1737" s="120">
        <v>3085</v>
      </c>
      <c r="E1737" s="60">
        <f>[1]!'3085.TW-PreClose'</f>
        <v>9.32</v>
      </c>
      <c r="F1737" s="141" t="str">
        <f>IFERROR(STOCKS!$E1737-STOCKS昨天!$E1737,"0")</f>
        <v>0</v>
      </c>
      <c r="G1737" s="63">
        <f t="shared" si="27"/>
        <v>0</v>
      </c>
    </row>
    <row r="1738" spans="1:7">
      <c r="A1738" s="120">
        <v>3687</v>
      </c>
      <c r="B1738" s="125" t="s">
        <v>3529</v>
      </c>
      <c r="C1738" s="125" t="s">
        <v>5634</v>
      </c>
      <c r="D1738" s="120">
        <v>3687</v>
      </c>
      <c r="E1738" s="60">
        <f>[1]!'3687.TW-PreClose'</f>
        <v>105.5</v>
      </c>
      <c r="F1738" s="141">
        <f>IFERROR(STOCKS!$E1738-STOCKS昨天!$E1738,"0")</f>
        <v>0</v>
      </c>
      <c r="G1738" s="63">
        <f t="shared" si="27"/>
        <v>0</v>
      </c>
    </row>
    <row r="1739" spans="1:7">
      <c r="A1739" s="120">
        <v>5278</v>
      </c>
      <c r="B1739" s="125" t="s">
        <v>5202</v>
      </c>
      <c r="C1739" s="125" t="s">
        <v>5634</v>
      </c>
      <c r="D1739" s="120">
        <v>5278</v>
      </c>
      <c r="E1739" s="60">
        <f>[1]!'5278.TW-PreClose'</f>
        <v>210</v>
      </c>
      <c r="F1739" s="141" t="str">
        <f>IFERROR(STOCKS!$E1739-STOCKS昨天!$E1739,"0")</f>
        <v>0</v>
      </c>
      <c r="G1739" s="63">
        <f t="shared" si="27"/>
        <v>0</v>
      </c>
    </row>
    <row r="1740" spans="1:7">
      <c r="A1740" s="120">
        <v>5287</v>
      </c>
      <c r="B1740" s="125" t="s">
        <v>5203</v>
      </c>
      <c r="C1740" s="125" t="s">
        <v>5634</v>
      </c>
      <c r="D1740" s="120">
        <v>5287</v>
      </c>
      <c r="E1740" s="60" t="str">
        <f>[1]!'5287.TW-PreClose'</f>
        <v>--</v>
      </c>
      <c r="F1740" s="141" t="str">
        <f>IFERROR(STOCKS!$E1740-STOCKS昨天!$E1740,"0")</f>
        <v>0</v>
      </c>
      <c r="G1740" s="63" t="str">
        <f t="shared" si="27"/>
        <v>0</v>
      </c>
    </row>
    <row r="1741" spans="1:7">
      <c r="A1741" s="120">
        <v>6741</v>
      </c>
      <c r="B1741" s="125" t="s">
        <v>5528</v>
      </c>
      <c r="C1741" s="125" t="s">
        <v>5635</v>
      </c>
      <c r="D1741" s="120">
        <v>6741</v>
      </c>
      <c r="E1741" s="60">
        <f>[1]!'6741.TW-PreClose'</f>
        <v>300.5</v>
      </c>
      <c r="F1741" s="141" t="str">
        <f>IFERROR(STOCKS!$E1741-STOCKS昨天!$E1741,"0")</f>
        <v>0</v>
      </c>
      <c r="G1741" s="63">
        <f t="shared" si="27"/>
        <v>0</v>
      </c>
    </row>
    <row r="1742" spans="1:7">
      <c r="A1742" s="120">
        <v>8044</v>
      </c>
      <c r="B1742" s="125" t="s">
        <v>3547</v>
      </c>
      <c r="C1742" s="125" t="s">
        <v>5634</v>
      </c>
      <c r="D1742" s="120">
        <v>8044</v>
      </c>
      <c r="E1742" s="60">
        <f>[1]!'8044.TW-PreClose'</f>
        <v>135.5</v>
      </c>
      <c r="F1742" s="141" t="str">
        <f>IFERROR(STOCKS!$E1742-STOCKS昨天!$E1742,"0")</f>
        <v>0</v>
      </c>
      <c r="G1742" s="63">
        <f t="shared" si="27"/>
        <v>0</v>
      </c>
    </row>
    <row r="1743" spans="1:7">
      <c r="A1743" s="120">
        <v>8472</v>
      </c>
      <c r="B1743" s="125" t="s">
        <v>5204</v>
      </c>
      <c r="C1743" s="125" t="s">
        <v>5634</v>
      </c>
      <c r="D1743" s="120">
        <v>8472</v>
      </c>
      <c r="E1743" s="60">
        <f>[1]!'8472.TW-PreClose'</f>
        <v>51.6</v>
      </c>
      <c r="F1743" s="141" t="str">
        <f>IFERROR(STOCKS!$E1743-STOCKS昨天!$E1743,"0")</f>
        <v>0</v>
      </c>
      <c r="G1743" s="63">
        <f t="shared" si="27"/>
        <v>0</v>
      </c>
    </row>
    <row r="1744" spans="1:7">
      <c r="A1744" s="120">
        <v>8477</v>
      </c>
      <c r="B1744" s="125" t="s">
        <v>5205</v>
      </c>
      <c r="C1744" s="125" t="s">
        <v>5634</v>
      </c>
      <c r="D1744" s="120">
        <v>8477</v>
      </c>
      <c r="E1744" s="60">
        <f>[1]!'8477.TW-PreClose'</f>
        <v>34.799999999999997</v>
      </c>
      <c r="F1744" s="141" t="str">
        <f>IFERROR(STOCKS!$E1744-STOCKS昨天!$E1744,"0")</f>
        <v>0</v>
      </c>
      <c r="G1744" s="63">
        <f t="shared" si="27"/>
        <v>0</v>
      </c>
    </row>
    <row r="1745" spans="1:6">
      <c r="A1745" s="120">
        <v>1260</v>
      </c>
      <c r="B1745" s="125" t="s">
        <v>5206</v>
      </c>
      <c r="C1745" s="125" t="s">
        <v>5207</v>
      </c>
      <c r="D1745" s="120">
        <v>1260</v>
      </c>
      <c r="F1745" s="141"/>
    </row>
    <row r="1746" spans="1:6">
      <c r="A1746" s="120">
        <v>1293</v>
      </c>
      <c r="B1746" s="125" t="s">
        <v>5636</v>
      </c>
      <c r="C1746" s="125" t="s">
        <v>5207</v>
      </c>
      <c r="D1746" s="120">
        <v>1293</v>
      </c>
      <c r="F1746" s="141"/>
    </row>
    <row r="1747" spans="1:6">
      <c r="A1747" s="120">
        <v>1343</v>
      </c>
      <c r="B1747" s="125" t="s">
        <v>5210</v>
      </c>
      <c r="C1747" s="125" t="s">
        <v>5207</v>
      </c>
      <c r="D1747" s="120">
        <v>1343</v>
      </c>
      <c r="F1747" s="141"/>
    </row>
    <row r="1748" spans="1:6">
      <c r="A1748" s="120">
        <v>1563</v>
      </c>
      <c r="B1748" s="125" t="s">
        <v>5212</v>
      </c>
      <c r="C1748" s="125" t="s">
        <v>5207</v>
      </c>
      <c r="D1748" s="120">
        <v>1563</v>
      </c>
      <c r="F1748" s="141"/>
    </row>
    <row r="1749" spans="1:6">
      <c r="A1749" s="120">
        <v>1594</v>
      </c>
      <c r="B1749" s="125" t="s">
        <v>5213</v>
      </c>
      <c r="C1749" s="125" t="s">
        <v>5207</v>
      </c>
      <c r="D1749" s="120">
        <v>1594</v>
      </c>
      <c r="F1749" s="141"/>
    </row>
    <row r="1750" spans="1:6">
      <c r="A1750" s="120">
        <v>2237</v>
      </c>
      <c r="B1750" s="125" t="s">
        <v>5214</v>
      </c>
      <c r="C1750" s="125" t="s">
        <v>5207</v>
      </c>
      <c r="D1750" s="120">
        <v>2237</v>
      </c>
      <c r="F1750" s="141"/>
    </row>
    <row r="1751" spans="1:6">
      <c r="A1751" s="120">
        <v>2245</v>
      </c>
      <c r="B1751" s="125" t="s">
        <v>5215</v>
      </c>
      <c r="C1751" s="125" t="s">
        <v>5207</v>
      </c>
      <c r="D1751" s="120">
        <v>2245</v>
      </c>
      <c r="F1751" s="141"/>
    </row>
    <row r="1752" spans="1:6">
      <c r="A1752" s="120">
        <v>2246</v>
      </c>
      <c r="B1752" s="125" t="s">
        <v>5216</v>
      </c>
      <c r="C1752" s="125" t="s">
        <v>5207</v>
      </c>
      <c r="D1752" s="120">
        <v>2246</v>
      </c>
      <c r="F1752" s="141"/>
    </row>
    <row r="1753" spans="1:6">
      <c r="A1753" s="120">
        <v>2248</v>
      </c>
      <c r="B1753" s="125" t="s">
        <v>5217</v>
      </c>
      <c r="C1753" s="125" t="s">
        <v>5207</v>
      </c>
      <c r="D1753" s="120">
        <v>2248</v>
      </c>
      <c r="F1753" s="141"/>
    </row>
    <row r="1754" spans="1:6">
      <c r="A1754" s="120">
        <v>2249</v>
      </c>
      <c r="B1754" s="125" t="s">
        <v>5218</v>
      </c>
      <c r="C1754" s="125" t="s">
        <v>5207</v>
      </c>
      <c r="D1754" s="120">
        <v>2249</v>
      </c>
      <c r="F1754" s="141"/>
    </row>
    <row r="1755" spans="1:6">
      <c r="A1755" s="120">
        <v>4544</v>
      </c>
      <c r="B1755" s="125" t="s">
        <v>5219</v>
      </c>
      <c r="C1755" s="125" t="s">
        <v>5207</v>
      </c>
      <c r="D1755" s="120">
        <v>4544</v>
      </c>
      <c r="F1755" s="141"/>
    </row>
    <row r="1756" spans="1:6">
      <c r="A1756" s="120">
        <v>4546</v>
      </c>
      <c r="B1756" s="125" t="s">
        <v>5220</v>
      </c>
      <c r="C1756" s="125" t="s">
        <v>5207</v>
      </c>
      <c r="D1756" s="120">
        <v>4546</v>
      </c>
      <c r="F1756" s="141"/>
    </row>
    <row r="1757" spans="1:6">
      <c r="A1757" s="120">
        <v>4553</v>
      </c>
      <c r="B1757" s="125" t="s">
        <v>5221</v>
      </c>
      <c r="C1757" s="125" t="s">
        <v>5207</v>
      </c>
      <c r="D1757" s="120">
        <v>4553</v>
      </c>
      <c r="F1757" s="141"/>
    </row>
    <row r="1758" spans="1:6">
      <c r="A1758" s="120">
        <v>4558</v>
      </c>
      <c r="B1758" s="125" t="s">
        <v>5222</v>
      </c>
      <c r="C1758" s="125" t="s">
        <v>5207</v>
      </c>
      <c r="D1758" s="120">
        <v>4558</v>
      </c>
      <c r="F1758" s="141"/>
    </row>
    <row r="1759" spans="1:6">
      <c r="A1759" s="120">
        <v>4559</v>
      </c>
      <c r="B1759" s="125" t="s">
        <v>5223</v>
      </c>
      <c r="C1759" s="125" t="s">
        <v>5207</v>
      </c>
      <c r="D1759" s="120">
        <v>4559</v>
      </c>
      <c r="F1759" s="141"/>
    </row>
    <row r="1760" spans="1:6">
      <c r="A1760" s="120">
        <v>4565</v>
      </c>
      <c r="B1760" s="125" t="s">
        <v>5224</v>
      </c>
      <c r="C1760" s="125" t="s">
        <v>5207</v>
      </c>
      <c r="D1760" s="120">
        <v>4565</v>
      </c>
      <c r="F1760" s="141"/>
    </row>
    <row r="1761" spans="1:6">
      <c r="A1761" s="120">
        <v>4573</v>
      </c>
      <c r="B1761" s="125" t="s">
        <v>5225</v>
      </c>
      <c r="C1761" s="125" t="s">
        <v>5207</v>
      </c>
      <c r="D1761" s="120">
        <v>4573</v>
      </c>
      <c r="F1761" s="141"/>
    </row>
    <row r="1762" spans="1:6">
      <c r="A1762" s="120">
        <v>4575</v>
      </c>
      <c r="B1762" s="125" t="s">
        <v>5226</v>
      </c>
      <c r="C1762" s="125" t="s">
        <v>5207</v>
      </c>
      <c r="D1762" s="120">
        <v>4575</v>
      </c>
      <c r="F1762" s="141"/>
    </row>
    <row r="1763" spans="1:6">
      <c r="A1763" s="120">
        <v>4578</v>
      </c>
      <c r="B1763" s="125" t="s">
        <v>5227</v>
      </c>
      <c r="C1763" s="125" t="s">
        <v>5207</v>
      </c>
      <c r="D1763" s="120">
        <v>4578</v>
      </c>
      <c r="F1763" s="141"/>
    </row>
    <row r="1764" spans="1:6">
      <c r="A1764" s="120">
        <v>4583</v>
      </c>
      <c r="B1764" s="125" t="s">
        <v>5228</v>
      </c>
      <c r="C1764" s="125" t="s">
        <v>5207</v>
      </c>
      <c r="D1764" s="120">
        <v>4583</v>
      </c>
      <c r="F1764" s="141"/>
    </row>
    <row r="1765" spans="1:6">
      <c r="A1765" s="120">
        <v>4584</v>
      </c>
      <c r="B1765" s="125" t="s">
        <v>5637</v>
      </c>
      <c r="C1765" s="125" t="s">
        <v>5207</v>
      </c>
      <c r="D1765" s="120">
        <v>4584</v>
      </c>
      <c r="F1765" s="141"/>
    </row>
    <row r="1766" spans="1:6">
      <c r="A1766" s="120">
        <v>6606</v>
      </c>
      <c r="B1766" s="125" t="s">
        <v>5229</v>
      </c>
      <c r="C1766" s="125" t="s">
        <v>5207</v>
      </c>
      <c r="D1766" s="120">
        <v>6606</v>
      </c>
      <c r="F1766" s="141"/>
    </row>
    <row r="1767" spans="1:6">
      <c r="A1767" s="120">
        <v>6705</v>
      </c>
      <c r="B1767" s="125" t="s">
        <v>5230</v>
      </c>
      <c r="C1767" s="125" t="s">
        <v>5207</v>
      </c>
      <c r="D1767" s="120">
        <v>6705</v>
      </c>
      <c r="F1767" s="141"/>
    </row>
    <row r="1768" spans="1:6">
      <c r="A1768" s="120">
        <v>6829</v>
      </c>
      <c r="B1768" s="125" t="s">
        <v>5638</v>
      </c>
      <c r="C1768" s="125" t="s">
        <v>5207</v>
      </c>
      <c r="D1768" s="120">
        <v>6829</v>
      </c>
      <c r="F1768" s="141"/>
    </row>
    <row r="1769" spans="1:6">
      <c r="A1769" s="120">
        <v>3430</v>
      </c>
      <c r="B1769" s="125" t="s">
        <v>5231</v>
      </c>
      <c r="C1769" s="125" t="s">
        <v>5207</v>
      </c>
      <c r="D1769" s="120">
        <v>3430</v>
      </c>
      <c r="F1769" s="141"/>
    </row>
    <row r="1770" spans="1:6">
      <c r="A1770" s="120">
        <v>4738</v>
      </c>
      <c r="B1770" s="125" t="s">
        <v>5232</v>
      </c>
      <c r="C1770" s="125" t="s">
        <v>5207</v>
      </c>
      <c r="D1770" s="120">
        <v>4738</v>
      </c>
      <c r="F1770" s="141"/>
    </row>
    <row r="1771" spans="1:6">
      <c r="A1771" s="120">
        <v>4765</v>
      </c>
      <c r="B1771" s="125" t="s">
        <v>5233</v>
      </c>
      <c r="C1771" s="125" t="s">
        <v>5207</v>
      </c>
      <c r="D1771" s="120">
        <v>4765</v>
      </c>
      <c r="F1771" s="141"/>
    </row>
    <row r="1772" spans="1:6">
      <c r="A1772" s="120">
        <v>4768</v>
      </c>
      <c r="B1772" s="125" t="s">
        <v>5234</v>
      </c>
      <c r="C1772" s="125" t="s">
        <v>5207</v>
      </c>
      <c r="D1772" s="120">
        <v>4768</v>
      </c>
      <c r="F1772" s="141"/>
    </row>
    <row r="1773" spans="1:6">
      <c r="A1773" s="120">
        <v>4770</v>
      </c>
      <c r="B1773" s="125" t="s">
        <v>5235</v>
      </c>
      <c r="C1773" s="125" t="s">
        <v>5207</v>
      </c>
      <c r="D1773" s="120">
        <v>4770</v>
      </c>
      <c r="F1773" s="141"/>
    </row>
    <row r="1774" spans="1:6">
      <c r="A1774" s="120">
        <v>6495</v>
      </c>
      <c r="B1774" s="125" t="s">
        <v>5236</v>
      </c>
      <c r="C1774" s="125" t="s">
        <v>5207</v>
      </c>
      <c r="D1774" s="120">
        <v>6495</v>
      </c>
      <c r="F1774" s="141"/>
    </row>
    <row r="1775" spans="1:6">
      <c r="A1775" s="120">
        <v>6618</v>
      </c>
      <c r="B1775" s="125" t="s">
        <v>5237</v>
      </c>
      <c r="C1775" s="125" t="s">
        <v>5207</v>
      </c>
      <c r="D1775" s="120">
        <v>6618</v>
      </c>
      <c r="F1775" s="141"/>
    </row>
    <row r="1776" spans="1:6">
      <c r="A1776" s="120">
        <v>1271</v>
      </c>
      <c r="B1776" s="125" t="s">
        <v>5208</v>
      </c>
      <c r="C1776" s="125" t="s">
        <v>5207</v>
      </c>
      <c r="D1776" s="120">
        <v>1271</v>
      </c>
      <c r="F1776" s="141"/>
    </row>
    <row r="1777" spans="1:6">
      <c r="A1777" s="120">
        <v>1780</v>
      </c>
      <c r="B1777" s="125" t="s">
        <v>5238</v>
      </c>
      <c r="C1777" s="125" t="s">
        <v>5207</v>
      </c>
      <c r="D1777" s="120">
        <v>1780</v>
      </c>
      <c r="F1777" s="141"/>
    </row>
    <row r="1778" spans="1:6">
      <c r="A1778" s="120">
        <v>3184</v>
      </c>
      <c r="B1778" s="125" t="s">
        <v>5239</v>
      </c>
      <c r="C1778" s="125" t="s">
        <v>5207</v>
      </c>
      <c r="D1778" s="120">
        <v>3184</v>
      </c>
      <c r="F1778" s="141"/>
    </row>
    <row r="1779" spans="1:6">
      <c r="A1779" s="120">
        <v>4117</v>
      </c>
      <c r="B1779" s="125" t="s">
        <v>5240</v>
      </c>
      <c r="C1779" s="125" t="s">
        <v>5207</v>
      </c>
      <c r="D1779" s="120">
        <v>4117</v>
      </c>
      <c r="F1779" s="141"/>
    </row>
    <row r="1780" spans="1:6">
      <c r="A1780" s="120">
        <v>4132</v>
      </c>
      <c r="B1780" s="125" t="s">
        <v>5241</v>
      </c>
      <c r="C1780" s="125" t="s">
        <v>5207</v>
      </c>
      <c r="D1780" s="120">
        <v>4132</v>
      </c>
      <c r="F1780" s="141"/>
    </row>
    <row r="1781" spans="1:6">
      <c r="A1781" s="120">
        <v>4136</v>
      </c>
      <c r="B1781" s="125" t="s">
        <v>5242</v>
      </c>
      <c r="C1781" s="125" t="s">
        <v>5207</v>
      </c>
      <c r="D1781" s="120">
        <v>4136</v>
      </c>
      <c r="F1781" s="141"/>
    </row>
    <row r="1782" spans="1:6">
      <c r="A1782" s="120">
        <v>4150</v>
      </c>
      <c r="B1782" s="125" t="s">
        <v>5243</v>
      </c>
      <c r="C1782" s="125" t="s">
        <v>5207</v>
      </c>
      <c r="D1782" s="120">
        <v>4150</v>
      </c>
      <c r="F1782" s="141"/>
    </row>
    <row r="1783" spans="1:6">
      <c r="A1783" s="120">
        <v>4151</v>
      </c>
      <c r="B1783" s="125" t="s">
        <v>5244</v>
      </c>
      <c r="C1783" s="125" t="s">
        <v>5207</v>
      </c>
      <c r="D1783" s="120">
        <v>4151</v>
      </c>
      <c r="F1783" s="141"/>
    </row>
    <row r="1784" spans="1:6">
      <c r="A1784" s="120">
        <v>4166</v>
      </c>
      <c r="B1784" s="125" t="s">
        <v>5245</v>
      </c>
      <c r="C1784" s="125" t="s">
        <v>5207</v>
      </c>
      <c r="D1784" s="120">
        <v>4166</v>
      </c>
      <c r="F1784" s="141"/>
    </row>
    <row r="1785" spans="1:6">
      <c r="A1785" s="120">
        <v>4169</v>
      </c>
      <c r="B1785" s="125" t="s">
        <v>5246</v>
      </c>
      <c r="C1785" s="125" t="s">
        <v>5207</v>
      </c>
      <c r="D1785" s="120">
        <v>4169</v>
      </c>
      <c r="F1785" s="141"/>
    </row>
    <row r="1786" spans="1:6">
      <c r="A1786" s="120">
        <v>4172</v>
      </c>
      <c r="B1786" s="125" t="s">
        <v>5247</v>
      </c>
      <c r="C1786" s="125" t="s">
        <v>5207</v>
      </c>
      <c r="D1786" s="120">
        <v>4172</v>
      </c>
      <c r="F1786" s="141"/>
    </row>
    <row r="1787" spans="1:6">
      <c r="A1787" s="120">
        <v>4186</v>
      </c>
      <c r="B1787" s="125" t="s">
        <v>5248</v>
      </c>
      <c r="C1787" s="125" t="s">
        <v>5207</v>
      </c>
      <c r="D1787" s="120">
        <v>4186</v>
      </c>
      <c r="F1787" s="141"/>
    </row>
    <row r="1788" spans="1:6">
      <c r="A1788" s="120">
        <v>4191</v>
      </c>
      <c r="B1788" s="125" t="s">
        <v>5249</v>
      </c>
      <c r="C1788" s="125" t="s">
        <v>5207</v>
      </c>
      <c r="D1788" s="120">
        <v>4191</v>
      </c>
      <c r="F1788" s="141"/>
    </row>
    <row r="1789" spans="1:6">
      <c r="A1789" s="120">
        <v>4194</v>
      </c>
      <c r="B1789" s="125" t="s">
        <v>5250</v>
      </c>
      <c r="C1789" s="125" t="s">
        <v>5207</v>
      </c>
      <c r="D1789" s="120">
        <v>4194</v>
      </c>
      <c r="F1789" s="141"/>
    </row>
    <row r="1790" spans="1:6">
      <c r="A1790" s="120">
        <v>4195</v>
      </c>
      <c r="B1790" s="125" t="s">
        <v>5251</v>
      </c>
      <c r="C1790" s="125" t="s">
        <v>5207</v>
      </c>
      <c r="D1790" s="120">
        <v>4195</v>
      </c>
      <c r="F1790" s="141"/>
    </row>
    <row r="1791" spans="1:6">
      <c r="A1791" s="120">
        <v>4197</v>
      </c>
      <c r="B1791" s="125" t="s">
        <v>5252</v>
      </c>
      <c r="C1791" s="125" t="s">
        <v>5207</v>
      </c>
      <c r="D1791" s="120">
        <v>4197</v>
      </c>
      <c r="F1791" s="141"/>
    </row>
    <row r="1792" spans="1:6">
      <c r="A1792" s="120">
        <v>4732</v>
      </c>
      <c r="B1792" s="125" t="s">
        <v>5253</v>
      </c>
      <c r="C1792" s="125" t="s">
        <v>5207</v>
      </c>
      <c r="D1792" s="120">
        <v>4732</v>
      </c>
      <c r="F1792" s="141"/>
    </row>
    <row r="1793" spans="1:6">
      <c r="A1793" s="120">
        <v>6493</v>
      </c>
      <c r="B1793" s="125" t="s">
        <v>5254</v>
      </c>
      <c r="C1793" s="125" t="s">
        <v>5207</v>
      </c>
      <c r="D1793" s="120">
        <v>6493</v>
      </c>
      <c r="F1793" s="141"/>
    </row>
    <row r="1794" spans="1:6">
      <c r="A1794" s="120">
        <v>6518</v>
      </c>
      <c r="B1794" s="125" t="s">
        <v>5255</v>
      </c>
      <c r="C1794" s="125" t="s">
        <v>5207</v>
      </c>
      <c r="D1794" s="120">
        <v>6518</v>
      </c>
      <c r="F1794" s="141"/>
    </row>
    <row r="1795" spans="1:6">
      <c r="A1795" s="120">
        <v>6539</v>
      </c>
      <c r="B1795" s="125" t="s">
        <v>5256</v>
      </c>
      <c r="C1795" s="125" t="s">
        <v>5207</v>
      </c>
      <c r="D1795" s="120">
        <v>6539</v>
      </c>
      <c r="F1795" s="141"/>
    </row>
    <row r="1796" spans="1:6">
      <c r="A1796" s="120">
        <v>6543</v>
      </c>
      <c r="B1796" s="125" t="s">
        <v>5257</v>
      </c>
      <c r="C1796" s="125" t="s">
        <v>5207</v>
      </c>
      <c r="D1796" s="120">
        <v>6543</v>
      </c>
      <c r="F1796" s="141"/>
    </row>
    <row r="1797" spans="1:6">
      <c r="A1797" s="120">
        <v>6549</v>
      </c>
      <c r="B1797" s="125" t="s">
        <v>5258</v>
      </c>
      <c r="C1797" s="125" t="s">
        <v>5207</v>
      </c>
      <c r="D1797" s="120">
        <v>6549</v>
      </c>
      <c r="F1797" s="141"/>
    </row>
    <row r="1798" spans="1:6">
      <c r="A1798" s="120">
        <v>6550</v>
      </c>
      <c r="B1798" s="125" t="s">
        <v>5259</v>
      </c>
      <c r="C1798" s="125" t="s">
        <v>5207</v>
      </c>
      <c r="D1798" s="120">
        <v>6550</v>
      </c>
      <c r="F1798" s="141"/>
    </row>
    <row r="1799" spans="1:6">
      <c r="A1799" s="120">
        <v>6562</v>
      </c>
      <c r="B1799" s="125" t="s">
        <v>5639</v>
      </c>
      <c r="C1799" s="125" t="s">
        <v>5207</v>
      </c>
      <c r="D1799" s="120">
        <v>6562</v>
      </c>
      <c r="F1799" s="141"/>
    </row>
    <row r="1800" spans="1:6">
      <c r="A1800" s="120">
        <v>6564</v>
      </c>
      <c r="B1800" s="125" t="s">
        <v>5260</v>
      </c>
      <c r="C1800" s="125" t="s">
        <v>5207</v>
      </c>
      <c r="D1800" s="120">
        <v>6564</v>
      </c>
      <c r="F1800" s="141"/>
    </row>
    <row r="1801" spans="1:6">
      <c r="A1801" s="120">
        <v>6566</v>
      </c>
      <c r="B1801" s="125" t="s">
        <v>5261</v>
      </c>
      <c r="C1801" s="125" t="s">
        <v>5207</v>
      </c>
      <c r="D1801" s="120">
        <v>6566</v>
      </c>
      <c r="F1801" s="141"/>
    </row>
    <row r="1802" spans="1:6">
      <c r="A1802" s="120">
        <v>6572</v>
      </c>
      <c r="B1802" s="125" t="s">
        <v>5262</v>
      </c>
      <c r="C1802" s="125" t="s">
        <v>5207</v>
      </c>
      <c r="D1802" s="120">
        <v>6572</v>
      </c>
      <c r="F1802" s="141"/>
    </row>
    <row r="1803" spans="1:6">
      <c r="A1803" s="120">
        <v>6575</v>
      </c>
      <c r="B1803" s="125" t="s">
        <v>5263</v>
      </c>
      <c r="C1803" s="125" t="s">
        <v>5207</v>
      </c>
      <c r="D1803" s="120">
        <v>6575</v>
      </c>
      <c r="F1803" s="141"/>
    </row>
    <row r="1804" spans="1:6">
      <c r="A1804" s="120">
        <v>6580</v>
      </c>
      <c r="B1804" s="125" t="s">
        <v>5264</v>
      </c>
      <c r="C1804" s="125" t="s">
        <v>5207</v>
      </c>
      <c r="D1804" s="120">
        <v>6580</v>
      </c>
      <c r="F1804" s="141"/>
    </row>
    <row r="1805" spans="1:6">
      <c r="A1805" s="120">
        <v>6586</v>
      </c>
      <c r="B1805" s="125" t="s">
        <v>5265</v>
      </c>
      <c r="C1805" s="125" t="s">
        <v>5207</v>
      </c>
      <c r="D1805" s="120">
        <v>6586</v>
      </c>
      <c r="F1805" s="141"/>
    </row>
    <row r="1806" spans="1:6">
      <c r="A1806" s="120">
        <v>6610</v>
      </c>
      <c r="B1806" s="125" t="s">
        <v>5266</v>
      </c>
      <c r="C1806" s="125" t="s">
        <v>5207</v>
      </c>
      <c r="D1806" s="120">
        <v>6610</v>
      </c>
      <c r="F1806" s="141"/>
    </row>
    <row r="1807" spans="1:6">
      <c r="A1807" s="120">
        <v>6617</v>
      </c>
      <c r="B1807" s="125" t="s">
        <v>5267</v>
      </c>
      <c r="C1807" s="125" t="s">
        <v>5207</v>
      </c>
      <c r="D1807" s="120">
        <v>6617</v>
      </c>
      <c r="F1807" s="141"/>
    </row>
    <row r="1808" spans="1:6">
      <c r="A1808" s="120">
        <v>6620</v>
      </c>
      <c r="B1808" s="125" t="s">
        <v>5268</v>
      </c>
      <c r="C1808" s="125" t="s">
        <v>5207</v>
      </c>
      <c r="D1808" s="120">
        <v>6620</v>
      </c>
      <c r="F1808" s="141"/>
    </row>
    <row r="1809" spans="1:6">
      <c r="A1809" s="120">
        <v>6621</v>
      </c>
      <c r="B1809" s="125" t="s">
        <v>5269</v>
      </c>
      <c r="C1809" s="125" t="s">
        <v>5207</v>
      </c>
      <c r="D1809" s="120">
        <v>6621</v>
      </c>
      <c r="F1809" s="141"/>
    </row>
    <row r="1810" spans="1:6">
      <c r="A1810" s="120">
        <v>6633</v>
      </c>
      <c r="B1810" s="125" t="s">
        <v>5270</v>
      </c>
      <c r="C1810" s="125" t="s">
        <v>5207</v>
      </c>
      <c r="D1810" s="120">
        <v>6633</v>
      </c>
      <c r="F1810" s="141"/>
    </row>
    <row r="1811" spans="1:6">
      <c r="A1811" s="120">
        <v>6634</v>
      </c>
      <c r="B1811" s="125" t="s">
        <v>5271</v>
      </c>
      <c r="C1811" s="125" t="s">
        <v>5207</v>
      </c>
      <c r="D1811" s="120">
        <v>6634</v>
      </c>
      <c r="F1811" s="141"/>
    </row>
    <row r="1812" spans="1:6">
      <c r="A1812" s="120">
        <v>6637</v>
      </c>
      <c r="B1812" s="125" t="s">
        <v>5272</v>
      </c>
      <c r="C1812" s="125" t="s">
        <v>5207</v>
      </c>
      <c r="D1812" s="120">
        <v>6637</v>
      </c>
      <c r="F1812" s="141"/>
    </row>
    <row r="1813" spans="1:6">
      <c r="A1813" s="120">
        <v>6645</v>
      </c>
      <c r="B1813" s="125" t="s">
        <v>5273</v>
      </c>
      <c r="C1813" s="125" t="s">
        <v>5207</v>
      </c>
      <c r="D1813" s="120">
        <v>6645</v>
      </c>
      <c r="F1813" s="141"/>
    </row>
    <row r="1814" spans="1:6">
      <c r="A1814" s="120">
        <v>6652</v>
      </c>
      <c r="B1814" s="125" t="s">
        <v>5274</v>
      </c>
      <c r="C1814" s="125" t="s">
        <v>5207</v>
      </c>
      <c r="D1814" s="120">
        <v>6652</v>
      </c>
      <c r="F1814" s="141"/>
    </row>
    <row r="1815" spans="1:6">
      <c r="A1815" s="120">
        <v>6657</v>
      </c>
      <c r="B1815" s="125" t="s">
        <v>5275</v>
      </c>
      <c r="C1815" s="125" t="s">
        <v>5207</v>
      </c>
      <c r="D1815" s="120">
        <v>6657</v>
      </c>
      <c r="F1815" s="141"/>
    </row>
    <row r="1816" spans="1:6">
      <c r="A1816" s="120">
        <v>6665</v>
      </c>
      <c r="B1816" s="125" t="s">
        <v>5276</v>
      </c>
      <c r="C1816" s="125" t="s">
        <v>5207</v>
      </c>
      <c r="D1816" s="120">
        <v>6665</v>
      </c>
      <c r="F1816" s="141"/>
    </row>
    <row r="1817" spans="1:6">
      <c r="A1817" s="120">
        <v>6677</v>
      </c>
      <c r="B1817" s="125" t="s">
        <v>5277</v>
      </c>
      <c r="C1817" s="125" t="s">
        <v>5207</v>
      </c>
      <c r="D1817" s="120">
        <v>6677</v>
      </c>
      <c r="F1817" s="141"/>
    </row>
    <row r="1818" spans="1:6">
      <c r="A1818" s="120">
        <v>6696</v>
      </c>
      <c r="B1818" s="125" t="s">
        <v>5278</v>
      </c>
      <c r="C1818" s="125" t="s">
        <v>5207</v>
      </c>
      <c r="D1818" s="120">
        <v>6696</v>
      </c>
      <c r="F1818" s="141"/>
    </row>
    <row r="1819" spans="1:6">
      <c r="A1819" s="120">
        <v>6709</v>
      </c>
      <c r="B1819" s="125" t="s">
        <v>5279</v>
      </c>
      <c r="C1819" s="125" t="s">
        <v>5207</v>
      </c>
      <c r="D1819" s="120">
        <v>6709</v>
      </c>
      <c r="F1819" s="141"/>
    </row>
    <row r="1820" spans="1:6">
      <c r="A1820" s="120">
        <v>6730</v>
      </c>
      <c r="B1820" s="125" t="s">
        <v>5280</v>
      </c>
      <c r="C1820" s="125" t="s">
        <v>5207</v>
      </c>
      <c r="D1820" s="120">
        <v>6730</v>
      </c>
      <c r="F1820" s="141"/>
    </row>
    <row r="1821" spans="1:6">
      <c r="A1821" s="120">
        <v>6734</v>
      </c>
      <c r="B1821" s="125" t="s">
        <v>5281</v>
      </c>
      <c r="C1821" s="125" t="s">
        <v>5207</v>
      </c>
      <c r="D1821" s="120">
        <v>6734</v>
      </c>
      <c r="F1821" s="141"/>
    </row>
    <row r="1822" spans="1:6">
      <c r="A1822" s="120">
        <v>6744</v>
      </c>
      <c r="B1822" s="125" t="s">
        <v>5282</v>
      </c>
      <c r="C1822" s="125" t="s">
        <v>5207</v>
      </c>
      <c r="D1822" s="120">
        <v>6744</v>
      </c>
      <c r="F1822" s="141"/>
    </row>
    <row r="1823" spans="1:6">
      <c r="A1823" s="120">
        <v>6748</v>
      </c>
      <c r="B1823" s="125" t="s">
        <v>5640</v>
      </c>
      <c r="C1823" s="125" t="s">
        <v>5207</v>
      </c>
      <c r="D1823" s="120">
        <v>6748</v>
      </c>
      <c r="F1823" s="141"/>
    </row>
    <row r="1824" spans="1:6">
      <c r="A1824" s="120">
        <v>6758</v>
      </c>
      <c r="B1824" s="125" t="s">
        <v>5283</v>
      </c>
      <c r="C1824" s="125" t="s">
        <v>5207</v>
      </c>
      <c r="D1824" s="120">
        <v>6758</v>
      </c>
      <c r="F1824" s="141"/>
    </row>
    <row r="1825" spans="1:6">
      <c r="A1825" s="120">
        <v>6782</v>
      </c>
      <c r="B1825" s="125" t="s">
        <v>5284</v>
      </c>
      <c r="C1825" s="125" t="s">
        <v>5207</v>
      </c>
      <c r="D1825" s="120">
        <v>6782</v>
      </c>
      <c r="F1825" s="141"/>
    </row>
    <row r="1826" spans="1:6">
      <c r="A1826" s="120">
        <v>6785</v>
      </c>
      <c r="B1826" s="125" t="s">
        <v>5285</v>
      </c>
      <c r="C1826" s="125" t="s">
        <v>5207</v>
      </c>
      <c r="D1826" s="120">
        <v>6785</v>
      </c>
      <c r="F1826" s="141"/>
    </row>
    <row r="1827" spans="1:6">
      <c r="A1827" s="120">
        <v>6794</v>
      </c>
      <c r="B1827" s="125" t="s">
        <v>5286</v>
      </c>
      <c r="C1827" s="125" t="s">
        <v>5207</v>
      </c>
      <c r="D1827" s="120">
        <v>6794</v>
      </c>
      <c r="F1827" s="141"/>
    </row>
    <row r="1828" spans="1:6">
      <c r="A1828" s="120">
        <v>6796</v>
      </c>
      <c r="B1828" s="125" t="s">
        <v>5287</v>
      </c>
      <c r="C1828" s="125" t="s">
        <v>5207</v>
      </c>
      <c r="D1828" s="120">
        <v>6796</v>
      </c>
      <c r="F1828" s="141"/>
    </row>
    <row r="1829" spans="1:6">
      <c r="A1829" s="120">
        <v>6797</v>
      </c>
      <c r="B1829" s="125" t="s">
        <v>5288</v>
      </c>
      <c r="C1829" s="125" t="s">
        <v>5207</v>
      </c>
      <c r="D1829" s="120">
        <v>6797</v>
      </c>
      <c r="F1829" s="141"/>
    </row>
    <row r="1830" spans="1:6">
      <c r="A1830" s="120">
        <v>6808</v>
      </c>
      <c r="B1830" s="125" t="s">
        <v>5289</v>
      </c>
      <c r="C1830" s="125" t="s">
        <v>5207</v>
      </c>
      <c r="D1830" s="120">
        <v>6808</v>
      </c>
      <c r="F1830" s="141"/>
    </row>
    <row r="1831" spans="1:6">
      <c r="A1831" s="120">
        <v>6810</v>
      </c>
      <c r="B1831" s="125" t="s">
        <v>5641</v>
      </c>
      <c r="C1831" s="125" t="s">
        <v>5207</v>
      </c>
      <c r="D1831" s="120">
        <v>6810</v>
      </c>
      <c r="F1831" s="141"/>
    </row>
    <row r="1832" spans="1:6">
      <c r="A1832" s="120">
        <v>6814</v>
      </c>
      <c r="B1832" s="125" t="s">
        <v>5290</v>
      </c>
      <c r="C1832" s="125" t="s">
        <v>5207</v>
      </c>
      <c r="D1832" s="120">
        <v>6814</v>
      </c>
      <c r="F1832" s="141"/>
    </row>
    <row r="1833" spans="1:6">
      <c r="A1833" s="120">
        <v>6815</v>
      </c>
      <c r="B1833" s="125" t="s">
        <v>5291</v>
      </c>
      <c r="C1833" s="125" t="s">
        <v>5207</v>
      </c>
      <c r="D1833" s="120">
        <v>6815</v>
      </c>
      <c r="F1833" s="141"/>
    </row>
    <row r="1834" spans="1:6">
      <c r="A1834" s="120">
        <v>6817</v>
      </c>
      <c r="B1834" s="125" t="s">
        <v>5292</v>
      </c>
      <c r="C1834" s="125" t="s">
        <v>5207</v>
      </c>
      <c r="D1834" s="120">
        <v>6817</v>
      </c>
      <c r="F1834" s="141"/>
    </row>
    <row r="1835" spans="1:6">
      <c r="A1835" s="120">
        <v>6827</v>
      </c>
      <c r="B1835" s="125" t="s">
        <v>5642</v>
      </c>
      <c r="C1835" s="125" t="s">
        <v>5207</v>
      </c>
      <c r="D1835" s="120">
        <v>6827</v>
      </c>
      <c r="F1835" s="141"/>
    </row>
    <row r="1836" spans="1:6">
      <c r="A1836" s="120">
        <v>6838</v>
      </c>
      <c r="B1836" s="125" t="s">
        <v>5643</v>
      </c>
      <c r="C1836" s="125" t="s">
        <v>5207</v>
      </c>
      <c r="D1836" s="120">
        <v>6838</v>
      </c>
      <c r="F1836" s="141"/>
    </row>
    <row r="1837" spans="1:6">
      <c r="A1837" s="120">
        <v>6841</v>
      </c>
      <c r="B1837" s="125" t="s">
        <v>5644</v>
      </c>
      <c r="C1837" s="125" t="s">
        <v>5207</v>
      </c>
      <c r="D1837" s="120">
        <v>6841</v>
      </c>
      <c r="F1837" s="141"/>
    </row>
    <row r="1838" spans="1:6">
      <c r="A1838" s="120">
        <v>6848</v>
      </c>
      <c r="B1838" s="125" t="s">
        <v>5645</v>
      </c>
      <c r="C1838" s="125" t="s">
        <v>5207</v>
      </c>
      <c r="D1838" s="120">
        <v>6848</v>
      </c>
      <c r="F1838" s="141"/>
    </row>
    <row r="1839" spans="1:6">
      <c r="A1839" s="120">
        <v>7427</v>
      </c>
      <c r="B1839" s="125" t="s">
        <v>5646</v>
      </c>
      <c r="C1839" s="125" t="s">
        <v>5207</v>
      </c>
      <c r="D1839" s="120">
        <v>7427</v>
      </c>
      <c r="F1839" s="141"/>
    </row>
    <row r="1840" spans="1:6">
      <c r="A1840" s="120">
        <v>7555</v>
      </c>
      <c r="B1840" s="125" t="s">
        <v>5293</v>
      </c>
      <c r="C1840" s="125" t="s">
        <v>5207</v>
      </c>
      <c r="D1840" s="120">
        <v>7555</v>
      </c>
      <c r="F1840" s="141"/>
    </row>
    <row r="1841" spans="1:6">
      <c r="A1841" s="120">
        <v>7561</v>
      </c>
      <c r="B1841" s="125" t="s">
        <v>5209</v>
      </c>
      <c r="C1841" s="125" t="s">
        <v>5207</v>
      </c>
      <c r="D1841" s="120">
        <v>7561</v>
      </c>
      <c r="F1841" s="141"/>
    </row>
    <row r="1842" spans="1:6">
      <c r="A1842" s="120">
        <v>7595</v>
      </c>
      <c r="B1842" s="125" t="s">
        <v>5294</v>
      </c>
      <c r="C1842" s="125" t="s">
        <v>5207</v>
      </c>
      <c r="D1842" s="120">
        <v>7595</v>
      </c>
      <c r="F1842" s="141"/>
    </row>
    <row r="1843" spans="1:6">
      <c r="A1843" s="120">
        <v>2071</v>
      </c>
      <c r="B1843" s="125" t="s">
        <v>5295</v>
      </c>
      <c r="C1843" s="125" t="s">
        <v>5207</v>
      </c>
      <c r="D1843" s="120">
        <v>2071</v>
      </c>
      <c r="F1843" s="141"/>
    </row>
    <row r="1844" spans="1:6">
      <c r="A1844" s="120">
        <v>2072</v>
      </c>
      <c r="B1844" s="125" t="s">
        <v>5296</v>
      </c>
      <c r="C1844" s="125" t="s">
        <v>5207</v>
      </c>
      <c r="D1844" s="120">
        <v>2072</v>
      </c>
      <c r="F1844" s="141"/>
    </row>
    <row r="1845" spans="1:6">
      <c r="A1845" s="120">
        <v>2073</v>
      </c>
      <c r="B1845" s="125" t="s">
        <v>5647</v>
      </c>
      <c r="C1845" s="125" t="s">
        <v>5207</v>
      </c>
      <c r="D1845" s="120">
        <v>2073</v>
      </c>
      <c r="F1845" s="141"/>
    </row>
    <row r="1846" spans="1:6">
      <c r="A1846" s="120">
        <v>9957</v>
      </c>
      <c r="B1846" s="125" t="s">
        <v>5297</v>
      </c>
      <c r="C1846" s="125" t="s">
        <v>5207</v>
      </c>
      <c r="D1846" s="120">
        <v>9957</v>
      </c>
      <c r="F1846" s="141"/>
    </row>
    <row r="1847" spans="1:6">
      <c r="A1847" s="120">
        <v>3150</v>
      </c>
      <c r="B1847" s="125" t="s">
        <v>5298</v>
      </c>
      <c r="C1847" s="125" t="s">
        <v>5207</v>
      </c>
      <c r="D1847" s="120">
        <v>3150</v>
      </c>
      <c r="F1847" s="141"/>
    </row>
    <row r="1848" spans="1:6">
      <c r="A1848" s="120">
        <v>3592</v>
      </c>
      <c r="B1848" s="125" t="s">
        <v>5299</v>
      </c>
      <c r="C1848" s="125" t="s">
        <v>5207</v>
      </c>
      <c r="D1848" s="120">
        <v>3592</v>
      </c>
      <c r="F1848" s="141"/>
    </row>
    <row r="1849" spans="1:6">
      <c r="A1849" s="120">
        <v>4923</v>
      </c>
      <c r="B1849" s="125" t="s">
        <v>5300</v>
      </c>
      <c r="C1849" s="125" t="s">
        <v>5207</v>
      </c>
      <c r="D1849" s="120">
        <v>4923</v>
      </c>
      <c r="F1849" s="141"/>
    </row>
    <row r="1850" spans="1:6">
      <c r="A1850" s="120">
        <v>4925</v>
      </c>
      <c r="B1850" s="125" t="s">
        <v>5301</v>
      </c>
      <c r="C1850" s="125" t="s">
        <v>5207</v>
      </c>
      <c r="D1850" s="120">
        <v>4925</v>
      </c>
      <c r="F1850" s="141"/>
    </row>
    <row r="1851" spans="1:6">
      <c r="A1851" s="120">
        <v>4951</v>
      </c>
      <c r="B1851" s="125" t="s">
        <v>5302</v>
      </c>
      <c r="C1851" s="125" t="s">
        <v>5207</v>
      </c>
      <c r="D1851" s="120">
        <v>4951</v>
      </c>
      <c r="F1851" s="141"/>
    </row>
    <row r="1852" spans="1:6">
      <c r="A1852" s="120">
        <v>5262</v>
      </c>
      <c r="B1852" s="125" t="s">
        <v>5305</v>
      </c>
      <c r="C1852" s="125" t="s">
        <v>5207</v>
      </c>
      <c r="D1852" s="120">
        <v>5262</v>
      </c>
      <c r="F1852" s="141"/>
    </row>
    <row r="1853" spans="1:6">
      <c r="A1853" s="120">
        <v>5297</v>
      </c>
      <c r="B1853" s="125" t="s">
        <v>5306</v>
      </c>
      <c r="C1853" s="125" t="s">
        <v>5207</v>
      </c>
      <c r="D1853" s="120">
        <v>5297</v>
      </c>
      <c r="F1853" s="141"/>
    </row>
    <row r="1854" spans="1:6">
      <c r="A1854" s="120">
        <v>6423</v>
      </c>
      <c r="B1854" s="125" t="s">
        <v>5307</v>
      </c>
      <c r="C1854" s="125" t="s">
        <v>5207</v>
      </c>
      <c r="D1854" s="120">
        <v>6423</v>
      </c>
      <c r="F1854" s="141"/>
    </row>
    <row r="1855" spans="1:6">
      <c r="A1855" s="120">
        <v>6545</v>
      </c>
      <c r="B1855" s="125" t="s">
        <v>5308</v>
      </c>
      <c r="C1855" s="125" t="s">
        <v>5207</v>
      </c>
      <c r="D1855" s="120">
        <v>6545</v>
      </c>
      <c r="F1855" s="141"/>
    </row>
    <row r="1856" spans="1:6">
      <c r="A1856" s="120">
        <v>6693</v>
      </c>
      <c r="B1856" s="125" t="s">
        <v>5310</v>
      </c>
      <c r="C1856" s="125" t="s">
        <v>5207</v>
      </c>
      <c r="D1856" s="120">
        <v>6693</v>
      </c>
      <c r="F1856" s="141"/>
    </row>
    <row r="1857" spans="1:6">
      <c r="A1857" s="120">
        <v>6695</v>
      </c>
      <c r="B1857" s="125" t="s">
        <v>5311</v>
      </c>
      <c r="C1857" s="125" t="s">
        <v>5207</v>
      </c>
      <c r="D1857" s="120">
        <v>6695</v>
      </c>
      <c r="F1857" s="141"/>
    </row>
    <row r="1858" spans="1:6">
      <c r="A1858" s="120">
        <v>6699</v>
      </c>
      <c r="B1858" s="125" t="s">
        <v>5312</v>
      </c>
      <c r="C1858" s="125" t="s">
        <v>5207</v>
      </c>
      <c r="D1858" s="120">
        <v>6699</v>
      </c>
      <c r="F1858" s="141"/>
    </row>
    <row r="1859" spans="1:6">
      <c r="A1859" s="120">
        <v>6708</v>
      </c>
      <c r="B1859" s="125" t="s">
        <v>5313</v>
      </c>
      <c r="C1859" s="125" t="s">
        <v>5207</v>
      </c>
      <c r="D1859" s="120">
        <v>6708</v>
      </c>
      <c r="F1859" s="141"/>
    </row>
    <row r="1860" spans="1:6">
      <c r="A1860" s="120">
        <v>6719</v>
      </c>
      <c r="B1860" s="125" t="s">
        <v>5314</v>
      </c>
      <c r="C1860" s="125" t="s">
        <v>5207</v>
      </c>
      <c r="D1860" s="120">
        <v>6719</v>
      </c>
      <c r="F1860" s="141"/>
    </row>
    <row r="1861" spans="1:6">
      <c r="A1861" s="120">
        <v>6720</v>
      </c>
      <c r="B1861" s="125" t="s">
        <v>5315</v>
      </c>
      <c r="C1861" s="125" t="s">
        <v>5207</v>
      </c>
      <c r="D1861" s="120">
        <v>6720</v>
      </c>
      <c r="F1861" s="141"/>
    </row>
    <row r="1862" spans="1:6">
      <c r="A1862" s="120">
        <v>6770</v>
      </c>
      <c r="B1862" s="125" t="s">
        <v>5316</v>
      </c>
      <c r="C1862" s="125" t="s">
        <v>5207</v>
      </c>
      <c r="D1862" s="120">
        <v>6770</v>
      </c>
      <c r="F1862" s="141"/>
    </row>
    <row r="1863" spans="1:6">
      <c r="A1863" s="120">
        <v>6786</v>
      </c>
      <c r="B1863" s="125" t="s">
        <v>5317</v>
      </c>
      <c r="C1863" s="125" t="s">
        <v>5207</v>
      </c>
      <c r="D1863" s="120">
        <v>6786</v>
      </c>
      <c r="F1863" s="141"/>
    </row>
    <row r="1864" spans="1:6">
      <c r="A1864" s="120">
        <v>6789</v>
      </c>
      <c r="B1864" s="125" t="s">
        <v>5319</v>
      </c>
      <c r="C1864" s="125" t="s">
        <v>5207</v>
      </c>
      <c r="D1864" s="120">
        <v>6789</v>
      </c>
      <c r="F1864" s="141"/>
    </row>
    <row r="1865" spans="1:6">
      <c r="A1865" s="120">
        <v>6799</v>
      </c>
      <c r="B1865" s="125" t="s">
        <v>5320</v>
      </c>
      <c r="C1865" s="125" t="s">
        <v>5207</v>
      </c>
      <c r="D1865" s="120">
        <v>6799</v>
      </c>
      <c r="F1865" s="141"/>
    </row>
    <row r="1866" spans="1:6">
      <c r="A1866" s="120">
        <v>6819</v>
      </c>
      <c r="B1866" s="125" t="s">
        <v>5321</v>
      </c>
      <c r="C1866" s="125" t="s">
        <v>5207</v>
      </c>
      <c r="D1866" s="120">
        <v>6819</v>
      </c>
      <c r="F1866" s="141"/>
    </row>
    <row r="1867" spans="1:6">
      <c r="A1867" s="120">
        <v>6823</v>
      </c>
      <c r="B1867" s="125" t="s">
        <v>5648</v>
      </c>
      <c r="C1867" s="125" t="s">
        <v>5207</v>
      </c>
      <c r="D1867" s="120">
        <v>6823</v>
      </c>
      <c r="F1867" s="141"/>
    </row>
    <row r="1868" spans="1:6">
      <c r="A1868" s="120">
        <v>6842</v>
      </c>
      <c r="B1868" s="125" t="s">
        <v>5649</v>
      </c>
      <c r="C1868" s="125" t="s">
        <v>5207</v>
      </c>
      <c r="D1868" s="120">
        <v>6842</v>
      </c>
      <c r="F1868" s="141"/>
    </row>
    <row r="1869" spans="1:6">
      <c r="A1869" s="120">
        <v>8179</v>
      </c>
      <c r="B1869" s="125" t="s">
        <v>5322</v>
      </c>
      <c r="C1869" s="125" t="s">
        <v>5207</v>
      </c>
      <c r="D1869" s="120">
        <v>8179</v>
      </c>
      <c r="F1869" s="141"/>
    </row>
    <row r="1870" spans="1:6">
      <c r="A1870" s="120">
        <v>8227</v>
      </c>
      <c r="B1870" s="125" t="s">
        <v>5650</v>
      </c>
      <c r="C1870" s="125" t="s">
        <v>5207</v>
      </c>
      <c r="D1870" s="120">
        <v>8227</v>
      </c>
      <c r="F1870" s="141"/>
    </row>
    <row r="1871" spans="1:6">
      <c r="A1871" s="120">
        <v>3097</v>
      </c>
      <c r="B1871" s="125" t="s">
        <v>5323</v>
      </c>
      <c r="C1871" s="125" t="s">
        <v>5207</v>
      </c>
      <c r="D1871" s="120">
        <v>3097</v>
      </c>
      <c r="F1871" s="141"/>
    </row>
    <row r="1872" spans="1:6">
      <c r="A1872" s="120">
        <v>3349</v>
      </c>
      <c r="B1872" s="125" t="s">
        <v>5324</v>
      </c>
      <c r="C1872" s="125" t="s">
        <v>5207</v>
      </c>
      <c r="D1872" s="120">
        <v>3349</v>
      </c>
      <c r="F1872" s="141"/>
    </row>
    <row r="1873" spans="1:6">
      <c r="A1873" s="120">
        <v>6599</v>
      </c>
      <c r="B1873" s="125" t="s">
        <v>5325</v>
      </c>
      <c r="C1873" s="125" t="s">
        <v>5207</v>
      </c>
      <c r="D1873" s="120">
        <v>6599</v>
      </c>
      <c r="F1873" s="141"/>
    </row>
    <row r="1874" spans="1:6">
      <c r="A1874" s="120">
        <v>6638</v>
      </c>
      <c r="B1874" s="125" t="s">
        <v>5326</v>
      </c>
      <c r="C1874" s="125" t="s">
        <v>5207</v>
      </c>
      <c r="D1874" s="120">
        <v>6638</v>
      </c>
      <c r="F1874" s="141"/>
    </row>
    <row r="1875" spans="1:6">
      <c r="A1875" s="120">
        <v>6737</v>
      </c>
      <c r="B1875" s="125" t="s">
        <v>5327</v>
      </c>
      <c r="C1875" s="125" t="s">
        <v>5207</v>
      </c>
      <c r="D1875" s="120">
        <v>6737</v>
      </c>
      <c r="F1875" s="141"/>
    </row>
    <row r="1876" spans="1:6">
      <c r="A1876" s="120">
        <v>6813</v>
      </c>
      <c r="B1876" s="125" t="s">
        <v>5328</v>
      </c>
      <c r="C1876" s="125" t="s">
        <v>5207</v>
      </c>
      <c r="D1876" s="120">
        <v>6813</v>
      </c>
      <c r="F1876" s="141"/>
    </row>
    <row r="1877" spans="1:6">
      <c r="A1877" s="120">
        <v>6825</v>
      </c>
      <c r="B1877" s="125" t="s">
        <v>5329</v>
      </c>
      <c r="C1877" s="125" t="s">
        <v>5207</v>
      </c>
      <c r="D1877" s="120">
        <v>6825</v>
      </c>
      <c r="F1877" s="141"/>
    </row>
    <row r="1878" spans="1:6">
      <c r="A1878" s="120">
        <v>6831</v>
      </c>
      <c r="B1878" s="125" t="s">
        <v>5651</v>
      </c>
      <c r="C1878" s="125" t="s">
        <v>5207</v>
      </c>
      <c r="D1878" s="120">
        <v>6831</v>
      </c>
      <c r="F1878" s="141"/>
    </row>
    <row r="1879" spans="1:6">
      <c r="A1879" s="120">
        <v>8119</v>
      </c>
      <c r="B1879" s="125" t="s">
        <v>5330</v>
      </c>
      <c r="C1879" s="125" t="s">
        <v>5207</v>
      </c>
      <c r="D1879" s="120">
        <v>8119</v>
      </c>
      <c r="F1879" s="141"/>
    </row>
    <row r="1880" spans="1:6">
      <c r="A1880" s="120">
        <v>3168</v>
      </c>
      <c r="B1880" s="125" t="s">
        <v>5331</v>
      </c>
      <c r="C1880" s="125" t="s">
        <v>5207</v>
      </c>
      <c r="D1880" s="120">
        <v>3168</v>
      </c>
      <c r="F1880" s="141"/>
    </row>
    <row r="1881" spans="1:6">
      <c r="A1881" s="120">
        <v>3485</v>
      </c>
      <c r="B1881" s="125" t="s">
        <v>5332</v>
      </c>
      <c r="C1881" s="125" t="s">
        <v>5207</v>
      </c>
      <c r="D1881" s="120">
        <v>3485</v>
      </c>
      <c r="F1881" s="141"/>
    </row>
    <row r="1882" spans="1:6">
      <c r="A1882" s="120">
        <v>3595</v>
      </c>
      <c r="B1882" s="125" t="s">
        <v>5333</v>
      </c>
      <c r="C1882" s="125" t="s">
        <v>5207</v>
      </c>
      <c r="D1882" s="120">
        <v>3595</v>
      </c>
      <c r="F1882" s="141"/>
    </row>
    <row r="1883" spans="1:6">
      <c r="A1883" s="120">
        <v>3627</v>
      </c>
      <c r="B1883" s="125" t="s">
        <v>5334</v>
      </c>
      <c r="C1883" s="125" t="s">
        <v>5207</v>
      </c>
      <c r="D1883" s="120">
        <v>3627</v>
      </c>
      <c r="F1883" s="141"/>
    </row>
    <row r="1884" spans="1:6">
      <c r="A1884" s="120">
        <v>3633</v>
      </c>
      <c r="B1884" s="125" t="s">
        <v>5335</v>
      </c>
      <c r="C1884" s="125" t="s">
        <v>5207</v>
      </c>
      <c r="D1884" s="120">
        <v>3633</v>
      </c>
      <c r="F1884" s="141"/>
    </row>
    <row r="1885" spans="1:6">
      <c r="A1885" s="120">
        <v>3659</v>
      </c>
      <c r="B1885" s="125" t="s">
        <v>5336</v>
      </c>
      <c r="C1885" s="125" t="s">
        <v>5207</v>
      </c>
      <c r="D1885" s="120">
        <v>3659</v>
      </c>
      <c r="F1885" s="141"/>
    </row>
    <row r="1886" spans="1:6">
      <c r="A1886" s="120">
        <v>3678</v>
      </c>
      <c r="B1886" s="125" t="s">
        <v>5337</v>
      </c>
      <c r="C1886" s="125" t="s">
        <v>5207</v>
      </c>
      <c r="D1886" s="120">
        <v>3678</v>
      </c>
      <c r="F1886" s="141"/>
    </row>
    <row r="1887" spans="1:6">
      <c r="A1887" s="120">
        <v>3688</v>
      </c>
      <c r="B1887" s="125" t="s">
        <v>5338</v>
      </c>
      <c r="C1887" s="125" t="s">
        <v>5207</v>
      </c>
      <c r="D1887" s="120">
        <v>3688</v>
      </c>
      <c r="F1887" s="141"/>
    </row>
    <row r="1888" spans="1:6">
      <c r="A1888" s="120">
        <v>4537</v>
      </c>
      <c r="B1888" s="125" t="s">
        <v>5339</v>
      </c>
      <c r="C1888" s="125" t="s">
        <v>5207</v>
      </c>
      <c r="D1888" s="120">
        <v>4537</v>
      </c>
      <c r="F1888" s="141"/>
    </row>
    <row r="1889" spans="1:6">
      <c r="A1889" s="120">
        <v>4582</v>
      </c>
      <c r="B1889" s="125" t="s">
        <v>5340</v>
      </c>
      <c r="C1889" s="125" t="s">
        <v>5207</v>
      </c>
      <c r="D1889" s="120">
        <v>4582</v>
      </c>
      <c r="F1889" s="141"/>
    </row>
    <row r="1890" spans="1:6">
      <c r="A1890" s="120">
        <v>5240</v>
      </c>
      <c r="B1890" s="125" t="s">
        <v>5341</v>
      </c>
      <c r="C1890" s="125" t="s">
        <v>5207</v>
      </c>
      <c r="D1890" s="120">
        <v>5240</v>
      </c>
      <c r="F1890" s="141"/>
    </row>
    <row r="1891" spans="1:6">
      <c r="A1891" s="120">
        <v>5244</v>
      </c>
      <c r="B1891" s="125" t="s">
        <v>5342</v>
      </c>
      <c r="C1891" s="125" t="s">
        <v>5207</v>
      </c>
      <c r="D1891" s="120">
        <v>5244</v>
      </c>
      <c r="F1891" s="141"/>
    </row>
    <row r="1892" spans="1:6">
      <c r="A1892" s="120">
        <v>5248</v>
      </c>
      <c r="B1892" s="125" t="s">
        <v>5343</v>
      </c>
      <c r="C1892" s="125" t="s">
        <v>5207</v>
      </c>
      <c r="D1892" s="120">
        <v>5248</v>
      </c>
      <c r="F1892" s="141"/>
    </row>
    <row r="1893" spans="1:6">
      <c r="A1893" s="120">
        <v>5267</v>
      </c>
      <c r="B1893" s="125" t="s">
        <v>5344</v>
      </c>
      <c r="C1893" s="125" t="s">
        <v>5207</v>
      </c>
      <c r="D1893" s="120">
        <v>5267</v>
      </c>
      <c r="F1893" s="141"/>
    </row>
    <row r="1894" spans="1:6">
      <c r="A1894" s="120">
        <v>5277</v>
      </c>
      <c r="B1894" s="125" t="s">
        <v>5345</v>
      </c>
      <c r="C1894" s="125" t="s">
        <v>5207</v>
      </c>
      <c r="D1894" s="120">
        <v>5277</v>
      </c>
      <c r="F1894" s="141"/>
    </row>
    <row r="1895" spans="1:6">
      <c r="A1895" s="120">
        <v>6434</v>
      </c>
      <c r="B1895" s="125" t="s">
        <v>5346</v>
      </c>
      <c r="C1895" s="125" t="s">
        <v>5207</v>
      </c>
      <c r="D1895" s="120">
        <v>6434</v>
      </c>
      <c r="F1895" s="141"/>
    </row>
    <row r="1896" spans="1:6">
      <c r="A1896" s="120">
        <v>6498</v>
      </c>
      <c r="B1896" s="125" t="s">
        <v>5347</v>
      </c>
      <c r="C1896" s="125" t="s">
        <v>5207</v>
      </c>
      <c r="D1896" s="120">
        <v>6498</v>
      </c>
      <c r="F1896" s="141"/>
    </row>
    <row r="1897" spans="1:6">
      <c r="A1897" s="120">
        <v>6559</v>
      </c>
      <c r="B1897" s="125" t="s">
        <v>5348</v>
      </c>
      <c r="C1897" s="125" t="s">
        <v>5207</v>
      </c>
      <c r="D1897" s="120">
        <v>6559</v>
      </c>
      <c r="F1897" s="141"/>
    </row>
    <row r="1898" spans="1:6">
      <c r="A1898" s="120">
        <v>6673</v>
      </c>
      <c r="B1898" s="125" t="s">
        <v>5349</v>
      </c>
      <c r="C1898" s="125" t="s">
        <v>5207</v>
      </c>
      <c r="D1898" s="120">
        <v>6673</v>
      </c>
      <c r="F1898" s="141"/>
    </row>
    <row r="1899" spans="1:6">
      <c r="A1899" s="120">
        <v>6682</v>
      </c>
      <c r="B1899" s="125" t="s">
        <v>5350</v>
      </c>
      <c r="C1899" s="125" t="s">
        <v>5207</v>
      </c>
      <c r="D1899" s="120">
        <v>6682</v>
      </c>
      <c r="F1899" s="141"/>
    </row>
    <row r="1900" spans="1:6">
      <c r="A1900" s="120">
        <v>6692</v>
      </c>
      <c r="B1900" s="125" t="s">
        <v>5351</v>
      </c>
      <c r="C1900" s="125" t="s">
        <v>5207</v>
      </c>
      <c r="D1900" s="120">
        <v>6692</v>
      </c>
      <c r="F1900" s="141"/>
    </row>
    <row r="1901" spans="1:6">
      <c r="A1901" s="120">
        <v>6724</v>
      </c>
      <c r="B1901" s="125" t="s">
        <v>5352</v>
      </c>
      <c r="C1901" s="125" t="s">
        <v>5207</v>
      </c>
      <c r="D1901" s="120">
        <v>6724</v>
      </c>
      <c r="F1901" s="141"/>
    </row>
    <row r="1902" spans="1:6">
      <c r="A1902" s="120">
        <v>6729</v>
      </c>
      <c r="B1902" s="125" t="s">
        <v>5353</v>
      </c>
      <c r="C1902" s="125" t="s">
        <v>5207</v>
      </c>
      <c r="D1902" s="120">
        <v>6729</v>
      </c>
      <c r="F1902" s="141"/>
    </row>
    <row r="1903" spans="1:6">
      <c r="A1903" s="120">
        <v>6775</v>
      </c>
      <c r="B1903" s="125" t="s">
        <v>5354</v>
      </c>
      <c r="C1903" s="125" t="s">
        <v>5207</v>
      </c>
      <c r="D1903" s="120">
        <v>6775</v>
      </c>
      <c r="F1903" s="141"/>
    </row>
    <row r="1904" spans="1:6">
      <c r="A1904" s="120">
        <v>6787</v>
      </c>
      <c r="B1904" s="125" t="s">
        <v>5355</v>
      </c>
      <c r="C1904" s="125" t="s">
        <v>5207</v>
      </c>
      <c r="D1904" s="120">
        <v>6787</v>
      </c>
      <c r="F1904" s="141"/>
    </row>
    <row r="1905" spans="1:6">
      <c r="A1905" s="120">
        <v>6812</v>
      </c>
      <c r="B1905" s="125" t="s">
        <v>5356</v>
      </c>
      <c r="C1905" s="125" t="s">
        <v>5207</v>
      </c>
      <c r="D1905" s="120">
        <v>6812</v>
      </c>
      <c r="F1905" s="141"/>
    </row>
    <row r="1906" spans="1:6">
      <c r="A1906" s="120">
        <v>6839</v>
      </c>
      <c r="B1906" s="125" t="s">
        <v>5652</v>
      </c>
      <c r="C1906" s="125" t="s">
        <v>5207</v>
      </c>
      <c r="D1906" s="120">
        <v>6839</v>
      </c>
      <c r="F1906" s="141"/>
    </row>
    <row r="1907" spans="1:6">
      <c r="A1907" s="120">
        <v>8281</v>
      </c>
      <c r="B1907" s="125" t="s">
        <v>5357</v>
      </c>
      <c r="C1907" s="125" t="s">
        <v>5207</v>
      </c>
      <c r="D1907" s="120">
        <v>8281</v>
      </c>
      <c r="F1907" s="141"/>
    </row>
    <row r="1908" spans="1:6">
      <c r="A1908" s="120">
        <v>3391</v>
      </c>
      <c r="B1908" s="125" t="s">
        <v>5358</v>
      </c>
      <c r="C1908" s="125" t="s">
        <v>5207</v>
      </c>
      <c r="D1908" s="120">
        <v>3391</v>
      </c>
      <c r="F1908" s="141"/>
    </row>
    <row r="1909" spans="1:6">
      <c r="A1909" s="120">
        <v>3447</v>
      </c>
      <c r="B1909" s="125" t="s">
        <v>5653</v>
      </c>
      <c r="C1909" s="125" t="s">
        <v>5207</v>
      </c>
      <c r="D1909" s="120">
        <v>3447</v>
      </c>
      <c r="F1909" s="141"/>
    </row>
    <row r="1910" spans="1:6">
      <c r="A1910" s="120">
        <v>6403</v>
      </c>
      <c r="B1910" s="125" t="s">
        <v>5359</v>
      </c>
      <c r="C1910" s="125" t="s">
        <v>5207</v>
      </c>
      <c r="D1910" s="120">
        <v>6403</v>
      </c>
      <c r="F1910" s="141"/>
    </row>
    <row r="1911" spans="1:6">
      <c r="A1911" s="120">
        <v>6546</v>
      </c>
      <c r="B1911" s="125" t="s">
        <v>5360</v>
      </c>
      <c r="C1911" s="125" t="s">
        <v>5207</v>
      </c>
      <c r="D1911" s="120">
        <v>6546</v>
      </c>
      <c r="F1911" s="141"/>
    </row>
    <row r="1912" spans="1:6">
      <c r="A1912" s="120">
        <v>6784</v>
      </c>
      <c r="B1912" s="125" t="s">
        <v>5361</v>
      </c>
      <c r="C1912" s="125" t="s">
        <v>5207</v>
      </c>
      <c r="D1912" s="120">
        <v>6784</v>
      </c>
      <c r="F1912" s="141"/>
    </row>
    <row r="1913" spans="1:6">
      <c r="A1913" s="120">
        <v>6792</v>
      </c>
      <c r="B1913" s="125" t="s">
        <v>5362</v>
      </c>
      <c r="C1913" s="125" t="s">
        <v>5207</v>
      </c>
      <c r="D1913" s="120">
        <v>6792</v>
      </c>
      <c r="F1913" s="141"/>
    </row>
    <row r="1914" spans="1:6">
      <c r="A1914" s="120">
        <v>6818</v>
      </c>
      <c r="B1914" s="125" t="s">
        <v>5363</v>
      </c>
      <c r="C1914" s="125" t="s">
        <v>5207</v>
      </c>
      <c r="D1914" s="120">
        <v>6818</v>
      </c>
      <c r="F1914" s="141"/>
    </row>
    <row r="1915" spans="1:6">
      <c r="A1915" s="120">
        <v>6820</v>
      </c>
      <c r="B1915" s="125" t="s">
        <v>5364</v>
      </c>
      <c r="C1915" s="125" t="s">
        <v>5207</v>
      </c>
      <c r="D1915" s="120">
        <v>6820</v>
      </c>
      <c r="F1915" s="141"/>
    </row>
    <row r="1916" spans="1:6">
      <c r="A1916" s="120">
        <v>8045</v>
      </c>
      <c r="B1916" s="125" t="s">
        <v>5365</v>
      </c>
      <c r="C1916" s="125" t="s">
        <v>5207</v>
      </c>
      <c r="D1916" s="120">
        <v>8045</v>
      </c>
      <c r="F1916" s="141"/>
    </row>
    <row r="1917" spans="1:6">
      <c r="A1917" s="120">
        <v>1585</v>
      </c>
      <c r="B1917" s="125" t="s">
        <v>5366</v>
      </c>
      <c r="C1917" s="125" t="s">
        <v>5207</v>
      </c>
      <c r="D1917" s="120">
        <v>1585</v>
      </c>
      <c r="F1917" s="141"/>
    </row>
    <row r="1918" spans="1:6">
      <c r="A1918" s="120">
        <v>3117</v>
      </c>
      <c r="B1918" s="125" t="s">
        <v>5367</v>
      </c>
      <c r="C1918" s="125" t="s">
        <v>5207</v>
      </c>
      <c r="D1918" s="120">
        <v>3117</v>
      </c>
      <c r="F1918" s="141"/>
    </row>
    <row r="1919" spans="1:6">
      <c r="A1919" s="120">
        <v>3585</v>
      </c>
      <c r="B1919" s="125" t="s">
        <v>5368</v>
      </c>
      <c r="C1919" s="125" t="s">
        <v>5207</v>
      </c>
      <c r="D1919" s="120">
        <v>3585</v>
      </c>
      <c r="F1919" s="141"/>
    </row>
    <row r="1920" spans="1:6">
      <c r="A1920" s="120">
        <v>4980</v>
      </c>
      <c r="B1920" s="125" t="s">
        <v>5369</v>
      </c>
      <c r="C1920" s="125" t="s">
        <v>5207</v>
      </c>
      <c r="D1920" s="120">
        <v>4980</v>
      </c>
      <c r="F1920" s="141"/>
    </row>
    <row r="1921" spans="1:6">
      <c r="A1921" s="120">
        <v>5228</v>
      </c>
      <c r="B1921" s="125" t="s">
        <v>5370</v>
      </c>
      <c r="C1921" s="125" t="s">
        <v>5207</v>
      </c>
      <c r="D1921" s="120">
        <v>5228</v>
      </c>
      <c r="F1921" s="141"/>
    </row>
    <row r="1922" spans="1:6">
      <c r="A1922" s="120">
        <v>5254</v>
      </c>
      <c r="B1922" s="125" t="s">
        <v>5371</v>
      </c>
      <c r="C1922" s="125" t="s">
        <v>5207</v>
      </c>
      <c r="D1922" s="120">
        <v>5254</v>
      </c>
      <c r="F1922" s="141"/>
    </row>
    <row r="1923" spans="1:6">
      <c r="A1923" s="120">
        <v>5271</v>
      </c>
      <c r="B1923" s="125" t="s">
        <v>5372</v>
      </c>
      <c r="C1923" s="125" t="s">
        <v>5207</v>
      </c>
      <c r="D1923" s="120">
        <v>5271</v>
      </c>
      <c r="F1923" s="141"/>
    </row>
    <row r="1924" spans="1:6">
      <c r="A1924" s="120">
        <v>6272</v>
      </c>
      <c r="B1924" s="125" t="s">
        <v>5373</v>
      </c>
      <c r="C1924" s="125" t="s">
        <v>5207</v>
      </c>
      <c r="D1924" s="120">
        <v>6272</v>
      </c>
      <c r="F1924" s="141"/>
    </row>
    <row r="1925" spans="1:6">
      <c r="A1925" s="120">
        <v>6407</v>
      </c>
      <c r="B1925" s="125" t="s">
        <v>5374</v>
      </c>
      <c r="C1925" s="125" t="s">
        <v>5207</v>
      </c>
      <c r="D1925" s="120">
        <v>6407</v>
      </c>
      <c r="F1925" s="141"/>
    </row>
    <row r="1926" spans="1:6">
      <c r="A1926" s="120">
        <v>6555</v>
      </c>
      <c r="B1926" s="125" t="s">
        <v>5375</v>
      </c>
      <c r="C1926" s="125" t="s">
        <v>5207</v>
      </c>
      <c r="D1926" s="120">
        <v>6555</v>
      </c>
      <c r="F1926" s="141"/>
    </row>
    <row r="1927" spans="1:6">
      <c r="A1927" s="120">
        <v>6584</v>
      </c>
      <c r="B1927" s="125" t="s">
        <v>5376</v>
      </c>
      <c r="C1927" s="125" t="s">
        <v>5207</v>
      </c>
      <c r="D1927" s="120">
        <v>6584</v>
      </c>
      <c r="F1927" s="141"/>
    </row>
    <row r="1928" spans="1:6">
      <c r="A1928" s="120">
        <v>6597</v>
      </c>
      <c r="B1928" s="125" t="s">
        <v>5377</v>
      </c>
      <c r="C1928" s="125" t="s">
        <v>5207</v>
      </c>
      <c r="D1928" s="120">
        <v>6597</v>
      </c>
      <c r="F1928" s="141"/>
    </row>
    <row r="1929" spans="1:6">
      <c r="A1929" s="120">
        <v>6755</v>
      </c>
      <c r="B1929" s="125" t="s">
        <v>5378</v>
      </c>
      <c r="C1929" s="125" t="s">
        <v>5207</v>
      </c>
      <c r="D1929" s="120">
        <v>6755</v>
      </c>
      <c r="F1929" s="141"/>
    </row>
    <row r="1930" spans="1:6">
      <c r="A1930" s="120">
        <v>6761</v>
      </c>
      <c r="B1930" s="125" t="s">
        <v>5379</v>
      </c>
      <c r="C1930" s="125" t="s">
        <v>5207</v>
      </c>
      <c r="D1930" s="120">
        <v>6761</v>
      </c>
      <c r="F1930" s="141"/>
    </row>
    <row r="1931" spans="1:6">
      <c r="A1931" s="120">
        <v>6805</v>
      </c>
      <c r="B1931" s="125" t="s">
        <v>5380</v>
      </c>
      <c r="C1931" s="125" t="s">
        <v>5207</v>
      </c>
      <c r="D1931" s="120">
        <v>6805</v>
      </c>
      <c r="F1931" s="141"/>
    </row>
    <row r="1932" spans="1:6">
      <c r="A1932" s="120">
        <v>6821</v>
      </c>
      <c r="B1932" s="125" t="s">
        <v>5381</v>
      </c>
      <c r="C1932" s="125" t="s">
        <v>5207</v>
      </c>
      <c r="D1932" s="120">
        <v>6821</v>
      </c>
      <c r="F1932" s="141"/>
    </row>
    <row r="1933" spans="1:6">
      <c r="A1933" s="120">
        <v>6833</v>
      </c>
      <c r="B1933" s="125" t="s">
        <v>5654</v>
      </c>
      <c r="C1933" s="125" t="s">
        <v>5207</v>
      </c>
      <c r="D1933" s="120">
        <v>6833</v>
      </c>
      <c r="F1933" s="141"/>
    </row>
    <row r="1934" spans="1:6">
      <c r="A1934" s="120">
        <v>6834</v>
      </c>
      <c r="B1934" s="125" t="s">
        <v>5655</v>
      </c>
      <c r="C1934" s="125" t="s">
        <v>5207</v>
      </c>
      <c r="D1934" s="120">
        <v>6834</v>
      </c>
      <c r="F1934" s="141"/>
    </row>
    <row r="1935" spans="1:6">
      <c r="A1935" s="120">
        <v>6835</v>
      </c>
      <c r="B1935" s="125" t="s">
        <v>5656</v>
      </c>
      <c r="C1935" s="125" t="s">
        <v>5207</v>
      </c>
      <c r="D1935" s="120">
        <v>6835</v>
      </c>
      <c r="F1935" s="141"/>
    </row>
    <row r="1936" spans="1:6">
      <c r="A1936" s="120">
        <v>7419</v>
      </c>
      <c r="B1936" s="125" t="s">
        <v>5382</v>
      </c>
      <c r="C1936" s="125" t="s">
        <v>5207</v>
      </c>
      <c r="D1936" s="120">
        <v>7419</v>
      </c>
      <c r="F1936" s="141"/>
    </row>
    <row r="1937" spans="1:6">
      <c r="A1937" s="120">
        <v>8115</v>
      </c>
      <c r="B1937" s="125" t="s">
        <v>5383</v>
      </c>
      <c r="C1937" s="125" t="s">
        <v>5207</v>
      </c>
      <c r="D1937" s="120">
        <v>8115</v>
      </c>
      <c r="F1937" s="141"/>
    </row>
    <row r="1938" spans="1:6">
      <c r="A1938" s="120">
        <v>3429</v>
      </c>
      <c r="B1938" s="125" t="s">
        <v>5384</v>
      </c>
      <c r="C1938" s="125" t="s">
        <v>5207</v>
      </c>
      <c r="D1938" s="120">
        <v>3429</v>
      </c>
      <c r="F1938" s="141"/>
    </row>
    <row r="1939" spans="1:6">
      <c r="A1939" s="120">
        <v>3603</v>
      </c>
      <c r="B1939" s="125" t="s">
        <v>5385</v>
      </c>
      <c r="C1939" s="125" t="s">
        <v>5207</v>
      </c>
      <c r="D1939" s="120">
        <v>3603</v>
      </c>
      <c r="F1939" s="141"/>
    </row>
    <row r="1940" spans="1:6">
      <c r="A1940" s="120">
        <v>6474</v>
      </c>
      <c r="B1940" s="125" t="s">
        <v>5386</v>
      </c>
      <c r="C1940" s="125" t="s">
        <v>5207</v>
      </c>
      <c r="D1940" s="120">
        <v>6474</v>
      </c>
      <c r="F1940" s="141"/>
    </row>
    <row r="1941" spans="1:6">
      <c r="A1941" s="120">
        <v>3158</v>
      </c>
      <c r="B1941" s="125" t="s">
        <v>5387</v>
      </c>
      <c r="C1941" s="125" t="s">
        <v>5207</v>
      </c>
      <c r="D1941" s="120">
        <v>3158</v>
      </c>
      <c r="F1941" s="141"/>
    </row>
    <row r="1942" spans="1:6">
      <c r="A1942" s="120">
        <v>6536</v>
      </c>
      <c r="B1942" s="125" t="s">
        <v>5388</v>
      </c>
      <c r="C1942" s="125" t="s">
        <v>5207</v>
      </c>
      <c r="D1942" s="120">
        <v>6536</v>
      </c>
      <c r="F1942" s="141"/>
    </row>
    <row r="1943" spans="1:6">
      <c r="A1943" s="120">
        <v>6565</v>
      </c>
      <c r="B1943" s="125" t="s">
        <v>5389</v>
      </c>
      <c r="C1943" s="125" t="s">
        <v>5207</v>
      </c>
      <c r="D1943" s="120">
        <v>6565</v>
      </c>
      <c r="F1943" s="141"/>
    </row>
    <row r="1944" spans="1:6">
      <c r="A1944" s="120">
        <v>6738</v>
      </c>
      <c r="B1944" s="125" t="s">
        <v>5390</v>
      </c>
      <c r="C1944" s="125" t="s">
        <v>5207</v>
      </c>
      <c r="D1944" s="120">
        <v>6738</v>
      </c>
      <c r="F1944" s="141"/>
    </row>
    <row r="1945" spans="1:6">
      <c r="A1945" s="120">
        <v>6791</v>
      </c>
      <c r="B1945" s="125" t="s">
        <v>5391</v>
      </c>
      <c r="C1945" s="125" t="s">
        <v>5207</v>
      </c>
      <c r="D1945" s="120">
        <v>6791</v>
      </c>
      <c r="F1945" s="141"/>
    </row>
    <row r="1946" spans="1:6">
      <c r="A1946" s="120">
        <v>6811</v>
      </c>
      <c r="B1946" s="125" t="s">
        <v>5392</v>
      </c>
      <c r="C1946" s="125" t="s">
        <v>5207</v>
      </c>
      <c r="D1946" s="120">
        <v>6811</v>
      </c>
      <c r="F1946" s="141"/>
    </row>
    <row r="1947" spans="1:6">
      <c r="A1947" s="120">
        <v>6816</v>
      </c>
      <c r="B1947" s="125" t="s">
        <v>5393</v>
      </c>
      <c r="C1947" s="125" t="s">
        <v>5207</v>
      </c>
      <c r="D1947" s="120">
        <v>6816</v>
      </c>
      <c r="F1947" s="141"/>
    </row>
    <row r="1948" spans="1:6">
      <c r="A1948" s="120">
        <v>7547</v>
      </c>
      <c r="B1948" s="125" t="s">
        <v>5394</v>
      </c>
      <c r="C1948" s="125" t="s">
        <v>5207</v>
      </c>
      <c r="D1948" s="120">
        <v>7547</v>
      </c>
      <c r="F1948" s="141"/>
    </row>
    <row r="1949" spans="1:6">
      <c r="A1949" s="120">
        <v>8298</v>
      </c>
      <c r="B1949" s="125" t="s">
        <v>5395</v>
      </c>
      <c r="C1949" s="125" t="s">
        <v>5207</v>
      </c>
      <c r="D1949" s="120">
        <v>8298</v>
      </c>
      <c r="F1949" s="141"/>
    </row>
    <row r="1950" spans="1:6">
      <c r="A1950" s="120">
        <v>2252</v>
      </c>
      <c r="B1950" s="125" t="s">
        <v>5657</v>
      </c>
      <c r="C1950" s="125" t="s">
        <v>5207</v>
      </c>
      <c r="D1950" s="120">
        <v>2252</v>
      </c>
      <c r="F1950" s="141"/>
    </row>
    <row r="1951" spans="1:6">
      <c r="A1951" s="120">
        <v>4577</v>
      </c>
      <c r="B1951" s="125" t="s">
        <v>5396</v>
      </c>
      <c r="C1951" s="125" t="s">
        <v>5207</v>
      </c>
      <c r="D1951" s="120">
        <v>4577</v>
      </c>
      <c r="F1951" s="141"/>
    </row>
    <row r="1952" spans="1:6">
      <c r="A1952" s="120">
        <v>5233</v>
      </c>
      <c r="B1952" s="125" t="s">
        <v>5397</v>
      </c>
      <c r="C1952" s="125" t="s">
        <v>5207</v>
      </c>
      <c r="D1952" s="120">
        <v>5233</v>
      </c>
      <c r="F1952" s="141"/>
    </row>
    <row r="1953" spans="1:6">
      <c r="A1953" s="120">
        <v>6648</v>
      </c>
      <c r="B1953" s="125" t="s">
        <v>5398</v>
      </c>
      <c r="C1953" s="125" t="s">
        <v>5207</v>
      </c>
      <c r="D1953" s="120">
        <v>6648</v>
      </c>
      <c r="F1953" s="141"/>
    </row>
    <row r="1954" spans="1:6">
      <c r="A1954" s="120">
        <v>6689</v>
      </c>
      <c r="B1954" s="125" t="s">
        <v>5399</v>
      </c>
      <c r="C1954" s="125" t="s">
        <v>5207</v>
      </c>
      <c r="D1954" s="120">
        <v>6689</v>
      </c>
      <c r="F1954" s="141"/>
    </row>
    <row r="1955" spans="1:6">
      <c r="A1955" s="120">
        <v>6691</v>
      </c>
      <c r="B1955" s="125" t="s">
        <v>5400</v>
      </c>
      <c r="C1955" s="125" t="s">
        <v>5207</v>
      </c>
      <c r="D1955" s="120">
        <v>6691</v>
      </c>
      <c r="F1955" s="141"/>
    </row>
    <row r="1956" spans="1:6">
      <c r="A1956" s="120">
        <v>6717</v>
      </c>
      <c r="B1956" s="125" t="s">
        <v>5401</v>
      </c>
      <c r="C1956" s="125" t="s">
        <v>5207</v>
      </c>
      <c r="D1956" s="120">
        <v>6717</v>
      </c>
      <c r="F1956" s="141"/>
    </row>
    <row r="1957" spans="1:6">
      <c r="A1957" s="120">
        <v>6735</v>
      </c>
      <c r="B1957" s="125" t="s">
        <v>5402</v>
      </c>
      <c r="C1957" s="125" t="s">
        <v>5207</v>
      </c>
      <c r="D1957" s="120">
        <v>6735</v>
      </c>
      <c r="F1957" s="141"/>
    </row>
    <row r="1958" spans="1:6">
      <c r="A1958" s="120">
        <v>6739</v>
      </c>
      <c r="B1958" s="125" t="s">
        <v>5403</v>
      </c>
      <c r="C1958" s="125" t="s">
        <v>5207</v>
      </c>
      <c r="D1958" s="120">
        <v>6739</v>
      </c>
      <c r="F1958" s="141"/>
    </row>
    <row r="1959" spans="1:6">
      <c r="A1959" s="120">
        <v>6750</v>
      </c>
      <c r="B1959" s="125" t="s">
        <v>5404</v>
      </c>
      <c r="C1959" s="125" t="s">
        <v>5207</v>
      </c>
      <c r="D1959" s="120">
        <v>6750</v>
      </c>
      <c r="F1959" s="141"/>
    </row>
    <row r="1960" spans="1:6">
      <c r="A1960" s="120">
        <v>6826</v>
      </c>
      <c r="B1960" s="125" t="s">
        <v>5658</v>
      </c>
      <c r="C1960" s="125" t="s">
        <v>5207</v>
      </c>
      <c r="D1960" s="120">
        <v>6826</v>
      </c>
      <c r="F1960" s="141"/>
    </row>
    <row r="1961" spans="1:6">
      <c r="A1961" s="120">
        <v>6830</v>
      </c>
      <c r="B1961" s="125" t="s">
        <v>5659</v>
      </c>
      <c r="C1961" s="125" t="s">
        <v>5207</v>
      </c>
      <c r="D1961" s="120">
        <v>6830</v>
      </c>
      <c r="F1961" s="141"/>
    </row>
    <row r="1962" spans="1:6">
      <c r="A1962" s="120">
        <v>2599</v>
      </c>
      <c r="B1962" s="125" t="s">
        <v>5405</v>
      </c>
      <c r="C1962" s="125" t="s">
        <v>5207</v>
      </c>
      <c r="D1962" s="120">
        <v>2599</v>
      </c>
      <c r="F1962" s="141"/>
    </row>
    <row r="1963" spans="1:6">
      <c r="A1963" s="120">
        <v>5547</v>
      </c>
      <c r="B1963" s="125" t="s">
        <v>5406</v>
      </c>
      <c r="C1963" s="125" t="s">
        <v>5207</v>
      </c>
      <c r="D1963" s="120">
        <v>5547</v>
      </c>
      <c r="F1963" s="141"/>
    </row>
    <row r="1964" spans="1:6">
      <c r="A1964" s="120">
        <v>6753</v>
      </c>
      <c r="B1964" s="125" t="s">
        <v>5407</v>
      </c>
      <c r="C1964" s="125" t="s">
        <v>5207</v>
      </c>
      <c r="D1964" s="120">
        <v>6753</v>
      </c>
      <c r="F1964" s="141"/>
    </row>
    <row r="1965" spans="1:6">
      <c r="A1965" s="120">
        <v>6757</v>
      </c>
      <c r="B1965" s="125" t="s">
        <v>5408</v>
      </c>
      <c r="C1965" s="125" t="s">
        <v>5207</v>
      </c>
      <c r="D1965" s="120">
        <v>6757</v>
      </c>
      <c r="F1965" s="141"/>
    </row>
    <row r="1966" spans="1:6">
      <c r="A1966" s="120">
        <v>1269</v>
      </c>
      <c r="B1966" s="125" t="s">
        <v>5409</v>
      </c>
      <c r="C1966" s="125" t="s">
        <v>5207</v>
      </c>
      <c r="D1966" s="120">
        <v>1269</v>
      </c>
      <c r="F1966" s="141"/>
    </row>
    <row r="1967" spans="1:6">
      <c r="A1967" s="120">
        <v>2730</v>
      </c>
      <c r="B1967" s="125" t="s">
        <v>5410</v>
      </c>
      <c r="C1967" s="125" t="s">
        <v>5207</v>
      </c>
      <c r="D1967" s="120">
        <v>2730</v>
      </c>
      <c r="F1967" s="141"/>
    </row>
    <row r="1968" spans="1:6">
      <c r="A1968" s="120">
        <v>2733</v>
      </c>
      <c r="B1968" s="125" t="s">
        <v>5411</v>
      </c>
      <c r="C1968" s="125" t="s">
        <v>5207</v>
      </c>
      <c r="D1968" s="120">
        <v>2733</v>
      </c>
      <c r="F1968" s="141"/>
    </row>
    <row r="1969" spans="1:6">
      <c r="A1969" s="120">
        <v>2741</v>
      </c>
      <c r="B1969" s="125" t="s">
        <v>5412</v>
      </c>
      <c r="C1969" s="125" t="s">
        <v>5207</v>
      </c>
      <c r="D1969" s="120">
        <v>2741</v>
      </c>
      <c r="F1969" s="141"/>
    </row>
    <row r="1970" spans="1:6">
      <c r="A1970" s="120">
        <v>2750</v>
      </c>
      <c r="B1970" s="125" t="s">
        <v>5413</v>
      </c>
      <c r="C1970" s="125" t="s">
        <v>5207</v>
      </c>
      <c r="D1970" s="120">
        <v>2750</v>
      </c>
      <c r="F1970" s="141"/>
    </row>
    <row r="1971" spans="1:6">
      <c r="A1971" s="120">
        <v>2756</v>
      </c>
      <c r="B1971" s="125" t="s">
        <v>5415</v>
      </c>
      <c r="C1971" s="125" t="s">
        <v>5207</v>
      </c>
      <c r="D1971" s="120">
        <v>2756</v>
      </c>
      <c r="F1971" s="141"/>
    </row>
    <row r="1972" spans="1:6">
      <c r="A1972" s="120">
        <v>2758</v>
      </c>
      <c r="B1972" s="125" t="s">
        <v>5660</v>
      </c>
      <c r="C1972" s="125" t="s">
        <v>5207</v>
      </c>
      <c r="D1972" s="120">
        <v>2758</v>
      </c>
      <c r="F1972" s="141"/>
    </row>
    <row r="1973" spans="1:6">
      <c r="A1973" s="120">
        <v>7566</v>
      </c>
      <c r="B1973" s="125" t="s">
        <v>5416</v>
      </c>
      <c r="C1973" s="125" t="s">
        <v>5207</v>
      </c>
      <c r="D1973" s="120">
        <v>7566</v>
      </c>
      <c r="F1973" s="141"/>
    </row>
    <row r="1974" spans="1:6">
      <c r="A1974" s="120">
        <v>8359</v>
      </c>
      <c r="B1974" s="125" t="s">
        <v>5417</v>
      </c>
      <c r="C1974" s="125" t="s">
        <v>5207</v>
      </c>
      <c r="D1974" s="120">
        <v>8359</v>
      </c>
      <c r="F1974" s="141"/>
    </row>
    <row r="1975" spans="1:6">
      <c r="A1975" s="120">
        <v>5859</v>
      </c>
      <c r="B1975" s="125" t="s">
        <v>5418</v>
      </c>
      <c r="C1975" s="125" t="s">
        <v>5207</v>
      </c>
      <c r="D1975" s="120">
        <v>5859</v>
      </c>
      <c r="F1975" s="141"/>
    </row>
    <row r="1976" spans="1:6">
      <c r="A1976" s="120">
        <v>5863</v>
      </c>
      <c r="B1976" s="125" t="s">
        <v>5419</v>
      </c>
      <c r="C1976" s="125" t="s">
        <v>5207</v>
      </c>
      <c r="D1976" s="120">
        <v>5863</v>
      </c>
      <c r="F1976" s="141"/>
    </row>
    <row r="1977" spans="1:6">
      <c r="A1977" s="120">
        <v>6027</v>
      </c>
      <c r="B1977" s="125" t="s">
        <v>5420</v>
      </c>
      <c r="C1977" s="125" t="s">
        <v>5207</v>
      </c>
      <c r="D1977" s="120">
        <v>6027</v>
      </c>
      <c r="F1977" s="141"/>
    </row>
    <row r="1978" spans="1:6">
      <c r="A1978" s="120">
        <v>6028</v>
      </c>
      <c r="B1978" s="125" t="s">
        <v>5421</v>
      </c>
      <c r="C1978" s="125" t="s">
        <v>5207</v>
      </c>
      <c r="D1978" s="120">
        <v>6028</v>
      </c>
      <c r="F1978" s="141"/>
    </row>
    <row r="1979" spans="1:6">
      <c r="A1979" s="120">
        <v>2938</v>
      </c>
      <c r="B1979" s="125" t="s">
        <v>5422</v>
      </c>
      <c r="C1979" s="125" t="s">
        <v>5207</v>
      </c>
      <c r="D1979" s="120">
        <v>2938</v>
      </c>
      <c r="F1979" s="141"/>
    </row>
    <row r="1980" spans="1:6">
      <c r="A1980" s="120">
        <v>2941</v>
      </c>
      <c r="B1980" s="125" t="s">
        <v>5661</v>
      </c>
      <c r="C1980" s="125" t="s">
        <v>5207</v>
      </c>
      <c r="D1980" s="120">
        <v>2941</v>
      </c>
      <c r="F1980" s="141"/>
    </row>
    <row r="1981" spans="1:6">
      <c r="A1981" s="120">
        <v>2942</v>
      </c>
      <c r="B1981" s="125" t="s">
        <v>5423</v>
      </c>
      <c r="C1981" s="125" t="s">
        <v>5207</v>
      </c>
      <c r="D1981" s="120">
        <v>2942</v>
      </c>
      <c r="F1981" s="141"/>
    </row>
    <row r="1982" spans="1:6">
      <c r="A1982" s="120">
        <v>2945</v>
      </c>
      <c r="B1982" s="125" t="s">
        <v>5424</v>
      </c>
      <c r="C1982" s="125" t="s">
        <v>5207</v>
      </c>
      <c r="D1982" s="120">
        <v>2945</v>
      </c>
      <c r="F1982" s="141"/>
    </row>
    <row r="1983" spans="1:6">
      <c r="A1983" s="120">
        <v>2948</v>
      </c>
      <c r="B1983" s="125" t="s">
        <v>5426</v>
      </c>
      <c r="C1983" s="125" t="s">
        <v>5207</v>
      </c>
      <c r="D1983" s="120">
        <v>2948</v>
      </c>
      <c r="F1983" s="141"/>
    </row>
    <row r="1984" spans="1:6">
      <c r="A1984" s="120">
        <v>6639</v>
      </c>
      <c r="B1984" s="125" t="s">
        <v>5427</v>
      </c>
      <c r="C1984" s="125" t="s">
        <v>5207</v>
      </c>
      <c r="D1984" s="120">
        <v>6639</v>
      </c>
      <c r="F1984" s="141"/>
    </row>
    <row r="1985" spans="1:6">
      <c r="A1985" s="120">
        <v>6428</v>
      </c>
      <c r="B1985" s="125" t="s">
        <v>5428</v>
      </c>
      <c r="C1985" s="125" t="s">
        <v>5207</v>
      </c>
      <c r="D1985" s="120">
        <v>6428</v>
      </c>
      <c r="F1985" s="141"/>
    </row>
    <row r="1986" spans="1:6">
      <c r="A1986" s="120">
        <v>6468</v>
      </c>
      <c r="B1986" s="125" t="s">
        <v>5662</v>
      </c>
      <c r="C1986" s="125" t="s">
        <v>5207</v>
      </c>
      <c r="D1986" s="120">
        <v>6468</v>
      </c>
      <c r="F1986" s="141"/>
    </row>
    <row r="1987" spans="1:6">
      <c r="A1987" s="120">
        <v>6473</v>
      </c>
      <c r="B1987" s="125" t="s">
        <v>5429</v>
      </c>
      <c r="C1987" s="125" t="s">
        <v>5207</v>
      </c>
      <c r="D1987" s="120">
        <v>6473</v>
      </c>
      <c r="F1987" s="141"/>
    </row>
    <row r="1988" spans="1:6">
      <c r="A1988" s="120">
        <v>6534</v>
      </c>
      <c r="B1988" s="125" t="s">
        <v>5430</v>
      </c>
      <c r="C1988" s="125" t="s">
        <v>5207</v>
      </c>
      <c r="D1988" s="120">
        <v>6534</v>
      </c>
      <c r="F1988" s="141"/>
    </row>
    <row r="1989" spans="1:6">
      <c r="A1989" s="120">
        <v>6583</v>
      </c>
      <c r="B1989" s="125" t="s">
        <v>5431</v>
      </c>
      <c r="C1989" s="125" t="s">
        <v>5207</v>
      </c>
      <c r="D1989" s="120">
        <v>6583</v>
      </c>
      <c r="F1989" s="141"/>
    </row>
    <row r="1990" spans="1:6">
      <c r="A1990" s="120">
        <v>6595</v>
      </c>
      <c r="B1990" s="125" t="s">
        <v>5432</v>
      </c>
      <c r="C1990" s="125" t="s">
        <v>5207</v>
      </c>
      <c r="D1990" s="120">
        <v>6595</v>
      </c>
      <c r="F1990" s="141"/>
    </row>
    <row r="1991" spans="1:6">
      <c r="A1991" s="120">
        <v>6611</v>
      </c>
      <c r="B1991" s="125" t="s">
        <v>5433</v>
      </c>
      <c r="C1991" s="125" t="s">
        <v>5207</v>
      </c>
      <c r="D1991" s="120">
        <v>6611</v>
      </c>
      <c r="F1991" s="141"/>
    </row>
    <row r="1992" spans="1:6">
      <c r="A1992" s="120">
        <v>6622</v>
      </c>
      <c r="B1992" s="125" t="s">
        <v>5434</v>
      </c>
      <c r="C1992" s="125" t="s">
        <v>5207</v>
      </c>
      <c r="D1992" s="120">
        <v>6622</v>
      </c>
      <c r="F1992" s="141"/>
    </row>
    <row r="1993" spans="1:6">
      <c r="A1993" s="120">
        <v>6626</v>
      </c>
      <c r="B1993" s="125" t="s">
        <v>5435</v>
      </c>
      <c r="C1993" s="125" t="s">
        <v>5207</v>
      </c>
      <c r="D1993" s="120">
        <v>6626</v>
      </c>
      <c r="F1993" s="141"/>
    </row>
    <row r="1994" spans="1:6">
      <c r="A1994" s="120">
        <v>6650</v>
      </c>
      <c r="B1994" s="125" t="s">
        <v>5436</v>
      </c>
      <c r="C1994" s="125" t="s">
        <v>5207</v>
      </c>
      <c r="D1994" s="120">
        <v>6650</v>
      </c>
      <c r="F1994" s="141"/>
    </row>
    <row r="1995" spans="1:6">
      <c r="A1995" s="120">
        <v>6736</v>
      </c>
      <c r="B1995" s="125" t="s">
        <v>5437</v>
      </c>
      <c r="C1995" s="125" t="s">
        <v>5207</v>
      </c>
      <c r="D1995" s="120">
        <v>6736</v>
      </c>
      <c r="F1995" s="141"/>
    </row>
    <row r="1996" spans="1:6">
      <c r="A1996" s="120">
        <v>6780</v>
      </c>
      <c r="B1996" s="125" t="s">
        <v>5438</v>
      </c>
      <c r="C1996" s="125" t="s">
        <v>5207</v>
      </c>
      <c r="D1996" s="120">
        <v>6780</v>
      </c>
      <c r="F1996" s="141"/>
    </row>
    <row r="1997" spans="1:6">
      <c r="A1997" s="120">
        <v>7452</v>
      </c>
      <c r="B1997" s="125" t="s">
        <v>5439</v>
      </c>
      <c r="C1997" s="125" t="s">
        <v>5207</v>
      </c>
      <c r="D1997" s="120">
        <v>7452</v>
      </c>
      <c r="F1997" s="141"/>
    </row>
    <row r="1998" spans="1:6">
      <c r="A1998" s="120">
        <v>7584</v>
      </c>
      <c r="B1998" s="125" t="s">
        <v>5440</v>
      </c>
      <c r="C1998" s="125" t="s">
        <v>5207</v>
      </c>
      <c r="D1998" s="120">
        <v>7584</v>
      </c>
      <c r="F1998" s="141"/>
    </row>
    <row r="1999" spans="1:6">
      <c r="A1999" s="120">
        <v>8329</v>
      </c>
      <c r="B1999" s="125" t="s">
        <v>5441</v>
      </c>
      <c r="C1999" s="125" t="s">
        <v>5207</v>
      </c>
      <c r="D1999" s="120">
        <v>8329</v>
      </c>
      <c r="F1999" s="141"/>
    </row>
    <row r="2000" spans="1:6">
      <c r="A2000" s="120">
        <v>8458</v>
      </c>
      <c r="B2000" s="125" t="s">
        <v>5442</v>
      </c>
      <c r="C2000" s="125" t="s">
        <v>5207</v>
      </c>
      <c r="D2000" s="120">
        <v>8458</v>
      </c>
      <c r="F2000" s="141"/>
    </row>
    <row r="2001" spans="1:6">
      <c r="A2001" s="120">
        <v>8465</v>
      </c>
      <c r="B2001" s="125" t="s">
        <v>5443</v>
      </c>
      <c r="C2001" s="125" t="s">
        <v>5207</v>
      </c>
      <c r="D2001" s="120">
        <v>8465</v>
      </c>
      <c r="F2001" s="141"/>
    </row>
    <row r="2002" spans="1:6">
      <c r="A2002" s="120">
        <v>8487</v>
      </c>
      <c r="B2002" s="125" t="s">
        <v>5444</v>
      </c>
      <c r="C2002" s="125" t="s">
        <v>5207</v>
      </c>
      <c r="D2002" s="120">
        <v>8487</v>
      </c>
      <c r="F2002" s="141"/>
    </row>
    <row r="2003" spans="1:6">
      <c r="A2003" s="120">
        <v>8490</v>
      </c>
      <c r="B2003" s="125" t="s">
        <v>5445</v>
      </c>
      <c r="C2003" s="125" t="s">
        <v>5207</v>
      </c>
      <c r="D2003" s="120">
        <v>8490</v>
      </c>
      <c r="F2003" s="141"/>
    </row>
    <row r="2004" spans="1:6">
      <c r="A2004" s="120">
        <v>8491</v>
      </c>
      <c r="B2004" s="125" t="s">
        <v>5446</v>
      </c>
      <c r="C2004" s="125" t="s">
        <v>5207</v>
      </c>
      <c r="D2004" s="120">
        <v>8491</v>
      </c>
      <c r="F2004" s="141"/>
    </row>
    <row r="2005" spans="1:6">
      <c r="A2005" s="120">
        <v>8492</v>
      </c>
      <c r="B2005" s="125" t="s">
        <v>5447</v>
      </c>
      <c r="C2005" s="125" t="s">
        <v>5207</v>
      </c>
      <c r="D2005" s="120">
        <v>8492</v>
      </c>
      <c r="F2005" s="141"/>
    </row>
    <row r="2006" spans="1:6">
      <c r="A2006" s="120">
        <v>6763</v>
      </c>
      <c r="B2006" s="125" t="s">
        <v>5448</v>
      </c>
      <c r="C2006" s="125" t="s">
        <v>5207</v>
      </c>
      <c r="D2006" s="120">
        <v>6763</v>
      </c>
      <c r="F2006" s="141"/>
    </row>
    <row r="2007" spans="1:6">
      <c r="A2007" s="120">
        <v>7551</v>
      </c>
      <c r="B2007" s="125" t="s">
        <v>5449</v>
      </c>
      <c r="C2007" s="125" t="s">
        <v>5207</v>
      </c>
      <c r="D2007" s="120">
        <v>7551</v>
      </c>
      <c r="F2007" s="141"/>
    </row>
    <row r="2008" spans="1:6">
      <c r="A2008" s="120">
        <v>4431</v>
      </c>
      <c r="B2008" s="125" t="s">
        <v>5663</v>
      </c>
      <c r="C2008" s="125" t="s">
        <v>5207</v>
      </c>
      <c r="D2008" s="120">
        <v>4431</v>
      </c>
      <c r="F2008" s="141"/>
    </row>
    <row r="2009" spans="1:6">
      <c r="A2009" s="120">
        <v>5292</v>
      </c>
      <c r="B2009" s="125" t="s">
        <v>5450</v>
      </c>
      <c r="C2009" s="125" t="s">
        <v>5207</v>
      </c>
      <c r="D2009" s="120">
        <v>5292</v>
      </c>
      <c r="F2009" s="141"/>
    </row>
    <row r="2010" spans="1:6">
      <c r="A2010" s="120">
        <v>6585</v>
      </c>
      <c r="B2010" s="125" t="s">
        <v>5451</v>
      </c>
      <c r="C2010" s="125" t="s">
        <v>5207</v>
      </c>
      <c r="D2010" s="120">
        <v>6585</v>
      </c>
      <c r="F2010" s="141"/>
    </row>
    <row r="2011" spans="1:6">
      <c r="A2011" s="120">
        <v>6721</v>
      </c>
      <c r="B2011" s="125" t="s">
        <v>5664</v>
      </c>
      <c r="C2011" s="125" t="s">
        <v>5207</v>
      </c>
      <c r="D2011" s="120">
        <v>6721</v>
      </c>
      <c r="F2011" s="141"/>
    </row>
    <row r="2012" spans="1:6">
      <c r="A2012" s="120">
        <v>6723</v>
      </c>
      <c r="B2012" s="125" t="s">
        <v>5452</v>
      </c>
      <c r="C2012" s="125" t="s">
        <v>5207</v>
      </c>
      <c r="D2012" s="120">
        <v>6723</v>
      </c>
      <c r="F2012" s="141"/>
    </row>
    <row r="2013" spans="1:6">
      <c r="A2013" s="120">
        <v>6731</v>
      </c>
      <c r="B2013" s="125" t="s">
        <v>5453</v>
      </c>
      <c r="C2013" s="125" t="s">
        <v>5207</v>
      </c>
      <c r="D2013" s="120">
        <v>6731</v>
      </c>
      <c r="F2013" s="141"/>
    </row>
    <row r="2014" spans="1:6">
      <c r="A2014" s="120">
        <v>6764</v>
      </c>
      <c r="B2014" s="125" t="s">
        <v>5454</v>
      </c>
      <c r="C2014" s="125" t="s">
        <v>5207</v>
      </c>
      <c r="D2014" s="120">
        <v>6764</v>
      </c>
      <c r="F2014" s="141"/>
    </row>
    <row r="2015" spans="1:6">
      <c r="A2015" s="120">
        <v>6771</v>
      </c>
      <c r="B2015" s="125" t="s">
        <v>5455</v>
      </c>
      <c r="C2015" s="125" t="s">
        <v>5207</v>
      </c>
      <c r="D2015" s="120">
        <v>6771</v>
      </c>
      <c r="F2015" s="141"/>
    </row>
    <row r="2016" spans="1:6">
      <c r="A2016" s="120">
        <v>6793</v>
      </c>
      <c r="B2016" s="125" t="s">
        <v>5457</v>
      </c>
      <c r="C2016" s="125" t="s">
        <v>5207</v>
      </c>
      <c r="D2016" s="120">
        <v>6793</v>
      </c>
      <c r="F2016" s="141"/>
    </row>
    <row r="2017" spans="1:6">
      <c r="A2017" s="120">
        <v>6804</v>
      </c>
      <c r="B2017" s="125" t="s">
        <v>5458</v>
      </c>
      <c r="C2017" s="125" t="s">
        <v>5207</v>
      </c>
      <c r="D2017" s="120">
        <v>6804</v>
      </c>
      <c r="F2017" s="141"/>
    </row>
    <row r="2018" spans="1:6">
      <c r="A2018" s="120">
        <v>6806</v>
      </c>
      <c r="B2018" s="125" t="s">
        <v>5459</v>
      </c>
      <c r="C2018" s="125" t="s">
        <v>5207</v>
      </c>
      <c r="D2018" s="120">
        <v>6806</v>
      </c>
      <c r="F2018" s="141"/>
    </row>
    <row r="2019" spans="1:6">
      <c r="A2019" s="120">
        <v>6832</v>
      </c>
      <c r="B2019" s="125" t="s">
        <v>5665</v>
      </c>
      <c r="C2019" s="125" t="s">
        <v>5207</v>
      </c>
      <c r="D2019" s="120">
        <v>6832</v>
      </c>
      <c r="F2019" s="141"/>
    </row>
    <row r="2020" spans="1:6">
      <c r="A2020" s="120">
        <v>6837</v>
      </c>
      <c r="B2020" s="125" t="s">
        <v>5666</v>
      </c>
      <c r="C2020" s="125" t="s">
        <v>5207</v>
      </c>
      <c r="D2020" s="120">
        <v>6837</v>
      </c>
      <c r="F2020" s="141"/>
    </row>
    <row r="2021" spans="1:6">
      <c r="A2021" s="120">
        <v>7443</v>
      </c>
      <c r="B2021" s="125" t="s">
        <v>5460</v>
      </c>
      <c r="C2021" s="125" t="s">
        <v>5207</v>
      </c>
      <c r="D2021" s="120">
        <v>7443</v>
      </c>
      <c r="F2021" s="141"/>
    </row>
    <row r="2022" spans="1:6">
      <c r="A2022" s="120">
        <v>7507</v>
      </c>
      <c r="B2022" s="125" t="s">
        <v>5461</v>
      </c>
      <c r="C2022" s="125" t="s">
        <v>5207</v>
      </c>
      <c r="D2022" s="120">
        <v>7507</v>
      </c>
      <c r="F2022" s="141"/>
    </row>
    <row r="2023" spans="1:6">
      <c r="A2023" s="120">
        <v>7516</v>
      </c>
      <c r="B2023" s="125" t="s">
        <v>5462</v>
      </c>
      <c r="C2023" s="125" t="s">
        <v>5207</v>
      </c>
      <c r="D2023" s="120">
        <v>7516</v>
      </c>
      <c r="F2023" s="141"/>
    </row>
    <row r="2024" spans="1:6">
      <c r="A2024" s="120">
        <v>7558</v>
      </c>
      <c r="B2024" s="125" t="s">
        <v>5463</v>
      </c>
      <c r="C2024" s="125" t="s">
        <v>5207</v>
      </c>
      <c r="D2024" s="120">
        <v>7558</v>
      </c>
      <c r="F2024" s="141"/>
    </row>
    <row r="2025" spans="1:6">
      <c r="A2025" s="120">
        <v>8438</v>
      </c>
      <c r="B2025" s="125" t="s">
        <v>5464</v>
      </c>
      <c r="C2025" s="125" t="s">
        <v>5207</v>
      </c>
      <c r="D2025" s="120">
        <v>8438</v>
      </c>
      <c r="F2025" s="141"/>
    </row>
    <row r="2026" spans="1:6">
      <c r="A2026" s="125" t="s">
        <v>5465</v>
      </c>
      <c r="B2026" s="125" t="s">
        <v>5466</v>
      </c>
      <c r="C2026" s="125" t="s">
        <v>5207</v>
      </c>
      <c r="D2026" s="125" t="s">
        <v>5465</v>
      </c>
      <c r="F2026" s="141"/>
    </row>
    <row r="2027" spans="1:6">
      <c r="A2027" s="125" t="s">
        <v>5467</v>
      </c>
      <c r="B2027" s="125" t="s">
        <v>5468</v>
      </c>
      <c r="C2027" s="125" t="s">
        <v>5207</v>
      </c>
      <c r="D2027" s="125" t="s">
        <v>5467</v>
      </c>
      <c r="F2027" s="141"/>
    </row>
    <row r="2028" spans="1:6">
      <c r="A2028" s="125" t="s">
        <v>5469</v>
      </c>
      <c r="B2028" s="125" t="s">
        <v>5470</v>
      </c>
      <c r="C2028" s="125" t="s">
        <v>5207</v>
      </c>
      <c r="D2028" s="125" t="s">
        <v>5469</v>
      </c>
      <c r="F2028" s="141"/>
    </row>
    <row r="2029" spans="1:6">
      <c r="A2029" s="125" t="s">
        <v>5471</v>
      </c>
      <c r="B2029" s="125" t="s">
        <v>5472</v>
      </c>
      <c r="C2029" s="125" t="s">
        <v>5207</v>
      </c>
      <c r="D2029" s="125" t="s">
        <v>5471</v>
      </c>
      <c r="F2029" s="141"/>
    </row>
    <row r="2030" spans="1:6">
      <c r="A2030" s="125" t="s">
        <v>5473</v>
      </c>
      <c r="B2030" s="125" t="s">
        <v>5474</v>
      </c>
      <c r="C2030" s="125" t="s">
        <v>5207</v>
      </c>
      <c r="D2030" s="125" t="s">
        <v>5473</v>
      </c>
      <c r="F2030" s="141"/>
    </row>
    <row r="2031" spans="1:6">
      <c r="A2031" s="125" t="s">
        <v>5475</v>
      </c>
      <c r="B2031" s="125" t="s">
        <v>5476</v>
      </c>
      <c r="C2031" s="125" t="s">
        <v>5207</v>
      </c>
      <c r="D2031" s="125" t="s">
        <v>5475</v>
      </c>
      <c r="F2031" s="141"/>
    </row>
    <row r="2032" spans="1:6">
      <c r="A2032" s="125" t="s">
        <v>5477</v>
      </c>
      <c r="B2032" s="125" t="s">
        <v>5478</v>
      </c>
      <c r="C2032" s="125" t="s">
        <v>5207</v>
      </c>
      <c r="D2032" s="125" t="s">
        <v>5477</v>
      </c>
      <c r="F2032" s="141"/>
    </row>
    <row r="2033" spans="1:6">
      <c r="A2033" s="125" t="s">
        <v>5479</v>
      </c>
      <c r="B2033" s="125" t="s">
        <v>5480</v>
      </c>
      <c r="C2033" s="125" t="s">
        <v>5207</v>
      </c>
      <c r="D2033" s="125" t="s">
        <v>5479</v>
      </c>
      <c r="F2033" s="141"/>
    </row>
    <row r="2034" spans="1:6">
      <c r="A2034" s="125" t="s">
        <v>5481</v>
      </c>
      <c r="B2034" s="125" t="s">
        <v>5482</v>
      </c>
      <c r="C2034" s="125" t="s">
        <v>5207</v>
      </c>
      <c r="D2034" s="125" t="s">
        <v>5481</v>
      </c>
      <c r="F2034" s="141"/>
    </row>
    <row r="2035" spans="1:6">
      <c r="A2035" s="125" t="s">
        <v>5483</v>
      </c>
      <c r="B2035" s="125" t="s">
        <v>5484</v>
      </c>
      <c r="C2035" s="125" t="s">
        <v>5207</v>
      </c>
      <c r="D2035" s="125" t="s">
        <v>5483</v>
      </c>
      <c r="F2035" s="141"/>
    </row>
  </sheetData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00E7D-3B6D-4D8D-A816-8663F2CB9B25}">
  <sheetPr codeName="工作表3">
    <tabColor rgb="FF7030A0"/>
  </sheetPr>
  <dimension ref="A1:AK4000"/>
  <sheetViews>
    <sheetView tabSelected="1" topLeftCell="F1" zoomScaleNormal="100" workbookViewId="0">
      <pane ySplit="1" topLeftCell="A68" activePane="bottomLeft" state="frozen"/>
      <selection pane="bottomLeft" activeCell="T76" sqref="T76"/>
    </sheetView>
  </sheetViews>
  <sheetFormatPr defaultColWidth="8.77734375" defaultRowHeight="16.2"/>
  <cols>
    <col min="1" max="1" width="2.77734375" style="2" customWidth="1"/>
    <col min="2" max="2" width="6" style="2" customWidth="1"/>
    <col min="3" max="3" width="8.44140625" style="58" customWidth="1"/>
    <col min="4" max="4" width="7.109375" style="2" customWidth="1"/>
    <col min="5" max="5" width="6.6640625" style="2" customWidth="1"/>
    <col min="6" max="6" width="6.44140625" style="2" customWidth="1"/>
    <col min="7" max="7" width="7.33203125" style="144" customWidth="1"/>
    <col min="8" max="9" width="7.33203125" style="2" customWidth="1"/>
    <col min="10" max="10" width="5.44140625" style="2" customWidth="1"/>
    <col min="11" max="11" width="7.33203125" style="2" customWidth="1"/>
    <col min="12" max="12" width="7.44140625" style="2" bestFit="1" customWidth="1"/>
    <col min="13" max="13" width="6.6640625" style="2" customWidth="1"/>
    <col min="14" max="14" width="6.88671875" style="2" customWidth="1"/>
    <col min="15" max="15" width="6.77734375" style="2" customWidth="1"/>
    <col min="16" max="16" width="9" style="2" bestFit="1" customWidth="1"/>
    <col min="17" max="17" width="7.21875" style="2" customWidth="1"/>
    <col min="18" max="19" width="6.6640625" style="2" customWidth="1"/>
    <col min="20" max="20" width="8.33203125" style="2" customWidth="1"/>
    <col min="21" max="21" width="8.44140625" style="2" customWidth="1"/>
    <col min="22" max="22" width="9.44140625" style="2" customWidth="1"/>
    <col min="23" max="23" width="8.88671875" style="2" bestFit="1" customWidth="1"/>
    <col min="24" max="24" width="7.33203125" style="2" customWidth="1"/>
    <col min="25" max="25" width="4.6640625" style="2" customWidth="1"/>
    <col min="26" max="26" width="30.77734375" style="2" customWidth="1"/>
    <col min="27" max="27" width="12.109375" style="2" bestFit="1" customWidth="1"/>
    <col min="28" max="28" width="9.109375" style="2" customWidth="1"/>
    <col min="29" max="29" width="4.88671875" style="2" customWidth="1"/>
    <col min="30" max="30" width="3.44140625" style="2" customWidth="1"/>
    <col min="31" max="31" width="13.109375" style="2" customWidth="1"/>
    <col min="32" max="32" width="8.77734375" style="94"/>
    <col min="33" max="16384" width="8.77734375" style="2"/>
  </cols>
  <sheetData>
    <row r="1" spans="1:37" s="11" customFormat="1">
      <c r="A1" s="8"/>
      <c r="B1" s="12" t="s">
        <v>12</v>
      </c>
      <c r="C1" s="72" t="s">
        <v>13</v>
      </c>
      <c r="D1" s="13" t="s">
        <v>14</v>
      </c>
      <c r="E1" s="13" t="s">
        <v>15</v>
      </c>
      <c r="F1" s="13" t="s">
        <v>16</v>
      </c>
      <c r="G1" s="146" t="s">
        <v>5699</v>
      </c>
      <c r="H1" s="9" t="s">
        <v>17</v>
      </c>
      <c r="I1" s="150" t="s">
        <v>5700</v>
      </c>
      <c r="J1" s="15" t="s">
        <v>18</v>
      </c>
      <c r="K1" s="9" t="s">
        <v>19</v>
      </c>
      <c r="L1" s="16" t="s">
        <v>8</v>
      </c>
      <c r="M1" s="14" t="s">
        <v>20</v>
      </c>
      <c r="N1" s="14" t="s">
        <v>9</v>
      </c>
      <c r="O1" s="17" t="s">
        <v>10</v>
      </c>
      <c r="P1" s="14" t="s">
        <v>21</v>
      </c>
      <c r="Q1" s="17" t="s">
        <v>22</v>
      </c>
      <c r="R1" s="18" t="s">
        <v>23</v>
      </c>
      <c r="S1" s="18" t="s">
        <v>5698</v>
      </c>
      <c r="T1" s="16" t="s">
        <v>24</v>
      </c>
      <c r="U1" s="10" t="s">
        <v>25</v>
      </c>
      <c r="V1" s="19" t="s">
        <v>26</v>
      </c>
      <c r="W1" s="20" t="s">
        <v>27</v>
      </c>
      <c r="X1" s="9" t="s">
        <v>19</v>
      </c>
      <c r="Y1" s="21" t="s">
        <v>11</v>
      </c>
      <c r="Z1" s="22" t="s">
        <v>28</v>
      </c>
      <c r="AA1" s="23" t="s">
        <v>29</v>
      </c>
      <c r="AB1" s="24" t="s">
        <v>30</v>
      </c>
      <c r="AC1" s="25" t="s">
        <v>5544</v>
      </c>
      <c r="AD1" s="9"/>
      <c r="AE1" s="117">
        <v>1.0006999999999999</v>
      </c>
      <c r="AF1" s="152">
        <v>1.0003</v>
      </c>
    </row>
    <row r="2" spans="1:37" s="38" customFormat="1">
      <c r="A2" s="37"/>
      <c r="B2" s="37" t="s">
        <v>5775</v>
      </c>
      <c r="C2" s="43"/>
      <c r="D2" s="36"/>
      <c r="E2" s="36"/>
      <c r="F2" s="36"/>
      <c r="G2" s="147"/>
      <c r="H2" s="147"/>
      <c r="I2" s="147"/>
      <c r="J2" s="41"/>
      <c r="K2" s="42"/>
      <c r="L2" s="43"/>
      <c r="M2" s="44"/>
      <c r="N2" s="43"/>
      <c r="O2" s="37"/>
      <c r="P2" s="43"/>
      <c r="Q2" s="45"/>
      <c r="R2" s="39"/>
      <c r="S2" s="39"/>
      <c r="T2" s="46"/>
      <c r="U2" s="45"/>
      <c r="V2" s="47"/>
      <c r="W2" s="48"/>
      <c r="X2" s="42"/>
      <c r="Y2" s="49"/>
      <c r="Z2" s="40"/>
      <c r="AA2" s="37"/>
      <c r="AB2" s="37"/>
      <c r="AC2" s="50"/>
      <c r="AD2" s="51"/>
      <c r="AE2" s="52"/>
      <c r="AF2" s="153"/>
      <c r="AG2" s="37"/>
      <c r="AH2" s="37"/>
      <c r="AI2" s="37"/>
      <c r="AJ2" s="37"/>
      <c r="AK2" s="37"/>
    </row>
    <row r="3" spans="1:37" s="85" customFormat="1">
      <c r="A3" s="74"/>
      <c r="B3" s="90" t="str">
        <f>[1]!'4739.TW-Capital'</f>
        <v>--</v>
      </c>
      <c r="C3" s="75" t="str">
        <f>[1]!'4739.TW-NetIncomeGrowthRate'</f>
        <v>--</v>
      </c>
      <c r="D3" s="76" t="str">
        <f>[1]!'4739.TW-OperIncomeGrowthRate'</f>
        <v>--</v>
      </c>
      <c r="E3" s="76" t="str">
        <f>[1]!'4739.TW-TFXRatio'</f>
        <v>--</v>
      </c>
      <c r="F3" s="76" t="str">
        <f>[1]!'4739.TW-MonthlyNetSalesYoY'</f>
        <v>--</v>
      </c>
      <c r="G3" s="154" t="str">
        <f>[1]!'4739.TW-ProfitMargin'</f>
        <v>--</v>
      </c>
      <c r="H3" s="148" t="str">
        <f>[1]!'4739.TW-OperatingProfitRatio'</f>
        <v>--</v>
      </c>
      <c r="I3" s="148" t="str">
        <f>[1]!'4739.TW-NetProfitMargin'</f>
        <v>--</v>
      </c>
      <c r="J3" s="126">
        <v>4739</v>
      </c>
      <c r="K3" s="57" t="str">
        <f>VLOOKUP($J3,STOCKS!$A$2:$B$2035,2,0)</f>
        <v>康普</v>
      </c>
      <c r="L3" s="53">
        <f>IFERROR(VLOOKUP($J3&amp;".TW",每日資料!$B$6:$J$1650,6,FALSE),"")</f>
        <v>4.12</v>
      </c>
      <c r="M3" s="32">
        <f>VLOOKUP($J3&amp;".TW",每日資料!$P$6:$U$1983,6,FALSE)</f>
        <v>33</v>
      </c>
      <c r="N3" s="114">
        <f>IFERROR(VLOOKUP($J3&amp;".TW",每日資料!$B$6:$J$1650,7,FALSE),"")</f>
        <v>7</v>
      </c>
      <c r="O3" s="32">
        <f>IFERROR(VLOOKUP($J3&amp;".TW",每日資料!$B$6:$J$1650,8,FALSE),"")</f>
        <v>38.83</v>
      </c>
      <c r="P3" s="77">
        <f>AVERAGE(SUM(L3,M3,O3),3)</f>
        <v>39.474999999999994</v>
      </c>
      <c r="Q3" s="91" t="str">
        <f>[1]!'4739.TW-CashAndStockDividend'</f>
        <v>--</v>
      </c>
      <c r="R3" s="79" t="str">
        <f>[1]!'4736.TW-ProfitFourSeason'</f>
        <v>0.00</v>
      </c>
      <c r="S3" s="79" t="str" cm="1">
        <f t="array" ref="S3">[1]!'4739.TW-CashDividendYieldRate'</f>
        <v>--</v>
      </c>
      <c r="T3" s="28">
        <f>VLOOKUP($J3,STOCKS!$D$2:$E$2035,2,0)</f>
        <v>149</v>
      </c>
      <c r="U3" s="33">
        <v>140.5</v>
      </c>
      <c r="V3" s="86">
        <f>IFERROR(($T3-($T3*$AE$1-$T3*$AF$1))-($U3*$AF$1),"")</f>
        <v>8.3982500000000186</v>
      </c>
      <c r="W3" s="87">
        <f t="shared" ref="W3" si="0">V3/U3</f>
        <v>5.97740213523133E-2</v>
      </c>
      <c r="X3" s="57" t="str">
        <f t="shared" ref="X3:X8" si="1">$K3</f>
        <v>康普</v>
      </c>
      <c r="Y3" s="80" t="s">
        <v>11</v>
      </c>
      <c r="Z3" s="128" t="str">
        <f>VLOOKUP($J3,STOCKS!$A$2:$C$2035,3,0)</f>
        <v>上市化學生技醫療,上市化工,上市普通股(排除KY個股),上市普通股(排除營建與金融)</v>
      </c>
      <c r="AA3" s="82">
        <v>44494</v>
      </c>
      <c r="AB3" s="74"/>
      <c r="AC3" s="61">
        <v>1</v>
      </c>
      <c r="AD3" s="62"/>
      <c r="AE3" s="84">
        <f t="shared" ref="AE3:AE11" si="2">T3*AC3*1000</f>
        <v>149000</v>
      </c>
      <c r="AF3" s="85" t="s">
        <v>5701</v>
      </c>
    </row>
    <row r="4" spans="1:37" s="85" customFormat="1">
      <c r="A4" s="74"/>
      <c r="B4" s="90" t="str">
        <f>[1]!'4728.TW-Capital'</f>
        <v>0.00</v>
      </c>
      <c r="C4" s="88" t="str">
        <f>[1]!'4728.TW-NetIncomeGrowthRate'</f>
        <v>0.00</v>
      </c>
      <c r="D4" s="76" t="str">
        <f>[1]!'4721.TW-OperIncomeGrowthRate'</f>
        <v>0.00</v>
      </c>
      <c r="E4" s="76" t="str">
        <f>[1]!'4721.TW-TFXRatio'</f>
        <v>0.00</v>
      </c>
      <c r="F4" s="76" t="str">
        <f>[1]!'4721.TW-MonthlyNetSalesYoY'</f>
        <v>0.00</v>
      </c>
      <c r="G4" s="154" t="str">
        <f>[1]!'4721.TW-ProfitMargin'</f>
        <v>0.00</v>
      </c>
      <c r="H4" s="148" t="str">
        <f>[1]!'4721.TW-OperatingProfitRatio'</f>
        <v>0.00</v>
      </c>
      <c r="I4" s="148" t="str">
        <f>[1]!'4721.TW-NetProfitMargin'</f>
        <v>0.00</v>
      </c>
      <c r="J4" s="126">
        <v>4721</v>
      </c>
      <c r="K4" s="57" t="str">
        <f>VLOOKUP($J4,STOCKS!$A$2:$B$2035,2,0)</f>
        <v>美琪瑪</v>
      </c>
      <c r="L4" s="53">
        <f>IFERROR(VLOOKUP($J4&amp;".TW",每日資料!$B$6:$J$1650,6,FALSE),"")</f>
        <v>14.34</v>
      </c>
      <c r="M4" s="32">
        <f>VLOOKUP($J4&amp;".TW",每日資料!$P$6:$U$1983,6,FALSE)</f>
        <v>33.83</v>
      </c>
      <c r="N4" s="114">
        <f>IFERROR(VLOOKUP($J4&amp;".TW",每日資料!$B$6:$J$1650,7,FALSE),"")</f>
        <v>2.5</v>
      </c>
      <c r="O4" s="32">
        <f>IFERROR(VLOOKUP($J4&amp;".TW",每日資料!$B$6:$J$1650,8,FALSE),"")</f>
        <v>53.53</v>
      </c>
      <c r="P4" s="77">
        <f t="shared" ref="P4:P11" si="3">AVERAGE(SUM(L4,M4,O4),3)</f>
        <v>52.35</v>
      </c>
      <c r="Q4" s="91" t="str">
        <f>[1]!'4721.TW-CashAndStockDividend'</f>
        <v>0.00</v>
      </c>
      <c r="R4" s="79" t="str">
        <f>[1]!'4721.TW-ProfitFourSeason'</f>
        <v>0.00</v>
      </c>
      <c r="S4" s="79" t="str" cm="1">
        <f t="array" ref="S4">[1]!'4721.TW-CashDividendYieldRate'</f>
        <v>--</v>
      </c>
      <c r="T4" s="28" t="str">
        <f>VLOOKUP($J4,STOCKS!$D$2:$E$2035,2,0)</f>
        <v>--</v>
      </c>
      <c r="U4" s="33">
        <v>142</v>
      </c>
      <c r="V4" s="86" t="str">
        <f t="shared" ref="V4:V11" si="4">IFERROR(($T4-($T4*$AE$1-$T4*$AF$1))-($U4*$AF$1),"")</f>
        <v/>
      </c>
      <c r="W4" s="87" t="e">
        <f>V4/U4</f>
        <v>#VALUE!</v>
      </c>
      <c r="X4" s="57" t="str">
        <f t="shared" si="1"/>
        <v>美琪瑪</v>
      </c>
      <c r="Y4" s="80" t="s">
        <v>11</v>
      </c>
      <c r="Z4" s="128" t="str">
        <f>VLOOKUP($J4,STOCKS!$A$2:$C$2035,3,0)</f>
        <v>上櫃化工,上櫃普通股(排除KY個股),上櫃普通股(排除營建與金融)</v>
      </c>
      <c r="AA4" s="82">
        <v>44494</v>
      </c>
      <c r="AB4" s="74"/>
      <c r="AC4" s="61">
        <v>1</v>
      </c>
      <c r="AD4" s="62"/>
      <c r="AE4" s="84" t="e">
        <f t="shared" si="2"/>
        <v>#VALUE!</v>
      </c>
      <c r="AF4" s="85" t="s">
        <v>5702</v>
      </c>
    </row>
    <row r="5" spans="1:37" s="85" customFormat="1">
      <c r="A5" s="74"/>
      <c r="B5" s="90" t="str">
        <f>[1]!'3006.TW-Capital'</f>
        <v>--</v>
      </c>
      <c r="C5" s="75" t="str">
        <f>[1]!'3006.TW-NetIncomeGrowthRate'</f>
        <v>--</v>
      </c>
      <c r="D5" s="76" t="str">
        <f>[1]!'3006.TW-OperIncomeGrowthRate'</f>
        <v>--</v>
      </c>
      <c r="E5" s="76" t="str">
        <f>[1]!'3006.TW-TFXRatio'</f>
        <v>--</v>
      </c>
      <c r="F5" s="76" t="str">
        <f>[1]!'3006.TW-MonthlyNetSalesYoY'</f>
        <v>--</v>
      </c>
      <c r="G5" s="154" t="str">
        <f>[1]!'3006.TW-ProfitMargin'</f>
        <v>--</v>
      </c>
      <c r="H5" s="148" t="str">
        <f>[1]!'3006.TW-OperatingProfitRatio'</f>
        <v>--</v>
      </c>
      <c r="I5" s="148" t="str">
        <f>[1]!'3006.TW-NetProfitMargin'</f>
        <v>--</v>
      </c>
      <c r="J5" s="126">
        <v>3006</v>
      </c>
      <c r="K5" s="57" t="str">
        <f>VLOOKUP($J5,STOCKS!$A$2:$B$2035,2,0)</f>
        <v>晶豪科</v>
      </c>
      <c r="L5" s="114">
        <f>IFERROR(VLOOKUP($J5&amp;".TW",每日資料!$B$6:$J$1650,6,FALSE),"")</f>
        <v>3.41</v>
      </c>
      <c r="M5" s="32">
        <f>VLOOKUP($J5&amp;".TW",每日資料!$P$6:$U$1983,6,FALSE)</f>
        <v>36.72</v>
      </c>
      <c r="N5" s="114">
        <f>IFERROR(VLOOKUP($J5&amp;".TW",每日資料!$B$6:$J$1650,7,FALSE),"")</f>
        <v>20.21</v>
      </c>
      <c r="O5" s="32">
        <f>IFERROR(VLOOKUP($J5&amp;".TW",每日資料!$B$6:$J$1650,8,FALSE),"")</f>
        <v>59.22</v>
      </c>
      <c r="P5" s="77">
        <f t="shared" si="3"/>
        <v>51.174999999999997</v>
      </c>
      <c r="Q5" s="91" t="str">
        <f>[1]!'3006.TW-CashAndStockDividend'</f>
        <v>--</v>
      </c>
      <c r="R5" s="79" t="str">
        <f>[1]!'3006.TW-ProfitFourSeason'</f>
        <v>--</v>
      </c>
      <c r="S5" s="79" t="str" cm="1">
        <f t="array" ref="S5">[1]!'3006.TW-CashDividendYieldRate'</f>
        <v>--</v>
      </c>
      <c r="T5" s="28">
        <f>VLOOKUP($J5,STOCKS!$D$2:$E$2035,2,0)</f>
        <v>162</v>
      </c>
      <c r="U5" s="33">
        <v>132</v>
      </c>
      <c r="V5" s="86">
        <f t="shared" si="4"/>
        <v>29.895600000000002</v>
      </c>
      <c r="W5" s="87">
        <f>V5/U5</f>
        <v>0.2264818181818182</v>
      </c>
      <c r="X5" s="57" t="str">
        <f t="shared" si="1"/>
        <v>晶豪科</v>
      </c>
      <c r="Y5" s="80" t="s">
        <v>11</v>
      </c>
      <c r="Z5" s="128" t="str">
        <f>VLOOKUP($J5,STOCKS!$A$2:$C$2035,3,0)</f>
        <v>上市電子全部,上市半導體,上市普通股(排除KY個股),上市普通股(排除營建與金融)</v>
      </c>
      <c r="AA5" s="82">
        <v>44494</v>
      </c>
      <c r="AB5" s="74"/>
      <c r="AC5" s="61">
        <v>1</v>
      </c>
      <c r="AD5" s="62"/>
      <c r="AE5" s="84">
        <f t="shared" si="2"/>
        <v>162000</v>
      </c>
      <c r="AF5" s="85" t="s">
        <v>5703</v>
      </c>
    </row>
    <row r="6" spans="1:37" s="85" customFormat="1">
      <c r="A6" s="74"/>
      <c r="B6" s="90" t="str">
        <f>[1]!'2388.TW-Capital'</f>
        <v>--</v>
      </c>
      <c r="C6" s="75" t="str">
        <f>[1]!'2388.TW-NetIncomeGrowthRate'</f>
        <v>--</v>
      </c>
      <c r="D6" s="76" t="str">
        <f>[1]!'2388.TW-OperIncomeGrowthRate'</f>
        <v>--</v>
      </c>
      <c r="E6" s="76" t="str">
        <f>[1]!'2388.TW-TFXRatio'</f>
        <v>--</v>
      </c>
      <c r="F6" s="76" t="str">
        <f>[1]!'2388.TW-MonthlyNetSalesYoY'</f>
        <v>--</v>
      </c>
      <c r="G6" s="154" t="str">
        <f>[1]!'2388.TW-ProfitMargin'</f>
        <v>--</v>
      </c>
      <c r="H6" s="148" t="str">
        <f>[1]!'2388.TW-OperatingProfitRatio'</f>
        <v>--</v>
      </c>
      <c r="I6" s="148" t="str">
        <f>[1]!'2388.TW-NetProfitMargin'</f>
        <v>--</v>
      </c>
      <c r="J6" s="126">
        <v>2388</v>
      </c>
      <c r="K6" s="57" t="str">
        <f>VLOOKUP($J6,STOCKS!$A$2:$B$2035,2,0)</f>
        <v>威盛</v>
      </c>
      <c r="L6" s="114">
        <f>IFERROR(VLOOKUP($J6&amp;".TW",每日資料!$B$6:$J$1650,6,FALSE),"")</f>
        <v>3.82</v>
      </c>
      <c r="M6" s="116">
        <f>VLOOKUP($J6&amp;".TW",每日資料!$P$6:$U$1983,6,FALSE)</f>
        <v>71.36</v>
      </c>
      <c r="N6" s="114">
        <f>IFERROR(VLOOKUP($J6&amp;".TW",每日資料!$B$6:$J$1650,7,FALSE),"")</f>
        <v>9.49</v>
      </c>
      <c r="O6" s="114">
        <f>IFERROR(VLOOKUP($J6&amp;".TW",每日資料!$B$6:$J$1650,8,FALSE),"")</f>
        <v>12.44</v>
      </c>
      <c r="P6" s="77">
        <f t="shared" si="3"/>
        <v>45.309999999999995</v>
      </c>
      <c r="Q6" s="91" t="str">
        <f>[1]!'2388.TW-CashAndStockDividend'</f>
        <v>--</v>
      </c>
      <c r="R6" s="79" t="str">
        <f>[1]!'2388.TW-ProfitFourSeason'</f>
        <v>--</v>
      </c>
      <c r="S6" s="79" t="str" cm="1">
        <f t="array" ref="S6">[1]!'2388.TW-CashDividendYieldRate'</f>
        <v>--</v>
      </c>
      <c r="T6" s="28">
        <f>VLOOKUP($J6,STOCKS!$D$2:$E$2035,2,0)</f>
        <v>86.9</v>
      </c>
      <c r="U6" s="33">
        <v>53.3</v>
      </c>
      <c r="V6" s="86">
        <f t="shared" si="4"/>
        <v>33.549250000000008</v>
      </c>
      <c r="W6" s="87">
        <f t="shared" ref="W6" si="5">V6/U6</f>
        <v>0.62944183864915593</v>
      </c>
      <c r="X6" s="57" t="str">
        <f t="shared" si="1"/>
        <v>威盛</v>
      </c>
      <c r="Y6" s="80" t="s">
        <v>11</v>
      </c>
      <c r="Z6" s="128" t="str">
        <f>VLOOKUP($J6,STOCKS!$A$2:$C$2035,3,0)</f>
        <v>上市電子全部,上市半導體,上市普通股(排除KY個股),上市普通股(排除營建與金融)</v>
      </c>
      <c r="AA6" s="82">
        <v>44494</v>
      </c>
      <c r="AB6" s="74"/>
      <c r="AC6" s="61">
        <v>1</v>
      </c>
      <c r="AD6" s="62"/>
      <c r="AE6" s="84">
        <f t="shared" si="2"/>
        <v>86900</v>
      </c>
      <c r="AF6" s="85" t="s">
        <v>5713</v>
      </c>
    </row>
    <row r="7" spans="1:37" s="85" customFormat="1">
      <c r="A7" s="74"/>
      <c r="B7" s="90" t="str">
        <f>[1]!'3323.TW-Capital'</f>
        <v>--</v>
      </c>
      <c r="C7" s="88" t="str">
        <f>[1]!'3323.TW-NetIncomeGrowthRate'</f>
        <v>--</v>
      </c>
      <c r="D7" s="76" t="str">
        <f>[1]!'3323.TW-OperIncomeGrowthRate'</f>
        <v>--</v>
      </c>
      <c r="E7" s="76" t="str">
        <f>[1]!'3323.TW-TFXRatio'</f>
        <v>--</v>
      </c>
      <c r="F7" s="76" t="str">
        <f>[1]!'3323.TW-MonthlyNetSalesYoY'</f>
        <v>--</v>
      </c>
      <c r="G7" s="154" t="str">
        <f>[1]!'3323.TW-ProfitMargin'</f>
        <v>--</v>
      </c>
      <c r="H7" s="148" t="str">
        <f>[1]!'3323.TW-OperatingProfitRatio'</f>
        <v>--</v>
      </c>
      <c r="I7" s="148" t="str">
        <f>[1]!'3323.TW-NetProfitMargin'</f>
        <v>--</v>
      </c>
      <c r="J7" s="126">
        <v>3323</v>
      </c>
      <c r="K7" s="57" t="str">
        <f>VLOOKUP($J7,STOCKS!$A$2:$B$2035,2,0)</f>
        <v>加百裕</v>
      </c>
      <c r="L7" s="114">
        <f>IFERROR(VLOOKUP($J7&amp;".TW",每日資料!$B$6:$J$1650,6,FALSE),"")</f>
        <v>0.44</v>
      </c>
      <c r="M7" s="114">
        <f>VLOOKUP($J7&amp;".TW",每日資料!$P$6:$U$1983,6,FALSE)</f>
        <v>10.57</v>
      </c>
      <c r="N7" s="114">
        <f>IFERROR(VLOOKUP($J7&amp;".TW",每日資料!$B$6:$J$1650,7,FALSE),"")</f>
        <v>2.4500000000000002</v>
      </c>
      <c r="O7" s="53">
        <f>IFERROR(VLOOKUP($J7&amp;".TW",每日資料!$B$6:$J$1650,8,FALSE),"")</f>
        <v>25.24</v>
      </c>
      <c r="P7" s="77">
        <f t="shared" si="3"/>
        <v>19.625</v>
      </c>
      <c r="Q7" s="91" t="str">
        <f>[1]!'3323.TW-CashAndStockDividend'</f>
        <v>--</v>
      </c>
      <c r="R7" s="79" t="str">
        <f>[1]!'3323.TW-ProfitFourSeason'</f>
        <v>--</v>
      </c>
      <c r="S7" s="79" t="str" cm="1">
        <f t="array" ref="S7">[1]!'3323.TW-CashDividendYieldRate'</f>
        <v>--</v>
      </c>
      <c r="T7" s="28" t="str">
        <f>VLOOKUP($J7,STOCKS!$D$2:$E$2035,2,0)</f>
        <v>--</v>
      </c>
      <c r="U7" s="33">
        <v>44.75</v>
      </c>
      <c r="V7" s="86" t="str">
        <f t="shared" si="4"/>
        <v/>
      </c>
      <c r="W7" s="87" t="e">
        <f>V7/U7</f>
        <v>#VALUE!</v>
      </c>
      <c r="X7" s="57" t="str">
        <f t="shared" si="1"/>
        <v>加百裕</v>
      </c>
      <c r="Y7" s="80" t="s">
        <v>11</v>
      </c>
      <c r="Z7" s="128" t="str">
        <f>VLOOKUP($J7,STOCKS!$A$2:$C$2035,3,0)</f>
        <v>上櫃電子全部,上櫃電腦及週邊設備,上櫃普通股(排除KY個股),上櫃普通股(排除營建與金融)</v>
      </c>
      <c r="AA7" s="82">
        <v>44494</v>
      </c>
      <c r="AB7" s="74"/>
      <c r="AC7" s="61">
        <v>1</v>
      </c>
      <c r="AD7" s="62"/>
      <c r="AE7" s="84" t="e">
        <f t="shared" si="2"/>
        <v>#VALUE!</v>
      </c>
      <c r="AF7" s="85" t="s">
        <v>5704</v>
      </c>
    </row>
    <row r="8" spans="1:37" s="85" customFormat="1">
      <c r="A8" s="74"/>
      <c r="B8" s="89" t="str">
        <f>[1]!'2609.TW-Capital'</f>
        <v>--</v>
      </c>
      <c r="C8" s="75" t="str">
        <f>[1]!'2609.TW-NetIncomeGrowthRate'</f>
        <v>--</v>
      </c>
      <c r="D8" s="76" t="str">
        <f>[1]!'2609.TW-OperIncomeGrowthRate'</f>
        <v>--</v>
      </c>
      <c r="E8" s="76" t="str">
        <f>[1]!'2609.TW-TFXRatio'</f>
        <v>--</v>
      </c>
      <c r="F8" s="76" t="str">
        <f>[1]!'2609.TW-MonthlyNetSalesYoY'</f>
        <v>--</v>
      </c>
      <c r="G8" s="154" t="str">
        <f>[1]!'2609.TW-ProfitMargin'</f>
        <v>--</v>
      </c>
      <c r="H8" s="148" t="str">
        <f>[1]!'2609.TW-OperatingProfitRatio'</f>
        <v>--</v>
      </c>
      <c r="I8" s="148" t="str">
        <f>[1]!'2609.TW-NetProfitMargin'</f>
        <v>--</v>
      </c>
      <c r="J8" s="126">
        <v>2609</v>
      </c>
      <c r="K8" s="57" t="str">
        <f>VLOOKUP($J8,STOCKS!$A$2:$B$2035,2,0)</f>
        <v>陽明</v>
      </c>
      <c r="L8" s="114">
        <f>IFERROR(VLOOKUP($J8&amp;".TW",每日資料!$B$6:$J$1650,6,FALSE),"")</f>
        <v>1.61</v>
      </c>
      <c r="M8" s="116">
        <f>VLOOKUP($J8&amp;".TW",每日資料!$P$6:$U$1983,6,FALSE)</f>
        <v>57.19</v>
      </c>
      <c r="N8" s="114">
        <f>IFERROR(VLOOKUP($J8&amp;".TW",每日資料!$B$6:$J$1650,7,FALSE),"")</f>
        <v>14.62</v>
      </c>
      <c r="O8" s="114">
        <f>IFERROR(VLOOKUP($J8&amp;".TW",每日資料!$B$6:$J$1650,8,FALSE),"")</f>
        <v>26.21</v>
      </c>
      <c r="P8" s="77">
        <f t="shared" si="3"/>
        <v>44.004999999999995</v>
      </c>
      <c r="Q8" s="91" t="str">
        <f>[1]!'2609.TW-CashAndStockDividend'</f>
        <v>--</v>
      </c>
      <c r="R8" s="79" t="str">
        <f>[1]!'2609.TW-ProfitFourSeason'</f>
        <v>--</v>
      </c>
      <c r="S8" s="79" t="str" cm="1">
        <f t="array" ref="S8">[1]!'2609.TW-CashDividendYieldRate'</f>
        <v>--</v>
      </c>
      <c r="T8" s="28">
        <f>VLOOKUP($J8,STOCKS!$D$2:$E$2035,2,0)</f>
        <v>111.5</v>
      </c>
      <c r="U8" s="33">
        <v>89.5</v>
      </c>
      <c r="V8" s="86">
        <f t="shared" si="4"/>
        <v>21.928550000000016</v>
      </c>
      <c r="W8" s="87">
        <f t="shared" ref="W8" si="6">V8/U8</f>
        <v>0.24501173184357558</v>
      </c>
      <c r="X8" s="57" t="str">
        <f t="shared" si="1"/>
        <v>陽明</v>
      </c>
      <c r="Y8" s="80" t="s">
        <v>11</v>
      </c>
      <c r="Z8" s="128" t="str">
        <f>VLOOKUP($J8,STOCKS!$A$2:$C$2035,3,0)</f>
        <v>上市航運業,上市普通股(排除KY個股),上市普通股(排除營建與金融)</v>
      </c>
      <c r="AA8" s="82">
        <v>44494</v>
      </c>
      <c r="AB8" s="74"/>
      <c r="AC8" s="61">
        <v>1</v>
      </c>
      <c r="AD8" s="62"/>
      <c r="AE8" s="84">
        <f t="shared" si="2"/>
        <v>111500</v>
      </c>
      <c r="AF8" s="85" t="s">
        <v>5705</v>
      </c>
    </row>
    <row r="9" spans="1:37" s="85" customFormat="1">
      <c r="A9" s="74"/>
      <c r="B9" s="90" t="str">
        <f>[1]!'2426.TW-Capital'</f>
        <v>--</v>
      </c>
      <c r="C9" s="88" t="str">
        <f>[1]!'2426.TW-NetIncomeGrowthRate'</f>
        <v>--</v>
      </c>
      <c r="D9" s="76" t="str">
        <f>[1]!'2426.TW-OperIncomeGrowthRate'</f>
        <v>--</v>
      </c>
      <c r="E9" s="76" t="str">
        <f>[1]!'2426.TW-TFXRatio'</f>
        <v>--</v>
      </c>
      <c r="F9" s="76" t="str">
        <f>[1]!'2426.TW-MonthlyNetSalesYoY'</f>
        <v>--</v>
      </c>
      <c r="G9" s="154" t="str">
        <f>[1]!'2426.TW-ProfitMargin'</f>
        <v>--</v>
      </c>
      <c r="H9" s="148" t="str">
        <f>[1]!'2426.TW-OperatingProfitRatio'</f>
        <v>--</v>
      </c>
      <c r="I9" s="148" t="str">
        <f>[1]!'2426.TW-NetProfitMargin'</f>
        <v>--</v>
      </c>
      <c r="J9" s="126">
        <v>2426</v>
      </c>
      <c r="K9" s="57" t="str">
        <f>VLOOKUP($J9,STOCKS!$A$2:$B$2035,2,0)</f>
        <v>鼎元</v>
      </c>
      <c r="L9" s="114">
        <f>IFERROR(VLOOKUP($J9&amp;".TW",每日資料!$B$6:$J$1650,6,FALSE),"")</f>
        <v>0.37</v>
      </c>
      <c r="M9" s="114">
        <f>VLOOKUP($J9&amp;".TW",每日資料!$P$6:$U$1983,6,FALSE)</f>
        <v>33.78</v>
      </c>
      <c r="N9" s="114">
        <f>IFERROR(VLOOKUP($J9&amp;".TW",每日資料!$B$6:$J$1650,7,FALSE),"")</f>
        <v>9.65</v>
      </c>
      <c r="O9" s="114">
        <f>IFERROR(VLOOKUP($J9&amp;".TW",每日資料!$B$6:$J$1650,8,FALSE),"")</f>
        <v>18.66</v>
      </c>
      <c r="P9" s="77">
        <f t="shared" si="3"/>
        <v>27.905000000000001</v>
      </c>
      <c r="Q9" s="91" t="str">
        <f>[1]!'2426.TW-CashAndStockDividend'</f>
        <v>--</v>
      </c>
      <c r="R9" s="79" t="str">
        <f>[1]!'2426.TW-ProfitFourSeason'</f>
        <v>--</v>
      </c>
      <c r="S9" s="79" t="str" cm="1">
        <f t="array" ref="S9">[1]!'2426.TW-CashDividendYieldRate'</f>
        <v>--</v>
      </c>
      <c r="T9" s="28">
        <f>VLOOKUP($J9,STOCKS!$D$2:$E$2035,2,0)</f>
        <v>28.8</v>
      </c>
      <c r="U9" s="33">
        <v>25.4</v>
      </c>
      <c r="V9" s="86">
        <f t="shared" si="4"/>
        <v>3.3808600000000055</v>
      </c>
      <c r="W9" s="87">
        <f t="shared" ref="W9" si="7">V9/U9</f>
        <v>0.13310472440944904</v>
      </c>
      <c r="X9" s="57" t="str">
        <f t="shared" ref="X9" si="8">$K9</f>
        <v>鼎元</v>
      </c>
      <c r="Y9" s="80" t="s">
        <v>11</v>
      </c>
      <c r="Z9" s="128" t="str">
        <f>VLOOKUP($J9,STOCKS!$A$2:$C$2035,3,0)</f>
        <v>上市電子全部,上市光電,上市普通股(排除KY個股),上市普通股(排除營建與金融)</v>
      </c>
      <c r="AA9" s="82">
        <v>44494</v>
      </c>
      <c r="AB9" s="74"/>
      <c r="AC9" s="61">
        <v>1</v>
      </c>
      <c r="AD9" s="62"/>
      <c r="AE9" s="84">
        <f t="shared" si="2"/>
        <v>28800</v>
      </c>
      <c r="AF9" s="85" t="s">
        <v>5706</v>
      </c>
    </row>
    <row r="10" spans="1:37" s="85" customFormat="1">
      <c r="A10" s="74"/>
      <c r="B10" s="90" t="str">
        <f>[1]!'3017.TW-Capital'</f>
        <v>--</v>
      </c>
      <c r="C10" s="75" t="str">
        <f>[1]!'3017.TW-NetIncomeGrowthRate'</f>
        <v>--</v>
      </c>
      <c r="D10" s="76" t="str">
        <f>[1]!'3017.TW-OperIncomeGrowthRate'</f>
        <v>--</v>
      </c>
      <c r="E10" s="76" t="str">
        <f>[1]!'3017.TW-TFXRatio'</f>
        <v>--</v>
      </c>
      <c r="F10" s="76" t="str">
        <f>[1]!'3017.TW-MonthlyNetSalesYoY'</f>
        <v>--</v>
      </c>
      <c r="G10" s="154" t="str">
        <f>[1]!'3017.TW-ProfitMargin'</f>
        <v>--</v>
      </c>
      <c r="H10" s="148" t="str">
        <f>[1]!'3017.TW-OperatingProfitRatio'</f>
        <v>--</v>
      </c>
      <c r="I10" s="148" t="str">
        <f>[1]!'3017.TW-NetProfitMargin'</f>
        <v>--</v>
      </c>
      <c r="J10" s="126">
        <v>3017</v>
      </c>
      <c r="K10" s="57" t="str">
        <f>VLOOKUP($J10,STOCKS!$A$2:$B$2035,2,0)</f>
        <v>奇鋐</v>
      </c>
      <c r="L10" s="114">
        <f>IFERROR(VLOOKUP($J10&amp;".TW",每日資料!$B$6:$J$1650,6,FALSE),"")</f>
        <v>0.73</v>
      </c>
      <c r="M10" s="116">
        <f>VLOOKUP($J10&amp;".TW",每日資料!$P$6:$U$1983,6,FALSE)</f>
        <v>57.62</v>
      </c>
      <c r="N10" s="114">
        <f>IFERROR(VLOOKUP($J10&amp;".TW",每日資料!$B$6:$J$1650,7,FALSE),"")</f>
        <v>50.4</v>
      </c>
      <c r="O10" s="114">
        <f>IFERROR(VLOOKUP($J10&amp;".TW",每日資料!$B$6:$J$1650,8,FALSE),"")</f>
        <v>16.690000000000001</v>
      </c>
      <c r="P10" s="77">
        <f t="shared" si="3"/>
        <v>39.019999999999996</v>
      </c>
      <c r="Q10" s="91" t="str">
        <f>[1]!'3017.TW-CashAndStockDividend'</f>
        <v>--</v>
      </c>
      <c r="R10" s="79" t="str">
        <f>[1]!'3017.TW-ProfitFourSeason'</f>
        <v>--</v>
      </c>
      <c r="S10" s="79" t="str" cm="1">
        <f t="array" ref="S10">[1]!'3017.TW-CashDividendYieldRate'</f>
        <v>--</v>
      </c>
      <c r="T10" s="28">
        <f>VLOOKUP($J10,STOCKS!$D$2:$E$2035,2,0)</f>
        <v>89.4</v>
      </c>
      <c r="U10" s="33">
        <v>84.3</v>
      </c>
      <c r="V10" s="86">
        <f t="shared" si="4"/>
        <v>5.038950000000014</v>
      </c>
      <c r="W10" s="87">
        <f t="shared" ref="W10" si="9">V10/U10</f>
        <v>5.9774021352313335E-2</v>
      </c>
      <c r="X10" s="57" t="str">
        <f>$K10</f>
        <v>奇鋐</v>
      </c>
      <c r="Y10" s="80" t="s">
        <v>11</v>
      </c>
      <c r="Z10" s="128" t="str">
        <f>VLOOKUP($J10,STOCKS!$A$2:$C$2035,3,0)</f>
        <v>上市電子全部,上市電腦及週邊設備,上市普通股(排除KY個股),上市普通股(排除營建與金融)</v>
      </c>
      <c r="AA10" s="82">
        <v>44494</v>
      </c>
      <c r="AB10" s="74"/>
      <c r="AC10" s="61">
        <v>1</v>
      </c>
      <c r="AD10" s="62"/>
      <c r="AE10" s="84">
        <f t="shared" si="2"/>
        <v>89400</v>
      </c>
      <c r="AF10" s="85" t="s">
        <v>5707</v>
      </c>
    </row>
    <row r="11" spans="1:37" s="85" customFormat="1">
      <c r="A11" s="74"/>
      <c r="B11" s="90" t="str">
        <f>[1]!'4919.TW-Capital'</f>
        <v>0.00</v>
      </c>
      <c r="C11" s="75" t="str">
        <f>[1]!'4919.TW-NetIncomeGrowthRate'</f>
        <v>0.00</v>
      </c>
      <c r="D11" s="76" t="str">
        <f>[1]!'4919.TW-OperIncomeGrowthRate'</f>
        <v>0.00</v>
      </c>
      <c r="E11" s="76" t="str">
        <f>[1]!'4919.TW-TFXRatio'</f>
        <v>0.00</v>
      </c>
      <c r="F11" s="76" t="str">
        <f>[1]!'4919.TW-MonthlyNetSalesYoY'</f>
        <v>0.00</v>
      </c>
      <c r="G11" s="154" t="str">
        <f>[1]!'4919.TW-ProfitMargin'</f>
        <v>0.00</v>
      </c>
      <c r="H11" s="148" t="str">
        <f>[1]!'4919.TW-OperatingProfitRatio'</f>
        <v>0.00</v>
      </c>
      <c r="I11" s="148" t="str">
        <f>[1]!'4919.TW-NetProfitMargin'</f>
        <v>0.00</v>
      </c>
      <c r="J11" s="127">
        <v>4919</v>
      </c>
      <c r="K11" s="57" t="str">
        <f>VLOOKUP($J11,STOCKS!$A$2:$B$2035,2,0)</f>
        <v>新唐</v>
      </c>
      <c r="L11" s="115">
        <f>IFERROR(VLOOKUP($J11&amp;".TW",每日資料!$B$6:$J$1650,6,FALSE),"")</f>
        <v>1.7</v>
      </c>
      <c r="M11" s="116">
        <f>VLOOKUP($J11&amp;".TW",每日資料!$P$6:$U$1983,6,FALSE)</f>
        <v>65.989999999999995</v>
      </c>
      <c r="N11" s="115">
        <f>IFERROR(VLOOKUP($J11&amp;".TW",每日資料!$B$6:$J$1650,7,FALSE),"")</f>
        <v>12.4</v>
      </c>
      <c r="O11" s="115">
        <f>IFERROR(VLOOKUP($J11&amp;".TW",每日資料!$B$6:$J$1650,8,FALSE),"")</f>
        <v>21.31</v>
      </c>
      <c r="P11" s="77">
        <f t="shared" si="3"/>
        <v>46</v>
      </c>
      <c r="Q11" s="113" t="str">
        <f>[1]!'4919.TW-CashAndStockDividend'</f>
        <v>0.00</v>
      </c>
      <c r="R11" s="79" t="str">
        <f>[1]!'4919.TW-ProfitFourSeason'</f>
        <v>0.00</v>
      </c>
      <c r="S11" s="79" t="str" cm="1">
        <f t="array" ref="S11">[1]!'4919.TW-CashDividendYieldRate'</f>
        <v>--</v>
      </c>
      <c r="T11" s="28" t="str">
        <f>VLOOKUP($J11,STOCKS!$D$2:$E$2035,2,0)</f>
        <v>--</v>
      </c>
      <c r="U11" s="33">
        <v>139.5</v>
      </c>
      <c r="V11" s="86" t="str">
        <f t="shared" si="4"/>
        <v/>
      </c>
      <c r="W11" s="34" t="e">
        <f>V11/U11</f>
        <v>#VALUE!</v>
      </c>
      <c r="X11" s="7" t="str">
        <f>$K11</f>
        <v>新唐</v>
      </c>
      <c r="Y11" s="80" t="s">
        <v>11</v>
      </c>
      <c r="Z11" s="128" t="str">
        <f>VLOOKUP($J11,STOCKS!$A$2:$C$2035,3,0)</f>
        <v>上市電子全部,上市半導體,上市普通股(排除KY個股),上市普通股(排除營建與金融)</v>
      </c>
      <c r="AA11" s="82">
        <v>44494</v>
      </c>
      <c r="AB11" s="29"/>
      <c r="AC11" s="54">
        <v>1</v>
      </c>
      <c r="AD11" s="83"/>
      <c r="AE11" s="84" t="e">
        <f t="shared" si="2"/>
        <v>#VALUE!</v>
      </c>
      <c r="AF11" s="151" t="s">
        <v>5708</v>
      </c>
      <c r="AG11" s="74"/>
      <c r="AH11" s="74"/>
      <c r="AI11" s="74"/>
      <c r="AJ11" s="74"/>
      <c r="AK11" s="74"/>
    </row>
    <row r="12" spans="1:37">
      <c r="V12" s="30">
        <f>SUM(V3:V11)</f>
        <v>102.19146000000005</v>
      </c>
      <c r="W12" s="35">
        <f>SUMIF(V3:V11,"&gt;0")*1000</f>
        <v>102191.46000000005</v>
      </c>
      <c r="AE12" s="59"/>
    </row>
    <row r="13" spans="1:37">
      <c r="V13" s="30"/>
      <c r="W13" s="35"/>
    </row>
    <row r="14" spans="1:37" s="85" customFormat="1">
      <c r="A14" s="74"/>
      <c r="B14" s="90" t="str">
        <f>[1]!'9945.TW-Capital'</f>
        <v>0.00</v>
      </c>
      <c r="C14" s="75" t="str">
        <f>[1]!'9945.TW-NetIncomeGrowthRate'</f>
        <v>0.00</v>
      </c>
      <c r="D14" s="76" t="str">
        <f>[1]!'9945.TW-OperIncomeGrowthRate'</f>
        <v>0.00</v>
      </c>
      <c r="E14" s="76" t="str">
        <f>[1]!'9945.TW-TFXRatio'</f>
        <v>0.00</v>
      </c>
      <c r="F14" s="76" t="str">
        <f>[1]!'9945.TW-MonthlyNetSalesYoY'</f>
        <v>0.00</v>
      </c>
      <c r="G14" s="143" t="str">
        <f>[1]!'9945.TW-ProfitMargin'</f>
        <v>0.00</v>
      </c>
      <c r="H14" s="148" t="str">
        <f>[1]!'9945.TW-OperatingProfitRatio'</f>
        <v>0.00</v>
      </c>
      <c r="I14" s="148" t="str">
        <f>[1]!'9945.TW-NetProfitMargin'</f>
        <v>0.00</v>
      </c>
      <c r="J14" s="127">
        <v>9945</v>
      </c>
      <c r="K14" s="57" t="str">
        <f>VLOOKUP($J14,STOCKS!$A$2:$B$2035,2,0)</f>
        <v>潤泰新</v>
      </c>
      <c r="L14" s="115" t="str">
        <f>IFERROR(VLOOKUP($J14&amp;".TW",每日資料!$B$6:$J$1650,6,FALSE),"")</f>
        <v/>
      </c>
      <c r="M14" s="116">
        <f>VLOOKUP($J14&amp;".TW",每日資料!$P$6:$U$1983,6,FALSE)</f>
        <v>62.93</v>
      </c>
      <c r="N14" s="115" t="str">
        <f>IFERROR(VLOOKUP($J14&amp;".TW",每日資料!$B$6:$J$1650,7,FALSE),"")</f>
        <v/>
      </c>
      <c r="O14" s="115" t="str">
        <f>IFERROR(VLOOKUP($J14&amp;".TW",每日資料!$B$6:$J$1650,8,FALSE),"")</f>
        <v/>
      </c>
      <c r="P14" s="77">
        <f>SUM(M14:O14)</f>
        <v>62.93</v>
      </c>
      <c r="Q14" s="113" t="str">
        <f>[1]!'9945.TW-CashAndStockDividend'</f>
        <v>0.00</v>
      </c>
      <c r="R14" s="79" t="str">
        <f>[1]!'9945.TW-ProfitFourSeason'</f>
        <v>0.00</v>
      </c>
      <c r="S14" s="79" t="str" cm="1">
        <f t="array" ref="S14">[1]!'9945.TW-CashDividendYieldRate'</f>
        <v>--</v>
      </c>
      <c r="T14" s="28" t="str">
        <f>VLOOKUP($J14,STOCKS!$D$2:$E$2035,2,0)</f>
        <v>--</v>
      </c>
      <c r="U14" s="33">
        <v>67.2</v>
      </c>
      <c r="V14" s="86" t="str">
        <f t="shared" ref="V14:V16" si="10">IFERROR(($T14-($T14*$AE$1-$T14*$AF$1))-($U14*$AF$1),"")</f>
        <v/>
      </c>
      <c r="W14" s="34" t="e">
        <f>V14/U14</f>
        <v>#VALUE!</v>
      </c>
      <c r="X14" s="7" t="str">
        <f>$K14</f>
        <v>潤泰新</v>
      </c>
      <c r="Y14" s="80" t="s">
        <v>11</v>
      </c>
      <c r="Z14" s="128" t="str">
        <f>VLOOKUP($J14,STOCKS!$A$2:$C$2035,3,0)</f>
        <v>上市其他,上市普通股(排除KY個股),上市普通股(排除營建與金融)</v>
      </c>
      <c r="AA14" s="82">
        <v>44495</v>
      </c>
      <c r="AB14" s="29"/>
      <c r="AC14" s="54">
        <v>1</v>
      </c>
      <c r="AD14" s="83"/>
      <c r="AE14" s="84" t="e">
        <f>T14*AC14*1000</f>
        <v>#VALUE!</v>
      </c>
      <c r="AF14" s="151" t="s">
        <v>5709</v>
      </c>
      <c r="AG14" s="74"/>
      <c r="AH14" s="74"/>
      <c r="AI14" s="74"/>
      <c r="AJ14" s="74"/>
      <c r="AK14" s="74"/>
    </row>
    <row r="15" spans="1:37" s="85" customFormat="1">
      <c r="A15" s="74"/>
      <c r="B15" s="90" t="str">
        <f>[1]!'3141.TW-Capital'</f>
        <v>--</v>
      </c>
      <c r="C15" s="75" t="str">
        <f>[1]!'3141.TW-NetIncomeGrowthRate'</f>
        <v>--</v>
      </c>
      <c r="D15" s="76" t="str">
        <f>[1]!'3141.TW-OperIncomeGrowthRate'</f>
        <v>--</v>
      </c>
      <c r="E15" s="76" t="str">
        <f>[1]!'3141.TW-TFXRatio'</f>
        <v>--</v>
      </c>
      <c r="F15" s="76" t="str">
        <f>[1]!'3141.TW-MonthlyNetSalesYoY'</f>
        <v>--</v>
      </c>
      <c r="G15" s="143" t="str">
        <f>[1]!'3141.TW-ProfitMargin'</f>
        <v>--</v>
      </c>
      <c r="H15" s="148" t="str">
        <f>[1]!'3141.TW-OperatingProfitRatio'</f>
        <v>--</v>
      </c>
      <c r="I15" s="148" t="str">
        <f>[1]!'3141.TW-NetProfitMargin'</f>
        <v>--</v>
      </c>
      <c r="J15" s="127">
        <v>3141</v>
      </c>
      <c r="K15" s="57" t="str">
        <f>VLOOKUP($J15,STOCKS!$A$2:$B$2035,2,0)</f>
        <v>晶宏</v>
      </c>
      <c r="L15" s="26">
        <f>IFERROR(VLOOKUP($J15&amp;".TW",每日資料!$B$6:$J$1650,6,FALSE),"")</f>
        <v>14.79</v>
      </c>
      <c r="M15" s="114">
        <f>VLOOKUP($J15&amp;".TW",每日資料!$P$6:$U$1983,6,FALSE)</f>
        <v>25.66</v>
      </c>
      <c r="N15" s="115">
        <f>IFERROR(VLOOKUP($J15&amp;".TW",每日資料!$B$6:$J$1650,7,FALSE),"")</f>
        <v>23.02</v>
      </c>
      <c r="O15" s="27">
        <f>IFERROR(VLOOKUP($J15&amp;".TW",每日資料!$B$6:$J$1650,8,FALSE),"")</f>
        <v>71.67</v>
      </c>
      <c r="P15" s="77">
        <f>SUM(M15:O15)</f>
        <v>120.35</v>
      </c>
      <c r="Q15" s="113" t="str">
        <f>[1]!'3141.TW-CashAndStockDividend'</f>
        <v>--</v>
      </c>
      <c r="R15" s="79" t="str">
        <f>[1]!'3141.TW-ProfitFourSeason'</f>
        <v>--</v>
      </c>
      <c r="S15" s="79" t="str" cm="1">
        <f t="array" ref="S15">[1]!'3141.TW-CashDividendYieldRate'</f>
        <v>--</v>
      </c>
      <c r="T15" s="28">
        <f>VLOOKUP($J15,STOCKS!$D$2:$E$2035,2,0)</f>
        <v>259.5</v>
      </c>
      <c r="U15" s="33">
        <v>209</v>
      </c>
      <c r="V15" s="86">
        <f t="shared" si="10"/>
        <v>50.333500000000015</v>
      </c>
      <c r="W15" s="34">
        <f>V15/U15</f>
        <v>0.24083014354066992</v>
      </c>
      <c r="X15" s="7" t="str">
        <f>$K15</f>
        <v>晶宏</v>
      </c>
      <c r="Y15" s="80" t="s">
        <v>11</v>
      </c>
      <c r="Z15" s="128" t="str">
        <f>VLOOKUP($J15,STOCKS!$A$2:$C$2035,3,0)</f>
        <v>上櫃電子全部,上櫃半導體,上櫃普通股(排除KY個股),上櫃普通股(排除營建與金融)</v>
      </c>
      <c r="AA15" s="82">
        <v>44495</v>
      </c>
      <c r="AB15" s="29"/>
      <c r="AC15" s="54">
        <v>1</v>
      </c>
      <c r="AD15" s="83"/>
      <c r="AE15" s="84">
        <f>T15*AC15*1000</f>
        <v>259500</v>
      </c>
      <c r="AF15" s="151" t="s">
        <v>5710</v>
      </c>
      <c r="AG15" s="74"/>
      <c r="AH15" s="74"/>
      <c r="AI15" s="74"/>
      <c r="AJ15" s="74"/>
      <c r="AK15" s="74"/>
    </row>
    <row r="16" spans="1:37" s="85" customFormat="1">
      <c r="A16" s="74"/>
      <c r="B16" s="90" t="str">
        <f>[1]!'2340.TW-Capital'</f>
        <v>--</v>
      </c>
      <c r="C16" s="75" t="str">
        <f>[1]!'2340.TW-NetIncomeGrowthRate'</f>
        <v>--</v>
      </c>
      <c r="D16" s="76" t="str">
        <f>[1]!'2340.TW-OperIncomeGrowthRate'</f>
        <v>--</v>
      </c>
      <c r="E16" s="76" t="str">
        <f>[1]!'2340.TW-TFXRatio'</f>
        <v>--</v>
      </c>
      <c r="F16" s="76" t="str">
        <f>[1]!'2340.TW-MonthlyNetSalesYoY'</f>
        <v>--</v>
      </c>
      <c r="G16" s="143" t="str">
        <f>[1]!'2340.TW-ProfitMargin'</f>
        <v>--</v>
      </c>
      <c r="H16" s="148" t="str">
        <f>[1]!'2340.TW-OperatingProfitRatio'</f>
        <v>--</v>
      </c>
      <c r="I16" s="148" t="str">
        <f>[1]!'2340.TW-NetProfitMargin'</f>
        <v>--</v>
      </c>
      <c r="J16" s="127">
        <v>2340</v>
      </c>
      <c r="K16" s="57" t="str">
        <f>VLOOKUP($J16,STOCKS!$A$2:$B$2035,2,0)</f>
        <v>光磊</v>
      </c>
      <c r="L16" s="115">
        <f>IFERROR(VLOOKUP($J16&amp;".TW",每日資料!$B$6:$J$1650,6,FALSE),"")</f>
        <v>5</v>
      </c>
      <c r="M16" s="114">
        <f>VLOOKUP($J16&amp;".TW",每日資料!$P$6:$U$1983,6,FALSE)</f>
        <v>41.89</v>
      </c>
      <c r="N16" s="115">
        <f>IFERROR(VLOOKUP($J16&amp;".TW",每日資料!$B$6:$J$1650,7,FALSE),"")</f>
        <v>16.53</v>
      </c>
      <c r="O16" s="115">
        <f>IFERROR(VLOOKUP($J16&amp;".TW",每日資料!$B$6:$J$1650,8,FALSE),"")</f>
        <v>38.35</v>
      </c>
      <c r="P16" s="77">
        <f>SUM(M16:O16)</f>
        <v>96.77000000000001</v>
      </c>
      <c r="Q16" s="113" t="str">
        <f>[1]!'2340.TW-CashAndStockDividend'</f>
        <v>--</v>
      </c>
      <c r="R16" s="79" t="str">
        <f>[1]!'2340.TW-ProfitFourSeason'</f>
        <v>--</v>
      </c>
      <c r="S16" s="79" t="str" cm="1">
        <f t="array" ref="S16">[1]!'2340.TW-CashDividendYieldRate'</f>
        <v>--</v>
      </c>
      <c r="T16" s="28">
        <f>VLOOKUP($J16,STOCKS!$D$2:$E$2035,2,0)</f>
        <v>60.4</v>
      </c>
      <c r="U16" s="33">
        <v>39.35</v>
      </c>
      <c r="V16" s="86">
        <f t="shared" si="10"/>
        <v>21.014035</v>
      </c>
      <c r="W16" s="34">
        <f>V16/U16</f>
        <v>0.53402884371029224</v>
      </c>
      <c r="X16" s="7" t="str">
        <f>$K16</f>
        <v>光磊</v>
      </c>
      <c r="Y16" s="80" t="s">
        <v>11</v>
      </c>
      <c r="Z16" s="128" t="str">
        <f>VLOOKUP($J16,STOCKS!$A$2:$C$2035,3,0)</f>
        <v>上市電子全部,上市光電,上市普通股(排除KY個股),上市普通股(排除營建與金融)</v>
      </c>
      <c r="AA16" s="82">
        <v>44495</v>
      </c>
      <c r="AB16" s="29"/>
      <c r="AC16" s="54">
        <v>1</v>
      </c>
      <c r="AD16" s="83"/>
      <c r="AE16" s="84">
        <f>T16*AC16*1000</f>
        <v>60400</v>
      </c>
      <c r="AF16" s="151" t="s">
        <v>5711</v>
      </c>
      <c r="AG16" s="74"/>
      <c r="AH16" s="74"/>
      <c r="AI16" s="74"/>
      <c r="AJ16" s="74"/>
      <c r="AK16" s="74"/>
    </row>
    <row r="17" spans="1:37">
      <c r="V17" s="30">
        <f>SUM(V14:V16)</f>
        <v>71.347535000000022</v>
      </c>
      <c r="W17" s="35">
        <f>SUMIF(V14:V16,"&gt;0")*1000</f>
        <v>71347.535000000018</v>
      </c>
    </row>
    <row r="18" spans="1:37">
      <c r="V18" s="30"/>
      <c r="W18" s="35"/>
    </row>
    <row r="19" spans="1:37" s="85" customFormat="1">
      <c r="A19" s="74"/>
      <c r="B19" s="90" t="str">
        <f>[1]!'2312.TW-Capital'</f>
        <v>--</v>
      </c>
      <c r="C19" s="75" t="str">
        <f>[1]!'2312.TW-NetIncomeGrowthRate'</f>
        <v>--</v>
      </c>
      <c r="D19" s="76" t="str">
        <f>[1]!'2312.TW-OperIncomeGrowthRate'</f>
        <v>--</v>
      </c>
      <c r="E19" s="76" t="str">
        <f>[1]!'2312.TW-TFXRatio'</f>
        <v>--</v>
      </c>
      <c r="F19" s="76" t="str">
        <f>[1]!'2312.TW-MonthlyNetSalesYoY'</f>
        <v>--</v>
      </c>
      <c r="G19" s="143" t="str">
        <f>[1]!'2312.TW-ProfitMargin'</f>
        <v>--</v>
      </c>
      <c r="H19" s="148" t="str">
        <f>[1]!'2312.TW-OperatingProfitRatio'</f>
        <v>--</v>
      </c>
      <c r="I19" s="148" t="str">
        <f>[1]!'2312.TW-NetProfitMargin'</f>
        <v>--</v>
      </c>
      <c r="J19" s="127">
        <v>2312</v>
      </c>
      <c r="K19" s="57" t="str">
        <f>VLOOKUP($J19,STOCKS!$A$2:$B$2035,2,0)</f>
        <v>金寶</v>
      </c>
      <c r="L19" s="115">
        <f>IFERROR(VLOOKUP($J19&amp;".TW",每日資料!$B$6:$J$1650,6,FALSE),"")</f>
        <v>0.06</v>
      </c>
      <c r="M19" s="114">
        <f>VLOOKUP($J19&amp;".TW",每日資料!$P$6:$U$1983,6,FALSE)</f>
        <v>51.29</v>
      </c>
      <c r="N19" s="115">
        <f>IFERROR(VLOOKUP($J19&amp;".TW",每日資料!$B$6:$J$1650,7,FALSE),"")</f>
        <v>8.98</v>
      </c>
      <c r="O19" s="115">
        <f>IFERROR(VLOOKUP($J19&amp;".TW",每日資料!$B$6:$J$1650,8,FALSE),"")</f>
        <v>12.42</v>
      </c>
      <c r="P19" s="77">
        <f t="shared" ref="P19:P24" si="11">SUM(M19:O19)</f>
        <v>72.69</v>
      </c>
      <c r="Q19" s="113" t="str">
        <f>[1]!'2312.TW-CashAndStockDividend'</f>
        <v>--</v>
      </c>
      <c r="R19" s="79" t="str">
        <f>[1]!'2312.TW-ProfitFourSeason'</f>
        <v>--</v>
      </c>
      <c r="S19" s="79" t="str" cm="1">
        <f t="array" ref="S19">[1]!'2312.TW-CashDividendYieldRate'</f>
        <v>--</v>
      </c>
      <c r="T19" s="28" t="str">
        <f>VLOOKUP($J19,STOCKS!$D$2:$E$2035,2,0)</f>
        <v>--</v>
      </c>
      <c r="U19" s="33">
        <v>13.75</v>
      </c>
      <c r="V19" s="86" t="str">
        <f t="shared" ref="V19:V24" si="12">IFERROR(($T19-($T19*$AE$1-$T19*$AF$1))-($U19*$AF$1),"")</f>
        <v/>
      </c>
      <c r="W19" s="34" t="e">
        <f t="shared" ref="W19:W24" si="13">V19/U19</f>
        <v>#VALUE!</v>
      </c>
      <c r="X19" s="7" t="str">
        <f t="shared" ref="X19:X24" si="14">$K19</f>
        <v>金寶</v>
      </c>
      <c r="Y19" s="80" t="s">
        <v>11</v>
      </c>
      <c r="Z19" s="128" t="str">
        <f>VLOOKUP($J19,STOCKS!$A$2:$C$2035,3,0)</f>
        <v>上市電子全部,上市其他電子,上市普通股(排除KY個股),上市普通股(排除營建與金融)</v>
      </c>
      <c r="AA19" s="82">
        <v>44496</v>
      </c>
      <c r="AB19" s="29"/>
      <c r="AC19" s="54">
        <v>1</v>
      </c>
      <c r="AD19" s="83"/>
      <c r="AE19" s="84" t="e">
        <f t="shared" ref="AE19:AE24" si="15">T19*AC19*1000</f>
        <v>#VALUE!</v>
      </c>
      <c r="AF19" s="151" t="s">
        <v>5712</v>
      </c>
      <c r="AG19" s="74"/>
      <c r="AH19" s="74"/>
      <c r="AI19" s="74"/>
      <c r="AJ19" s="74"/>
      <c r="AK19" s="74"/>
    </row>
    <row r="20" spans="1:37" s="85" customFormat="1">
      <c r="A20" s="74"/>
      <c r="B20" s="90" t="str">
        <f>[1]!'6282.TW-Capital'</f>
        <v>0.00</v>
      </c>
      <c r="C20" s="75" t="str">
        <f>[1]!'6282.TW-NetIncomeGrowthRate'</f>
        <v>0.00</v>
      </c>
      <c r="D20" s="76" t="str">
        <f>[1]!'6282.TW-OperIncomeGrowthRate'</f>
        <v>0.00</v>
      </c>
      <c r="E20" s="76" t="str">
        <f>[1]!'6282.TW-TFXRatio'</f>
        <v>0.00</v>
      </c>
      <c r="F20" s="76" t="str">
        <f>[1]!'6282.TW-MonthlyNetSalesYoY'</f>
        <v>0.00</v>
      </c>
      <c r="G20" s="143" t="str">
        <f>[1]!'6282.TW-ProfitMargin'</f>
        <v>0.00</v>
      </c>
      <c r="H20" s="148" t="str">
        <f>[1]!'6282.TW-OperatingProfitRatio'</f>
        <v>0.00</v>
      </c>
      <c r="I20" s="148" t="str">
        <f>[1]!'6282.TW-NetProfitMargin'</f>
        <v>0.00</v>
      </c>
      <c r="J20" s="127">
        <v>6282</v>
      </c>
      <c r="K20" s="57" t="str">
        <f>VLOOKUP($J20,STOCKS!$A$2:$B$2035,2,0)</f>
        <v>康舒</v>
      </c>
      <c r="L20" s="115">
        <f>IFERROR(VLOOKUP($J20&amp;".TW",每日資料!$B$6:$J$1650,6,FALSE),"")</f>
        <v>0.68</v>
      </c>
      <c r="M20" s="114">
        <f>VLOOKUP($J20&amp;".TW",每日資料!$P$6:$U$1983,6,FALSE)</f>
        <v>39.840000000000003</v>
      </c>
      <c r="N20" s="115">
        <f>IFERROR(VLOOKUP($J20&amp;".TW",每日資料!$B$6:$J$1650,7,FALSE),"")</f>
        <v>10.79</v>
      </c>
      <c r="O20" s="115">
        <f>IFERROR(VLOOKUP($J20&amp;".TW",每日資料!$B$6:$J$1650,8,FALSE),"")</f>
        <v>15.09</v>
      </c>
      <c r="P20" s="77">
        <f t="shared" si="11"/>
        <v>65.72</v>
      </c>
      <c r="Q20" s="113" t="str">
        <f>[1]!'6282.TW-CashAndStockDividend'</f>
        <v>0.00</v>
      </c>
      <c r="R20" s="79" t="str">
        <f>[1]!'6282.TW-ProfitFourSeason'</f>
        <v>0.00</v>
      </c>
      <c r="S20" s="79" t="str" cm="1">
        <f t="array" ref="S20">[1]!'6282.TW-CashDividendYieldRate'</f>
        <v>--</v>
      </c>
      <c r="T20" s="28" t="str">
        <f>VLOOKUP($J20,STOCKS!$D$2:$E$2035,2,0)</f>
        <v>--</v>
      </c>
      <c r="U20" s="33">
        <v>31.95</v>
      </c>
      <c r="V20" s="86" t="str">
        <f t="shared" si="12"/>
        <v/>
      </c>
      <c r="W20" s="34" t="e">
        <f t="shared" si="13"/>
        <v>#VALUE!</v>
      </c>
      <c r="X20" s="7" t="str">
        <f t="shared" si="14"/>
        <v>康舒</v>
      </c>
      <c r="Y20" s="80" t="s">
        <v>11</v>
      </c>
      <c r="Z20" s="128" t="str">
        <f>VLOOKUP($J20,STOCKS!$A$2:$C$2035,3,0)</f>
        <v>上市電子全部,上市電子零組件,上市普通股(排除KY個股),上市普通股(排除營建與金融)</v>
      </c>
      <c r="AA20" s="82">
        <v>44496</v>
      </c>
      <c r="AB20" s="29"/>
      <c r="AC20" s="54">
        <v>1</v>
      </c>
      <c r="AD20" s="83"/>
      <c r="AE20" s="84" t="e">
        <f t="shared" si="15"/>
        <v>#VALUE!</v>
      </c>
      <c r="AF20" s="151" t="s">
        <v>5714</v>
      </c>
      <c r="AG20" s="74"/>
      <c r="AH20" s="74"/>
      <c r="AI20" s="74"/>
      <c r="AJ20" s="74"/>
      <c r="AK20" s="74"/>
    </row>
    <row r="21" spans="1:37" s="85" customFormat="1">
      <c r="A21" s="74"/>
      <c r="B21" s="90" t="str">
        <f>[1]!'3704.TW-Capital'</f>
        <v>--</v>
      </c>
      <c r="C21" s="75" t="str">
        <f>[1]!'3704.TW-NetIncomeGrowthRate'</f>
        <v>--</v>
      </c>
      <c r="D21" s="76" t="str">
        <f>[1]!'3704.TW-OperIncomeGrowthRate'</f>
        <v>--</v>
      </c>
      <c r="E21" s="76" t="str">
        <f>[1]!'3704.TW-TFXRatio'</f>
        <v>--</v>
      </c>
      <c r="F21" s="76" t="str">
        <f>[1]!'3704.TW-MonthlyNetSalesYoY'</f>
        <v>--</v>
      </c>
      <c r="G21" s="143" t="str">
        <f>[1]!'3704.TW-ProfitMargin'</f>
        <v>--</v>
      </c>
      <c r="H21" s="148" t="str">
        <f>[1]!'3704.TW-OperatingProfitRatio'</f>
        <v>--</v>
      </c>
      <c r="I21" s="148" t="str">
        <f>[1]!'3704.TW-NetProfitMargin'</f>
        <v>--</v>
      </c>
      <c r="J21" s="127">
        <v>3704</v>
      </c>
      <c r="K21" s="57" t="str">
        <f>VLOOKUP($J21,STOCKS!$A$2:$B$2035,2,0)</f>
        <v>合勤控</v>
      </c>
      <c r="L21" s="115">
        <f>IFERROR(VLOOKUP($J21&amp;".TW",每日資料!$B$6:$J$1650,6,FALSE),"")</f>
        <v>2.09</v>
      </c>
      <c r="M21" s="114">
        <f>VLOOKUP($J21&amp;".TW",每日資料!$P$6:$U$1983,6,FALSE)</f>
        <v>49.68</v>
      </c>
      <c r="N21" s="115">
        <f>IFERROR(VLOOKUP($J21&amp;".TW",每日資料!$B$6:$J$1650,7,FALSE),"")</f>
        <v>8.3800000000000008</v>
      </c>
      <c r="O21" s="115">
        <f>IFERROR(VLOOKUP($J21&amp;".TW",每日資料!$B$6:$J$1650,8,FALSE),"")</f>
        <v>16.79</v>
      </c>
      <c r="P21" s="77">
        <f t="shared" si="11"/>
        <v>74.849999999999994</v>
      </c>
      <c r="Q21" s="113" t="str">
        <f>[1]!'3704.TW-CashAndStockDividend'</f>
        <v>--</v>
      </c>
      <c r="R21" s="79" t="str">
        <f>[1]!'3704.TW-ProfitFourSeason'</f>
        <v>--</v>
      </c>
      <c r="S21" s="79" t="str" cm="1">
        <f t="array" ref="S21">[1]!'3704.TW-CashDividendYieldRate'</f>
        <v>--</v>
      </c>
      <c r="T21" s="28" t="str">
        <f>VLOOKUP($J21,STOCKS!$D$2:$E$2035,2,0)</f>
        <v>--</v>
      </c>
      <c r="U21" s="33">
        <v>30.1</v>
      </c>
      <c r="V21" s="86" t="str">
        <f t="shared" si="12"/>
        <v/>
      </c>
      <c r="W21" s="34" t="e">
        <f t="shared" si="13"/>
        <v>#VALUE!</v>
      </c>
      <c r="X21" s="7" t="str">
        <f t="shared" si="14"/>
        <v>合勤控</v>
      </c>
      <c r="Y21" s="80" t="s">
        <v>11</v>
      </c>
      <c r="Z21" s="128" t="str">
        <f>VLOOKUP($J21,STOCKS!$A$2:$C$2035,3,0)</f>
        <v>上市電子全部,上市通信網路,上市普通股(排除KY個股),上市普通股(排除營建與金融)</v>
      </c>
      <c r="AA21" s="82">
        <v>44496</v>
      </c>
      <c r="AB21" s="29"/>
      <c r="AC21" s="54">
        <v>1</v>
      </c>
      <c r="AD21" s="83"/>
      <c r="AE21" s="84" t="e">
        <f t="shared" si="15"/>
        <v>#VALUE!</v>
      </c>
      <c r="AF21" s="151" t="s">
        <v>5715</v>
      </c>
      <c r="AG21" s="74"/>
      <c r="AH21" s="74"/>
      <c r="AI21" s="74"/>
      <c r="AJ21" s="74"/>
      <c r="AK21" s="74"/>
    </row>
    <row r="22" spans="1:37" s="85" customFormat="1">
      <c r="A22" s="74"/>
      <c r="B22" s="90" t="str">
        <f>[1]!'6531.TW-Capital'</f>
        <v>--</v>
      </c>
      <c r="C22" s="75" t="str">
        <f>[1]!'6531.TW-NetIncomeGrowthRate'</f>
        <v>--</v>
      </c>
      <c r="D22" s="76" t="str">
        <f>[1]!'6531.TW-OperIncomeGrowthRate'</f>
        <v>--</v>
      </c>
      <c r="E22" s="76" t="str">
        <f>[1]!'6531.TW-TFXRatio'</f>
        <v>--</v>
      </c>
      <c r="F22" s="76" t="str">
        <f>[1]!'6531.TW-MonthlyNetSalesYoY'</f>
        <v>--</v>
      </c>
      <c r="G22" s="143" t="str">
        <f>[1]!'6531.TW-ProfitMargin'</f>
        <v>--</v>
      </c>
      <c r="H22" s="148" t="str">
        <f>[1]!'6531.TW-OperatingProfitRatio'</f>
        <v>--</v>
      </c>
      <c r="I22" s="148" t="str">
        <f>[1]!'6531.TW-NetProfitMargin'</f>
        <v>--</v>
      </c>
      <c r="J22" s="127">
        <v>6531</v>
      </c>
      <c r="K22" s="57" t="str">
        <f>VLOOKUP($J22,STOCKS!$A$2:$B$2035,2,0)</f>
        <v>愛普*</v>
      </c>
      <c r="L22" s="115">
        <f>IFERROR(VLOOKUP($J22&amp;".TW",每日資料!$B$6:$J$1650,6,FALSE),"")</f>
        <v>3.56</v>
      </c>
      <c r="M22" s="114">
        <f>VLOOKUP($J22&amp;".TW",每日資料!$P$6:$U$1983,6,FALSE)</f>
        <v>53.27</v>
      </c>
      <c r="N22" s="115">
        <f>IFERROR(VLOOKUP($J22&amp;".TW",每日資料!$B$6:$J$1650,7,FALSE),"")</f>
        <v>19.38</v>
      </c>
      <c r="O22" s="115">
        <f>IFERROR(VLOOKUP($J22&amp;".TW",每日資料!$B$6:$J$1650,8,FALSE),"")</f>
        <v>41.13</v>
      </c>
      <c r="P22" s="77">
        <f t="shared" si="11"/>
        <v>113.78</v>
      </c>
      <c r="Q22" s="113" t="str">
        <f>[1]!'6531.TW-CashAndStockDividend'</f>
        <v>--</v>
      </c>
      <c r="R22" s="79" t="str">
        <f>[1]!'6531.TW-ProfitFourSeason'</f>
        <v>--</v>
      </c>
      <c r="S22" s="79" t="str" cm="1">
        <f t="array" ref="S22">[1]!'6531.TW-CashDividendYieldRate'</f>
        <v>--</v>
      </c>
      <c r="T22" s="28" t="str">
        <f>VLOOKUP($J22,STOCKS!$D$2:$E$2035,2,0)</f>
        <v>--</v>
      </c>
      <c r="U22" s="33">
        <v>532</v>
      </c>
      <c r="V22" s="86" t="str">
        <f t="shared" si="12"/>
        <v/>
      </c>
      <c r="W22" s="34" t="e">
        <f t="shared" si="13"/>
        <v>#VALUE!</v>
      </c>
      <c r="X22" s="7" t="str">
        <f t="shared" si="14"/>
        <v>愛普*</v>
      </c>
      <c r="Y22" s="80" t="s">
        <v>11</v>
      </c>
      <c r="Z22" s="128" t="str">
        <f>VLOOKUP($J22,STOCKS!$A$2:$C$2035,3,0)</f>
        <v>上市電子全部,上市半導體,上市普通股(排除KY個股),上市普通股(排除營建與金融)</v>
      </c>
      <c r="AA22" s="82">
        <v>44496</v>
      </c>
      <c r="AB22" s="29"/>
      <c r="AC22" s="54">
        <v>1</v>
      </c>
      <c r="AD22" s="83"/>
      <c r="AE22" s="84" t="e">
        <f t="shared" si="15"/>
        <v>#VALUE!</v>
      </c>
      <c r="AF22" s="151" t="s">
        <v>5716</v>
      </c>
      <c r="AG22" s="74"/>
      <c r="AH22" s="74"/>
      <c r="AI22" s="74"/>
      <c r="AJ22" s="74"/>
      <c r="AK22" s="74"/>
    </row>
    <row r="23" spans="1:37" s="85" customFormat="1">
      <c r="A23" s="74"/>
      <c r="B23" s="90" t="str">
        <f>[1]!'2455.TW-Capital'</f>
        <v>--</v>
      </c>
      <c r="C23" s="75" t="str">
        <f>[1]!'2455.TW-NetIncomeGrowthRate'</f>
        <v>--</v>
      </c>
      <c r="D23" s="76" t="str">
        <f>[1]!'2455.TW-OperIncomeGrowthRate'</f>
        <v>--</v>
      </c>
      <c r="E23" s="76" t="str">
        <f>[1]!'2455.TW-TFXRatio'</f>
        <v>--</v>
      </c>
      <c r="F23" s="76" t="str">
        <f>[1]!'2455.TW-MonthlyNetSalesYoY'</f>
        <v>--</v>
      </c>
      <c r="G23" s="143" t="str">
        <f>[1]!'2455.TW-ProfitMargin'</f>
        <v>--</v>
      </c>
      <c r="H23" s="148" t="str">
        <f>[1]!'2455.TW-OperatingProfitRatio'</f>
        <v>--</v>
      </c>
      <c r="I23" s="148" t="str">
        <f>[1]!'2455.TW-NetProfitMargin'</f>
        <v>--</v>
      </c>
      <c r="J23" s="127">
        <v>2455</v>
      </c>
      <c r="K23" s="57" t="str">
        <f>VLOOKUP($J23,STOCKS!$A$2:$B$2035,2,0)</f>
        <v>全新</v>
      </c>
      <c r="L23" s="115">
        <f>IFERROR(VLOOKUP($J23&amp;".TW",每日資料!$B$6:$J$1650,6,FALSE),"")</f>
        <v>0.61</v>
      </c>
      <c r="M23" s="114">
        <f>VLOOKUP($J23&amp;".TW",每日資料!$P$6:$U$1983,6,FALSE)</f>
        <v>47.4</v>
      </c>
      <c r="N23" s="115">
        <f>IFERROR(VLOOKUP($J23&amp;".TW",每日資料!$B$6:$J$1650,7,FALSE),"")</f>
        <v>42.36</v>
      </c>
      <c r="O23" s="115">
        <f>IFERROR(VLOOKUP($J23&amp;".TW",每日資料!$B$6:$J$1650,8,FALSE),"")</f>
        <v>24.21</v>
      </c>
      <c r="P23" s="77">
        <f t="shared" si="11"/>
        <v>113.97</v>
      </c>
      <c r="Q23" s="113" t="str">
        <f>[1]!'2455.TW-CashAndStockDividend'</f>
        <v>--</v>
      </c>
      <c r="R23" s="79" t="str">
        <f>[1]!'2455.TW-ProfitFourSeason'</f>
        <v>--</v>
      </c>
      <c r="S23" s="79" t="str" cm="1">
        <f t="array" ref="S23">[1]!'2455.TW-CashDividendYieldRate'</f>
        <v>--</v>
      </c>
      <c r="T23" s="28">
        <f>VLOOKUP($J23,STOCKS!$D$2:$E$2035,2,0)</f>
        <v>146</v>
      </c>
      <c r="U23" s="33">
        <v>139.5</v>
      </c>
      <c r="V23" s="86">
        <f t="shared" si="12"/>
        <v>6.39975000000004</v>
      </c>
      <c r="W23" s="34">
        <f t="shared" si="13"/>
        <v>4.5876344086021793E-2</v>
      </c>
      <c r="X23" s="7" t="str">
        <f t="shared" si="14"/>
        <v>全新</v>
      </c>
      <c r="Y23" s="80" t="s">
        <v>11</v>
      </c>
      <c r="Z23" s="128" t="str">
        <f>VLOOKUP($J23,STOCKS!$A$2:$C$2035,3,0)</f>
        <v>上市電子全部,上市通信網路,上市普通股(排除KY個股),上市普通股(排除營建與金融)</v>
      </c>
      <c r="AA23" s="82">
        <v>44496</v>
      </c>
      <c r="AB23" s="29"/>
      <c r="AC23" s="54">
        <v>1</v>
      </c>
      <c r="AD23" s="83"/>
      <c r="AE23" s="84">
        <f t="shared" si="15"/>
        <v>146000</v>
      </c>
      <c r="AF23" s="151" t="s">
        <v>5718</v>
      </c>
      <c r="AG23" s="74"/>
      <c r="AH23" s="74"/>
      <c r="AI23" s="74"/>
      <c r="AJ23" s="74"/>
      <c r="AK23" s="74"/>
    </row>
    <row r="24" spans="1:37" s="85" customFormat="1">
      <c r="A24" s="74"/>
      <c r="B24" s="90" t="str">
        <f>[1]!'8086.TW-Capital'</f>
        <v>19.65</v>
      </c>
      <c r="C24" s="75" t="str">
        <f>[1]!'8086.TW-NetIncomeGrowthRate'</f>
        <v>31.67</v>
      </c>
      <c r="D24" s="76" t="str">
        <f>[1]!'8086.TW-OperIncomeGrowthRate'</f>
        <v>23.57</v>
      </c>
      <c r="E24" s="76" t="str">
        <f>[1]!'8086.TW-TFXRatio'</f>
        <v>2.37</v>
      </c>
      <c r="F24" s="76" t="str">
        <f>[1]!'8086.TW-MonthlyNetSalesYoY'</f>
        <v>39.52</v>
      </c>
      <c r="G24" s="143" t="str">
        <f>[1]!'8086.TW-ProfitMargin'</f>
        <v>29.17</v>
      </c>
      <c r="H24" s="148" t="str">
        <f>[1]!'8086.TW-OperatingProfitRatio'</f>
        <v>20.88</v>
      </c>
      <c r="I24" s="148" t="str">
        <f>[1]!'8086.TW-NetProfitMargin'</f>
        <v>18.02</v>
      </c>
      <c r="J24" s="127">
        <v>8086</v>
      </c>
      <c r="K24" s="57" t="str">
        <f>VLOOKUP($J24,STOCKS!$A$2:$B$2035,2,0)</f>
        <v>宏捷科</v>
      </c>
      <c r="L24" s="115">
        <f>IFERROR(VLOOKUP($J24&amp;".TW",每日資料!$B$6:$J$1650,6,FALSE),"")</f>
        <v>3.78</v>
      </c>
      <c r="M24" s="114">
        <f>VLOOKUP($J24&amp;".TW",每日資料!$P$6:$U$1983,6,FALSE)</f>
        <v>44.16</v>
      </c>
      <c r="N24" s="115">
        <f>IFERROR(VLOOKUP($J24&amp;".TW",每日資料!$B$6:$J$1650,7,FALSE),"")</f>
        <v>23.2</v>
      </c>
      <c r="O24" s="115">
        <f>IFERROR(VLOOKUP($J24&amp;".TW",每日資料!$B$6:$J$1650,8,FALSE),"")</f>
        <v>22.8</v>
      </c>
      <c r="P24" s="77">
        <f t="shared" si="11"/>
        <v>90.16</v>
      </c>
      <c r="Q24" s="113" t="str">
        <f>[1]!'8086.TW-CashAndStockDividend'</f>
        <v>2.80</v>
      </c>
      <c r="R24" s="79" t="str">
        <f>[1]!'8086.TW-ProfitFourSeason'</f>
        <v>4.10</v>
      </c>
      <c r="S24" s="79" cm="1">
        <f t="array" ref="S24">[1]!'8086.TW-CashDividendYieldRate'</f>
        <v>1.86</v>
      </c>
      <c r="T24" s="28">
        <f>VLOOKUP($J24,STOCKS!$D$2:$E$2035,2,0)</f>
        <v>150.5</v>
      </c>
      <c r="U24" s="33">
        <v>161.5</v>
      </c>
      <c r="V24" s="86">
        <f t="shared" si="12"/>
        <v>-11.108649999999983</v>
      </c>
      <c r="W24" s="34">
        <f t="shared" si="13"/>
        <v>-6.8784210526315684E-2</v>
      </c>
      <c r="X24" s="7" t="str">
        <f t="shared" si="14"/>
        <v>宏捷科</v>
      </c>
      <c r="Y24" s="80" t="s">
        <v>11</v>
      </c>
      <c r="Z24" s="128" t="str">
        <f>VLOOKUP($J24,STOCKS!$A$2:$C$2035,3,0)</f>
        <v>上櫃電子全部,上櫃半導體,上櫃普通股(排除KY個股),上櫃普通股(排除營建與金融)</v>
      </c>
      <c r="AA24" s="82">
        <v>44496</v>
      </c>
      <c r="AB24" s="29"/>
      <c r="AC24" s="54">
        <v>1</v>
      </c>
      <c r="AD24" s="83"/>
      <c r="AE24" s="84">
        <f t="shared" si="15"/>
        <v>150500</v>
      </c>
      <c r="AF24" s="151" t="s">
        <v>5717</v>
      </c>
      <c r="AG24" s="74"/>
      <c r="AH24" s="74"/>
      <c r="AI24" s="74"/>
      <c r="AJ24" s="74"/>
      <c r="AK24" s="74"/>
    </row>
    <row r="25" spans="1:37" s="85" customFormat="1" ht="17.399999999999999">
      <c r="A25" s="74"/>
      <c r="B25" s="90"/>
      <c r="C25" s="75"/>
      <c r="D25" s="76"/>
      <c r="E25" s="76"/>
      <c r="F25" s="76"/>
      <c r="G25" s="148"/>
      <c r="H25" s="148"/>
      <c r="I25" s="148"/>
      <c r="J25" s="92"/>
      <c r="K25" s="31"/>
      <c r="L25" s="26"/>
      <c r="M25" s="32"/>
      <c r="N25" s="27"/>
      <c r="O25" s="27"/>
      <c r="P25" s="77"/>
      <c r="Q25" s="78"/>
      <c r="R25" s="79"/>
      <c r="S25" s="79"/>
      <c r="T25" s="28"/>
      <c r="U25" s="33"/>
      <c r="V25" s="30">
        <f>SUM(V19:V24)</f>
        <v>-4.708899999999943</v>
      </c>
      <c r="W25" s="35">
        <f>SUMIF(V19:V24,"&gt;0")*1000</f>
        <v>6399.75000000004</v>
      </c>
      <c r="X25" s="7"/>
      <c r="Y25" s="80"/>
      <c r="Z25" s="81"/>
      <c r="AA25" s="82"/>
      <c r="AB25" s="29"/>
      <c r="AC25" s="54"/>
      <c r="AD25" s="83"/>
      <c r="AE25" s="84"/>
      <c r="AF25" s="151"/>
      <c r="AG25" s="74"/>
      <c r="AH25" s="74"/>
      <c r="AI25" s="74"/>
      <c r="AJ25" s="74"/>
      <c r="AK25" s="74"/>
    </row>
    <row r="26" spans="1:37" s="85" customFormat="1" ht="17.399999999999999">
      <c r="A26" s="74"/>
      <c r="B26" s="90"/>
      <c r="C26" s="75"/>
      <c r="D26" s="76"/>
      <c r="E26" s="76"/>
      <c r="F26" s="76"/>
      <c r="G26" s="148"/>
      <c r="H26" s="148"/>
      <c r="I26" s="148"/>
      <c r="J26" s="92"/>
      <c r="K26" s="31"/>
      <c r="L26" s="26"/>
      <c r="M26" s="32"/>
      <c r="N26" s="27"/>
      <c r="O26" s="27"/>
      <c r="P26" s="77"/>
      <c r="Q26" s="78"/>
      <c r="R26" s="79"/>
      <c r="S26" s="79"/>
      <c r="T26" s="28"/>
      <c r="U26" s="33"/>
      <c r="V26" s="30"/>
      <c r="W26" s="35"/>
      <c r="X26" s="7"/>
      <c r="Y26" s="80"/>
      <c r="Z26" s="81"/>
      <c r="AA26" s="82"/>
      <c r="AB26" s="29"/>
      <c r="AC26" s="54"/>
      <c r="AD26" s="83"/>
      <c r="AE26" s="84"/>
      <c r="AF26" s="151"/>
      <c r="AG26" s="74"/>
      <c r="AH26" s="74"/>
      <c r="AI26" s="74"/>
      <c r="AJ26" s="74"/>
      <c r="AK26" s="74"/>
    </row>
    <row r="27" spans="1:37" s="85" customFormat="1">
      <c r="A27" s="74"/>
      <c r="B27" s="90" t="str">
        <f>[1]!'3701.TW-Capital'</f>
        <v>--</v>
      </c>
      <c r="C27" s="75" t="str">
        <f>[1]!'3701.TW-NetIncomeGrowthRate'</f>
        <v>--</v>
      </c>
      <c r="D27" s="76" t="str">
        <f>[1]!'3701.TW-OperIncomeGrowthRate'</f>
        <v>--</v>
      </c>
      <c r="E27" s="76" t="str">
        <f>[1]!'3701.TW-TFXRatio'</f>
        <v>--</v>
      </c>
      <c r="F27" s="76" t="str">
        <f>[1]!'3701.TW-MonthlyNetSalesYoY'</f>
        <v>--</v>
      </c>
      <c r="G27" s="143" t="str">
        <f>[1]!'3701.TW-ProfitMargin'</f>
        <v>--</v>
      </c>
      <c r="H27" s="148" t="str">
        <f>[1]!'3701.TW-OperatingProfitRatio'</f>
        <v>--</v>
      </c>
      <c r="I27" s="148" t="str">
        <f>[1]!'3701.TW-NetProfitMargin'</f>
        <v>--</v>
      </c>
      <c r="J27" s="127">
        <v>3701</v>
      </c>
      <c r="K27" s="57" t="str">
        <f>VLOOKUP($J27,STOCKS!$A$2:$B$2035,2,0)</f>
        <v>大眾控</v>
      </c>
      <c r="L27" s="115">
        <f>IFERROR(VLOOKUP($J27&amp;".TW",每日資料!$B$6:$J$1650,6,FALSE),"")</f>
        <v>12.63</v>
      </c>
      <c r="M27" s="114">
        <f>VLOOKUP($J27&amp;".TW",每日資料!$P$6:$U$1983,6,FALSE)</f>
        <v>89.2</v>
      </c>
      <c r="N27" s="115">
        <f>IFERROR(VLOOKUP($J27&amp;".TW",每日資料!$B$6:$J$1650,7,FALSE),"")</f>
        <v>4.18</v>
      </c>
      <c r="O27" s="115">
        <f>IFERROR(VLOOKUP($J27&amp;".TW",每日資料!$B$6:$J$1650,8,FALSE),"")</f>
        <v>14.8</v>
      </c>
      <c r="P27" s="77">
        <f t="shared" ref="P27" si="16">SUM(M27:O27)</f>
        <v>108.17999999999999</v>
      </c>
      <c r="Q27" s="113" t="str">
        <f>[1]!'3701.TW-CashAndStockDividend'</f>
        <v>--</v>
      </c>
      <c r="R27" s="79" t="str">
        <f>[1]!'3701.TW-ProfitFourSeason'</f>
        <v>--</v>
      </c>
      <c r="S27" s="79" t="str" cm="1">
        <f t="array" ref="S27">[1]!'3701.TW-CashDividendYieldRate'</f>
        <v>--</v>
      </c>
      <c r="T27" s="28">
        <f>VLOOKUP($J27,STOCKS!$D$2:$E$2035,2,0)</f>
        <v>65.3</v>
      </c>
      <c r="U27" s="33">
        <v>56.1</v>
      </c>
      <c r="V27" s="86">
        <f t="shared" ref="V27:V38" si="17">IFERROR(($T27-($T27*$AE$1-$T27*$AF$1))-($U27*$AF$1),"")</f>
        <v>9.157049999999991</v>
      </c>
      <c r="W27" s="34">
        <f t="shared" ref="W27" si="18">V27/U27</f>
        <v>0.16322727272727255</v>
      </c>
      <c r="X27" s="7" t="str">
        <f t="shared" ref="X27:X38" si="19">$K27</f>
        <v>大眾控</v>
      </c>
      <c r="Y27" s="80" t="s">
        <v>11</v>
      </c>
      <c r="Z27" s="128" t="str">
        <f>VLOOKUP($J27,STOCKS!$A$2:$C$2035,3,0)</f>
        <v>上市電子全部,上市電腦及週邊設備,上市普通股(排除KY個股),上市普通股(排除營建與金融)</v>
      </c>
      <c r="AA27" s="82">
        <v>44502</v>
      </c>
      <c r="AB27" s="29"/>
      <c r="AC27" s="54">
        <v>1</v>
      </c>
      <c r="AD27" s="83"/>
      <c r="AE27" s="84">
        <f t="shared" ref="AE27" si="20">T27*AC27*1000</f>
        <v>65300</v>
      </c>
      <c r="AF27" s="151" t="s">
        <v>5731</v>
      </c>
      <c r="AG27" s="74"/>
      <c r="AH27" s="74"/>
      <c r="AI27" s="74"/>
      <c r="AJ27" s="74"/>
      <c r="AK27" s="74"/>
    </row>
    <row r="28" spans="1:37" s="85" customFormat="1">
      <c r="A28" s="74"/>
      <c r="B28" s="90"/>
      <c r="C28" s="75"/>
      <c r="D28" s="76"/>
      <c r="E28" s="76"/>
      <c r="F28" s="76"/>
      <c r="G28" s="148"/>
      <c r="H28" s="148"/>
      <c r="I28" s="148"/>
      <c r="J28" s="127"/>
      <c r="K28" s="57"/>
      <c r="L28" s="115"/>
      <c r="M28" s="114"/>
      <c r="N28" s="115"/>
      <c r="O28" s="115"/>
      <c r="P28" s="77"/>
      <c r="Q28" s="113"/>
      <c r="R28" s="79"/>
      <c r="S28" s="79"/>
      <c r="T28" s="28"/>
      <c r="U28" s="33"/>
      <c r="V28" s="86"/>
      <c r="W28" s="34"/>
      <c r="X28" s="7"/>
      <c r="Y28" s="80"/>
      <c r="Z28" s="128"/>
      <c r="AA28" s="82"/>
      <c r="AB28" s="29"/>
      <c r="AC28" s="54"/>
      <c r="AD28" s="83"/>
      <c r="AE28" s="84"/>
      <c r="AF28" s="151"/>
      <c r="AG28" s="74"/>
      <c r="AH28" s="74"/>
      <c r="AI28" s="74"/>
      <c r="AJ28" s="74"/>
      <c r="AK28" s="74"/>
    </row>
    <row r="29" spans="1:37" s="85" customFormat="1">
      <c r="A29" s="74"/>
      <c r="B29" s="90"/>
      <c r="C29" s="75"/>
      <c r="D29" s="76"/>
      <c r="E29" s="76"/>
      <c r="F29" s="76"/>
      <c r="G29" s="148"/>
      <c r="H29" s="148"/>
      <c r="I29" s="148"/>
      <c r="J29" s="127"/>
      <c r="K29" s="57"/>
      <c r="L29" s="115"/>
      <c r="M29" s="114"/>
      <c r="N29" s="115"/>
      <c r="O29" s="115"/>
      <c r="P29" s="77"/>
      <c r="Q29" s="113"/>
      <c r="R29" s="79"/>
      <c r="S29" s="79"/>
      <c r="T29" s="28"/>
      <c r="U29" s="33"/>
      <c r="V29" s="86"/>
      <c r="W29" s="34"/>
      <c r="X29" s="7"/>
      <c r="Y29" s="80"/>
      <c r="Z29" s="128"/>
      <c r="AA29" s="82"/>
      <c r="AB29" s="29"/>
      <c r="AC29" s="54"/>
      <c r="AD29" s="83"/>
      <c r="AE29" s="84"/>
      <c r="AF29" s="151"/>
      <c r="AG29" s="74"/>
      <c r="AH29" s="74"/>
      <c r="AI29" s="74"/>
      <c r="AJ29" s="74"/>
      <c r="AK29" s="74"/>
    </row>
    <row r="30" spans="1:37" s="85" customFormat="1">
      <c r="A30" s="74"/>
      <c r="B30" s="90" t="str">
        <f>[1]!'5351.TW-Capital'</f>
        <v>--</v>
      </c>
      <c r="C30" s="75" t="str">
        <f>[1]!'5351.TW-NetIncomeGrowthRate'</f>
        <v>--</v>
      </c>
      <c r="D30" s="76" t="str">
        <f>[1]!'5351.TW-OperIncomeGrowthRate'</f>
        <v>--</v>
      </c>
      <c r="E30" s="76" t="str">
        <f>[1]!'5351.TW-TFXRatio'</f>
        <v>--</v>
      </c>
      <c r="F30" s="76" t="str">
        <f>[1]!'5351.TW-MonthlyNetSalesYoY'</f>
        <v>--</v>
      </c>
      <c r="G30" s="143" t="str">
        <f>[1]!'5351.TW-ProfitMargin'</f>
        <v>--</v>
      </c>
      <c r="H30" s="148" t="str">
        <f>[1]!'5351.TW-OperatingProfitRatio'</f>
        <v>--</v>
      </c>
      <c r="I30" s="148" t="str">
        <f>[1]!'5351.TW-NetProfitMargin'</f>
        <v>--</v>
      </c>
      <c r="J30" s="127">
        <v>5351</v>
      </c>
      <c r="K30" s="57" t="str">
        <f>VLOOKUP($J30,STOCKS!$A$2:$B$2035,2,0)</f>
        <v>鈺創</v>
      </c>
      <c r="L30" s="115">
        <f>IFERROR(VLOOKUP($J30&amp;".TW",每日資料!$B$6:$J$1650,6,FALSE),"")</f>
        <v>14.21</v>
      </c>
      <c r="M30" s="114">
        <f>VLOOKUP($J30&amp;".TW",每日資料!$P$6:$U$1983,6,FALSE)</f>
        <v>34.869999999999997</v>
      </c>
      <c r="N30" s="115">
        <f>IFERROR(VLOOKUP($J30&amp;".TW",每日資料!$B$6:$J$1650,7,FALSE),"")</f>
        <v>14.34</v>
      </c>
      <c r="O30" s="115">
        <f>IFERROR(VLOOKUP($J30&amp;".TW",每日資料!$B$6:$J$1650,8,FALSE),"")</f>
        <v>55.09</v>
      </c>
      <c r="P30" s="77">
        <f t="shared" ref="P30" si="21">SUM(M30:O30)</f>
        <v>104.3</v>
      </c>
      <c r="Q30" s="113" t="str">
        <f>[1]!'5351.TW-CashAndStockDividend'</f>
        <v>--</v>
      </c>
      <c r="R30" s="79" t="str">
        <f>[1]!'5351.TW-ProfitFourSeason'</f>
        <v>--</v>
      </c>
      <c r="S30" s="79" t="str" cm="1">
        <f t="array" ref="S30">[1]!'5351.TW-CashDividendYieldRate'</f>
        <v>--</v>
      </c>
      <c r="T30" s="28">
        <f>VLOOKUP($J30,STOCKS!$D$2:$E$2035,2,0)</f>
        <v>88.8</v>
      </c>
      <c r="U30" s="33">
        <v>77.8</v>
      </c>
      <c r="V30" s="86">
        <f t="shared" si="17"/>
        <v>10.941140000000019</v>
      </c>
      <c r="W30" s="34">
        <f t="shared" ref="W30" si="22">V30/U30</f>
        <v>0.14063161953727532</v>
      </c>
      <c r="X30" s="7" t="str">
        <f t="shared" si="19"/>
        <v>鈺創</v>
      </c>
      <c r="Y30" s="80" t="s">
        <v>11</v>
      </c>
      <c r="Z30" s="128" t="str">
        <f>VLOOKUP($J30,STOCKS!$A$2:$C$2035,3,0)</f>
        <v>上櫃電子全部,上櫃半導體,上櫃普通股(排除KY個股),上櫃普通股(排除營建與金融)</v>
      </c>
      <c r="AA30" s="82">
        <v>44505</v>
      </c>
      <c r="AB30" s="29"/>
      <c r="AC30" s="54">
        <v>1</v>
      </c>
      <c r="AD30" s="83"/>
      <c r="AE30" s="84">
        <f t="shared" ref="AE30" si="23">T30*AC30*1000</f>
        <v>88800</v>
      </c>
      <c r="AF30" s="151" t="s">
        <v>5722</v>
      </c>
      <c r="AG30" s="74"/>
      <c r="AH30" s="74"/>
      <c r="AI30" s="74"/>
      <c r="AJ30" s="74"/>
      <c r="AK30" s="74"/>
    </row>
    <row r="31" spans="1:37" s="85" customFormat="1">
      <c r="A31" s="74"/>
      <c r="B31" s="90" t="str">
        <f>[1]!'2614.TW-Capital'</f>
        <v>--</v>
      </c>
      <c r="C31" s="75" t="str">
        <f>[1]!'2614.TW-NetIncomeGrowthRate'</f>
        <v>--</v>
      </c>
      <c r="D31" s="76" t="str">
        <f>[1]!'2614.TW-OperIncomeGrowthRate'</f>
        <v>--</v>
      </c>
      <c r="E31" s="76" t="str">
        <f>[1]!'2614.TW-TFXRatio'</f>
        <v>--</v>
      </c>
      <c r="F31" s="76" t="str">
        <f>[1]!'2614.TW-MonthlyNetSalesYoY'</f>
        <v>--</v>
      </c>
      <c r="G31" s="143" t="str">
        <f>[1]!'2614.TW-ProfitMargin'</f>
        <v>--</v>
      </c>
      <c r="H31" s="148" t="str">
        <f>[1]!'2614.TW-OperatingProfitRatio'</f>
        <v>--</v>
      </c>
      <c r="I31" s="148" t="str">
        <f>[1]!'2614.TW-NetProfitMargin'</f>
        <v>--</v>
      </c>
      <c r="J31" s="142">
        <v>2614</v>
      </c>
      <c r="K31" s="57" t="str">
        <f>VLOOKUP($J31,STOCKS!$A$2:$B$2035,2,0)</f>
        <v>東森</v>
      </c>
      <c r="L31" s="115">
        <f>IFERROR(VLOOKUP($J31&amp;".TW",每日資料!$B$6:$J$1650,6,FALSE),"")</f>
        <v>0.99</v>
      </c>
      <c r="M31" s="114">
        <f>VLOOKUP($J31&amp;".TW",每日資料!$P$6:$U$1983,6,FALSE)</f>
        <v>35.68</v>
      </c>
      <c r="N31" s="115">
        <f>IFERROR(VLOOKUP($J31&amp;".TW",每日資料!$B$6:$J$1650,7,FALSE),"")</f>
        <v>3.09</v>
      </c>
      <c r="O31" s="115">
        <f>IFERROR(VLOOKUP($J31&amp;".TW",每日資料!$B$6:$J$1650,8,FALSE),"")</f>
        <v>20.170000000000002</v>
      </c>
      <c r="P31" s="77">
        <f t="shared" ref="P31" si="24">SUM(M31:O31)</f>
        <v>58.94</v>
      </c>
      <c r="Q31" s="113" t="str">
        <f>[1]!'2614.TW-CashAndStockDividend'</f>
        <v>--</v>
      </c>
      <c r="R31" s="79" t="str">
        <f>[1]!'2614.TW-ProfitFourSeason'</f>
        <v>--</v>
      </c>
      <c r="S31" s="79" t="str" cm="1">
        <f t="array" ref="S31">[1]!'2614.TW-CashDividendYieldRate'</f>
        <v>--</v>
      </c>
      <c r="T31" s="28" t="str">
        <f>VLOOKUP($J31,STOCKS!$D$2:$E$2035,2,0)</f>
        <v>--</v>
      </c>
      <c r="U31" s="33">
        <v>38.950000000000003</v>
      </c>
      <c r="V31" s="86" t="str">
        <f t="shared" si="17"/>
        <v/>
      </c>
      <c r="W31" s="34" t="e">
        <f t="shared" ref="W31" si="25">V31/U31</f>
        <v>#VALUE!</v>
      </c>
      <c r="X31" s="7" t="str">
        <f t="shared" si="19"/>
        <v>東森</v>
      </c>
      <c r="Y31" s="80" t="s">
        <v>11</v>
      </c>
      <c r="Z31" s="128" t="str">
        <f>VLOOKUP($J31,STOCKS!$A$2:$C$2035,3,0)</f>
        <v>上市其他,上市普通股(排除KY個股),上市普通股(排除營建與金融)</v>
      </c>
      <c r="AA31" s="82">
        <v>44505</v>
      </c>
      <c r="AB31" s="29"/>
      <c r="AC31" s="54">
        <v>1</v>
      </c>
      <c r="AD31" s="83"/>
      <c r="AE31" s="84" t="e">
        <f t="shared" ref="AE31" si="26">T31*AC31*1000</f>
        <v>#VALUE!</v>
      </c>
      <c r="AF31" s="151" t="s">
        <v>5719</v>
      </c>
      <c r="AG31" s="74"/>
      <c r="AH31" s="74"/>
      <c r="AI31" s="74"/>
      <c r="AJ31" s="74"/>
      <c r="AK31" s="74"/>
    </row>
    <row r="32" spans="1:37" s="85" customFormat="1">
      <c r="A32" s="74"/>
      <c r="B32" s="90" t="str">
        <f>[1]!'1710.TW-Capital'</f>
        <v>--</v>
      </c>
      <c r="C32" s="75" t="str">
        <f>[1]!'1710.TW-NetIncomeGrowthRate'</f>
        <v>--</v>
      </c>
      <c r="D32" s="76" t="str">
        <f>[1]!'1710.TW-OperIncomeGrowthRate'</f>
        <v>--</v>
      </c>
      <c r="E32" s="76" t="str">
        <f>[1]!'1710.TW-TFXRatio'</f>
        <v>--</v>
      </c>
      <c r="F32" s="76" t="str">
        <f>[1]!'1710.TW-MonthlyNetSalesYoY'</f>
        <v>--</v>
      </c>
      <c r="G32" s="143" t="str">
        <f>[1]!'1710.TW-ProfitMargin'</f>
        <v>--</v>
      </c>
      <c r="H32" s="148" t="str">
        <f>[1]!'1710.TW-OperatingProfitRatio'</f>
        <v>--</v>
      </c>
      <c r="I32" s="148" t="str">
        <f>[1]!'1710.TW-NetProfitMargin'</f>
        <v>--</v>
      </c>
      <c r="J32" s="142">
        <v>1710</v>
      </c>
      <c r="K32" s="57" t="str">
        <f>VLOOKUP($J32,STOCKS!$A$2:$B$2035,2,0)</f>
        <v>東聯</v>
      </c>
      <c r="L32" s="115">
        <f>IFERROR(VLOOKUP($J32&amp;".TW",每日資料!$B$6:$J$1650,6,FALSE),"")</f>
        <v>0.13</v>
      </c>
      <c r="M32" s="114">
        <f>VLOOKUP($J32&amp;".TW",每日資料!$P$6:$U$1983,6,FALSE)</f>
        <v>58.6</v>
      </c>
      <c r="N32" s="115">
        <f>IFERROR(VLOOKUP($J32&amp;".TW",每日資料!$B$6:$J$1650,7,FALSE),"")</f>
        <v>8.52</v>
      </c>
      <c r="O32" s="115">
        <f>IFERROR(VLOOKUP($J32&amp;".TW",每日資料!$B$6:$J$1650,8,FALSE),"")</f>
        <v>9.4700000000000006</v>
      </c>
      <c r="P32" s="77">
        <f t="shared" ref="P32" si="27">SUM(M32:O32)</f>
        <v>76.59</v>
      </c>
      <c r="Q32" s="113" t="str">
        <f>[1]!'1710.TW-CashAndStockDividend'</f>
        <v>--</v>
      </c>
      <c r="R32" s="79" t="str">
        <f>[1]!'1710.TW-ProfitFourSeason'</f>
        <v>--</v>
      </c>
      <c r="S32" s="79" t="str" cm="1">
        <f t="array" ref="S32">[1]!'1710.TW-CashDividendYieldRate'</f>
        <v>--</v>
      </c>
      <c r="T32" s="28" t="str">
        <f>VLOOKUP($J32,STOCKS!$D$2:$E$2035,2,0)</f>
        <v>--</v>
      </c>
      <c r="U32" s="33">
        <v>24.8</v>
      </c>
      <c r="V32" s="86" t="str">
        <f t="shared" si="17"/>
        <v/>
      </c>
      <c r="W32" s="34" t="e">
        <f t="shared" ref="W32" si="28">V32/U32</f>
        <v>#VALUE!</v>
      </c>
      <c r="X32" s="7" t="str">
        <f t="shared" si="19"/>
        <v>東聯</v>
      </c>
      <c r="Y32" s="80" t="s">
        <v>11</v>
      </c>
      <c r="Z32" s="128" t="str">
        <f>VLOOKUP($J32,STOCKS!$A$2:$C$2035,3,0)</f>
        <v>上市化學生技醫療,上市化工,上市普通股(排除KY個股),上市普通股(排除營建與金融)</v>
      </c>
      <c r="AA32" s="82">
        <v>44503</v>
      </c>
      <c r="AB32" s="29"/>
      <c r="AC32" s="54">
        <v>1</v>
      </c>
      <c r="AD32" s="83"/>
      <c r="AE32" s="84" t="e">
        <f t="shared" ref="AE32" si="29">T32*AC32*1000</f>
        <v>#VALUE!</v>
      </c>
      <c r="AF32" s="151"/>
      <c r="AG32" s="74"/>
      <c r="AH32" s="74"/>
      <c r="AI32" s="74"/>
      <c r="AJ32" s="74"/>
      <c r="AK32" s="74"/>
    </row>
    <row r="33" spans="1:37" s="85" customFormat="1">
      <c r="A33" s="74"/>
      <c r="B33" s="90" t="str">
        <f>[1]!'3704.TW-Capital'</f>
        <v>--</v>
      </c>
      <c r="C33" s="75" t="str">
        <f>[1]!'3704.TW-NetIncomeGrowthRate'</f>
        <v>--</v>
      </c>
      <c r="D33" s="76" t="str">
        <f>[1]!'3704.TW-OperIncomeGrowthRate'</f>
        <v>--</v>
      </c>
      <c r="E33" s="76" t="str">
        <f>[1]!'3704.TW-TFXRatio'</f>
        <v>--</v>
      </c>
      <c r="F33" s="76" t="str">
        <f>[1]!'3704.TW-MonthlyNetSalesYoY'</f>
        <v>--</v>
      </c>
      <c r="G33" s="143" t="str">
        <f>[1]!'3704.TW-ProfitMargin'</f>
        <v>--</v>
      </c>
      <c r="H33" s="148" t="str">
        <f>[1]!'3704.TW-OperatingProfitRatio'</f>
        <v>--</v>
      </c>
      <c r="I33" s="148" t="str">
        <f>[1]!'3704.TW-NetProfitMargin'</f>
        <v>--</v>
      </c>
      <c r="J33" s="142">
        <v>3704</v>
      </c>
      <c r="K33" s="57" t="str">
        <f>VLOOKUP($J33,STOCKS!$A$2:$B$2035,2,0)</f>
        <v>合勤控</v>
      </c>
      <c r="L33" s="115">
        <f>IFERROR(VLOOKUP($J33&amp;".TW",每日資料!$B$6:$J$1650,6,FALSE),"")</f>
        <v>2.09</v>
      </c>
      <c r="M33" s="114">
        <f>VLOOKUP($J33&amp;".TW",每日資料!$P$6:$U$1983,6,FALSE)</f>
        <v>49.68</v>
      </c>
      <c r="N33" s="115">
        <f>IFERROR(VLOOKUP($J33&amp;".TW",每日資料!$B$6:$J$1650,7,FALSE),"")</f>
        <v>8.3800000000000008</v>
      </c>
      <c r="O33" s="115">
        <f>IFERROR(VLOOKUP($J33&amp;".TW",每日資料!$B$6:$J$1650,8,FALSE),"")</f>
        <v>16.79</v>
      </c>
      <c r="P33" s="77">
        <f t="shared" ref="P33" si="30">SUM(M33:O33)</f>
        <v>74.849999999999994</v>
      </c>
      <c r="Q33" s="113" t="str">
        <f>[1]!'3704.TW-CashAndStockDividend'</f>
        <v>--</v>
      </c>
      <c r="R33" s="79" t="str">
        <f>[1]!'3704.TW-ProfitFourSeason'</f>
        <v>--</v>
      </c>
      <c r="S33" s="79" t="str" cm="1">
        <f t="array" ref="S33">[1]!'3704.TW-CashDividendYieldRate'</f>
        <v>--</v>
      </c>
      <c r="T33" s="28" t="str">
        <f>VLOOKUP($J33,STOCKS!$D$2:$E$2035,2,0)</f>
        <v>--</v>
      </c>
      <c r="U33" s="33">
        <v>34</v>
      </c>
      <c r="V33" s="86" t="str">
        <f t="shared" si="17"/>
        <v/>
      </c>
      <c r="W33" s="34" t="e">
        <f t="shared" ref="W33" si="31">V33/U33</f>
        <v>#VALUE!</v>
      </c>
      <c r="X33" s="7" t="str">
        <f t="shared" si="19"/>
        <v>合勤控</v>
      </c>
      <c r="Y33" s="80" t="s">
        <v>11</v>
      </c>
      <c r="Z33" s="128" t="str">
        <f>VLOOKUP($J33,STOCKS!$A$2:$C$2035,3,0)</f>
        <v>上市電子全部,上市通信網路,上市普通股(排除KY個股),上市普通股(排除營建與金融)</v>
      </c>
      <c r="AA33" s="82">
        <v>44503</v>
      </c>
      <c r="AB33" s="29"/>
      <c r="AC33" s="54">
        <v>1</v>
      </c>
      <c r="AD33" s="83"/>
      <c r="AE33" s="84" t="e">
        <f t="shared" ref="AE33" si="32">T33*AC33*1000</f>
        <v>#VALUE!</v>
      </c>
      <c r="AF33" s="151"/>
      <c r="AG33" s="74"/>
      <c r="AH33" s="74"/>
      <c r="AI33" s="74"/>
      <c r="AJ33" s="74"/>
      <c r="AK33" s="74"/>
    </row>
    <row r="34" spans="1:37" s="85" customFormat="1">
      <c r="A34" s="74"/>
      <c r="B34" s="90" t="str">
        <f>[1]!'1440.TW-Capital'</f>
        <v>--</v>
      </c>
      <c r="C34" s="75" t="str">
        <f>[1]!'1440.TW-NetIncomeGrowthRate'</f>
        <v>--</v>
      </c>
      <c r="D34" s="76" t="str">
        <f>[1]!'1440.TW-OperIncomeGrowthRate'</f>
        <v>--</v>
      </c>
      <c r="E34" s="76" t="str">
        <f>[1]!'1440.TW-TFXRatio'</f>
        <v>--</v>
      </c>
      <c r="F34" s="76" t="str">
        <f>[1]!'1440.TW-MonthlyNetSalesYoY'</f>
        <v>--</v>
      </c>
      <c r="G34" s="143" t="str">
        <f>[1]!'1440.TW-ProfitMargin'</f>
        <v>--</v>
      </c>
      <c r="H34" s="148" t="str">
        <f>[1]!'1440.TW-OperatingProfitRatio'</f>
        <v>--</v>
      </c>
      <c r="I34" s="148" t="str">
        <f>[1]!'1440.TW-NetProfitMargin'</f>
        <v>--</v>
      </c>
      <c r="J34" s="142">
        <v>1440</v>
      </c>
      <c r="K34" s="57" t="str">
        <f>VLOOKUP($J34,STOCKS!$A$2:$B$2035,2,0)</f>
        <v>南紡</v>
      </c>
      <c r="L34" s="115">
        <f>IFERROR(VLOOKUP($J34&amp;".TW",每日資料!$B$6:$J$1650,6,FALSE),"")</f>
        <v>0.16</v>
      </c>
      <c r="M34" s="114">
        <f>VLOOKUP($J34&amp;".TW",每日資料!$P$6:$U$1983,6,FALSE)</f>
        <v>71.069999999999993</v>
      </c>
      <c r="N34" s="115">
        <f>IFERROR(VLOOKUP($J34&amp;".TW",每日資料!$B$6:$J$1650,7,FALSE),"")</f>
        <v>5.67</v>
      </c>
      <c r="O34" s="115">
        <f>IFERROR(VLOOKUP($J34&amp;".TW",每日資料!$B$6:$J$1650,8,FALSE),"")</f>
        <v>7.07</v>
      </c>
      <c r="P34" s="77">
        <f t="shared" ref="P34" si="33">SUM(M34:O34)</f>
        <v>83.81</v>
      </c>
      <c r="Q34" s="113" t="str">
        <f>[1]!'1440.TW-CashAndStockDividend'</f>
        <v>--</v>
      </c>
      <c r="R34" s="79" t="str">
        <f>[1]!'1440.TW-ProfitFourSeason'</f>
        <v>--</v>
      </c>
      <c r="S34" s="79" t="str" cm="1">
        <f t="array" ref="S34">[1]!'1440.TW-CashDividendYieldRate'</f>
        <v>--</v>
      </c>
      <c r="T34" s="28" t="str">
        <f>VLOOKUP($J34,STOCKS!$D$2:$E$2035,2,0)</f>
        <v>--</v>
      </c>
      <c r="U34" s="33">
        <v>23.7</v>
      </c>
      <c r="V34" s="86" t="str">
        <f t="shared" si="17"/>
        <v/>
      </c>
      <c r="W34" s="34" t="e">
        <f t="shared" ref="W34" si="34">V34/U34</f>
        <v>#VALUE!</v>
      </c>
      <c r="X34" s="7" t="str">
        <f t="shared" si="19"/>
        <v>南紡</v>
      </c>
      <c r="Y34" s="80" t="s">
        <v>11</v>
      </c>
      <c r="Z34" s="128" t="str">
        <f>VLOOKUP($J34,STOCKS!$A$2:$C$2035,3,0)</f>
        <v>上市紡織纖維,上市普通股(排除KY個股),上市普通股(排除營建與金融)</v>
      </c>
      <c r="AA34" s="82">
        <v>44503</v>
      </c>
      <c r="AB34" s="29"/>
      <c r="AC34" s="54">
        <v>1</v>
      </c>
      <c r="AD34" s="83"/>
      <c r="AE34" s="84" t="e">
        <f t="shared" ref="AE34" si="35">T34*AC34*1000</f>
        <v>#VALUE!</v>
      </c>
      <c r="AF34" s="151"/>
      <c r="AG34" s="74"/>
      <c r="AH34" s="74"/>
      <c r="AI34" s="74"/>
      <c r="AJ34" s="74"/>
      <c r="AK34" s="74"/>
    </row>
    <row r="35" spans="1:37" s="85" customFormat="1">
      <c r="A35" s="74"/>
      <c r="B35" s="90" t="str">
        <f>[1]!'2419.TW-Capital'</f>
        <v>--</v>
      </c>
      <c r="C35" s="75" t="str">
        <f>[1]!'2419.TW-NetIncomeGrowthRate'</f>
        <v>--</v>
      </c>
      <c r="D35" s="76" t="str">
        <f>[1]!'2419.TW-OperIncomeGrowthRate'</f>
        <v>--</v>
      </c>
      <c r="E35" s="76" t="str">
        <f>[1]!'2419.TW-TFXRatio'</f>
        <v>--</v>
      </c>
      <c r="F35" s="76" t="str">
        <f>[1]!'2419.TW-MonthlyNetSalesYoY'</f>
        <v>--</v>
      </c>
      <c r="G35" s="143" t="str">
        <f>[1]!'2419.TW-ProfitMargin'</f>
        <v>--</v>
      </c>
      <c r="H35" s="148" t="str">
        <f>[1]!'2419.TW-OperatingProfitRatio'</f>
        <v>--</v>
      </c>
      <c r="I35" s="148" t="str">
        <f>[1]!'2419.TW-NetProfitMargin'</f>
        <v>--</v>
      </c>
      <c r="J35" s="142">
        <v>2419</v>
      </c>
      <c r="K35" s="57" t="str">
        <f>VLOOKUP($J35,STOCKS!$A$2:$B$2035,2,0)</f>
        <v>仲琦</v>
      </c>
      <c r="L35" s="115">
        <f>IFERROR(VLOOKUP($J35&amp;".TW",每日資料!$B$6:$J$1650,6,FALSE),"")</f>
        <v>0.24</v>
      </c>
      <c r="M35" s="114">
        <f>VLOOKUP($J35&amp;".TW",每日資料!$P$6:$U$1983,6,FALSE)</f>
        <v>67.13</v>
      </c>
      <c r="N35" s="115">
        <f>IFERROR(VLOOKUP($J35&amp;".TW",每日資料!$B$6:$J$1650,7,FALSE),"")</f>
        <v>3.57</v>
      </c>
      <c r="O35" s="115">
        <f>IFERROR(VLOOKUP($J35&amp;".TW",每日資料!$B$6:$J$1650,8,FALSE),"")</f>
        <v>9</v>
      </c>
      <c r="P35" s="77">
        <f t="shared" ref="P35" si="36">SUM(M35:O35)</f>
        <v>79.699999999999989</v>
      </c>
      <c r="Q35" s="113" t="str">
        <f>[1]!'2419.TW-CashAndStockDividend'</f>
        <v>--</v>
      </c>
      <c r="R35" s="79" t="str">
        <f>[1]!'2419.TW-ProfitFourSeason'</f>
        <v>--</v>
      </c>
      <c r="S35" s="79" t="str" cm="1">
        <f t="array" ref="S35">[1]!'2419.TW-CashDividendYieldRate'</f>
        <v>--</v>
      </c>
      <c r="T35" s="28">
        <f>VLOOKUP($J35,STOCKS!$D$2:$E$2035,2,0)</f>
        <v>23.6</v>
      </c>
      <c r="U35" s="33">
        <v>21.7</v>
      </c>
      <c r="V35" s="86">
        <f t="shared" si="17"/>
        <v>1.884050000000002</v>
      </c>
      <c r="W35" s="34">
        <f t="shared" ref="W35" si="37">V35/U35</f>
        <v>8.6822580645161379E-2</v>
      </c>
      <c r="X35" s="7" t="str">
        <f t="shared" si="19"/>
        <v>仲琦</v>
      </c>
      <c r="Y35" s="80" t="s">
        <v>11</v>
      </c>
      <c r="Z35" s="128" t="str">
        <f>VLOOKUP($J35,STOCKS!$A$2:$C$2035,3,0)</f>
        <v>上市電子全部,上市通信網路,上市普通股(排除KY個股),上市普通股(排除營建與金融)</v>
      </c>
      <c r="AA35" s="82">
        <v>44503</v>
      </c>
      <c r="AB35" s="29"/>
      <c r="AC35" s="54">
        <v>1</v>
      </c>
      <c r="AD35" s="83"/>
      <c r="AE35" s="84">
        <f t="shared" ref="AE35" si="38">T35*AC35*1000</f>
        <v>23600</v>
      </c>
      <c r="AF35" s="151" t="s">
        <v>5712</v>
      </c>
      <c r="AG35" s="74"/>
      <c r="AH35" s="74"/>
      <c r="AI35" s="74"/>
      <c r="AJ35" s="74"/>
      <c r="AK35" s="74"/>
    </row>
    <row r="36" spans="1:37" s="85" customFormat="1">
      <c r="A36" s="74"/>
      <c r="B36" s="90" t="str">
        <f>[1]!'2023.TW-Capital'</f>
        <v>--</v>
      </c>
      <c r="C36" s="75" t="str">
        <f>[1]!'2023.TW-NetIncomeGrowthRate'</f>
        <v>--</v>
      </c>
      <c r="D36" s="76" t="str">
        <f>[1]!'2023.TW-OperIncomeGrowthRate'</f>
        <v>--</v>
      </c>
      <c r="E36" s="76" t="str">
        <f>[1]!'2023.TW-TFXRatio'</f>
        <v>--</v>
      </c>
      <c r="F36" s="76" t="str">
        <f>[1]!'2023.TW-MonthlyNetSalesYoY'</f>
        <v>--</v>
      </c>
      <c r="G36" s="143" t="str">
        <f>[1]!'2023.TW-ProfitMargin'</f>
        <v>--</v>
      </c>
      <c r="H36" s="148" t="str">
        <f>[1]!'2023.TW-OperatingProfitRatio'</f>
        <v>--</v>
      </c>
      <c r="I36" s="148" t="str">
        <f>[1]!'2023.TW-NetProfitMargin'</f>
        <v>--</v>
      </c>
      <c r="J36" s="142">
        <v>2023</v>
      </c>
      <c r="K36" s="57" t="str">
        <f>VLOOKUP($J36,STOCKS!$A$2:$B$2035,2,0)</f>
        <v>燁輝</v>
      </c>
      <c r="L36" s="115">
        <f>IFERROR(VLOOKUP($J36&amp;".TW",每日資料!$B$6:$J$1650,6,FALSE),"")</f>
        <v>0.49</v>
      </c>
      <c r="M36" s="114">
        <f>VLOOKUP($J36&amp;".TW",每日資料!$P$6:$U$1983,6,FALSE)</f>
        <v>68.92</v>
      </c>
      <c r="N36" s="115">
        <f>IFERROR(VLOOKUP($J36&amp;".TW",每日資料!$B$6:$J$1650,7,FALSE),"")</f>
        <v>5.73</v>
      </c>
      <c r="O36" s="115">
        <f>IFERROR(VLOOKUP($J36&amp;".TW",每日資料!$B$6:$J$1650,8,FALSE),"")</f>
        <v>8.16</v>
      </c>
      <c r="P36" s="77">
        <f t="shared" ref="P36:P37" si="39">SUM(M36:O36)</f>
        <v>82.81</v>
      </c>
      <c r="Q36" s="113" t="str">
        <f>[1]!'2023.TW-CashAndStockDividend'</f>
        <v>--</v>
      </c>
      <c r="R36" s="79" t="str">
        <f>[1]!'2023.TW-ProfitFourSeason'</f>
        <v>--</v>
      </c>
      <c r="S36" s="79" t="str" cm="1">
        <f t="array" ref="S36">[1]!'2023.TW-CashDividendYieldRate'</f>
        <v>--</v>
      </c>
      <c r="T36" s="28">
        <f>VLOOKUP($J36,STOCKS!$D$2:$E$2035,2,0)</f>
        <v>24.3</v>
      </c>
      <c r="U36" s="33">
        <v>25.35</v>
      </c>
      <c r="V36" s="86">
        <f t="shared" si="17"/>
        <v>-1.0673250000000003</v>
      </c>
      <c r="W36" s="34">
        <f t="shared" ref="W36:W37" si="40">V36/U36</f>
        <v>-4.2103550295857994E-2</v>
      </c>
      <c r="X36" s="7" t="str">
        <f t="shared" si="19"/>
        <v>燁輝</v>
      </c>
      <c r="Y36" s="80" t="s">
        <v>11</v>
      </c>
      <c r="Z36" s="128" t="str">
        <f>VLOOKUP($J36,STOCKS!$A$2:$C$2035,3,0)</f>
        <v>上市鋼鐵,上市普通股(排除KY個股),上市普通股(排除營建與金融)</v>
      </c>
      <c r="AA36" s="82">
        <v>44503</v>
      </c>
      <c r="AB36" s="29"/>
      <c r="AC36" s="54">
        <v>1</v>
      </c>
      <c r="AD36" s="83"/>
      <c r="AE36" s="84">
        <f t="shared" ref="AE36:AE37" si="41">T36*AC36*1000</f>
        <v>24300</v>
      </c>
      <c r="AF36" s="151"/>
      <c r="AG36" s="74"/>
      <c r="AH36" s="74"/>
      <c r="AI36" s="74"/>
      <c r="AJ36" s="74"/>
      <c r="AK36" s="74"/>
    </row>
    <row r="37" spans="1:37" s="85" customFormat="1">
      <c r="A37" s="74"/>
      <c r="B37" s="90" t="str">
        <f>[1]!'2376.TW-Capital'</f>
        <v>--</v>
      </c>
      <c r="C37" s="75" t="str">
        <f>[1]!'2376.TW-NetIncomeGrowthRate'</f>
        <v>--</v>
      </c>
      <c r="D37" s="76" t="str">
        <f>[1]!'2376.TW-OperIncomeGrowthRate'</f>
        <v>--</v>
      </c>
      <c r="E37" s="76" t="str">
        <f>[1]!'2376.TW-TFXRatio'</f>
        <v>--</v>
      </c>
      <c r="F37" s="76" t="str">
        <f>[1]!'2376.TW-MonthlyNetSalesYoY'</f>
        <v>--</v>
      </c>
      <c r="G37" s="143" t="str">
        <f>[1]!'2376.TW-ProfitMargin'</f>
        <v>--</v>
      </c>
      <c r="H37" s="148" t="str">
        <f>[1]!'2376.TW-OperatingProfitRatio'</f>
        <v>--</v>
      </c>
      <c r="I37" s="148" t="str">
        <f>[1]!'2376.TW-NetProfitMargin'</f>
        <v>--</v>
      </c>
      <c r="J37" s="142">
        <v>2376</v>
      </c>
      <c r="K37" s="57" t="str">
        <f>VLOOKUP($J37,STOCKS!$A$2:$B$2035,2,0)</f>
        <v>技嘉</v>
      </c>
      <c r="L37" s="115">
        <f>IFERROR(VLOOKUP($J37&amp;".TW",每日資料!$B$6:$J$1650,6,FALSE),"")</f>
        <v>1.25</v>
      </c>
      <c r="M37" s="114">
        <f>VLOOKUP($J37&amp;".TW",每日資料!$P$6:$U$1983,6,FALSE)</f>
        <v>64.09</v>
      </c>
      <c r="N37" s="115">
        <f>IFERROR(VLOOKUP($J37&amp;".TW",每日資料!$B$6:$J$1650,7,FALSE),"")</f>
        <v>41.8</v>
      </c>
      <c r="O37" s="115">
        <f>IFERROR(VLOOKUP($J37&amp;".TW",每日資料!$B$6:$J$1650,8,FALSE),"")</f>
        <v>12.33</v>
      </c>
      <c r="P37" s="77">
        <f t="shared" si="39"/>
        <v>118.22</v>
      </c>
      <c r="Q37" s="113" t="str">
        <f>[1]!'2376.TW-CashAndStockDividend'</f>
        <v>--</v>
      </c>
      <c r="R37" s="79" t="str">
        <f>[1]!'2376.TW-ProfitFourSeason'</f>
        <v>--</v>
      </c>
      <c r="S37" s="79" t="str" cm="1">
        <f t="array" ref="S37">[1]!'2376.TW-CashDividendYieldRate'</f>
        <v>--</v>
      </c>
      <c r="T37" s="28">
        <f>VLOOKUP($J37,STOCKS!$D$2:$E$2035,2,0)</f>
        <v>135</v>
      </c>
      <c r="U37" s="33">
        <v>123</v>
      </c>
      <c r="V37" s="86">
        <f t="shared" si="17"/>
        <v>11.909100000000024</v>
      </c>
      <c r="W37" s="34">
        <f t="shared" si="40"/>
        <v>9.6821951219512384E-2</v>
      </c>
      <c r="X37" s="7" t="str">
        <f t="shared" si="19"/>
        <v>技嘉</v>
      </c>
      <c r="Y37" s="80" t="s">
        <v>11</v>
      </c>
      <c r="Z37" s="128" t="str">
        <f>VLOOKUP($J37,STOCKS!$A$2:$C$2035,3,0)</f>
        <v>上市電子全部,上市電腦及週邊設備,上市普通股(排除KY個股),上市普通股(排除營建與金融)</v>
      </c>
      <c r="AA37" s="82">
        <v>44503</v>
      </c>
      <c r="AB37" s="29"/>
      <c r="AC37" s="54">
        <v>1</v>
      </c>
      <c r="AD37" s="83"/>
      <c r="AE37" s="84">
        <f t="shared" si="41"/>
        <v>135000</v>
      </c>
      <c r="AF37" s="151" t="s">
        <v>5725</v>
      </c>
      <c r="AG37" s="74"/>
      <c r="AH37" s="74"/>
      <c r="AI37" s="74"/>
      <c r="AJ37" s="74"/>
      <c r="AK37" s="74"/>
    </row>
    <row r="38" spans="1:37" s="85" customFormat="1">
      <c r="A38" s="74"/>
      <c r="B38" s="90" t="str">
        <f>[1]!'6226.TW-Capital'</f>
        <v>--</v>
      </c>
      <c r="C38" s="75" t="str">
        <f>[1]!'6226.TW-NetIncomeGrowthRate'</f>
        <v>--</v>
      </c>
      <c r="D38" s="76" t="str">
        <f>[1]!'6226.TW-OperIncomeGrowthRate'</f>
        <v>--</v>
      </c>
      <c r="E38" s="76" t="str">
        <f>[1]!'6226.TW-TFXRatio'</f>
        <v>--</v>
      </c>
      <c r="F38" s="76" t="str">
        <f>[1]!'6226.TW-MonthlyNetSalesYoY'</f>
        <v>--</v>
      </c>
      <c r="G38" s="143" t="str">
        <f>[1]!'6226.TW-ProfitMargin'</f>
        <v>--</v>
      </c>
      <c r="H38" s="148" t="str">
        <f>[1]!'6226.TW-OperatingProfitRatio'</f>
        <v>--</v>
      </c>
      <c r="I38" s="148" t="str">
        <f>[1]!'6226.TW-NetProfitMargin'</f>
        <v>--</v>
      </c>
      <c r="J38" s="142">
        <v>6226</v>
      </c>
      <c r="K38" s="57" t="str">
        <f>VLOOKUP($J38,STOCKS!$A$2:$B$2035,2,0)</f>
        <v>光鼎</v>
      </c>
      <c r="L38" s="115">
        <f>IFERROR(VLOOKUP($J38&amp;".TW",每日資料!$B$6:$J$1650,6,FALSE),"")</f>
        <v>4.55</v>
      </c>
      <c r="M38" s="114">
        <f>VLOOKUP($J38&amp;".TW",每日資料!$P$6:$U$1983,6,FALSE)</f>
        <v>15.58</v>
      </c>
      <c r="N38" s="115">
        <f>IFERROR(VLOOKUP($J38&amp;".TW",每日資料!$B$6:$J$1650,7,FALSE),"")</f>
        <v>1.65</v>
      </c>
      <c r="O38" s="115">
        <f>IFERROR(VLOOKUP($J38&amp;".TW",每日資料!$B$6:$J$1650,8,FALSE),"")</f>
        <v>23.79</v>
      </c>
      <c r="P38" s="77">
        <f t="shared" ref="P38" si="42">SUM(M38:O38)</f>
        <v>41.019999999999996</v>
      </c>
      <c r="Q38" s="113" t="str">
        <f>[1]!'6226.TW-CashAndStockDividend'</f>
        <v>--</v>
      </c>
      <c r="R38" s="79" t="str">
        <f>[1]!'6226.TW-ProfitFourSeason'</f>
        <v>--</v>
      </c>
      <c r="S38" s="79" t="str" cm="1">
        <f t="array" ref="S38">[1]!'6226.TW-CashDividendYieldRate'</f>
        <v>--</v>
      </c>
      <c r="T38" s="28" t="str">
        <f>VLOOKUP($J38,STOCKS!$D$2:$E$2035,2,0)</f>
        <v>--</v>
      </c>
      <c r="U38" s="93">
        <v>15.95</v>
      </c>
      <c r="V38" s="86" t="str">
        <f t="shared" si="17"/>
        <v/>
      </c>
      <c r="W38" s="34" t="e">
        <f t="shared" ref="W38" si="43">V38/U38</f>
        <v>#VALUE!</v>
      </c>
      <c r="X38" s="7" t="str">
        <f t="shared" si="19"/>
        <v>光鼎</v>
      </c>
      <c r="Y38" s="80" t="s">
        <v>11</v>
      </c>
      <c r="Z38" s="128" t="str">
        <f>VLOOKUP($J38,STOCKS!$A$2:$C$2035,3,0)</f>
        <v>上市電子全部,上市光電,上市普通股(排除KY個股),上市普通股(排除營建與金融)</v>
      </c>
      <c r="AA38" s="82">
        <v>44503</v>
      </c>
      <c r="AB38" s="29"/>
      <c r="AC38" s="54">
        <v>1</v>
      </c>
      <c r="AD38" s="83"/>
      <c r="AE38" s="84" t="e">
        <f t="shared" ref="AE38" si="44">T38*AC38*1000</f>
        <v>#VALUE!</v>
      </c>
      <c r="AF38" s="151"/>
      <c r="AG38" s="74"/>
      <c r="AH38" s="74"/>
      <c r="AI38" s="74"/>
      <c r="AJ38" s="74"/>
      <c r="AK38" s="74"/>
    </row>
    <row r="39" spans="1:37" s="94" customFormat="1">
      <c r="C39" s="95"/>
      <c r="G39" s="64"/>
      <c r="U39" s="30"/>
      <c r="V39" s="30">
        <f>SUM(V30:V38)</f>
        <v>23.666965000000044</v>
      </c>
      <c r="W39" s="35">
        <f>SUMIF(V30:V38,"&gt;0")*1000</f>
        <v>24734.290000000045</v>
      </c>
    </row>
    <row r="40" spans="1:37" s="94" customFormat="1">
      <c r="C40" s="95"/>
      <c r="G40" s="64"/>
      <c r="U40" s="30"/>
      <c r="V40" s="30"/>
      <c r="W40" s="35"/>
    </row>
    <row r="41" spans="1:37" s="85" customFormat="1">
      <c r="A41" s="74"/>
      <c r="B41" s="90" t="str">
        <f>[1]!'4916.TW-Capital'</f>
        <v>--</v>
      </c>
      <c r="C41" s="75" t="str">
        <f>[1]!'4916.TW-NetIncomeGrowthRate'</f>
        <v>--</v>
      </c>
      <c r="D41" s="76" t="str">
        <f>[1]!'4916.TW-OperIncomeGrowthRate'</f>
        <v>--</v>
      </c>
      <c r="E41" s="76" t="str">
        <f>[1]!'4916.TW-TFXRatio'</f>
        <v>--</v>
      </c>
      <c r="F41" s="76" t="str">
        <f>[1]!'4916.TW-MonthlyNetSalesYoY'</f>
        <v>--</v>
      </c>
      <c r="G41" s="143" t="str">
        <f>[1]!'4916.TW-ProfitMargin'</f>
        <v>--</v>
      </c>
      <c r="H41" s="148" t="str">
        <f>[1]!'4916.TW-OperatingProfitRatio'</f>
        <v>--</v>
      </c>
      <c r="I41" s="148" t="str">
        <f>[1]!'4916.TW-NetProfitMargin'</f>
        <v>--</v>
      </c>
      <c r="J41" s="142">
        <v>4916</v>
      </c>
      <c r="K41" s="57" t="str">
        <f>VLOOKUP($J41,STOCKS!$A$2:$B$2035,2,0)</f>
        <v>事欣科</v>
      </c>
      <c r="L41" s="115">
        <f>IFERROR(VLOOKUP($J41&amp;".TW",每日資料!$B$6:$J$1650,6,FALSE),"")</f>
        <v>1.87</v>
      </c>
      <c r="M41" s="114">
        <f>VLOOKUP($J41&amp;".TW",每日資料!$P$6:$U$1983,6,FALSE)</f>
        <v>33.89</v>
      </c>
      <c r="N41" s="115">
        <f>IFERROR(VLOOKUP($J41&amp;".TW",每日資料!$B$6:$J$1650,7,FALSE),"")</f>
        <v>2.19</v>
      </c>
      <c r="O41" s="115">
        <f>IFERROR(VLOOKUP($J41&amp;".TW",每日資料!$B$6:$J$1650,8,FALSE),"")</f>
        <v>21.31</v>
      </c>
      <c r="P41" s="77">
        <f t="shared" ref="P41" si="45">SUM(M41:O41)</f>
        <v>57.39</v>
      </c>
      <c r="Q41" s="113" t="str">
        <f>[1]!'4916.TW-CashAndStockDividend'</f>
        <v>--</v>
      </c>
      <c r="R41" s="79" t="str">
        <f>[1]!'4916.TW-ProfitFourSeason'</f>
        <v>--</v>
      </c>
      <c r="S41" s="79" t="str" cm="1">
        <f t="array" ref="S41">[1]!'4916.TW-CashDividendYieldRate'</f>
        <v>--</v>
      </c>
      <c r="T41" s="28" t="str">
        <f>VLOOKUP($J41,STOCKS!$D$2:$E$2035,2,0)</f>
        <v>--</v>
      </c>
      <c r="U41" s="93">
        <v>34.200000000000003</v>
      </c>
      <c r="V41" s="86" t="str">
        <f t="shared" ref="V41:V82" si="46">IFERROR(($T41-($T41*$AE$1-$T41*$AF$1))-($U41*$AF$1),"")</f>
        <v/>
      </c>
      <c r="W41" s="34" t="e">
        <f t="shared" ref="W41" si="47">V41/U41</f>
        <v>#VALUE!</v>
      </c>
      <c r="X41" s="7" t="str">
        <f t="shared" ref="X41:X82" si="48">$K41</f>
        <v>事欣科</v>
      </c>
      <c r="Y41" s="80" t="s">
        <v>11</v>
      </c>
      <c r="Z41" s="128" t="str">
        <f>VLOOKUP($J41,STOCKS!$A$2:$C$2035,3,0)</f>
        <v>上市電子全部,上市電腦及週邊設備,上市普通股(排除KY個股),上市普通股(排除營建與金融)</v>
      </c>
      <c r="AA41" s="82">
        <v>44505</v>
      </c>
      <c r="AB41" s="29"/>
      <c r="AC41" s="54">
        <v>1</v>
      </c>
      <c r="AD41" s="83"/>
      <c r="AE41" s="84" t="e">
        <f t="shared" ref="AE41" si="49">T41*AC41*1000</f>
        <v>#VALUE!</v>
      </c>
      <c r="AF41" s="151" t="s">
        <v>5720</v>
      </c>
      <c r="AG41" s="74"/>
      <c r="AH41" s="74"/>
      <c r="AI41" s="74"/>
      <c r="AJ41" s="74"/>
      <c r="AK41" s="74"/>
    </row>
    <row r="42" spans="1:37" s="85" customFormat="1">
      <c r="A42" s="74"/>
      <c r="B42" s="90" t="str">
        <f>[1]!'1609.TW-Capital'</f>
        <v>--</v>
      </c>
      <c r="C42" s="75" t="str">
        <f>[1]!'1609.TW-NetIncomeGrowthRate'</f>
        <v>--</v>
      </c>
      <c r="D42" s="76" t="str">
        <f>[1]!'1609.TW-OperIncomeGrowthRate'</f>
        <v>--</v>
      </c>
      <c r="E42" s="76" t="str">
        <f>[1]!'1609.TW-TFXRatio'</f>
        <v>--</v>
      </c>
      <c r="F42" s="76" t="str">
        <f>[1]!'1609.TW-MonthlyNetSalesYoY'</f>
        <v>--</v>
      </c>
      <c r="G42" s="143" t="str">
        <f>[1]!'1609.TW-ProfitMargin'</f>
        <v>--</v>
      </c>
      <c r="H42" s="148" t="str">
        <f>[1]!'1609.TW-OperatingProfitRatio'</f>
        <v>--</v>
      </c>
      <c r="I42" s="148" t="str">
        <f>[1]!'1609.TW-NetProfitMargin'</f>
        <v>--</v>
      </c>
      <c r="J42" s="142">
        <v>1609</v>
      </c>
      <c r="K42" s="57" t="str">
        <f>VLOOKUP($J42,STOCKS!$A$2:$B$2035,2,0)</f>
        <v>大亞</v>
      </c>
      <c r="L42" s="115">
        <f>IFERROR(VLOOKUP($J42&amp;".TW",每日資料!$B$6:$J$1650,6,FALSE),"")</f>
        <v>0.42</v>
      </c>
      <c r="M42" s="114">
        <f>VLOOKUP($J42&amp;".TW",每日資料!$P$6:$U$1983,6,FALSE)</f>
        <v>28.46</v>
      </c>
      <c r="N42" s="115">
        <f>IFERROR(VLOOKUP($J42&amp;".TW",每日資料!$B$6:$J$1650,7,FALSE),"")</f>
        <v>8.11</v>
      </c>
      <c r="O42" s="115">
        <f>IFERROR(VLOOKUP($J42&amp;".TW",每日資料!$B$6:$J$1650,8,FALSE),"")</f>
        <v>13.59</v>
      </c>
      <c r="P42" s="77">
        <f t="shared" ref="P42" si="50">SUM(M42:O42)</f>
        <v>50.16</v>
      </c>
      <c r="Q42" s="113" t="str">
        <f>[1]!'1609.TW-CashAndStockDividend'</f>
        <v>--</v>
      </c>
      <c r="R42" s="79" t="str">
        <f>[1]!'1609.TW-ProfitFourSeason'</f>
        <v>--</v>
      </c>
      <c r="S42" s="79" t="str" cm="1">
        <f t="array" ref="S42">[1]!'1609.TW-CashDividendYieldRate'</f>
        <v>--</v>
      </c>
      <c r="T42" s="28" t="str">
        <f>VLOOKUP($J42,STOCKS!$D$2:$E$2035,2,0)</f>
        <v>--</v>
      </c>
      <c r="U42" s="93">
        <v>27.35</v>
      </c>
      <c r="V42" s="86" t="str">
        <f t="shared" si="46"/>
        <v/>
      </c>
      <c r="W42" s="34" t="e">
        <f t="shared" ref="W42" si="51">V42/U42</f>
        <v>#VALUE!</v>
      </c>
      <c r="X42" s="7" t="str">
        <f t="shared" si="48"/>
        <v>大亞</v>
      </c>
      <c r="Y42" s="80" t="s">
        <v>11</v>
      </c>
      <c r="Z42" s="128" t="str">
        <f>VLOOKUP($J42,STOCKS!$A$2:$C$2035,3,0)</f>
        <v>上市電器電纜,上市普通股(排除KY個股),上市普通股(排除營建與金融)</v>
      </c>
      <c r="AA42" s="82">
        <v>44505</v>
      </c>
      <c r="AB42" s="29"/>
      <c r="AC42" s="54">
        <v>1</v>
      </c>
      <c r="AD42" s="83"/>
      <c r="AE42" s="84" t="e">
        <f t="shared" ref="AE42" si="52">T42*AC42*1000</f>
        <v>#VALUE!</v>
      </c>
      <c r="AF42" s="151" t="s">
        <v>5721</v>
      </c>
      <c r="AG42" s="74"/>
      <c r="AH42" s="74"/>
      <c r="AI42" s="74"/>
      <c r="AJ42" s="74"/>
      <c r="AK42" s="74"/>
    </row>
    <row r="43" spans="1:37" s="85" customFormat="1">
      <c r="A43" s="74"/>
      <c r="B43" s="90" t="str">
        <f>[1]!'4927.TW-Capital'</f>
        <v>0.00</v>
      </c>
      <c r="C43" s="75" t="str">
        <f>[1]!'4927.TW-NetIncomeGrowthRate'</f>
        <v>0.00</v>
      </c>
      <c r="D43" s="76" t="str">
        <f>[1]!'4927.TW-OperIncomeGrowthRate'</f>
        <v>0.00</v>
      </c>
      <c r="E43" s="76" t="str">
        <f>[1]!'4927.TW-TFXRatio'</f>
        <v>0.00</v>
      </c>
      <c r="F43" s="76" t="str">
        <f>[1]!'4927.TW-MonthlyNetSalesYoY'</f>
        <v>0.00</v>
      </c>
      <c r="G43" s="143" t="str">
        <f>[1]!'4927.TW-ProfitMargin'</f>
        <v>0.00</v>
      </c>
      <c r="H43" s="148" t="str">
        <f>[1]!'4927.TW-OperatingProfitRatio'</f>
        <v>0.00</v>
      </c>
      <c r="I43" s="148" t="str">
        <f>[1]!'4927.TW-NetProfitMargin'</f>
        <v>0.00</v>
      </c>
      <c r="J43" s="142">
        <v>4927</v>
      </c>
      <c r="K43" s="57" t="str">
        <f>VLOOKUP($J43,STOCKS!$A$2:$B$2035,2,0)</f>
        <v>泰鼎-KY</v>
      </c>
      <c r="L43" s="115">
        <f>IFERROR(VLOOKUP($J43&amp;".TW",每日資料!$B$6:$J$1650,6,FALSE),"")</f>
        <v>1.39</v>
      </c>
      <c r="M43" s="114">
        <f>VLOOKUP($J43&amp;".TW",每日資料!$P$6:$U$1983,6,FALSE)</f>
        <v>59.47</v>
      </c>
      <c r="N43" s="115">
        <f>IFERROR(VLOOKUP($J43&amp;".TW",每日資料!$B$6:$J$1650,7,FALSE),"")</f>
        <v>28.42</v>
      </c>
      <c r="O43" s="115">
        <f>IFERROR(VLOOKUP($J43&amp;".TW",每日資料!$B$6:$J$1650,8,FALSE),"")</f>
        <v>29.91</v>
      </c>
      <c r="P43" s="77">
        <f t="shared" ref="P43" si="53">SUM(M43:O43)</f>
        <v>117.8</v>
      </c>
      <c r="Q43" s="113" t="str">
        <f>[1]!'4927.TW-CashAndStockDividend'</f>
        <v>0.00</v>
      </c>
      <c r="R43" s="79" t="str">
        <f>[1]!'4927.TW-ProfitFourSeason'</f>
        <v>0.00</v>
      </c>
      <c r="S43" s="79" t="str" cm="1">
        <f t="array" ref="S43">[1]!'4927.TW-CashDividendYieldRate'</f>
        <v>--</v>
      </c>
      <c r="T43" s="28" t="str">
        <f>VLOOKUP($J43,STOCKS!$D$2:$E$2035,2,0)</f>
        <v>--</v>
      </c>
      <c r="U43" s="93">
        <v>85</v>
      </c>
      <c r="V43" s="86" t="str">
        <f t="shared" si="46"/>
        <v/>
      </c>
      <c r="W43" s="34" t="e">
        <f t="shared" ref="W43" si="54">V43/U43</f>
        <v>#VALUE!</v>
      </c>
      <c r="X43" s="7" t="str">
        <f t="shared" si="48"/>
        <v>泰鼎-KY</v>
      </c>
      <c r="Y43" s="80" t="s">
        <v>11</v>
      </c>
      <c r="Z43" s="128" t="str">
        <f>VLOOKUP($J43,STOCKS!$A$2:$C$2035,3,0)</f>
        <v>上市電子全部,上市電子零組件,上市普通股(排除營建與金融)</v>
      </c>
      <c r="AA43" s="82">
        <v>44505</v>
      </c>
      <c r="AB43" s="29"/>
      <c r="AC43" s="54">
        <v>1</v>
      </c>
      <c r="AD43" s="83"/>
      <c r="AE43" s="84" t="e">
        <f t="shared" ref="AE43" si="55">T43*AC43*1000</f>
        <v>#VALUE!</v>
      </c>
      <c r="AF43" s="151" t="s">
        <v>5721</v>
      </c>
      <c r="AG43" s="74"/>
      <c r="AH43" s="74"/>
      <c r="AI43" s="74"/>
      <c r="AJ43" s="74"/>
      <c r="AK43" s="74"/>
    </row>
    <row r="44" spans="1:37" s="85" customFormat="1">
      <c r="A44" s="74"/>
      <c r="B44" s="90" t="str">
        <f>[1]!'2610.TW-Capital'</f>
        <v>575.15</v>
      </c>
      <c r="C44" s="75" t="str">
        <f>[1]!'2610.TW-NetIncomeGrowthRate'</f>
        <v>146.24</v>
      </c>
      <c r="D44" s="76" t="str">
        <f>[1]!'2610.TW-OperIncomeGrowthRate'</f>
        <v>913.24</v>
      </c>
      <c r="E44" s="76" t="str">
        <f>[1]!'2610.TW-TFXRatio'</f>
        <v>14.56</v>
      </c>
      <c r="F44" s="76" t="str">
        <f>[1]!'2610.TW-MonthlyNetSalesYoY'</f>
        <v>54.82</v>
      </c>
      <c r="G44" s="143" t="str">
        <f>[1]!'2610.TW-ProfitMargin'</f>
        <v>10.98</v>
      </c>
      <c r="H44" s="148" t="str">
        <f>[1]!'2610.TW-OperatingProfitRatio'</f>
        <v>5.15</v>
      </c>
      <c r="I44" s="148" t="str">
        <f>[1]!'2610.TW-NetProfitMargin'</f>
        <v>1.20</v>
      </c>
      <c r="J44" s="142">
        <v>2610</v>
      </c>
      <c r="K44" s="57" t="str">
        <f>VLOOKUP($J44,STOCKS!$A$2:$B$2035,2,0)</f>
        <v>華航</v>
      </c>
      <c r="L44" s="115">
        <f>IFERROR(VLOOKUP($J44&amp;".TW",每日資料!$B$6:$J$1650,6,FALSE),"")</f>
        <v>5.94</v>
      </c>
      <c r="M44" s="114">
        <f>VLOOKUP($J44&amp;".TW",每日資料!$P$6:$U$1983,6,FALSE)</f>
        <v>70.55</v>
      </c>
      <c r="N44" s="115">
        <f>IFERROR(VLOOKUP($J44&amp;".TW",每日資料!$B$6:$J$1650,7,FALSE),"")</f>
        <v>17.36</v>
      </c>
      <c r="O44" s="115">
        <f>IFERROR(VLOOKUP($J44&amp;".TW",每日資料!$B$6:$J$1650,8,FALSE),"")</f>
        <v>21.65</v>
      </c>
      <c r="P44" s="77">
        <f t="shared" ref="P44" si="56">SUM(M44:O44)</f>
        <v>109.56</v>
      </c>
      <c r="Q44" s="113" t="str">
        <f>[1]!'2610.TW-CashAndStockDividend'</f>
        <v>0.00</v>
      </c>
      <c r="R44" s="79" t="str">
        <f>[1]!'2610.TW-ProfitFourSeason'</f>
        <v>0.68</v>
      </c>
      <c r="S44" s="79" cm="1">
        <f t="array" ref="S44">[1]!'2610.TW-CashDividendYieldRate'</f>
        <v>0</v>
      </c>
      <c r="T44" s="28">
        <f>VLOOKUP($J44,STOCKS!$D$2:$E$2035,2,0)</f>
        <v>28.4</v>
      </c>
      <c r="U44" s="93">
        <v>19.55</v>
      </c>
      <c r="V44" s="86">
        <f t="shared" si="46"/>
        <v>8.8327750000000016</v>
      </c>
      <c r="W44" s="34">
        <f t="shared" ref="W44" si="57">V44/U44</f>
        <v>0.45180434782608703</v>
      </c>
      <c r="X44" s="7" t="str">
        <f t="shared" si="48"/>
        <v>華航</v>
      </c>
      <c r="Y44" s="80" t="s">
        <v>11</v>
      </c>
      <c r="Z44" s="128" t="str">
        <f>VLOOKUP($J44,STOCKS!$A$2:$C$2035,3,0)</f>
        <v>上市航運業,上市普通股(排除KY個股),上市普通股(排除營建與金融)</v>
      </c>
      <c r="AA44" s="82">
        <v>44505</v>
      </c>
      <c r="AB44" s="29"/>
      <c r="AC44" s="54">
        <v>1</v>
      </c>
      <c r="AD44" s="83"/>
      <c r="AE44" s="84">
        <f t="shared" ref="AE44" si="58">T44*AC44*1000</f>
        <v>28400</v>
      </c>
      <c r="AF44" s="151" t="s">
        <v>5723</v>
      </c>
      <c r="AG44" s="74"/>
      <c r="AH44" s="74"/>
      <c r="AI44" s="74"/>
      <c r="AJ44" s="74"/>
      <c r="AK44" s="74"/>
    </row>
    <row r="45" spans="1:37" s="85" customFormat="1">
      <c r="A45" s="74"/>
      <c r="B45" s="90" t="str">
        <f>[1]!'2615.TW-Capital'</f>
        <v>0.00</v>
      </c>
      <c r="C45" s="75" t="str">
        <f>[1]!'2615.TW-NetIncomeGrowthRate'</f>
        <v>0.00</v>
      </c>
      <c r="D45" s="76" t="str">
        <f>[1]!'2615.TW-OperIncomeGrowthRate'</f>
        <v>0.00</v>
      </c>
      <c r="E45" s="76" t="str">
        <f>[1]!'2615.TW-TFXRatio'</f>
        <v>0.00</v>
      </c>
      <c r="F45" s="76" t="str">
        <f>[1]!'2615.TW-MonthlyNetSalesYoY'</f>
        <v>0.00</v>
      </c>
      <c r="G45" s="143" t="str">
        <f>[1]!'2615.TW-ProfitMargin'</f>
        <v>0.00</v>
      </c>
      <c r="H45" s="148" t="str">
        <f>[1]!'2615.TW-OperatingProfitRatio'</f>
        <v>0.00</v>
      </c>
      <c r="I45" s="148" t="str">
        <f>[1]!'2615.TW-NetProfitMargin'</f>
        <v>0.00</v>
      </c>
      <c r="J45" s="142">
        <v>2615</v>
      </c>
      <c r="K45" s="57" t="str">
        <f>VLOOKUP($J45,STOCKS!$A$2:$B$2035,2,0)</f>
        <v>萬海</v>
      </c>
      <c r="L45" s="115">
        <f>IFERROR(VLOOKUP($J45&amp;".TW",每日資料!$B$6:$J$1650,6,FALSE),"")</f>
        <v>0.67</v>
      </c>
      <c r="M45" s="114">
        <f>VLOOKUP($J45&amp;".TW",每日資料!$P$6:$U$1983,6,FALSE)</f>
        <v>84.56</v>
      </c>
      <c r="N45" s="115">
        <f>IFERROR(VLOOKUP($J45&amp;".TW",每日資料!$B$6:$J$1650,7,FALSE),"")</f>
        <v>43.67</v>
      </c>
      <c r="O45" s="115">
        <f>IFERROR(VLOOKUP($J45&amp;".TW",每日資料!$B$6:$J$1650,8,FALSE),"")</f>
        <v>7.58</v>
      </c>
      <c r="P45" s="77">
        <f t="shared" ref="P45" si="59">SUM(M45:O45)</f>
        <v>135.81000000000003</v>
      </c>
      <c r="Q45" s="113" t="str">
        <f>[1]!'2615.TW-CashAndStockDividend'</f>
        <v>0.00</v>
      </c>
      <c r="R45" s="79" t="str">
        <f>[1]!'2615.TW-ProfitFourSeason'</f>
        <v>0.00</v>
      </c>
      <c r="S45" s="79" t="str" cm="1">
        <f t="array" ref="S45">[1]!'2615.TW-CashDividendYieldRate'</f>
        <v>--</v>
      </c>
      <c r="T45" s="28" t="str">
        <f>VLOOKUP($J45,STOCKS!$D$2:$E$2035,2,0)</f>
        <v>--</v>
      </c>
      <c r="U45" s="93">
        <v>178</v>
      </c>
      <c r="V45" s="86" t="str">
        <f t="shared" si="46"/>
        <v/>
      </c>
      <c r="W45" s="34" t="e">
        <f t="shared" ref="W45" si="60">V45/U45</f>
        <v>#VALUE!</v>
      </c>
      <c r="X45" s="7" t="str">
        <f t="shared" si="48"/>
        <v>萬海</v>
      </c>
      <c r="Y45" s="80" t="s">
        <v>11</v>
      </c>
      <c r="Z45" s="128" t="str">
        <f>VLOOKUP($J45,STOCKS!$A$2:$C$2035,3,0)</f>
        <v>上市航運業,上市普通股(排除KY個股),上市普通股(排除營建與金融)</v>
      </c>
      <c r="AA45" s="82">
        <v>44505</v>
      </c>
      <c r="AB45" s="29"/>
      <c r="AC45" s="54">
        <v>1</v>
      </c>
      <c r="AD45" s="83"/>
      <c r="AE45" s="84" t="e">
        <f t="shared" ref="AE45" si="61">T45*AC45*1000</f>
        <v>#VALUE!</v>
      </c>
      <c r="AF45" s="151" t="s">
        <v>5745</v>
      </c>
      <c r="AG45" s="74"/>
      <c r="AH45" s="74"/>
      <c r="AI45" s="74"/>
      <c r="AJ45" s="74"/>
      <c r="AK45" s="74"/>
    </row>
    <row r="46" spans="1:37" s="85" customFormat="1">
      <c r="A46" s="74"/>
      <c r="B46" s="90" t="str">
        <f>[1]!'6190.TW-Capital'</f>
        <v>0.00</v>
      </c>
      <c r="C46" s="75" t="str">
        <f>[1]!'6190.TW-NetIncomeGrowthRate'</f>
        <v>0.00</v>
      </c>
      <c r="D46" s="76" t="str">
        <f>[1]!'6190.TW-OperIncomeGrowthRate'</f>
        <v>0.00</v>
      </c>
      <c r="E46" s="76" t="str">
        <f>[1]!'6190.TW-TFXRatio'</f>
        <v>0.00</v>
      </c>
      <c r="F46" s="76" t="str">
        <f>[1]!'6190.TW-MonthlyNetSalesYoY'</f>
        <v>0.00</v>
      </c>
      <c r="G46" s="143" t="str">
        <f>[1]!'6190.TW-ProfitMargin'</f>
        <v>0.00</v>
      </c>
      <c r="H46" s="148" t="str">
        <f>[1]!'6190.TW-OperatingProfitRatio'</f>
        <v>0.00</v>
      </c>
      <c r="I46" s="148" t="str">
        <f>[1]!'6190.TW-NetProfitMargin'</f>
        <v>0.00</v>
      </c>
      <c r="J46" s="142">
        <v>6190</v>
      </c>
      <c r="K46" s="57" t="str">
        <f>VLOOKUP($J46,STOCKS!$A$2:$B$2035,2,0)</f>
        <v>萬泰科</v>
      </c>
      <c r="L46" s="115">
        <f>IFERROR(VLOOKUP($J46&amp;".TW",每日資料!$B$6:$J$1650,6,FALSE),"")</f>
        <v>3.46</v>
      </c>
      <c r="M46" s="114">
        <f>VLOOKUP($J46&amp;".TW",每日資料!$P$6:$U$1983,6,FALSE)</f>
        <v>43.4</v>
      </c>
      <c r="N46" s="115">
        <f>IFERROR(VLOOKUP($J46&amp;".TW",每日資料!$B$6:$J$1650,7,FALSE),"")</f>
        <v>1.2</v>
      </c>
      <c r="O46" s="115">
        <f>IFERROR(VLOOKUP($J46&amp;".TW",每日資料!$B$6:$J$1650,8,FALSE),"")</f>
        <v>16.54</v>
      </c>
      <c r="P46" s="77">
        <f t="shared" ref="P46" si="62">SUM(M46:O46)</f>
        <v>61.14</v>
      </c>
      <c r="Q46" s="113" t="str">
        <f>[1]!'6190.TW-CashAndStockDividend'</f>
        <v>0.00</v>
      </c>
      <c r="R46" s="79" t="str">
        <f>[1]!'6190.TW-ProfitFourSeason'</f>
        <v>0.00</v>
      </c>
      <c r="S46" s="79" t="str" cm="1">
        <f t="array" ref="S46">[1]!'6190.TW-CashDividendYieldRate'</f>
        <v>--</v>
      </c>
      <c r="T46" s="28" t="str">
        <f>VLOOKUP($J46,STOCKS!$D$2:$E$2035,2,0)</f>
        <v>--</v>
      </c>
      <c r="U46" s="93">
        <v>26.9</v>
      </c>
      <c r="V46" s="86" t="str">
        <f t="shared" si="46"/>
        <v/>
      </c>
      <c r="W46" s="34" t="e">
        <f t="shared" ref="W46" si="63">V46/U46</f>
        <v>#VALUE!</v>
      </c>
      <c r="X46" s="7" t="str">
        <f t="shared" si="48"/>
        <v>萬泰科</v>
      </c>
      <c r="Y46" s="80" t="s">
        <v>11</v>
      </c>
      <c r="Z46" s="128" t="str">
        <f>VLOOKUP($J46,STOCKS!$A$2:$C$2035,3,0)</f>
        <v>上櫃電子全部,上櫃通信網路,上櫃普通股(排除KY個股),上櫃普通股(排除營建與金融)</v>
      </c>
      <c r="AA46" s="82">
        <v>44505</v>
      </c>
      <c r="AB46" s="29"/>
      <c r="AC46" s="54">
        <v>1</v>
      </c>
      <c r="AD46" s="83"/>
      <c r="AE46" s="84" t="e">
        <f t="shared" ref="AE46" si="64">T46*AC46*1000</f>
        <v>#VALUE!</v>
      </c>
      <c r="AF46" s="151" t="s">
        <v>5724</v>
      </c>
      <c r="AG46" s="74"/>
      <c r="AH46" s="74"/>
      <c r="AI46" s="74"/>
      <c r="AJ46" s="74"/>
      <c r="AK46" s="74"/>
    </row>
    <row r="47" spans="1:37" s="85" customFormat="1">
      <c r="A47" s="74"/>
      <c r="B47" s="90" t="str">
        <f>[1]!'2603.TW-Capital'</f>
        <v>0.00</v>
      </c>
      <c r="C47" s="75" t="str">
        <f>[1]!'2603.TW-NetIncomeGrowthRate'</f>
        <v>0.00</v>
      </c>
      <c r="D47" s="76" t="str">
        <f>[1]!'2603.TW-OperIncomeGrowthRate'</f>
        <v>0.00</v>
      </c>
      <c r="E47" s="76" t="str">
        <f>[1]!'2603.TW-TFXRatio'</f>
        <v>0.00</v>
      </c>
      <c r="F47" s="76" t="str">
        <f>[1]!'2603.TW-MonthlyNetSalesYoY'</f>
        <v>0.00</v>
      </c>
      <c r="G47" s="143" t="str">
        <f>[1]!'2603.TW-ProfitMargin'</f>
        <v>0.00</v>
      </c>
      <c r="H47" s="148" t="str">
        <f>[1]!'2603.TW-OperatingProfitRatio'</f>
        <v>0.00</v>
      </c>
      <c r="I47" s="148" t="str">
        <f>[1]!'2603.TW-NetProfitMargin'</f>
        <v>0.00</v>
      </c>
      <c r="J47" s="142">
        <v>2603</v>
      </c>
      <c r="K47" s="57" t="str">
        <f>VLOOKUP($J47,STOCKS!$A$2:$B$2035,2,0)</f>
        <v>長榮</v>
      </c>
      <c r="L47" s="115">
        <f>IFERROR(VLOOKUP($J47&amp;".TW",每日資料!$B$6:$J$1650,6,FALSE),"")</f>
        <v>0.73</v>
      </c>
      <c r="M47" s="114">
        <f>VLOOKUP($J47&amp;".TW",每日資料!$P$6:$U$1983,6,FALSE)</f>
        <v>57.04</v>
      </c>
      <c r="N47" s="115">
        <f>IFERROR(VLOOKUP($J47&amp;".TW",每日資料!$B$6:$J$1650,7,FALSE),"")</f>
        <v>29.06</v>
      </c>
      <c r="O47" s="115">
        <f>IFERROR(VLOOKUP($J47&amp;".TW",每日資料!$B$6:$J$1650,8,FALSE),"")</f>
        <v>21.86</v>
      </c>
      <c r="P47" s="77">
        <f t="shared" ref="P47" si="65">SUM(M47:O47)</f>
        <v>107.96</v>
      </c>
      <c r="Q47" s="113" t="str">
        <f>[1]!'2603.TW-CashAndStockDividend'</f>
        <v>0.00</v>
      </c>
      <c r="R47" s="79" t="str">
        <f>[1]!'2603.TW-ProfitFourSeason'</f>
        <v>0.00</v>
      </c>
      <c r="S47" s="79" t="str" cm="1">
        <f t="array" ref="S47">[1]!'2603.TW-CashDividendYieldRate'</f>
        <v>--</v>
      </c>
      <c r="T47" s="28" t="str">
        <f>VLOOKUP($J47,STOCKS!$D$2:$E$2035,2,0)</f>
        <v>--</v>
      </c>
      <c r="U47" s="93">
        <v>114</v>
      </c>
      <c r="V47" s="86" t="str">
        <f t="shared" si="46"/>
        <v/>
      </c>
      <c r="W47" s="34" t="e">
        <f t="shared" ref="W47" si="66">V47/U47</f>
        <v>#VALUE!</v>
      </c>
      <c r="X47" s="7" t="str">
        <f t="shared" si="48"/>
        <v>長榮</v>
      </c>
      <c r="Y47" s="80" t="s">
        <v>11</v>
      </c>
      <c r="Z47" s="128" t="str">
        <f>VLOOKUP($J47,STOCKS!$A$2:$C$2035,3,0)</f>
        <v>上市航運業,上市普通股(排除KY個股),上市普通股(排除營建與金融)</v>
      </c>
      <c r="AA47" s="82">
        <v>44505</v>
      </c>
      <c r="AB47" s="29"/>
      <c r="AC47" s="54">
        <v>1</v>
      </c>
      <c r="AD47" s="83"/>
      <c r="AE47" s="84" t="e">
        <f t="shared" ref="AE47" si="67">T47*AC47*1000</f>
        <v>#VALUE!</v>
      </c>
      <c r="AF47" s="151"/>
      <c r="AG47" s="74"/>
      <c r="AH47" s="74"/>
      <c r="AI47" s="74"/>
      <c r="AJ47" s="74"/>
      <c r="AK47" s="74"/>
    </row>
    <row r="48" spans="1:37" s="85" customFormat="1">
      <c r="A48" s="74"/>
      <c r="B48" s="90" t="str">
        <f>[1]!'8046.TW-Capital'</f>
        <v>0.00</v>
      </c>
      <c r="C48" s="75" t="str">
        <f>[1]!'8046.TW-NetIncomeGrowthRate'</f>
        <v>0.00</v>
      </c>
      <c r="D48" s="76" t="str">
        <f>[1]!'8046.TW-OperIncomeGrowthRate'</f>
        <v>0.00</v>
      </c>
      <c r="E48" s="76" t="str">
        <f>[1]!'8046.TW-TFXRatio'</f>
        <v>0.00</v>
      </c>
      <c r="F48" s="76" t="str">
        <f>[1]!'8046.TW-MonthlyNetSalesYoY'</f>
        <v>0.00</v>
      </c>
      <c r="G48" s="143" t="str">
        <f>[1]!'8046.TW-ProfitMargin'</f>
        <v>0.00</v>
      </c>
      <c r="H48" s="148" t="str">
        <f>[1]!'8046.TW-OperatingProfitRatio'</f>
        <v>0.00</v>
      </c>
      <c r="I48" s="148" t="str">
        <f>[1]!'8046.TW-NetProfitMargin'</f>
        <v>0.00</v>
      </c>
      <c r="J48" s="142">
        <v>8046</v>
      </c>
      <c r="K48" s="57" t="str">
        <f>VLOOKUP($J48,STOCKS!$A$2:$B$2035,2,0)</f>
        <v>南電</v>
      </c>
      <c r="L48" s="115">
        <f>IFERROR(VLOOKUP($J48&amp;".TW",每日資料!$B$6:$J$1650,6,FALSE),"")</f>
        <v>1.25</v>
      </c>
      <c r="M48" s="114">
        <f>VLOOKUP($J48&amp;".TW",每日資料!$P$6:$U$1983,6,FALSE)</f>
        <v>81.81</v>
      </c>
      <c r="N48" s="115">
        <f>IFERROR(VLOOKUP($J48&amp;".TW",每日資料!$B$6:$J$1650,7,FALSE),"")</f>
        <v>18.36</v>
      </c>
      <c r="O48" s="115">
        <f>IFERROR(VLOOKUP($J48&amp;".TW",每日資料!$B$6:$J$1650,8,FALSE),"")</f>
        <v>3.85</v>
      </c>
      <c r="P48" s="77">
        <f t="shared" ref="P48" si="68">SUM(M48:O48)</f>
        <v>104.02</v>
      </c>
      <c r="Q48" s="113" t="str">
        <f>[1]!'8046.TW-CashAndStockDividend'</f>
        <v>0.00</v>
      </c>
      <c r="R48" s="79" t="str">
        <f>[1]!'8046.TW-ProfitFourSeason'</f>
        <v>0.00</v>
      </c>
      <c r="S48" s="79" t="str" cm="1">
        <f t="array" ref="S48">[1]!'8046.TW-CashDividendYieldRate'</f>
        <v>--</v>
      </c>
      <c r="T48" s="28" t="str">
        <f>VLOOKUP($J48,STOCKS!$D$2:$E$2035,2,0)</f>
        <v>--</v>
      </c>
      <c r="U48" s="93">
        <v>558</v>
      </c>
      <c r="V48" s="86" t="str">
        <f t="shared" si="46"/>
        <v/>
      </c>
      <c r="W48" s="34" t="e">
        <f t="shared" ref="W48" si="69">V48/U48</f>
        <v>#VALUE!</v>
      </c>
      <c r="X48" s="7" t="str">
        <f t="shared" si="48"/>
        <v>南電</v>
      </c>
      <c r="Y48" s="80" t="s">
        <v>11</v>
      </c>
      <c r="Z48" s="128" t="str">
        <f>VLOOKUP($J48,STOCKS!$A$2:$C$2035,3,0)</f>
        <v>上市電子全部,上市電子零組件,上市普通股(排除KY個股),上市普通股(排除營建與金融)</v>
      </c>
      <c r="AA48" s="82">
        <v>44505</v>
      </c>
      <c r="AB48" s="29"/>
      <c r="AC48" s="54">
        <v>1</v>
      </c>
      <c r="AD48" s="83"/>
      <c r="AE48" s="84" t="e">
        <f t="shared" ref="AE48" si="70">T48*AC48*1000</f>
        <v>#VALUE!</v>
      </c>
      <c r="AF48" s="151" t="s">
        <v>5726</v>
      </c>
      <c r="AG48" s="74"/>
      <c r="AH48" s="74"/>
      <c r="AI48" s="74"/>
      <c r="AJ48" s="74"/>
      <c r="AK48" s="74"/>
    </row>
    <row r="49" spans="1:37" s="85" customFormat="1">
      <c r="A49" s="74"/>
      <c r="B49" s="90" t="str">
        <f>[1]!'1727.TW-Capital'</f>
        <v>--</v>
      </c>
      <c r="C49" s="75" t="str">
        <f>[1]!'1727.TW-NetIncomeGrowthRate'</f>
        <v>--</v>
      </c>
      <c r="D49" s="76" t="str">
        <f>[1]!'1727.TW-OperIncomeGrowthRate'</f>
        <v>--</v>
      </c>
      <c r="E49" s="76" t="str">
        <f>[1]!'1727.TW-TFXRatio'</f>
        <v>--</v>
      </c>
      <c r="F49" s="76" t="str">
        <f>[1]!'1727.TW-MonthlyNetSalesYoY'</f>
        <v>--</v>
      </c>
      <c r="G49" s="143" t="str">
        <f>[1]!'1727.TW-ProfitMargin'</f>
        <v>--</v>
      </c>
      <c r="H49" s="148" t="str">
        <f>[1]!'1727.TW-OperatingProfitRatio'</f>
        <v>--</v>
      </c>
      <c r="I49" s="148" t="str">
        <f>[1]!'1727.TW-NetProfitMargin'</f>
        <v>--</v>
      </c>
      <c r="J49" s="142">
        <v>1727</v>
      </c>
      <c r="K49" s="57" t="str">
        <f>VLOOKUP($J49,STOCKS!$A$2:$B$2035,2,0)</f>
        <v>中華化</v>
      </c>
      <c r="L49" s="115">
        <f>IFERROR(VLOOKUP($J49&amp;".TW",每日資料!$B$6:$J$1650,6,FALSE),"")</f>
        <v>12.74</v>
      </c>
      <c r="M49" s="114">
        <f>VLOOKUP($J49&amp;".TW",每日資料!$P$6:$U$1983,6,FALSE)</f>
        <v>53.87</v>
      </c>
      <c r="N49" s="115">
        <f>IFERROR(VLOOKUP($J49&amp;".TW",每日資料!$B$6:$J$1650,7,FALSE),"")</f>
        <v>4.51</v>
      </c>
      <c r="O49" s="115">
        <f>IFERROR(VLOOKUP($J49&amp;".TW",每日資料!$B$6:$J$1650,8,FALSE),"")</f>
        <v>21.95</v>
      </c>
      <c r="P49" s="77">
        <f t="shared" ref="P49" si="71">SUM(M49:O49)</f>
        <v>80.33</v>
      </c>
      <c r="Q49" s="113" t="str">
        <f>[1]!'1727.TW-CashAndStockDividend'</f>
        <v>--</v>
      </c>
      <c r="R49" s="79" t="str">
        <f>[1]!'1727.TW-ProfitFourSeason'</f>
        <v>--</v>
      </c>
      <c r="S49" s="79" t="str" cm="1">
        <f t="array" ref="S49">[1]!'1727.TW-CashDividendYieldRate'</f>
        <v>--</v>
      </c>
      <c r="T49" s="28">
        <f>VLOOKUP($J49,STOCKS!$D$2:$E$2035,2,0)</f>
        <v>59.1</v>
      </c>
      <c r="U49" s="93">
        <v>51.6</v>
      </c>
      <c r="V49" s="86">
        <f t="shared" si="46"/>
        <v>7.4608800000000102</v>
      </c>
      <c r="W49" s="34">
        <f t="shared" ref="W49" si="72">V49/U49</f>
        <v>0.14459069767441879</v>
      </c>
      <c r="X49" s="7" t="str">
        <f t="shared" si="48"/>
        <v>中華化</v>
      </c>
      <c r="Y49" s="80" t="s">
        <v>11</v>
      </c>
      <c r="Z49" s="128" t="str">
        <f>VLOOKUP($J49,STOCKS!$A$2:$C$2035,3,0)</f>
        <v>上市化學生技醫療,上市化工,上市普通股(排除KY個股),上市普通股(排除營建與金融)</v>
      </c>
      <c r="AA49" s="82">
        <v>44505</v>
      </c>
      <c r="AB49" s="29"/>
      <c r="AC49" s="54">
        <v>1</v>
      </c>
      <c r="AD49" s="83"/>
      <c r="AE49" s="84">
        <f t="shared" ref="AE49" si="73">T49*AC49*1000</f>
        <v>59100</v>
      </c>
      <c r="AF49" s="151" t="s">
        <v>5727</v>
      </c>
      <c r="AG49" s="74"/>
      <c r="AH49" s="74"/>
      <c r="AI49" s="74"/>
      <c r="AJ49" s="74"/>
      <c r="AK49" s="74"/>
    </row>
    <row r="50" spans="1:37" s="85" customFormat="1">
      <c r="A50" s="74"/>
      <c r="B50" s="90" t="str">
        <f>[1]!'1711.TW-Capital'</f>
        <v>54.78</v>
      </c>
      <c r="C50" s="75" t="str">
        <f>[1]!'1711.TW-NetIncomeGrowthRate'</f>
        <v>224.15</v>
      </c>
      <c r="D50" s="76" t="str">
        <f>[1]!'1711.TW-OperIncomeGrowthRate'</f>
        <v>523.88</v>
      </c>
      <c r="E50" s="76" t="str">
        <f>[1]!'1711.TW-TFXRatio'</f>
        <v>3.88</v>
      </c>
      <c r="F50" s="76" t="str">
        <f>[1]!'1711.TW-MonthlyNetSalesYoY'</f>
        <v>13.66</v>
      </c>
      <c r="G50" s="143" t="str">
        <f>[1]!'1711.TW-ProfitMargin'</f>
        <v>24.49</v>
      </c>
      <c r="H50" s="148" t="str">
        <f>[1]!'1711.TW-OperatingProfitRatio'</f>
        <v>7.08</v>
      </c>
      <c r="I50" s="148" t="str">
        <f>[1]!'1711.TW-NetProfitMargin'</f>
        <v>5.90</v>
      </c>
      <c r="J50" s="142">
        <v>1711</v>
      </c>
      <c r="K50" s="57" t="str">
        <f>VLOOKUP($J50,STOCKS!$A$2:$B$2035,2,0)</f>
        <v>永光</v>
      </c>
      <c r="L50" s="115">
        <f>IFERROR(VLOOKUP($J50&amp;".TW",每日資料!$B$6:$J$1650,6,FALSE),"")</f>
        <v>3.99</v>
      </c>
      <c r="M50" s="114">
        <f>VLOOKUP($J50&amp;".TW",每日資料!$P$6:$U$1983,6,FALSE)</f>
        <v>43.21</v>
      </c>
      <c r="N50" s="115">
        <f>IFERROR(VLOOKUP($J50&amp;".TW",每日資料!$B$6:$J$1650,7,FALSE),"")</f>
        <v>8.69</v>
      </c>
      <c r="O50" s="115">
        <f>IFERROR(VLOOKUP($J50&amp;".TW",每日資料!$B$6:$J$1650,8,FALSE),"")</f>
        <v>14</v>
      </c>
      <c r="P50" s="77">
        <f t="shared" ref="P50" si="74">SUM(M50:O50)</f>
        <v>65.900000000000006</v>
      </c>
      <c r="Q50" s="113" t="str">
        <f>[1]!'1711.TW-CashAndStockDividend'</f>
        <v>0.30</v>
      </c>
      <c r="R50" s="79" t="str">
        <f>[1]!'1711.TW-ProfitFourSeason'</f>
        <v>0.87</v>
      </c>
      <c r="S50" s="79" cm="1">
        <f t="array" ref="S50">[1]!'1711.TW-CashDividendYieldRate'</f>
        <v>1.06</v>
      </c>
      <c r="T50" s="28">
        <f>VLOOKUP($J50,STOCKS!$D$2:$E$2035,2,0)</f>
        <v>28.35</v>
      </c>
      <c r="U50" s="93">
        <v>29.35</v>
      </c>
      <c r="V50" s="86">
        <f t="shared" si="46"/>
        <v>-1.0201449999999959</v>
      </c>
      <c r="W50" s="34">
        <f t="shared" ref="W50" si="75">V50/U50</f>
        <v>-3.4757921635434272E-2</v>
      </c>
      <c r="X50" s="7" t="str">
        <f t="shared" si="48"/>
        <v>永光</v>
      </c>
      <c r="Y50" s="80" t="s">
        <v>11</v>
      </c>
      <c r="Z50" s="128" t="str">
        <f>VLOOKUP($J50,STOCKS!$A$2:$C$2035,3,0)</f>
        <v>上市化學生技醫療,上市化工,上市普通股(排除KY個股),上市普通股(排除營建與金融)</v>
      </c>
      <c r="AA50" s="82">
        <v>44505</v>
      </c>
      <c r="AB50" s="29"/>
      <c r="AC50" s="54">
        <v>1</v>
      </c>
      <c r="AD50" s="83"/>
      <c r="AE50" s="84">
        <f t="shared" ref="AE50" si="76">T50*AC50*1000</f>
        <v>28350</v>
      </c>
      <c r="AF50" s="151" t="s">
        <v>5728</v>
      </c>
      <c r="AG50" s="74"/>
      <c r="AH50" s="74"/>
      <c r="AI50" s="74"/>
      <c r="AJ50" s="74"/>
      <c r="AK50" s="74"/>
    </row>
    <row r="51" spans="1:37" s="85" customFormat="1">
      <c r="A51" s="74"/>
      <c r="B51" s="90" t="str">
        <f>[1]!'6205.TW-Capital'</f>
        <v>7.20</v>
      </c>
      <c r="C51" s="75" t="str">
        <f>[1]!'6205.TW-NetIncomeGrowthRate'</f>
        <v>-12.39</v>
      </c>
      <c r="D51" s="76" t="str">
        <f>[1]!'6205.TW-OperIncomeGrowthRate'</f>
        <v>-15.19</v>
      </c>
      <c r="E51" s="76" t="str">
        <f>[1]!'6205.TW-TFXRatio'</f>
        <v>-3.01</v>
      </c>
      <c r="F51" s="76" t="str">
        <f>[1]!'6205.TW-MonthlyNetSalesYoY'</f>
        <v>26.38</v>
      </c>
      <c r="G51" s="143" t="str">
        <f>[1]!'6205.TW-ProfitMargin'</f>
        <v>28.90</v>
      </c>
      <c r="H51" s="148" t="str">
        <f>[1]!'6205.TW-OperatingProfitRatio'</f>
        <v>9.85</v>
      </c>
      <c r="I51" s="148" t="str">
        <f>[1]!'6205.TW-NetProfitMargin'</f>
        <v>8.63</v>
      </c>
      <c r="J51" s="142">
        <v>6205</v>
      </c>
      <c r="K51" s="57" t="str">
        <f>VLOOKUP($J51,STOCKS!$A$2:$B$2035,2,0)</f>
        <v>詮欣</v>
      </c>
      <c r="L51" s="115">
        <f>IFERROR(VLOOKUP($J51&amp;".TW",每日資料!$B$6:$J$1650,6,FALSE),"")</f>
        <v>5.05</v>
      </c>
      <c r="M51" s="114">
        <f>VLOOKUP($J51&amp;".TW",每日資料!$P$6:$U$1983,6,FALSE)</f>
        <v>44.86</v>
      </c>
      <c r="N51" s="115">
        <f>IFERROR(VLOOKUP($J51&amp;".TW",每日資料!$B$6:$J$1650,7,FALSE),"")</f>
        <v>3.38</v>
      </c>
      <c r="O51" s="115">
        <f>IFERROR(VLOOKUP($J51&amp;".TW",每日資料!$B$6:$J$1650,8,FALSE),"")</f>
        <v>30.25</v>
      </c>
      <c r="P51" s="77">
        <f t="shared" ref="P51" si="77">SUM(M51:O51)</f>
        <v>78.490000000000009</v>
      </c>
      <c r="Q51" s="113" t="str">
        <f>[1]!'6205.TW-CashAndStockDividend'</f>
        <v>1.50</v>
      </c>
      <c r="R51" s="79" t="str">
        <f>[1]!'6205.TW-ProfitFourSeason'</f>
        <v>1.79</v>
      </c>
      <c r="S51" s="79" cm="1">
        <f t="array" ref="S51">[1]!'6205.TW-CashDividendYieldRate'</f>
        <v>3.1</v>
      </c>
      <c r="T51" s="28" t="str">
        <f>VLOOKUP($J51,STOCKS!$D$2:$E$2035,2,0)</f>
        <v>--</v>
      </c>
      <c r="U51" s="93">
        <v>43.55</v>
      </c>
      <c r="V51" s="86" t="str">
        <f t="shared" si="46"/>
        <v/>
      </c>
      <c r="W51" s="34" t="e">
        <f t="shared" ref="W51" si="78">V51/U51</f>
        <v>#VALUE!</v>
      </c>
      <c r="X51" s="7" t="str">
        <f t="shared" si="48"/>
        <v>詮欣</v>
      </c>
      <c r="Y51" s="80" t="s">
        <v>11</v>
      </c>
      <c r="Z51" s="128" t="str">
        <f>VLOOKUP($J51,STOCKS!$A$2:$C$2035,3,0)</f>
        <v>上市電子全部,上市電子零組件,上市普通股(排除KY個股),上市普通股(排除營建與金融)</v>
      </c>
      <c r="AA51" s="82">
        <v>44505</v>
      </c>
      <c r="AB51" s="29"/>
      <c r="AC51" s="54">
        <v>1</v>
      </c>
      <c r="AD51" s="83"/>
      <c r="AE51" s="84" t="e">
        <f t="shared" ref="AE51" si="79">T51*AC51*1000</f>
        <v>#VALUE!</v>
      </c>
      <c r="AF51" s="151" t="s">
        <v>5729</v>
      </c>
      <c r="AG51" s="74"/>
      <c r="AH51" s="74"/>
      <c r="AI51" s="74"/>
      <c r="AJ51" s="74"/>
      <c r="AK51" s="74"/>
    </row>
    <row r="52" spans="1:37" s="85" customFormat="1">
      <c r="A52" s="74"/>
      <c r="B52" s="90" t="str">
        <f>[1]!'3653.TW-Capital'</f>
        <v>12.22</v>
      </c>
      <c r="C52" s="75" t="str">
        <f>[1]!'3653.TW-NetIncomeGrowthRate'</f>
        <v>7.74</v>
      </c>
      <c r="D52" s="76" t="str">
        <f>[1]!'3653.TW-OperIncomeGrowthRate'</f>
        <v>42.11</v>
      </c>
      <c r="E52" s="76" t="str">
        <f>[1]!'3653.TW-TFXRatio'</f>
        <v>-2.34</v>
      </c>
      <c r="F52" s="76" t="str">
        <f>[1]!'3653.TW-MonthlyNetSalesYoY'</f>
        <v>50.48</v>
      </c>
      <c r="G52" s="143" t="str">
        <f>[1]!'3653.TW-ProfitMargin'</f>
        <v>31.51</v>
      </c>
      <c r="H52" s="148" t="str">
        <f>[1]!'3653.TW-OperatingProfitRatio'</f>
        <v>19.34</v>
      </c>
      <c r="I52" s="148" t="str">
        <f>[1]!'3653.TW-NetProfitMargin'</f>
        <v>14.03</v>
      </c>
      <c r="J52" s="142">
        <v>3653</v>
      </c>
      <c r="K52" s="57" t="str">
        <f>VLOOKUP($J52,STOCKS!$A$2:$B$2035,2,0)</f>
        <v>健策</v>
      </c>
      <c r="L52" s="115">
        <f>IFERROR(VLOOKUP($J52&amp;".TW",每日資料!$B$6:$J$1650,6,FALSE),"")</f>
        <v>2.02</v>
      </c>
      <c r="M52" s="114">
        <f>VLOOKUP($J52&amp;".TW",每日資料!$P$6:$U$1983,6,FALSE)</f>
        <v>63.73</v>
      </c>
      <c r="N52" s="115">
        <f>IFERROR(VLOOKUP($J52&amp;".TW",每日資料!$B$6:$J$1650,7,FALSE),"")</f>
        <v>26.2</v>
      </c>
      <c r="O52" s="115">
        <f>IFERROR(VLOOKUP($J52&amp;".TW",每日資料!$B$6:$J$1650,8,FALSE),"")</f>
        <v>12.53</v>
      </c>
      <c r="P52" s="77">
        <f t="shared" ref="P52" si="80">SUM(M52:O52)</f>
        <v>102.46</v>
      </c>
      <c r="Q52" s="113" t="str">
        <f>[1]!'3653.TW-CashAndStockDividend'</f>
        <v>6.00</v>
      </c>
      <c r="R52" s="79" t="str">
        <f>[1]!'3653.TW-ProfitFourSeason'</f>
        <v>7.37</v>
      </c>
      <c r="S52" s="79" cm="1">
        <f t="array" ref="S52">[1]!'3653.TW-CashDividendYieldRate'</f>
        <v>1.47</v>
      </c>
      <c r="T52" s="28">
        <f>VLOOKUP($J52,STOCKS!$D$2:$E$2035,2,0)</f>
        <v>408.5</v>
      </c>
      <c r="U52" s="93">
        <v>402.5</v>
      </c>
      <c r="V52" s="86">
        <f t="shared" si="46"/>
        <v>5.7158500000000458</v>
      </c>
      <c r="W52" s="34">
        <f t="shared" ref="W52" si="81">V52/U52</f>
        <v>1.4200869565217504E-2</v>
      </c>
      <c r="X52" s="7" t="str">
        <f t="shared" si="48"/>
        <v>健策</v>
      </c>
      <c r="Y52" s="80" t="s">
        <v>11</v>
      </c>
      <c r="Z52" s="128" t="str">
        <f>VLOOKUP($J52,STOCKS!$A$2:$C$2035,3,0)</f>
        <v>上市電子全部,上市電子零組件,上市普通股(排除KY個股),上市普通股(排除營建與金融)</v>
      </c>
      <c r="AA52" s="82">
        <v>44505</v>
      </c>
      <c r="AB52" s="29"/>
      <c r="AC52" s="54">
        <v>1</v>
      </c>
      <c r="AD52" s="83"/>
      <c r="AE52" s="84">
        <f t="shared" ref="AE52" si="82">T52*AC52*1000</f>
        <v>408500</v>
      </c>
      <c r="AF52" s="151" t="s">
        <v>5730</v>
      </c>
      <c r="AG52" s="74"/>
      <c r="AH52" s="74"/>
      <c r="AI52" s="74"/>
      <c r="AJ52" s="74"/>
      <c r="AK52" s="74"/>
    </row>
    <row r="53" spans="1:37" s="94" customFormat="1">
      <c r="C53" s="95"/>
      <c r="G53" s="64"/>
      <c r="U53" s="30"/>
      <c r="V53" s="30">
        <f>SUM(V41:V52)</f>
        <v>20.989360000000062</v>
      </c>
      <c r="W53" s="35">
        <f>SUMIF(V41:V52,"&gt;0")*1000</f>
        <v>22009.505000000059</v>
      </c>
    </row>
    <row r="54" spans="1:37" s="94" customFormat="1">
      <c r="C54" s="95"/>
      <c r="G54" s="64"/>
      <c r="U54" s="30"/>
      <c r="V54" s="30"/>
      <c r="W54" s="35"/>
    </row>
    <row r="55" spans="1:37" s="85" customFormat="1">
      <c r="A55" s="74"/>
      <c r="B55" s="90" t="str">
        <f>[1]!'1711.TW-Capital'</f>
        <v>54.78</v>
      </c>
      <c r="C55" s="75" t="str">
        <f>[1]!'1711.TW-NetIncomeGrowthRate'</f>
        <v>224.15</v>
      </c>
      <c r="D55" s="76" t="str">
        <f>[1]!'1711.TW-OperIncomeGrowthRate'</f>
        <v>523.88</v>
      </c>
      <c r="E55" s="76" t="str">
        <f>[1]!'1711.TW-TFXRatio'</f>
        <v>3.88</v>
      </c>
      <c r="F55" s="76" t="str">
        <f>[1]!'1711.TW-MonthlyNetSalesYoY'</f>
        <v>13.66</v>
      </c>
      <c r="G55" s="143" t="str">
        <f>[1]!'1711.TW-ProfitMargin'</f>
        <v>24.49</v>
      </c>
      <c r="H55" s="148" t="str">
        <f>[1]!'1711.TW-OperatingProfitRatio'</f>
        <v>7.08</v>
      </c>
      <c r="I55" s="148" t="str">
        <f>[1]!'1711.TW-NetProfitMargin'</f>
        <v>5.90</v>
      </c>
      <c r="J55" s="142">
        <v>1711</v>
      </c>
      <c r="K55" s="57" t="str">
        <f>VLOOKUP($J55,STOCKS!$A$2:$B$2035,2,0)</f>
        <v>永光</v>
      </c>
      <c r="L55" s="115">
        <f>IFERROR(VLOOKUP($J55&amp;".TW",每日資料!$B$6:$J$1650,6,FALSE),"")</f>
        <v>3.99</v>
      </c>
      <c r="M55" s="114">
        <f>VLOOKUP($J55&amp;".TW",每日資料!$P$6:$U$1983,6,FALSE)</f>
        <v>43.21</v>
      </c>
      <c r="N55" s="115">
        <f>IFERROR(VLOOKUP($J55&amp;".TW",每日資料!$B$6:$J$1650,7,FALSE),"")</f>
        <v>8.69</v>
      </c>
      <c r="O55" s="115">
        <f>IFERROR(VLOOKUP($J55&amp;".TW",每日資料!$B$6:$J$1650,8,FALSE),"")</f>
        <v>14</v>
      </c>
      <c r="P55" s="77">
        <f t="shared" ref="P55" si="83">SUM(M55:O55)</f>
        <v>65.900000000000006</v>
      </c>
      <c r="Q55" s="113" t="str">
        <f>[1]!'1711.TW-CashAndStockDividend'</f>
        <v>0.30</v>
      </c>
      <c r="R55" s="79" t="str">
        <f>[1]!'1711.TW-ProfitFourSeason'</f>
        <v>0.87</v>
      </c>
      <c r="S55" s="79" cm="1">
        <f t="array" ref="S55">[1]!'1711.TW-CashDividendYieldRate'</f>
        <v>1.06</v>
      </c>
      <c r="T55" s="28">
        <f>VLOOKUP($J55,STOCKS!$D$2:$E$2035,2,0)</f>
        <v>28.35</v>
      </c>
      <c r="U55" s="93">
        <v>30.25</v>
      </c>
      <c r="V55" s="86">
        <f t="shared" si="46"/>
        <v>-1.9204149999999949</v>
      </c>
      <c r="W55" s="34">
        <f t="shared" ref="W55" si="84">V55/U55</f>
        <v>-6.3484793388429578E-2</v>
      </c>
      <c r="X55" s="7" t="str">
        <f t="shared" si="48"/>
        <v>永光</v>
      </c>
      <c r="Y55" s="80" t="s">
        <v>11</v>
      </c>
      <c r="Z55" s="128" t="str">
        <f>VLOOKUP($J55,STOCKS!$A$2:$C$2035,3,0)</f>
        <v>上市化學生技醫療,上市化工,上市普通股(排除KY個股),上市普通股(排除營建與金融)</v>
      </c>
      <c r="AA55" s="82">
        <v>44509</v>
      </c>
      <c r="AB55" s="29"/>
      <c r="AC55" s="54">
        <v>1</v>
      </c>
      <c r="AD55" s="83"/>
      <c r="AE55" s="84">
        <f t="shared" ref="AE55" si="85">T55*AC55*1000</f>
        <v>28350</v>
      </c>
      <c r="AF55" s="151" t="s">
        <v>5737</v>
      </c>
      <c r="AG55" s="74"/>
      <c r="AH55" s="74"/>
      <c r="AI55" s="74"/>
      <c r="AJ55" s="74"/>
      <c r="AK55" s="74"/>
    </row>
    <row r="56" spans="1:37" s="85" customFormat="1">
      <c r="A56" s="74"/>
      <c r="B56" s="90" t="str">
        <f>[1]!'1721.TW-Capital'</f>
        <v>18.90</v>
      </c>
      <c r="C56" s="75" t="str">
        <f>[1]!'1721.TW-NetIncomeGrowthRate'</f>
        <v>-118.90</v>
      </c>
      <c r="D56" s="76" t="str">
        <f>[1]!'1721.TW-OperIncomeGrowthRate'</f>
        <v>17.19</v>
      </c>
      <c r="E56" s="76" t="str">
        <f>[1]!'1721.TW-TFXRatio'</f>
        <v>19.63</v>
      </c>
      <c r="F56" s="76" t="str">
        <f>[1]!'1721.TW-MonthlyNetSalesYoY'</f>
        <v>39.29</v>
      </c>
      <c r="G56" s="143" t="str">
        <f>[1]!'1721.TW-ProfitMargin'</f>
        <v>1.25</v>
      </c>
      <c r="H56" s="148" t="str">
        <f>[1]!'1721.TW-OperatingProfitRatio'</f>
        <v>-7.01</v>
      </c>
      <c r="I56" s="148" t="str">
        <f>[1]!'1721.TW-NetProfitMargin'</f>
        <v>-5.41</v>
      </c>
      <c r="J56" s="142">
        <v>1721</v>
      </c>
      <c r="K56" s="57" t="str">
        <f>VLOOKUP($J56,STOCKS!$A$2:$B$2035,2,0)</f>
        <v>三晃</v>
      </c>
      <c r="L56" s="115">
        <f>IFERROR(VLOOKUP($J56&amp;".TW",每日資料!$B$6:$J$1650,6,FALSE),"")</f>
        <v>6.73</v>
      </c>
      <c r="M56" s="114">
        <f>VLOOKUP($J56&amp;".TW",每日資料!$P$6:$U$1983,6,FALSE)</f>
        <v>38.22</v>
      </c>
      <c r="N56" s="115">
        <f>IFERROR(VLOOKUP($J56&amp;".TW",每日資料!$B$6:$J$1650,7,FALSE),"")</f>
        <v>4.0999999999999996</v>
      </c>
      <c r="O56" s="115">
        <f>IFERROR(VLOOKUP($J56&amp;".TW",每日資料!$B$6:$J$1650,8,FALSE),"")</f>
        <v>19.03</v>
      </c>
      <c r="P56" s="77">
        <f t="shared" ref="P56" si="86">SUM(M56:O56)</f>
        <v>61.35</v>
      </c>
      <c r="Q56" s="113" t="str">
        <f>[1]!'1721.TW-CashAndStockDividend'</f>
        <v>0.50</v>
      </c>
      <c r="R56" s="79" t="str">
        <f>[1]!'1721.TW-ProfitFourSeason'</f>
        <v>-0.84</v>
      </c>
      <c r="S56" s="79" cm="1">
        <f t="array" ref="S56">[1]!'1721.TW-CashDividendYieldRate'</f>
        <v>2.0699999999999998</v>
      </c>
      <c r="T56" s="28" t="str">
        <f>VLOOKUP($J56,STOCKS!$D$2:$E$2035,2,0)</f>
        <v>--</v>
      </c>
      <c r="U56" s="93">
        <v>23.25</v>
      </c>
      <c r="V56" s="86" t="str">
        <f t="shared" si="46"/>
        <v/>
      </c>
      <c r="W56" s="34" t="e">
        <f t="shared" ref="W56" si="87">V56/U56</f>
        <v>#VALUE!</v>
      </c>
      <c r="X56" s="7" t="str">
        <f t="shared" si="48"/>
        <v>三晃</v>
      </c>
      <c r="Y56" s="80" t="s">
        <v>11</v>
      </c>
      <c r="Z56" s="128" t="str">
        <f>VLOOKUP($J56,STOCKS!$A$2:$C$2035,3,0)</f>
        <v>上市化學生技醫療,上市化工,上市普通股(排除KY個股),上市普通股(排除營建與金融)</v>
      </c>
      <c r="AA56" s="82">
        <v>44509</v>
      </c>
      <c r="AB56" s="29"/>
      <c r="AC56" s="54">
        <v>1</v>
      </c>
      <c r="AD56" s="83"/>
      <c r="AE56" s="84" t="e">
        <f t="shared" ref="AE56" si="88">T56*AC56*1000</f>
        <v>#VALUE!</v>
      </c>
      <c r="AF56" s="151" t="s">
        <v>5732</v>
      </c>
      <c r="AG56" s="74"/>
      <c r="AH56" s="74"/>
      <c r="AI56" s="74"/>
      <c r="AJ56" s="74"/>
      <c r="AK56" s="74"/>
    </row>
    <row r="57" spans="1:37" s="85" customFormat="1">
      <c r="A57" s="74"/>
      <c r="B57" s="90" t="str">
        <f>[1]!'3508.TW-Capital'</f>
        <v>10.21</v>
      </c>
      <c r="C57" s="75" t="str">
        <f>[1]!'3508.TW-NetIncomeGrowthRate'</f>
        <v>-1.41</v>
      </c>
      <c r="D57" s="76" t="str">
        <f>[1]!'3508.TW-OperIncomeGrowthRate'</f>
        <v>41.30</v>
      </c>
      <c r="E57" s="76" t="str">
        <f>[1]!'3508.TW-TFXRatio'</f>
        <v>10.70</v>
      </c>
      <c r="F57" s="76" t="str">
        <f>[1]!'3508.TW-MonthlyNetSalesYoY'</f>
        <v>110.02</v>
      </c>
      <c r="G57" s="143" t="str">
        <f>[1]!'3508.TW-ProfitMargin'</f>
        <v>9.15</v>
      </c>
      <c r="H57" s="148" t="str">
        <f>[1]!'3508.TW-OperatingProfitRatio'</f>
        <v>-17.08</v>
      </c>
      <c r="I57" s="148" t="str">
        <f>[1]!'3508.TW-NetProfitMargin'</f>
        <v>-13.63</v>
      </c>
      <c r="J57" s="142">
        <v>3508</v>
      </c>
      <c r="K57" s="57" t="str">
        <f>VLOOKUP($J57,STOCKS!$A$2:$B$2035,2,0)</f>
        <v>位速</v>
      </c>
      <c r="L57" s="115">
        <f>IFERROR(VLOOKUP($J57&amp;".TW",每日資料!$B$6:$J$1650,6,FALSE),"")</f>
        <v>15.1</v>
      </c>
      <c r="M57" s="114">
        <f>VLOOKUP($J57&amp;".TW",每日資料!$P$6:$U$1983,6,FALSE)</f>
        <v>26.42</v>
      </c>
      <c r="N57" s="115">
        <f>IFERROR(VLOOKUP($J57&amp;".TW",每日資料!$B$6:$J$1650,7,FALSE),"")</f>
        <v>5.81</v>
      </c>
      <c r="O57" s="115">
        <f>IFERROR(VLOOKUP($J57&amp;".TW",每日資料!$B$6:$J$1650,8,FALSE),"")</f>
        <v>35.78</v>
      </c>
      <c r="P57" s="77">
        <f t="shared" ref="P57" si="89">SUM(M57:O57)</f>
        <v>68.010000000000005</v>
      </c>
      <c r="Q57" s="113" t="str">
        <f>[1]!'3508.TW-CashAndStockDividend'</f>
        <v>0.00</v>
      </c>
      <c r="R57" s="79" t="str">
        <f>[1]!'3508.TW-ProfitFourSeason'</f>
        <v>-1.71</v>
      </c>
      <c r="S57" s="79" cm="1">
        <f t="array" ref="S57">[1]!'3508.TW-CashDividendYieldRate'</f>
        <v>0</v>
      </c>
      <c r="T57" s="28" t="str">
        <f>VLOOKUP($J57,STOCKS!$D$2:$E$2035,2,0)</f>
        <v>--</v>
      </c>
      <c r="U57" s="93">
        <v>40.5</v>
      </c>
      <c r="V57" s="86" t="str">
        <f t="shared" si="46"/>
        <v/>
      </c>
      <c r="W57" s="34" t="e">
        <f t="shared" ref="W57" si="90">V57/U57</f>
        <v>#VALUE!</v>
      </c>
      <c r="X57" s="7" t="str">
        <f t="shared" si="48"/>
        <v>位速</v>
      </c>
      <c r="Y57" s="80" t="s">
        <v>11</v>
      </c>
      <c r="Z57" s="128" t="str">
        <f>VLOOKUP($J57,STOCKS!$A$2:$C$2035,3,0)</f>
        <v>上櫃電子全部,上櫃其他電子,上櫃普通股(排除KY個股),上櫃普通股(排除營建與金融)</v>
      </c>
      <c r="AA57" s="82">
        <v>44509</v>
      </c>
      <c r="AB57" s="29"/>
      <c r="AC57" s="54">
        <v>1</v>
      </c>
      <c r="AD57" s="83"/>
      <c r="AE57" s="84" t="e">
        <f t="shared" ref="AE57" si="91">T57*AC57*1000</f>
        <v>#VALUE!</v>
      </c>
      <c r="AF57" s="151" t="s">
        <v>5733</v>
      </c>
      <c r="AG57" s="74"/>
      <c r="AH57" s="74"/>
      <c r="AI57" s="74"/>
      <c r="AJ57" s="74"/>
      <c r="AK57" s="74"/>
    </row>
    <row r="58" spans="1:37" s="85" customFormat="1">
      <c r="A58" s="74"/>
      <c r="B58" s="90" t="str">
        <f>[1]!'6485.TW-Capital'</f>
        <v>4.30</v>
      </c>
      <c r="C58" s="75" t="str">
        <f>[1]!'6485.TW-NetIncomeGrowthRate'</f>
        <v>7360.81</v>
      </c>
      <c r="D58" s="76" t="str">
        <f>[1]!'6485.TW-OperIncomeGrowthRate'</f>
        <v>2113.72</v>
      </c>
      <c r="E58" s="76" t="str">
        <f>[1]!'6485.TW-TFXRatio'</f>
        <v>2.87</v>
      </c>
      <c r="F58" s="76" t="str">
        <f>[1]!'6485.TW-MonthlyNetSalesYoY'</f>
        <v>104.97</v>
      </c>
      <c r="G58" s="143" t="str">
        <f>[1]!'6485.TW-ProfitMargin'</f>
        <v>58.44</v>
      </c>
      <c r="H58" s="148" t="str">
        <f>[1]!'6485.TW-OperatingProfitRatio'</f>
        <v>29.19</v>
      </c>
      <c r="I58" s="148" t="str">
        <f>[1]!'6485.TW-NetProfitMargin'</f>
        <v>23.43</v>
      </c>
      <c r="J58" s="142">
        <v>6485</v>
      </c>
      <c r="K58" s="57" t="str">
        <f>VLOOKUP($J58,STOCKS!$A$2:$B$2035,2,0)</f>
        <v>點序</v>
      </c>
      <c r="L58" s="115">
        <f>IFERROR(VLOOKUP($J58&amp;".TW",每日資料!$B$6:$J$1650,6,FALSE),"")</f>
        <v>11.24</v>
      </c>
      <c r="M58" s="114">
        <f>VLOOKUP($J58&amp;".TW",每日資料!$P$6:$U$1983,6,FALSE)</f>
        <v>12.66</v>
      </c>
      <c r="N58" s="115">
        <f>IFERROR(VLOOKUP($J58&amp;".TW",每日資料!$B$6:$J$1650,7,FALSE),"")</f>
        <v>11.54</v>
      </c>
      <c r="O58" s="115">
        <f>IFERROR(VLOOKUP($J58&amp;".TW",每日資料!$B$6:$J$1650,8,FALSE),"")</f>
        <v>57.24</v>
      </c>
      <c r="P58" s="77">
        <f t="shared" ref="P58" si="92">SUM(M58:O58)</f>
        <v>81.44</v>
      </c>
      <c r="Q58" s="113" t="str">
        <f>[1]!'6485.TW-CashAndStockDividend'</f>
        <v>0.49</v>
      </c>
      <c r="R58" s="79" t="str">
        <f>[1]!'6485.TW-ProfitFourSeason'</f>
        <v>8.48</v>
      </c>
      <c r="S58" s="79" cm="1">
        <f t="array" ref="S58">[1]!'6485.TW-CashDividendYieldRate'</f>
        <v>0.33</v>
      </c>
      <c r="T58" s="28" t="str">
        <f>VLOOKUP($J58,STOCKS!$D$2:$E$2035,2,0)</f>
        <v>--</v>
      </c>
      <c r="U58" s="93">
        <v>140.5</v>
      </c>
      <c r="V58" s="86" t="str">
        <f t="shared" si="46"/>
        <v/>
      </c>
      <c r="W58" s="34" t="e">
        <f t="shared" ref="W58" si="93">V58/U58</f>
        <v>#VALUE!</v>
      </c>
      <c r="X58" s="7" t="str">
        <f t="shared" si="48"/>
        <v>點序</v>
      </c>
      <c r="Y58" s="80" t="s">
        <v>11</v>
      </c>
      <c r="Z58" s="128" t="str">
        <f>VLOOKUP($J58,STOCKS!$A$2:$C$2035,3,0)</f>
        <v>上櫃電子全部,上櫃半導體,上櫃普通股(排除KY個股),上櫃普通股(排除營建與金融)</v>
      </c>
      <c r="AA58" s="82">
        <v>44509</v>
      </c>
      <c r="AB58" s="29"/>
      <c r="AC58" s="54">
        <v>1</v>
      </c>
      <c r="AD58" s="83"/>
      <c r="AE58" s="84" t="e">
        <f t="shared" ref="AE58" si="94">T58*AC58*1000</f>
        <v>#VALUE!</v>
      </c>
      <c r="AF58" s="151" t="s">
        <v>5734</v>
      </c>
      <c r="AG58" s="74"/>
      <c r="AH58" s="74"/>
      <c r="AI58" s="74"/>
      <c r="AJ58" s="74"/>
      <c r="AK58" s="74"/>
    </row>
    <row r="59" spans="1:37" s="85" customFormat="1">
      <c r="A59" s="74"/>
      <c r="B59" s="90" t="str">
        <f>[1]!'6443.TW-Capital'</f>
        <v>44.58</v>
      </c>
      <c r="C59" s="75" t="str">
        <f>[1]!'6443.TW-NetIncomeGrowthRate'</f>
        <v>27.72</v>
      </c>
      <c r="D59" s="76" t="str">
        <f>[1]!'6443.TW-OperIncomeGrowthRate'</f>
        <v>13.01</v>
      </c>
      <c r="E59" s="76" t="str">
        <f>[1]!'6443.TW-TFXRatio'</f>
        <v>21.71</v>
      </c>
      <c r="F59" s="76" t="str">
        <f>[1]!'6443.TW-MonthlyNetSalesYoY'</f>
        <v>58.90</v>
      </c>
      <c r="G59" s="143" t="str">
        <f>[1]!'6443.TW-ProfitMargin'</f>
        <v>2.16</v>
      </c>
      <c r="H59" s="148" t="str">
        <f>[1]!'6443.TW-OperatingProfitRatio'</f>
        <v>-5.34</v>
      </c>
      <c r="I59" s="148" t="str">
        <f>[1]!'6443.TW-NetProfitMargin'</f>
        <v>-5.05</v>
      </c>
      <c r="J59" s="142">
        <v>6443</v>
      </c>
      <c r="K59" s="57" t="str">
        <f>VLOOKUP($J59,STOCKS!$A$2:$B$2035,2,0)</f>
        <v>元晶</v>
      </c>
      <c r="L59" s="115">
        <f>IFERROR(VLOOKUP($J59&amp;".TW",每日資料!$B$6:$J$1650,6,FALSE),"")</f>
        <v>2.82</v>
      </c>
      <c r="M59" s="114">
        <f>VLOOKUP($J59&amp;".TW",每日資料!$P$6:$U$1983,6,FALSE)</f>
        <v>19.260000000000002</v>
      </c>
      <c r="N59" s="115">
        <f>IFERROR(VLOOKUP($J59&amp;".TW",每日資料!$B$6:$J$1650,7,FALSE),"")</f>
        <v>14.43</v>
      </c>
      <c r="O59" s="115">
        <f>IFERROR(VLOOKUP($J59&amp;".TW",每日資料!$B$6:$J$1650,8,FALSE),"")</f>
        <v>28.25</v>
      </c>
      <c r="P59" s="77">
        <f t="shared" ref="P59:P60" si="95">SUM(M59:O59)</f>
        <v>61.94</v>
      </c>
      <c r="Q59" s="113" t="str">
        <f>[1]!'6443.TW-CashAndStockDividend'</f>
        <v>0.00</v>
      </c>
      <c r="R59" s="79" t="str">
        <f>[1]!'6443.TW-ProfitFourSeason'</f>
        <v>-0.49</v>
      </c>
      <c r="S59" s="79" cm="1">
        <f t="array" ref="S59">[1]!'6443.TW-CashDividendYieldRate'</f>
        <v>0</v>
      </c>
      <c r="T59" s="28">
        <f>VLOOKUP($J59,STOCKS!$D$2:$E$2035,2,0)</f>
        <v>37.85</v>
      </c>
      <c r="U59" s="93">
        <v>40.1</v>
      </c>
      <c r="V59" s="86">
        <f t="shared" si="46"/>
        <v>-2.277169999999991</v>
      </c>
      <c r="W59" s="34">
        <f t="shared" ref="W59:W60" si="96">V59/U59</f>
        <v>-5.6787281795510999E-2</v>
      </c>
      <c r="X59" s="7" t="str">
        <f t="shared" si="48"/>
        <v>元晶</v>
      </c>
      <c r="Y59" s="80" t="s">
        <v>11</v>
      </c>
      <c r="Z59" s="128" t="str">
        <f>VLOOKUP($J59,STOCKS!$A$2:$C$2035,3,0)</f>
        <v>上市電子全部,上市光電,上市普通股(排除KY個股),上市普通股(排除營建與金融)</v>
      </c>
      <c r="AA59" s="82">
        <v>44509</v>
      </c>
      <c r="AB59" s="29"/>
      <c r="AC59" s="54">
        <v>1</v>
      </c>
      <c r="AD59" s="83"/>
      <c r="AE59" s="84">
        <f t="shared" ref="AE59:AE60" si="97">T59*AC59*1000</f>
        <v>37850</v>
      </c>
      <c r="AF59" s="151" t="s">
        <v>5735</v>
      </c>
      <c r="AG59" s="74"/>
      <c r="AH59" s="74"/>
      <c r="AI59" s="74"/>
      <c r="AJ59" s="74"/>
      <c r="AK59" s="74"/>
    </row>
    <row r="60" spans="1:37" s="85" customFormat="1">
      <c r="A60" s="74"/>
      <c r="B60" s="90" t="str">
        <f>[1]!'3305.TW-Capital'</f>
        <v>13.38</v>
      </c>
      <c r="C60" s="75" t="str">
        <f>[1]!'3305.TW-NetIncomeGrowthRate'</f>
        <v>284.56</v>
      </c>
      <c r="D60" s="76" t="str">
        <f>[1]!'3305.TW-OperIncomeGrowthRate'</f>
        <v>230.94</v>
      </c>
      <c r="E60" s="76" t="str">
        <f>[1]!'3305.TW-TFXRatio'</f>
        <v>-6.10</v>
      </c>
      <c r="F60" s="76" t="str">
        <f>[1]!'3305.TW-MonthlyNetSalesYoY'</f>
        <v>48.77</v>
      </c>
      <c r="G60" s="143" t="str">
        <f>[1]!'3305.TW-ProfitMargin'</f>
        <v>16.58</v>
      </c>
      <c r="H60" s="148" t="str">
        <f>[1]!'3305.TW-OperatingProfitRatio'</f>
        <v>11.28</v>
      </c>
      <c r="I60" s="148" t="str">
        <f>[1]!'3305.TW-NetProfitMargin'</f>
        <v>7.90</v>
      </c>
      <c r="J60" s="142">
        <v>3305</v>
      </c>
      <c r="K60" s="57" t="str">
        <f>VLOOKUP($J60,STOCKS!$A$2:$B$2035,2,0)</f>
        <v>昇貿</v>
      </c>
      <c r="L60" s="115">
        <f>IFERROR(VLOOKUP($J60&amp;".TW",每日資料!$B$6:$J$1650,6,FALSE),"")</f>
        <v>1.94</v>
      </c>
      <c r="M60" s="114">
        <f>VLOOKUP($J60&amp;".TW",每日資料!$P$6:$U$1983,6,FALSE)</f>
        <v>43.8</v>
      </c>
      <c r="N60" s="115">
        <f>IFERROR(VLOOKUP($J60&amp;".TW",每日資料!$B$6:$J$1650,7,FALSE),"")</f>
        <v>10.81</v>
      </c>
      <c r="O60" s="115">
        <f>IFERROR(VLOOKUP($J60&amp;".TW",每日資料!$B$6:$J$1650,8,FALSE),"")</f>
        <v>33.56</v>
      </c>
      <c r="P60" s="77">
        <f t="shared" si="95"/>
        <v>88.17</v>
      </c>
      <c r="Q60" s="113" t="str">
        <f>[1]!'3305.TW-CashAndStockDividend'</f>
        <v>1.36</v>
      </c>
      <c r="R60" s="79" t="str">
        <f>[1]!'3305.TW-ProfitFourSeason'</f>
        <v>4.29</v>
      </c>
      <c r="S60" s="79" cm="1">
        <f t="array" ref="S60">[1]!'3305.TW-CashDividendYieldRate'</f>
        <v>1.64</v>
      </c>
      <c r="T60" s="28" t="str">
        <f>VLOOKUP($J60,STOCKS!$D$2:$E$2035,2,0)</f>
        <v>--</v>
      </c>
      <c r="U60" s="93">
        <v>80.8</v>
      </c>
      <c r="V60" s="86" t="str">
        <f t="shared" si="46"/>
        <v/>
      </c>
      <c r="W60" s="34" t="e">
        <f t="shared" si="96"/>
        <v>#VALUE!</v>
      </c>
      <c r="X60" s="7" t="str">
        <f t="shared" si="48"/>
        <v>昇貿</v>
      </c>
      <c r="Y60" s="80" t="s">
        <v>11</v>
      </c>
      <c r="Z60" s="128" t="str">
        <f>VLOOKUP($J60,STOCKS!$A$2:$C$2035,3,0)</f>
        <v>上市電子全部,上市其他電子,上市普通股(排除KY個股),上市普通股(排除營建與金融)</v>
      </c>
      <c r="AA60" s="82">
        <v>44509</v>
      </c>
      <c r="AB60" s="29"/>
      <c r="AC60" s="54">
        <v>1</v>
      </c>
      <c r="AD60" s="83"/>
      <c r="AE60" s="84" t="e">
        <f t="shared" si="97"/>
        <v>#VALUE!</v>
      </c>
      <c r="AF60" s="151" t="s">
        <v>5738</v>
      </c>
      <c r="AG60" s="74"/>
      <c r="AH60" s="74"/>
      <c r="AI60" s="74"/>
      <c r="AJ60" s="74"/>
      <c r="AK60" s="74"/>
    </row>
    <row r="61" spans="1:37" s="85" customFormat="1">
      <c r="A61" s="74"/>
      <c r="B61" s="90" t="str">
        <f>[1]!'2618.TW-Capital'</f>
        <v>513.92</v>
      </c>
      <c r="C61" s="75" t="str">
        <f>[1]!'2618.TW-NetIncomeGrowthRate'</f>
        <v>83.59</v>
      </c>
      <c r="D61" s="76" t="str">
        <f>[1]!'2618.TW-OperIncomeGrowthRate'</f>
        <v>185.78</v>
      </c>
      <c r="E61" s="76" t="str">
        <f>[1]!'2618.TW-TFXRatio'</f>
        <v>21.76</v>
      </c>
      <c r="F61" s="76" t="str">
        <f>[1]!'2618.TW-MonthlyNetSalesYoY'</f>
        <v>57.18</v>
      </c>
      <c r="G61" s="143" t="str">
        <f>[1]!'2618.TW-ProfitMargin'</f>
        <v>11.18</v>
      </c>
      <c r="H61" s="148" t="str">
        <f>[1]!'2618.TW-OperatingProfitRatio'</f>
        <v>1.94</v>
      </c>
      <c r="I61" s="148" t="str">
        <f>[1]!'2618.TW-NetProfitMargin'</f>
        <v>-0.84</v>
      </c>
      <c r="J61" s="142">
        <v>2618</v>
      </c>
      <c r="K61" s="57" t="str">
        <f>VLOOKUP($J61,STOCKS!$A$2:$B$2035,2,0)</f>
        <v>長榮航</v>
      </c>
      <c r="L61" s="115">
        <f>IFERROR(VLOOKUP($J61&amp;".TW",每日資料!$B$6:$J$1650,6,FALSE),"")</f>
        <v>2.5299999999999998</v>
      </c>
      <c r="M61" s="114">
        <f>VLOOKUP($J61&amp;".TW",每日資料!$P$6:$U$1983,6,FALSE)</f>
        <v>70.03</v>
      </c>
      <c r="N61" s="115">
        <f>IFERROR(VLOOKUP($J61&amp;".TW",每日資料!$B$6:$J$1650,7,FALSE),"")</f>
        <v>26.1</v>
      </c>
      <c r="O61" s="115">
        <f>IFERROR(VLOOKUP($J61&amp;".TW",每日資料!$B$6:$J$1650,8,FALSE),"")</f>
        <v>13.34</v>
      </c>
      <c r="P61" s="77">
        <f t="shared" ref="P61:P62" si="98">SUM(M61:O61)</f>
        <v>109.47</v>
      </c>
      <c r="Q61" s="113" t="str">
        <f>[1]!'2618.TW-CashAndStockDividend'</f>
        <v>0.00</v>
      </c>
      <c r="R61" s="79" t="str">
        <f>[1]!'2618.TW-ProfitFourSeason'</f>
        <v>-0.06</v>
      </c>
      <c r="S61" s="79" cm="1">
        <f t="array" ref="S61">[1]!'2618.TW-CashDividendYieldRate'</f>
        <v>0</v>
      </c>
      <c r="T61" s="28">
        <f>VLOOKUP($J61,STOCKS!$D$2:$E$2035,2,0)</f>
        <v>26.15</v>
      </c>
      <c r="U61" s="93">
        <v>24.95</v>
      </c>
      <c r="V61" s="86">
        <f t="shared" si="46"/>
        <v>1.1820550000000019</v>
      </c>
      <c r="W61" s="34">
        <f t="shared" ref="W61:W62" si="99">V61/U61</f>
        <v>4.7376953907815704E-2</v>
      </c>
      <c r="X61" s="7" t="str">
        <f t="shared" si="48"/>
        <v>長榮航</v>
      </c>
      <c r="Y61" s="80" t="s">
        <v>11</v>
      </c>
      <c r="Z61" s="128" t="str">
        <f>VLOOKUP($J61,STOCKS!$A$2:$C$2035,3,0)</f>
        <v>上市航運業,上市普通股(排除KY個股),上市普通股(排除營建與金融)</v>
      </c>
      <c r="AA61" s="82">
        <v>44509</v>
      </c>
      <c r="AB61" s="29"/>
      <c r="AC61" s="54">
        <v>1</v>
      </c>
      <c r="AD61" s="83"/>
      <c r="AE61" s="84">
        <f t="shared" ref="AE61:AE62" si="100">T61*AC61*1000</f>
        <v>26150</v>
      </c>
      <c r="AF61" s="151" t="s">
        <v>5739</v>
      </c>
      <c r="AG61" s="74"/>
      <c r="AH61" s="74"/>
      <c r="AI61" s="74"/>
      <c r="AJ61" s="74"/>
      <c r="AK61" s="74"/>
    </row>
    <row r="62" spans="1:37" s="85" customFormat="1">
      <c r="A62" s="74"/>
      <c r="B62" s="90" t="str">
        <f>[1]!'3374.TW-Capital'</f>
        <v>27.14</v>
      </c>
      <c r="C62" s="75" t="str">
        <f>[1]!'3374.TW-NetIncomeGrowthRate'</f>
        <v>58.90</v>
      </c>
      <c r="D62" s="76" t="str">
        <f>[1]!'3374.TW-OperIncomeGrowthRate'</f>
        <v>78.72</v>
      </c>
      <c r="E62" s="76" t="str">
        <f>[1]!'3374.TW-TFXRatio'</f>
        <v>-15.68</v>
      </c>
      <c r="F62" s="76" t="str">
        <f>[1]!'3374.TW-MonthlyNetSalesYoY'</f>
        <v>-18.89</v>
      </c>
      <c r="G62" s="143" t="str">
        <f>[1]!'3374.TW-ProfitMargin'</f>
        <v>33.21</v>
      </c>
      <c r="H62" s="148" t="str">
        <f>[1]!'3374.TW-OperatingProfitRatio'</f>
        <v>28.32</v>
      </c>
      <c r="I62" s="148" t="str">
        <f>[1]!'3374.TW-NetProfitMargin'</f>
        <v>24.45</v>
      </c>
      <c r="J62" s="142">
        <v>3374</v>
      </c>
      <c r="K62" s="57" t="str">
        <f>VLOOKUP($J62,STOCKS!$A$2:$B$2035,2,0)</f>
        <v>精材</v>
      </c>
      <c r="L62" s="115">
        <f>IFERROR(VLOOKUP($J62&amp;".TW",每日資料!$B$6:$J$1650,6,FALSE),"")</f>
        <v>0.56999999999999995</v>
      </c>
      <c r="M62" s="114">
        <f>VLOOKUP($J62&amp;".TW",每日資料!$P$6:$U$1983,6,FALSE)</f>
        <v>47.74</v>
      </c>
      <c r="N62" s="115">
        <f>IFERROR(VLOOKUP($J62&amp;".TW",每日資料!$B$6:$J$1650,7,FALSE),"")</f>
        <v>7</v>
      </c>
      <c r="O62" s="115">
        <f>IFERROR(VLOOKUP($J62&amp;".TW",每日資料!$B$6:$J$1650,8,FALSE),"")</f>
        <v>16.98</v>
      </c>
      <c r="P62" s="77">
        <f t="shared" si="98"/>
        <v>71.72</v>
      </c>
      <c r="Q62" s="113" t="str">
        <f>[1]!'3374.TW-CashAndStockDividend'</f>
        <v>2.50</v>
      </c>
      <c r="R62" s="79" t="str">
        <f>[1]!'3374.TW-ProfitFourSeason'</f>
        <v>8.31</v>
      </c>
      <c r="S62" s="79" cm="1">
        <f t="array" ref="S62">[1]!'3374.TW-CashDividendYieldRate'</f>
        <v>1.81</v>
      </c>
      <c r="T62" s="28">
        <f>VLOOKUP($J62,STOCKS!$D$2:$E$2035,2,0)</f>
        <v>138.5</v>
      </c>
      <c r="U62" s="93">
        <v>146.5</v>
      </c>
      <c r="V62" s="86">
        <f t="shared" si="46"/>
        <v>-8.0993499999999869</v>
      </c>
      <c r="W62" s="34">
        <f t="shared" si="99"/>
        <v>-5.5285665529010153E-2</v>
      </c>
      <c r="X62" s="7" t="str">
        <f t="shared" si="48"/>
        <v>精材</v>
      </c>
      <c r="Y62" s="80" t="s">
        <v>11</v>
      </c>
      <c r="Z62" s="128" t="str">
        <f>VLOOKUP($J62,STOCKS!$A$2:$C$2035,3,0)</f>
        <v>上櫃電子全部,上櫃半導體,上櫃普通股(排除KY個股),上櫃普通股(排除營建與金融)</v>
      </c>
      <c r="AA62" s="82">
        <v>44509</v>
      </c>
      <c r="AB62" s="29"/>
      <c r="AC62" s="54">
        <v>1</v>
      </c>
      <c r="AD62" s="83"/>
      <c r="AE62" s="84">
        <f t="shared" si="100"/>
        <v>138500</v>
      </c>
      <c r="AF62" s="151" t="s">
        <v>5740</v>
      </c>
      <c r="AG62" s="74"/>
      <c r="AH62" s="74"/>
      <c r="AI62" s="74"/>
      <c r="AJ62" s="74"/>
      <c r="AK62" s="74"/>
    </row>
    <row r="63" spans="1:37" s="85" customFormat="1">
      <c r="A63" s="74"/>
      <c r="B63" s="90" t="str">
        <f>[1]!'6756.TW-Capital'</f>
        <v>6.75</v>
      </c>
      <c r="C63" s="75" t="str">
        <f>[1]!'6756.TW-NetIncomeGrowthRate'</f>
        <v>169.66</v>
      </c>
      <c r="D63" s="76" t="str">
        <f>[1]!'6756.TW-OperIncomeGrowthRate'</f>
        <v>171.71</v>
      </c>
      <c r="E63" s="76" t="str">
        <f>[1]!'6756.TW-TFXRatio'</f>
        <v>3.72</v>
      </c>
      <c r="F63" s="76" t="str">
        <f>[1]!'6756.TW-MonthlyNetSalesYoY'</f>
        <v>77.95</v>
      </c>
      <c r="G63" s="143" t="str">
        <f>[1]!'6756.TW-ProfitMargin'</f>
        <v>53.07</v>
      </c>
      <c r="H63" s="148" t="str">
        <f>[1]!'6756.TW-OperatingProfitRatio'</f>
        <v>30.90</v>
      </c>
      <c r="I63" s="148" t="str">
        <f>[1]!'6756.TW-NetProfitMargin'</f>
        <v>26.14</v>
      </c>
      <c r="J63" s="142">
        <v>6756</v>
      </c>
      <c r="K63" s="57" t="str">
        <f>VLOOKUP($J63,STOCKS!$A$2:$B$2035,2,0)</f>
        <v>威鋒電子</v>
      </c>
      <c r="L63" s="115">
        <f>IFERROR(VLOOKUP($J63&amp;".TW",每日資料!$B$6:$J$1650,6,FALSE),"")</f>
        <v>2.5499999999999998</v>
      </c>
      <c r="M63" s="114">
        <f>VLOOKUP($J63&amp;".TW",每日資料!$P$6:$U$1983,6,FALSE)</f>
        <v>59.93</v>
      </c>
      <c r="N63" s="115">
        <f>IFERROR(VLOOKUP($J63&amp;".TW",每日資料!$B$6:$J$1650,7,FALSE),"")</f>
        <v>9.17</v>
      </c>
      <c r="O63" s="115">
        <f>IFERROR(VLOOKUP($J63&amp;".TW",每日資料!$B$6:$J$1650,8,FALSE),"")</f>
        <v>18.420000000000002</v>
      </c>
      <c r="P63" s="77">
        <f t="shared" ref="P63" si="101">SUM(M63:O63)</f>
        <v>87.52</v>
      </c>
      <c r="Q63" s="113" t="str">
        <f>[1]!'6756.TW-CashAndStockDividend'</f>
        <v>4.50</v>
      </c>
      <c r="R63" s="79" t="str">
        <f>[1]!'6756.TW-ProfitFourSeason'</f>
        <v>10.91</v>
      </c>
      <c r="S63" s="79" cm="1">
        <f t="array" ref="S63">[1]!'6756.TW-CashDividendYieldRate'</f>
        <v>0.79</v>
      </c>
      <c r="T63" s="28">
        <f>VLOOKUP($J63,STOCKS!$D$2:$E$2035,2,0)</f>
        <v>570</v>
      </c>
      <c r="U63" s="93">
        <v>521</v>
      </c>
      <c r="V63" s="86">
        <f t="shared" si="46"/>
        <v>48.615699999999947</v>
      </c>
      <c r="W63" s="34">
        <f t="shared" ref="W63" si="102">V63/U63</f>
        <v>9.3312284069097792E-2</v>
      </c>
      <c r="X63" s="7" t="str">
        <f t="shared" si="48"/>
        <v>威鋒電子</v>
      </c>
      <c r="Y63" s="80" t="s">
        <v>11</v>
      </c>
      <c r="Z63" s="128" t="str">
        <f>VLOOKUP($J63,STOCKS!$A$2:$C$2035,3,0)</f>
        <v>上市電子全部,上市半導體,上市普通股(排除KY個股),上市普通股(排除營建與金融)</v>
      </c>
      <c r="AA63" s="82">
        <v>44509</v>
      </c>
      <c r="AB63" s="29"/>
      <c r="AC63" s="54">
        <v>1</v>
      </c>
      <c r="AD63" s="83"/>
      <c r="AE63" s="84">
        <f t="shared" ref="AE63" si="103">T63*AC63*1000</f>
        <v>570000</v>
      </c>
      <c r="AF63" s="151" t="s">
        <v>5736</v>
      </c>
      <c r="AG63" s="74"/>
      <c r="AH63" s="74"/>
      <c r="AI63" s="74"/>
      <c r="AJ63" s="74"/>
      <c r="AK63" s="74"/>
    </row>
    <row r="64" spans="1:37" s="85" customFormat="1">
      <c r="A64" s="74"/>
      <c r="B64" s="90" t="str">
        <f>[1]!'3515.TW-Capital'</f>
        <v>12.29</v>
      </c>
      <c r="C64" s="75" t="str">
        <f>[1]!'3515.TW-NetIncomeGrowthRate'</f>
        <v>54.40</v>
      </c>
      <c r="D64" s="76" t="str">
        <f>[1]!'3515.TW-OperIncomeGrowthRate'</f>
        <v>62.31</v>
      </c>
      <c r="E64" s="76" t="str">
        <f>[1]!'3515.TW-TFXRatio'</f>
        <v>9.87</v>
      </c>
      <c r="F64" s="76" t="str">
        <f>[1]!'3515.TW-MonthlyNetSalesYoY'</f>
        <v>-1.87</v>
      </c>
      <c r="G64" s="143" t="str">
        <f>[1]!'3515.TW-ProfitMargin'</f>
        <v>28.02</v>
      </c>
      <c r="H64" s="148" t="str">
        <f>[1]!'3515.TW-OperatingProfitRatio'</f>
        <v>15.55</v>
      </c>
      <c r="I64" s="148" t="str">
        <f>[1]!'3515.TW-NetProfitMargin'</f>
        <v>12.45</v>
      </c>
      <c r="J64" s="142">
        <v>3515</v>
      </c>
      <c r="K64" s="57" t="str">
        <f>VLOOKUP($J64,STOCKS!$A$2:$B$2035,2,0)</f>
        <v>華擎</v>
      </c>
      <c r="L64" s="115">
        <f>IFERROR(VLOOKUP($J64&amp;".TW",每日資料!$B$6:$J$1650,6,FALSE),"")</f>
        <v>0.97</v>
      </c>
      <c r="M64" s="114">
        <f>VLOOKUP($J64&amp;".TW",每日資料!$P$6:$U$1983,6,FALSE)</f>
        <v>68.19</v>
      </c>
      <c r="N64" s="115">
        <f>IFERROR(VLOOKUP($J64&amp;".TW",每日資料!$B$6:$J$1650,7,FALSE),"")</f>
        <v>11.37</v>
      </c>
      <c r="O64" s="115">
        <f>IFERROR(VLOOKUP($J64&amp;".TW",每日資料!$B$6:$J$1650,8,FALSE),"")</f>
        <v>20.54</v>
      </c>
      <c r="P64" s="77">
        <f t="shared" ref="P64" si="104">SUM(M64:O64)</f>
        <v>100.1</v>
      </c>
      <c r="Q64" s="113" t="str">
        <f>[1]!'3515.TW-CashAndStockDividend'</f>
        <v>8.00</v>
      </c>
      <c r="R64" s="79" t="str">
        <f>[1]!'3515.TW-ProfitFourSeason'</f>
        <v>17.05</v>
      </c>
      <c r="S64" s="79" cm="1">
        <f t="array" ref="S64">[1]!'3515.TW-CashDividendYieldRate'</f>
        <v>3.46</v>
      </c>
      <c r="T64" s="28" t="str">
        <f>VLOOKUP($J64,STOCKS!$D$2:$E$2035,2,0)</f>
        <v>--</v>
      </c>
      <c r="U64" s="93">
        <v>205.5</v>
      </c>
      <c r="V64" s="86" t="str">
        <f t="shared" si="46"/>
        <v/>
      </c>
      <c r="W64" s="34" t="e">
        <f t="shared" ref="W64" si="105">V64/U64</f>
        <v>#VALUE!</v>
      </c>
      <c r="X64" s="7" t="str">
        <f t="shared" si="48"/>
        <v>華擎</v>
      </c>
      <c r="Y64" s="80" t="s">
        <v>11</v>
      </c>
      <c r="Z64" s="128" t="str">
        <f>VLOOKUP($J64,STOCKS!$A$2:$C$2035,3,0)</f>
        <v>上市電子全部,上市電腦及週邊設備,上市普通股(排除KY個股),上市普通股(排除營建與金融)</v>
      </c>
      <c r="AA64" s="82">
        <v>44509</v>
      </c>
      <c r="AB64" s="29"/>
      <c r="AC64" s="54">
        <v>1</v>
      </c>
      <c r="AD64" s="83"/>
      <c r="AE64" s="84" t="e">
        <f t="shared" ref="AE64" si="106">T64*AC64*1000</f>
        <v>#VALUE!</v>
      </c>
      <c r="AF64" s="151" t="s">
        <v>5742</v>
      </c>
      <c r="AG64" s="74"/>
      <c r="AH64" s="74"/>
      <c r="AI64" s="74"/>
      <c r="AJ64" s="74"/>
      <c r="AK64" s="74"/>
    </row>
    <row r="65" spans="1:37" s="85" customFormat="1">
      <c r="A65" s="74"/>
      <c r="B65" s="90" t="str">
        <f>[1]!'2610.TW-Capital'</f>
        <v>575.15</v>
      </c>
      <c r="C65" s="75" t="str">
        <f>[1]!'2610.TW-NetIncomeGrowthRate'</f>
        <v>146.24</v>
      </c>
      <c r="D65" s="76" t="str">
        <f>[1]!'2610.TW-OperIncomeGrowthRate'</f>
        <v>913.24</v>
      </c>
      <c r="E65" s="76" t="str">
        <f>[1]!'2610.TW-TFXRatio'</f>
        <v>14.56</v>
      </c>
      <c r="F65" s="76" t="str">
        <f>[1]!'2610.TW-MonthlyNetSalesYoY'</f>
        <v>54.82</v>
      </c>
      <c r="G65" s="143" t="str">
        <f>[1]!'2610.TW-ProfitMargin'</f>
        <v>10.98</v>
      </c>
      <c r="H65" s="148" t="str">
        <f>[1]!'2610.TW-OperatingProfitRatio'</f>
        <v>5.15</v>
      </c>
      <c r="I65" s="148" t="str">
        <f>[1]!'2610.TW-NetProfitMargin'</f>
        <v>1.20</v>
      </c>
      <c r="J65" s="142">
        <v>2610</v>
      </c>
      <c r="K65" s="57" t="str">
        <f>VLOOKUP($J65,STOCKS!$A$2:$B$2035,2,0)</f>
        <v>華航</v>
      </c>
      <c r="L65" s="115">
        <f>IFERROR(VLOOKUP($J65&amp;".TW",每日資料!$B$6:$J$1650,6,FALSE),"")</f>
        <v>5.94</v>
      </c>
      <c r="M65" s="114">
        <f>VLOOKUP($J65&amp;".TW",每日資料!$P$6:$U$1983,6,FALSE)</f>
        <v>70.55</v>
      </c>
      <c r="N65" s="115">
        <f>IFERROR(VLOOKUP($J65&amp;".TW",每日資料!$B$6:$J$1650,7,FALSE),"")</f>
        <v>17.36</v>
      </c>
      <c r="O65" s="115">
        <f>IFERROR(VLOOKUP($J65&amp;".TW",每日資料!$B$6:$J$1650,8,FALSE),"")</f>
        <v>21.65</v>
      </c>
      <c r="P65" s="77">
        <f t="shared" ref="P65" si="107">SUM(M65:O65)</f>
        <v>109.56</v>
      </c>
      <c r="Q65" s="113" t="str">
        <f>[1]!'2610.TW-CashAndStockDividend'</f>
        <v>0.00</v>
      </c>
      <c r="R65" s="79" t="str">
        <f>[1]!'2610.TW-ProfitFourSeason'</f>
        <v>0.68</v>
      </c>
      <c r="S65" s="79" cm="1">
        <f t="array" ref="S65">[1]!'2610.TW-CashDividendYieldRate'</f>
        <v>0</v>
      </c>
      <c r="T65" s="28">
        <f>VLOOKUP($J65,STOCKS!$D$2:$E$2035,2,0)</f>
        <v>28.4</v>
      </c>
      <c r="U65" s="93">
        <v>22.05</v>
      </c>
      <c r="V65" s="86">
        <f t="shared" si="46"/>
        <v>6.3320250000000016</v>
      </c>
      <c r="W65" s="34">
        <f t="shared" ref="W65" si="108">V65/U65</f>
        <v>0.28716666666666674</v>
      </c>
      <c r="X65" s="7" t="str">
        <f t="shared" si="48"/>
        <v>華航</v>
      </c>
      <c r="Y65" s="80" t="s">
        <v>11</v>
      </c>
      <c r="Z65" s="128" t="str">
        <f>VLOOKUP($J65,STOCKS!$A$2:$C$2035,3,0)</f>
        <v>上市航運業,上市普通股(排除KY個股),上市普通股(排除營建與金融)</v>
      </c>
      <c r="AA65" s="82">
        <v>44509</v>
      </c>
      <c r="AB65" s="29"/>
      <c r="AC65" s="54">
        <v>1</v>
      </c>
      <c r="AD65" s="83"/>
      <c r="AE65" s="84">
        <f t="shared" ref="AE65" si="109">T65*AC65*1000</f>
        <v>28400</v>
      </c>
      <c r="AF65" s="151" t="s">
        <v>5741</v>
      </c>
      <c r="AG65" s="74"/>
      <c r="AH65" s="74"/>
      <c r="AI65" s="74"/>
      <c r="AJ65" s="74"/>
      <c r="AK65" s="74"/>
    </row>
    <row r="66" spans="1:37" s="94" customFormat="1">
      <c r="C66" s="95"/>
      <c r="G66" s="64"/>
      <c r="U66" s="30"/>
      <c r="V66" s="30">
        <f>SUM(V55:V65)</f>
        <v>43.832844999999978</v>
      </c>
      <c r="W66" s="35">
        <f>SUMIF(V55:V65,"&gt;0")*1000</f>
        <v>56129.779999999955</v>
      </c>
    </row>
    <row r="67" spans="1:37" s="94" customFormat="1">
      <c r="C67" s="95"/>
      <c r="G67" s="64"/>
      <c r="U67" s="30"/>
      <c r="V67" s="30"/>
      <c r="W67" s="35"/>
    </row>
    <row r="68" spans="1:37" s="85" customFormat="1">
      <c r="A68" s="74"/>
      <c r="B68" s="90" t="str">
        <f>[1]!'2504.TW-Capital'</f>
        <v>118.00</v>
      </c>
      <c r="C68" s="75" t="str">
        <f>[1]!'2504.TW-NetIncomeGrowthRate'</f>
        <v>17.59</v>
      </c>
      <c r="D68" s="76" t="str">
        <f>[1]!'2504.TW-OperIncomeGrowthRate'</f>
        <v>46.57</v>
      </c>
      <c r="E68" s="76" t="str">
        <f>[1]!'2504.TW-TFXRatio'</f>
        <v>3.44</v>
      </c>
      <c r="F68" s="76" t="str">
        <f>[1]!'2504.TW-MonthlyNetSalesYoY'</f>
        <v>9.69</v>
      </c>
      <c r="G68" s="143" t="str">
        <f>[1]!'2504.TW-ProfitMargin'</f>
        <v>18.48</v>
      </c>
      <c r="H68" s="148" t="str">
        <f>[1]!'2504.TW-OperatingProfitRatio'</f>
        <v>14.49</v>
      </c>
      <c r="I68" s="148" t="str">
        <f>[1]!'2504.TW-NetProfitMargin'</f>
        <v>13.40</v>
      </c>
      <c r="J68" s="142">
        <v>2504</v>
      </c>
      <c r="K68" s="57" t="str">
        <f>VLOOKUP($J68,STOCKS!$A$2:$B$2035,2,0)</f>
        <v>國產</v>
      </c>
      <c r="L68" s="115">
        <f>IFERROR(VLOOKUP($J68&amp;".TW",每日資料!$B$6:$J$1650,6,FALSE),"")</f>
        <v>0.02</v>
      </c>
      <c r="M68" s="114">
        <f>VLOOKUP($J68&amp;".TW",每日資料!$P$6:$U$1983,6,FALSE)</f>
        <v>66.69</v>
      </c>
      <c r="N68" s="115">
        <f>IFERROR(VLOOKUP($J68&amp;".TW",每日資料!$B$6:$J$1650,7,FALSE),"")</f>
        <v>12.02</v>
      </c>
      <c r="O68" s="115">
        <f>IFERROR(VLOOKUP($J68&amp;".TW",每日資料!$B$6:$J$1650,8,FALSE),"")</f>
        <v>8.5299999999999994</v>
      </c>
      <c r="P68" s="77">
        <f t="shared" ref="P68" si="110">SUM(M68:O68)</f>
        <v>87.24</v>
      </c>
      <c r="Q68" s="113" t="str">
        <f>[1]!'2504.TW-CashAndStockDividend'</f>
        <v>1.50</v>
      </c>
      <c r="R68" s="79" t="str">
        <f>[1]!'2504.TW-ProfitFourSeason'</f>
        <v>2.30</v>
      </c>
      <c r="S68" s="79" cm="1">
        <f t="array" ref="S68">[1]!'2504.TW-CashDividendYieldRate'</f>
        <v>5.51</v>
      </c>
      <c r="T68" s="28" t="str">
        <f>VLOOKUP($J68,STOCKS!$D$2:$E$2035,2,0)</f>
        <v>--</v>
      </c>
      <c r="U68" s="93">
        <v>27.5</v>
      </c>
      <c r="V68" s="86" t="str">
        <f t="shared" si="46"/>
        <v/>
      </c>
      <c r="W68" s="34" t="e">
        <f t="shared" ref="W68" si="111">V68/U68</f>
        <v>#VALUE!</v>
      </c>
      <c r="X68" s="7" t="str">
        <f t="shared" si="48"/>
        <v>國產</v>
      </c>
      <c r="Y68" s="80" t="s">
        <v>11</v>
      </c>
      <c r="Z68" s="128" t="str">
        <f>VLOOKUP($J68,STOCKS!$A$2:$C$2035,3,0)</f>
        <v>上市建材營造,上市普通股(排除KY個股)</v>
      </c>
      <c r="AA68" s="82">
        <v>44509</v>
      </c>
      <c r="AB68" s="29"/>
      <c r="AC68" s="54">
        <v>1</v>
      </c>
      <c r="AD68" s="83"/>
      <c r="AE68" s="84" t="e">
        <f t="shared" ref="AE68" si="112">T68*AC68*1000</f>
        <v>#VALUE!</v>
      </c>
      <c r="AF68" s="151" t="s">
        <v>5743</v>
      </c>
      <c r="AG68" s="74"/>
      <c r="AH68" s="74"/>
      <c r="AI68" s="74"/>
      <c r="AJ68" s="74"/>
      <c r="AK68" s="74"/>
    </row>
    <row r="69" spans="1:37" s="85" customFormat="1">
      <c r="A69" s="74"/>
      <c r="B69" s="90" t="str">
        <f>[1]!'3138.TW-Capital'</f>
        <v>4.67</v>
      </c>
      <c r="C69" s="75" t="str">
        <f>[1]!'3138.TW-NetIncomeGrowthRate'</f>
        <v>89.66</v>
      </c>
      <c r="D69" s="76" t="str">
        <f>[1]!'3138.TW-OperIncomeGrowthRate'</f>
        <v>-1.41</v>
      </c>
      <c r="E69" s="76" t="str">
        <f>[1]!'3138.TW-TFXRatio'</f>
        <v>-3.46</v>
      </c>
      <c r="F69" s="76" t="str">
        <f>[1]!'3138.TW-MonthlyNetSalesYoY'</f>
        <v>26.68</v>
      </c>
      <c r="G69" s="143" t="str">
        <f>[1]!'3138.TW-ProfitMargin'</f>
        <v>39.99</v>
      </c>
      <c r="H69" s="148" t="str">
        <f>[1]!'3138.TW-OperatingProfitRatio'</f>
        <v>10.13</v>
      </c>
      <c r="I69" s="148" t="str">
        <f>[1]!'3138.TW-NetProfitMargin'</f>
        <v>18.81</v>
      </c>
      <c r="J69" s="142">
        <v>3138</v>
      </c>
      <c r="K69" s="57" t="str">
        <f>VLOOKUP($J69,STOCKS!$A$2:$B$2035,2,0)</f>
        <v>耀登</v>
      </c>
      <c r="L69" s="115">
        <f>IFERROR(VLOOKUP($J69&amp;".TW",每日資料!$B$6:$J$1650,6,FALSE),"")</f>
        <v>1.37</v>
      </c>
      <c r="M69" s="114">
        <f>VLOOKUP($J69&amp;".TW",每日資料!$P$6:$U$1983,6,FALSE)</f>
        <v>21.08</v>
      </c>
      <c r="N69" s="115">
        <f>IFERROR(VLOOKUP($J69&amp;".TW",每日資料!$B$6:$J$1650,7,FALSE),"")</f>
        <v>1.36</v>
      </c>
      <c r="O69" s="115">
        <f>IFERROR(VLOOKUP($J69&amp;".TW",每日資料!$B$6:$J$1650,8,FALSE),"")</f>
        <v>17.059999999999999</v>
      </c>
      <c r="P69" s="77">
        <f t="shared" ref="P69" si="113">SUM(M69:O69)</f>
        <v>39.5</v>
      </c>
      <c r="Q69" s="113" t="str">
        <f>[1]!'3138.TW-CashAndStockDividend'</f>
        <v>1.60</v>
      </c>
      <c r="R69" s="79" t="str">
        <f>[1]!'3138.TW-ProfitFourSeason'</f>
        <v>4.43</v>
      </c>
      <c r="S69" s="79" cm="1">
        <f t="array" ref="S69">[1]!'3138.TW-CashDividendYieldRate'</f>
        <v>0.7</v>
      </c>
      <c r="T69" s="28" t="str">
        <f>VLOOKUP($J69,STOCKS!$D$2:$E$2035,2,0)</f>
        <v>--</v>
      </c>
      <c r="U69" s="93">
        <v>248</v>
      </c>
      <c r="V69" s="86" t="str">
        <f t="shared" si="46"/>
        <v/>
      </c>
      <c r="W69" s="34" t="e">
        <f t="shared" ref="W69" si="114">V69/U69</f>
        <v>#VALUE!</v>
      </c>
      <c r="X69" s="7" t="str">
        <f t="shared" si="48"/>
        <v>耀登</v>
      </c>
      <c r="Y69" s="80" t="s">
        <v>11</v>
      </c>
      <c r="Z69" s="128" t="str">
        <f>VLOOKUP($J69,STOCKS!$A$2:$C$2035,3,0)</f>
        <v>上市電子全部,上市通信網路,上市普通股(排除KY個股),上市普通股(排除營建與金融)</v>
      </c>
      <c r="AA69" s="82">
        <v>44509</v>
      </c>
      <c r="AB69" s="29"/>
      <c r="AC69" s="54">
        <v>1</v>
      </c>
      <c r="AD69" s="83"/>
      <c r="AE69" s="84" t="e">
        <f t="shared" ref="AE69" si="115">T69*AC69*1000</f>
        <v>#VALUE!</v>
      </c>
      <c r="AF69" s="151" t="s">
        <v>5744</v>
      </c>
      <c r="AG69" s="74"/>
      <c r="AH69" s="74"/>
      <c r="AI69" s="74"/>
      <c r="AJ69" s="74"/>
      <c r="AK69" s="74"/>
    </row>
    <row r="70" spans="1:37" s="85" customFormat="1">
      <c r="A70" s="74"/>
      <c r="B70" s="90"/>
      <c r="C70" s="75"/>
      <c r="D70" s="76"/>
      <c r="E70" s="76"/>
      <c r="F70" s="76"/>
      <c r="G70" s="143"/>
      <c r="H70" s="148"/>
      <c r="I70" s="148"/>
      <c r="J70" s="142"/>
      <c r="K70" s="57"/>
      <c r="L70" s="115"/>
      <c r="M70" s="114"/>
      <c r="N70" s="115"/>
      <c r="O70" s="115"/>
      <c r="P70" s="77"/>
      <c r="Q70" s="113"/>
      <c r="R70" s="79"/>
      <c r="S70" s="79"/>
      <c r="T70" s="28"/>
      <c r="U70" s="93"/>
      <c r="V70" s="30">
        <f>SUM(V68:V69)</f>
        <v>0</v>
      </c>
      <c r="W70" s="35">
        <f>SUMIF(V68:V69,"&gt;0")*1000</f>
        <v>0</v>
      </c>
      <c r="X70" s="7"/>
      <c r="Y70" s="80"/>
      <c r="Z70" s="128"/>
      <c r="AA70" s="82"/>
      <c r="AB70" s="29"/>
      <c r="AC70" s="54"/>
      <c r="AD70" s="83"/>
      <c r="AE70" s="84"/>
      <c r="AF70" s="151"/>
      <c r="AG70" s="74"/>
      <c r="AH70" s="74"/>
      <c r="AI70" s="74"/>
      <c r="AJ70" s="74"/>
      <c r="AK70" s="74"/>
    </row>
    <row r="71" spans="1:37" s="94" customFormat="1">
      <c r="C71" s="95"/>
      <c r="G71" s="64"/>
      <c r="U71" s="30"/>
      <c r="V71" s="30"/>
      <c r="W71" s="35"/>
    </row>
    <row r="72" spans="1:37" s="85" customFormat="1">
      <c r="A72" s="74"/>
      <c r="B72" s="90" t="str">
        <f>[1]!'3260.TW-Capital'</f>
        <v>--</v>
      </c>
      <c r="C72" s="75" t="str">
        <f>[1]!'3260.TW-NetIncomeGrowthRate'</f>
        <v>--</v>
      </c>
      <c r="D72" s="76" t="str">
        <f>[1]!'3260.TW-OperIncomeGrowthRate'</f>
        <v>--</v>
      </c>
      <c r="E72" s="76" t="str">
        <f>[1]!'3260.TW-TFXRatio'</f>
        <v>--</v>
      </c>
      <c r="F72" s="76" t="str">
        <f>[1]!'3260.TW-MonthlyNetSalesYoY'</f>
        <v>--</v>
      </c>
      <c r="G72" s="143" t="str">
        <f>[1]!'3260.TW-ProfitMargin'</f>
        <v>--</v>
      </c>
      <c r="H72" s="148" t="str">
        <f>[1]!'3260.TW-OperatingProfitRatio'</f>
        <v>--</v>
      </c>
      <c r="I72" s="148" t="str">
        <f>[1]!'3260.TW-NetProfitMargin'</f>
        <v>--</v>
      </c>
      <c r="J72" s="142">
        <v>3260</v>
      </c>
      <c r="K72" s="57" t="str">
        <f>VLOOKUP($J72,STOCKS!$A$2:$B$2035,2,0)</f>
        <v>威剛</v>
      </c>
      <c r="L72" s="115">
        <f>IFERROR(VLOOKUP($J72&amp;".TW",每日資料!$B$6:$J$1650,6,FALSE),"")</f>
        <v>11.3</v>
      </c>
      <c r="M72" s="114">
        <f>VLOOKUP($J72&amp;".TW",每日資料!$P$6:$U$1983,6,FALSE)</f>
        <v>14.55</v>
      </c>
      <c r="N72" s="115">
        <f>IFERROR(VLOOKUP($J72&amp;".TW",每日資料!$B$6:$J$1650,7,FALSE),"")</f>
        <v>7.82</v>
      </c>
      <c r="O72" s="115">
        <f>IFERROR(VLOOKUP($J72&amp;".TW",每日資料!$B$6:$J$1650,8,FALSE),"")</f>
        <v>27.63</v>
      </c>
      <c r="P72" s="77">
        <f t="shared" ref="P72" si="116">SUM(M72:O72)</f>
        <v>50</v>
      </c>
      <c r="Q72" s="113" t="str">
        <f>[1]!'3260.TW-CashAndStockDividend'</f>
        <v>--</v>
      </c>
      <c r="R72" s="79" t="str">
        <f>[1]!'3260.TW-ProfitFourSeason'</f>
        <v>--</v>
      </c>
      <c r="S72" s="79" t="str" cm="1">
        <f t="array" ref="S72">[1]!'3260.TW-CashDividendYieldRate'</f>
        <v>--</v>
      </c>
      <c r="T72" s="28">
        <f>VLOOKUP($J72,STOCKS!$D$2:$E$2035,2,0)</f>
        <v>92.7</v>
      </c>
      <c r="U72" s="93">
        <v>94</v>
      </c>
      <c r="V72" s="86">
        <f t="shared" si="46"/>
        <v>-1.3652799999999843</v>
      </c>
      <c r="W72" s="34">
        <f t="shared" ref="W72" si="117">V72/U72</f>
        <v>-1.452425531914877E-2</v>
      </c>
      <c r="X72" s="7" t="str">
        <f t="shared" si="48"/>
        <v>威剛</v>
      </c>
      <c r="Y72" s="80" t="s">
        <v>11</v>
      </c>
      <c r="Z72" s="128" t="str">
        <f>VLOOKUP($J72,STOCKS!$A$2:$C$2035,3,0)</f>
        <v>上櫃電子全部,上櫃半導體,上櫃普通股(排除KY個股),上櫃普通股(排除營建與金融)</v>
      </c>
      <c r="AA72" s="82">
        <v>44523</v>
      </c>
      <c r="AB72" s="29"/>
      <c r="AC72" s="54">
        <v>1</v>
      </c>
      <c r="AD72" s="83"/>
      <c r="AE72" s="84">
        <f t="shared" ref="AE72" si="118">T72*AC72*1000</f>
        <v>92700</v>
      </c>
      <c r="AF72" s="151" t="s">
        <v>5766</v>
      </c>
      <c r="AG72" s="74"/>
      <c r="AH72" s="74"/>
      <c r="AI72" s="74"/>
      <c r="AJ72" s="74"/>
      <c r="AK72" s="74"/>
    </row>
    <row r="73" spans="1:37" s="85" customFormat="1">
      <c r="A73" s="74"/>
      <c r="B73" s="90" t="str">
        <f>[1]!'8183.TW-Capital'</f>
        <v>--</v>
      </c>
      <c r="C73" s="75" t="str">
        <f>[1]!'8183.TW-NetIncomeGrowthRate'</f>
        <v>--</v>
      </c>
      <c r="D73" s="76" t="str">
        <f>[1]!'8183.TW-OperIncomeGrowthRate'</f>
        <v>--</v>
      </c>
      <c r="E73" s="76" t="str">
        <f>[1]!'8183.TW-TFXRatio'</f>
        <v>--</v>
      </c>
      <c r="F73" s="76" t="str">
        <f>[1]!'8183.TW-MonthlyNetSalesYoY'</f>
        <v>--</v>
      </c>
      <c r="G73" s="143" t="str">
        <f>[1]!'8183.TW-ProfitMargin'</f>
        <v>--</v>
      </c>
      <c r="H73" s="148" t="str">
        <f>[1]!'8183.TW-OperatingProfitRatio'</f>
        <v>--</v>
      </c>
      <c r="I73" s="148" t="str">
        <f>[1]!'8183.TW-NetProfitMargin'</f>
        <v>--</v>
      </c>
      <c r="J73" s="142">
        <v>8183</v>
      </c>
      <c r="K73" s="57" t="str">
        <f>VLOOKUP($J73,STOCKS!$A$2:$B$2035,2,0)</f>
        <v>精星</v>
      </c>
      <c r="L73" s="115">
        <f>IFERROR(VLOOKUP($J73&amp;".TW",每日資料!$B$6:$J$1650,6,FALSE),"")</f>
        <v>0.55000000000000004</v>
      </c>
      <c r="M73" s="114">
        <f>VLOOKUP($J73&amp;".TW",每日資料!$P$6:$U$1983,6,FALSE)</f>
        <v>48.69</v>
      </c>
      <c r="N73" s="115">
        <f>IFERROR(VLOOKUP($J73&amp;".TW",每日資料!$B$6:$J$1650,7,FALSE),"")</f>
        <v>3.05</v>
      </c>
      <c r="O73" s="115">
        <f>IFERROR(VLOOKUP($J73&amp;".TW",每日資料!$B$6:$J$1650,8,FALSE),"")</f>
        <v>30.93</v>
      </c>
      <c r="P73" s="77">
        <f t="shared" ref="P73" si="119">SUM(M73:O73)</f>
        <v>82.669999999999987</v>
      </c>
      <c r="Q73" s="113" t="str">
        <f>[1]!'8183.TW-CashAndStockDividend'</f>
        <v>--</v>
      </c>
      <c r="R73" s="79" t="str">
        <f>[1]!'8183.TW-ProfitFourSeason'</f>
        <v>--</v>
      </c>
      <c r="S73" s="79" t="str" cm="1">
        <f t="array" ref="S73">[1]!'8183.TW-CashDividendYieldRate'</f>
        <v>--</v>
      </c>
      <c r="T73" s="28">
        <f>VLOOKUP($J73,STOCKS!$D$2:$E$2035,2,0)</f>
        <v>64.099999999999994</v>
      </c>
      <c r="U73" s="93">
        <v>60.9</v>
      </c>
      <c r="V73" s="86">
        <f t="shared" si="46"/>
        <v>3.156089999999999</v>
      </c>
      <c r="W73" s="34">
        <f t="shared" ref="W73" si="120">V73/U73</f>
        <v>5.1824137931034464E-2</v>
      </c>
      <c r="X73" s="7" t="str">
        <f t="shared" si="48"/>
        <v>精星</v>
      </c>
      <c r="Y73" s="80" t="s">
        <v>11</v>
      </c>
      <c r="Z73" s="128" t="str">
        <f>VLOOKUP($J73,STOCKS!$A$2:$C$2035,3,0)</f>
        <v>上櫃電子全部,上櫃其他電子,上櫃普通股(排除KY個股),上櫃普通股(排除營建與金融)</v>
      </c>
      <c r="AA73" s="82">
        <v>44523</v>
      </c>
      <c r="AB73" s="29"/>
      <c r="AC73" s="54">
        <v>1</v>
      </c>
      <c r="AD73" s="83"/>
      <c r="AE73" s="84">
        <f t="shared" ref="AE73" si="121">T73*AC73*1000</f>
        <v>64099.999999999993</v>
      </c>
      <c r="AF73" s="151" t="s">
        <v>5767</v>
      </c>
      <c r="AG73" s="74"/>
      <c r="AH73" s="74"/>
      <c r="AI73" s="74"/>
      <c r="AJ73" s="74"/>
      <c r="AK73" s="74"/>
    </row>
    <row r="74" spans="1:37" s="85" customFormat="1">
      <c r="A74" s="74"/>
      <c r="B74" s="90" t="str">
        <f>[1]!'3624.TW-Capital'</f>
        <v>--</v>
      </c>
      <c r="C74" s="75" t="str">
        <f>[1]!'3624.TW-NetIncomeGrowthRate'</f>
        <v>--</v>
      </c>
      <c r="D74" s="76" t="str">
        <f>[1]!'3624.TW-OperIncomeGrowthRate'</f>
        <v>--</v>
      </c>
      <c r="E74" s="76" t="str">
        <f>[1]!'3624.TW-TFXRatio'</f>
        <v>--</v>
      </c>
      <c r="F74" s="76" t="str">
        <f>[1]!'3624.TW-MonthlyNetSalesYoY'</f>
        <v>--</v>
      </c>
      <c r="G74" s="143" t="str">
        <f>[1]!'3624.TW-ProfitMargin'</f>
        <v>--</v>
      </c>
      <c r="H74" s="148" t="str">
        <f>[1]!'3624.TW-OperatingProfitRatio'</f>
        <v>--</v>
      </c>
      <c r="I74" s="148" t="str">
        <f>[1]!'3624.TW-NetProfitMargin'</f>
        <v>--</v>
      </c>
      <c r="J74" s="142">
        <v>3624</v>
      </c>
      <c r="K74" s="57" t="str">
        <f>VLOOKUP($J74,STOCKS!$A$2:$B$2035,2,0)</f>
        <v>光頡</v>
      </c>
      <c r="L74" s="115">
        <f>IFERROR(VLOOKUP($J74&amp;".TW",每日資料!$B$6:$J$1650,6,FALSE),"")</f>
        <v>0.3</v>
      </c>
      <c r="M74" s="114">
        <f>VLOOKUP($J74&amp;".TW",每日資料!$P$6:$U$1983,6,FALSE)</f>
        <v>55.67</v>
      </c>
      <c r="N74" s="115">
        <f>IFERROR(VLOOKUP($J74&amp;".TW",每日資料!$B$6:$J$1650,7,FALSE),"")</f>
        <v>46.84</v>
      </c>
      <c r="O74" s="115">
        <f>IFERROR(VLOOKUP($J74&amp;".TW",每日資料!$B$6:$J$1650,8,FALSE),"")</f>
        <v>16.440000000000001</v>
      </c>
      <c r="P74" s="77">
        <f t="shared" ref="P74" si="122">SUM(M74:O74)</f>
        <v>118.95</v>
      </c>
      <c r="Q74" s="113" t="str">
        <f>[1]!'3624.TW-CashAndStockDividend'</f>
        <v>--</v>
      </c>
      <c r="R74" s="79" t="str">
        <f>[1]!'3624.TW-ProfitFourSeason'</f>
        <v>--</v>
      </c>
      <c r="S74" s="79" t="str" cm="1">
        <f t="array" ref="S74">[1]!'3624.TW-CashDividendYieldRate'</f>
        <v>--</v>
      </c>
      <c r="T74" s="28">
        <f>VLOOKUP($J74,STOCKS!$D$2:$E$2035,2,0)</f>
        <v>49.2</v>
      </c>
      <c r="U74" s="93">
        <v>51</v>
      </c>
      <c r="V74" s="86">
        <f t="shared" si="46"/>
        <v>-1.8349799999999945</v>
      </c>
      <c r="W74" s="34">
        <f t="shared" ref="W74" si="123">V74/U74</f>
        <v>-3.5979999999999894E-2</v>
      </c>
      <c r="X74" s="7" t="str">
        <f t="shared" si="48"/>
        <v>光頡</v>
      </c>
      <c r="Y74" s="80" t="s">
        <v>11</v>
      </c>
      <c r="Z74" s="128" t="str">
        <f>VLOOKUP($J74,STOCKS!$A$2:$C$2035,3,0)</f>
        <v>上櫃電子全部,上櫃電子零組件,上櫃普通股(排除KY個股),上櫃普通股(排除營建與金融)</v>
      </c>
      <c r="AA74" s="82">
        <v>44523</v>
      </c>
      <c r="AB74" s="29"/>
      <c r="AC74" s="54">
        <v>1</v>
      </c>
      <c r="AD74" s="83"/>
      <c r="AE74" s="84">
        <f t="shared" ref="AE74" si="124">T74*AC74*1000</f>
        <v>49200</v>
      </c>
      <c r="AF74" s="151" t="s">
        <v>5768</v>
      </c>
      <c r="AG74" s="74"/>
      <c r="AH74" s="74"/>
      <c r="AI74" s="74"/>
      <c r="AJ74" s="74"/>
      <c r="AK74" s="74"/>
    </row>
    <row r="75" spans="1:37" s="85" customFormat="1">
      <c r="A75" s="74"/>
      <c r="B75" s="90" t="str">
        <f>[1]!'3169.TW-Capital'</f>
        <v>0.00</v>
      </c>
      <c r="C75" s="75" t="str">
        <f>[1]!'3169.TW-NetIncomeGrowthRate'</f>
        <v>0.00</v>
      </c>
      <c r="D75" s="76" t="str">
        <f>[1]!'3169.TW-OperIncomeGrowthRate'</f>
        <v>0.00</v>
      </c>
      <c r="E75" s="76" t="str">
        <f>[1]!'3169.TW-TFXRatio'</f>
        <v>0.00</v>
      </c>
      <c r="F75" s="76" t="str">
        <f>[1]!'3169.TW-MonthlyNetSalesYoY'</f>
        <v>0.00</v>
      </c>
      <c r="G75" s="143" t="str">
        <f>[1]!'3169.TW-ProfitMargin'</f>
        <v>0.00</v>
      </c>
      <c r="H75" s="148" t="str">
        <f>[1]!'3169.TW-OperatingProfitRatio'</f>
        <v>0.00</v>
      </c>
      <c r="I75" s="148" t="str">
        <f>[1]!'3169.TW-NetProfitMargin'</f>
        <v>0.00</v>
      </c>
      <c r="J75" s="142">
        <v>3169</v>
      </c>
      <c r="K75" s="57" t="str">
        <f>VLOOKUP($J75,STOCKS!$A$2:$B$2035,2,0)</f>
        <v>亞信</v>
      </c>
      <c r="L75" s="115">
        <f>IFERROR(VLOOKUP($J75&amp;".TW",每日資料!$B$6:$J$1650,6,FALSE),"")</f>
        <v>4.78</v>
      </c>
      <c r="M75" s="114">
        <f>VLOOKUP($J75&amp;".TW",每日資料!$P$6:$U$1983,6,FALSE)</f>
        <v>33.01</v>
      </c>
      <c r="N75" s="115">
        <f>IFERROR(VLOOKUP($J75&amp;".TW",每日資料!$B$6:$J$1650,7,FALSE),"")</f>
        <v>8.15</v>
      </c>
      <c r="O75" s="115">
        <f>IFERROR(VLOOKUP($J75&amp;".TW",每日資料!$B$6:$J$1650,8,FALSE),"")</f>
        <v>73.2</v>
      </c>
      <c r="P75" s="77">
        <f t="shared" ref="P75" si="125">SUM(M75:O75)</f>
        <v>114.36</v>
      </c>
      <c r="Q75" s="113" t="str">
        <f>[1]!'3169.TW-CashAndStockDividend'</f>
        <v>0.00</v>
      </c>
      <c r="R75" s="79" t="str">
        <f>[1]!'3169.TW-ProfitFourSeason'</f>
        <v>0.00</v>
      </c>
      <c r="S75" s="79" t="str" cm="1">
        <f t="array" ref="S75">[1]!'3169.TW-CashDividendYieldRate'</f>
        <v>--</v>
      </c>
      <c r="T75" s="28" t="str">
        <f>VLOOKUP($J75,STOCKS!$D$2:$E$2035,2,0)</f>
        <v>--</v>
      </c>
      <c r="U75" s="93">
        <v>249</v>
      </c>
      <c r="V75" s="86" t="str">
        <f t="shared" si="46"/>
        <v/>
      </c>
      <c r="W75" s="34" t="e">
        <f t="shared" ref="W75" si="126">V75/U75</f>
        <v>#VALUE!</v>
      </c>
      <c r="X75" s="7" t="str">
        <f t="shared" si="48"/>
        <v>亞信</v>
      </c>
      <c r="Y75" s="80" t="s">
        <v>11</v>
      </c>
      <c r="Z75" s="128" t="str">
        <f>VLOOKUP($J75,STOCKS!$A$2:$C$2035,3,0)</f>
        <v>上櫃電子全部,上櫃半導體,上櫃普通股(排除KY個股),上櫃普通股(排除營建與金融)</v>
      </c>
      <c r="AA75" s="82">
        <v>44523</v>
      </c>
      <c r="AB75" s="29"/>
      <c r="AC75" s="54">
        <v>1</v>
      </c>
      <c r="AD75" s="83"/>
      <c r="AE75" s="84" t="e">
        <f t="shared" ref="AE75" si="127">T75*AC75*1000</f>
        <v>#VALUE!</v>
      </c>
      <c r="AF75" s="151" t="s">
        <v>5769</v>
      </c>
      <c r="AG75" s="74"/>
      <c r="AH75" s="74"/>
      <c r="AI75" s="74"/>
      <c r="AJ75" s="74"/>
      <c r="AK75" s="74"/>
    </row>
    <row r="76" spans="1:37" s="85" customFormat="1">
      <c r="A76" s="74"/>
      <c r="B76" s="90" t="str">
        <f>[1]!'3419.TW-Capital'</f>
        <v>0.00</v>
      </c>
      <c r="C76" s="75" t="str">
        <f>[1]!'3419.TW-NetIncomeGrowthRate'</f>
        <v>0.00</v>
      </c>
      <c r="D76" s="76" t="str">
        <f>[1]!'3419.TW-OperIncomeGrowthRate'</f>
        <v>0.00</v>
      </c>
      <c r="E76" s="76" t="str">
        <f>[1]!'3419.TW-TFXRatio'</f>
        <v>0.00</v>
      </c>
      <c r="F76" s="76" t="str">
        <f>[1]!'3419.TW-MonthlyNetSalesYoY'</f>
        <v>0.00</v>
      </c>
      <c r="G76" s="143" t="str">
        <f>[1]!'3419.TW-ProfitMargin'</f>
        <v>0.00</v>
      </c>
      <c r="H76" s="148" t="str">
        <f>[1]!'3419.TW-OperatingProfitRatio'</f>
        <v>0.00</v>
      </c>
      <c r="I76" s="148" t="str">
        <f>[1]!'3419.TW-NetProfitMargin'</f>
        <v>0.00</v>
      </c>
      <c r="J76" s="142">
        <v>3419</v>
      </c>
      <c r="K76" s="57" t="str">
        <f>VLOOKUP($J76,STOCKS!$A$2:$B$2035,2,0)</f>
        <v>譁裕</v>
      </c>
      <c r="L76" s="115">
        <f>IFERROR(VLOOKUP($J76&amp;".TW",每日資料!$B$6:$J$1650,6,FALSE),"")</f>
        <v>4.01</v>
      </c>
      <c r="M76" s="114">
        <f>VLOOKUP($J76&amp;".TW",每日資料!$P$6:$U$1983,6,FALSE)</f>
        <v>31.45</v>
      </c>
      <c r="N76" s="115">
        <f>IFERROR(VLOOKUP($J76&amp;".TW",每日資料!$B$6:$J$1650,7,FALSE),"")</f>
        <v>7.19</v>
      </c>
      <c r="O76" s="115">
        <f>IFERROR(VLOOKUP($J76&amp;".TW",每日資料!$B$6:$J$1650,8,FALSE),"")</f>
        <v>36.04</v>
      </c>
      <c r="P76" s="77">
        <f t="shared" ref="P76" si="128">SUM(M76:O76)</f>
        <v>74.680000000000007</v>
      </c>
      <c r="Q76" s="113" t="str">
        <f>[1]!'3419.TW-CashAndStockDividend'</f>
        <v>0.00</v>
      </c>
      <c r="R76" s="79" t="str">
        <f>[1]!'3419.TW-ProfitFourSeason'</f>
        <v>0.00</v>
      </c>
      <c r="S76" s="79" t="str" cm="1">
        <f t="array" ref="S76">[1]!'3419.TW-CashDividendYieldRate'</f>
        <v>--</v>
      </c>
      <c r="T76" s="28" t="str">
        <f>VLOOKUP($J76,STOCKS!$D$2:$E$2035,2,0)</f>
        <v>--</v>
      </c>
      <c r="U76" s="93">
        <v>29.65</v>
      </c>
      <c r="V76" s="86" t="str">
        <f t="shared" si="46"/>
        <v/>
      </c>
      <c r="W76" s="34" t="e">
        <f t="shared" ref="W76" si="129">V76/U76</f>
        <v>#VALUE!</v>
      </c>
      <c r="X76" s="7" t="str">
        <f t="shared" si="48"/>
        <v>譁裕</v>
      </c>
      <c r="Y76" s="80" t="s">
        <v>11</v>
      </c>
      <c r="Z76" s="128" t="str">
        <f>VLOOKUP($J76,STOCKS!$A$2:$C$2035,3,0)</f>
        <v>上市電子全部,上市通信網路,上市普通股(排除KY個股),上市普通股(排除營建與金融)</v>
      </c>
      <c r="AA76" s="82">
        <v>44523</v>
      </c>
      <c r="AB76" s="29"/>
      <c r="AC76" s="54">
        <v>1</v>
      </c>
      <c r="AD76" s="83"/>
      <c r="AE76" s="84" t="e">
        <f t="shared" ref="AE76" si="130">T76*AC76*1000</f>
        <v>#VALUE!</v>
      </c>
      <c r="AF76" s="151" t="s">
        <v>5770</v>
      </c>
      <c r="AG76" s="74"/>
      <c r="AH76" s="74"/>
      <c r="AI76" s="74"/>
      <c r="AJ76" s="74"/>
      <c r="AK76" s="74"/>
    </row>
    <row r="77" spans="1:37" s="85" customFormat="1">
      <c r="A77" s="74"/>
      <c r="B77" s="90" t="str">
        <f>[1]!'6182.TW-Capital'</f>
        <v>--</v>
      </c>
      <c r="C77" s="75" t="str">
        <f>[1]!'6182.TW-NetIncomeGrowthRate'</f>
        <v>--</v>
      </c>
      <c r="D77" s="76" t="str">
        <f>[1]!'6182.TW-OperIncomeGrowthRate'</f>
        <v>--</v>
      </c>
      <c r="E77" s="76" t="str">
        <f>[1]!'6182.TW-TFXRatio'</f>
        <v>--</v>
      </c>
      <c r="F77" s="76" t="str">
        <f>[1]!'6182.TW-MonthlyNetSalesYoY'</f>
        <v>--</v>
      </c>
      <c r="G77" s="143" t="str">
        <f>[1]!'6182.TW-ProfitMargin'</f>
        <v>--</v>
      </c>
      <c r="H77" s="148" t="str">
        <f>[1]!'6182.TW-OperatingProfitRatio'</f>
        <v>--</v>
      </c>
      <c r="I77" s="148" t="str">
        <f>[1]!'6182.TW-NetProfitMargin'</f>
        <v>--</v>
      </c>
      <c r="J77" s="142">
        <v>6182</v>
      </c>
      <c r="K77" s="57" t="str">
        <f>VLOOKUP($J77,STOCKS!$A$2:$B$2035,2,0)</f>
        <v>合晶</v>
      </c>
      <c r="L77" s="115">
        <f>IFERROR(VLOOKUP($J77&amp;".TW",每日資料!$B$6:$J$1650,6,FALSE),"")</f>
        <v>1.41</v>
      </c>
      <c r="M77" s="114">
        <f>VLOOKUP($J77&amp;".TW",每日資料!$P$6:$U$1983,6,FALSE)</f>
        <v>35.869999999999997</v>
      </c>
      <c r="N77" s="115">
        <f>IFERROR(VLOOKUP($J77&amp;".TW",每日資料!$B$6:$J$1650,7,FALSE),"")</f>
        <v>23.52</v>
      </c>
      <c r="O77" s="115">
        <f>IFERROR(VLOOKUP($J77&amp;".TW",每日資料!$B$6:$J$1650,8,FALSE),"")</f>
        <v>28.41</v>
      </c>
      <c r="P77" s="77">
        <f t="shared" ref="P77" si="131">SUM(M77:O77)</f>
        <v>87.8</v>
      </c>
      <c r="Q77" s="113" t="str">
        <f>[1]!'6182.TW-CashAndStockDividend'</f>
        <v>--</v>
      </c>
      <c r="R77" s="79" t="str">
        <f>[1]!'6182.TW-ProfitFourSeason'</f>
        <v>--</v>
      </c>
      <c r="S77" s="79" t="str" cm="1">
        <f t="array" ref="S77">[1]!'6182.TW-CashDividendYieldRate'</f>
        <v>--</v>
      </c>
      <c r="T77" s="28">
        <f>VLOOKUP($J77,STOCKS!$D$2:$E$2035,2,0)</f>
        <v>76.400000000000006</v>
      </c>
      <c r="U77" s="93">
        <v>71.2</v>
      </c>
      <c r="V77" s="86">
        <f t="shared" si="46"/>
        <v>5.1480800000000073</v>
      </c>
      <c r="W77" s="34">
        <f t="shared" ref="W77" si="132">V77/U77</f>
        <v>7.2304494382022577E-2</v>
      </c>
      <c r="X77" s="7" t="str">
        <f t="shared" si="48"/>
        <v>合晶</v>
      </c>
      <c r="Y77" s="80" t="s">
        <v>11</v>
      </c>
      <c r="Z77" s="128" t="str">
        <f>VLOOKUP($J77,STOCKS!$A$2:$C$2035,3,0)</f>
        <v>上櫃電子全部,上櫃半導體,上櫃普通股(排除KY個股),上櫃普通股(排除營建與金融)</v>
      </c>
      <c r="AA77" s="82">
        <v>44523</v>
      </c>
      <c r="AB77" s="29"/>
      <c r="AC77" s="54">
        <v>1</v>
      </c>
      <c r="AD77" s="83"/>
      <c r="AE77" s="84">
        <f t="shared" ref="AE77" si="133">T77*AC77*1000</f>
        <v>76400</v>
      </c>
      <c r="AF77" s="151" t="s">
        <v>5771</v>
      </c>
      <c r="AG77" s="74"/>
      <c r="AH77" s="74"/>
      <c r="AI77" s="74"/>
      <c r="AJ77" s="74"/>
      <c r="AK77" s="74"/>
    </row>
    <row r="78" spans="1:37" s="85" customFormat="1">
      <c r="A78" s="74"/>
      <c r="B78" s="90" t="str">
        <f>[1]!'5483.TW-Capital'</f>
        <v>58.62</v>
      </c>
      <c r="C78" s="75" t="str">
        <f>[1]!'5483.TW-NetIncomeGrowthRate'</f>
        <v>9.60</v>
      </c>
      <c r="D78" s="76" t="str">
        <f>[1]!'5483.TW-OperIncomeGrowthRate'</f>
        <v>11.75</v>
      </c>
      <c r="E78" s="76" t="str">
        <f>[1]!'5483.TW-TFXRatio'</f>
        <v>-5.71</v>
      </c>
      <c r="F78" s="76" t="str">
        <f>[1]!'5483.TW-MonthlyNetSalesYoY'</f>
        <v>16.07</v>
      </c>
      <c r="G78" s="143" t="str">
        <f>[1]!'5483.TW-ProfitMargin'</f>
        <v>34.79</v>
      </c>
      <c r="H78" s="148" t="str">
        <f>[1]!'5483.TW-OperatingProfitRatio'</f>
        <v>25.80</v>
      </c>
      <c r="I78" s="148" t="str">
        <f>[1]!'5483.TW-NetProfitMargin'</f>
        <v>20.04</v>
      </c>
      <c r="J78" s="142">
        <v>5483</v>
      </c>
      <c r="K78" s="57" t="str">
        <f>VLOOKUP($J78,STOCKS!$A$2:$B$2035,2,0)</f>
        <v>中美晶</v>
      </c>
      <c r="L78" s="115">
        <f>IFERROR(VLOOKUP($J78&amp;".TW",每日資料!$B$6:$J$1650,6,FALSE),"")</f>
        <v>0.35</v>
      </c>
      <c r="M78" s="114">
        <f>VLOOKUP($J78&amp;".TW",每日資料!$P$6:$U$1983,6,FALSE)</f>
        <v>58.82</v>
      </c>
      <c r="N78" s="115">
        <f>IFERROR(VLOOKUP($J78&amp;".TW",每日資料!$B$6:$J$1650,7,FALSE),"")</f>
        <v>31.32</v>
      </c>
      <c r="O78" s="115">
        <f>IFERROR(VLOOKUP($J78&amp;".TW",每日資料!$B$6:$J$1650,8,FALSE),"")</f>
        <v>8.2100000000000009</v>
      </c>
      <c r="P78" s="77">
        <f t="shared" ref="P78" si="134">SUM(M78:O78)</f>
        <v>98.35</v>
      </c>
      <c r="Q78" s="113" t="str">
        <f>[1]!'5483.TW-CashAndStockDividend'</f>
        <v>5.50</v>
      </c>
      <c r="R78" s="79" t="str">
        <f>[1]!'5483.TW-ProfitFourSeason'</f>
        <v>12.22</v>
      </c>
      <c r="S78" s="79" cm="1">
        <f t="array" ref="S78">[1]!'5483.TW-CashDividendYieldRate'</f>
        <v>4.3499999999999996</v>
      </c>
      <c r="T78" s="28" t="str">
        <f>VLOOKUP($J78,STOCKS!$D$2:$E$2035,2,0)</f>
        <v>--</v>
      </c>
      <c r="U78" s="93">
        <v>205.5</v>
      </c>
      <c r="V78" s="86" t="str">
        <f t="shared" si="46"/>
        <v/>
      </c>
      <c r="W78" s="34" t="e">
        <f t="shared" ref="W78" si="135">V78/U78</f>
        <v>#VALUE!</v>
      </c>
      <c r="X78" s="7" t="str">
        <f t="shared" si="48"/>
        <v>中美晶</v>
      </c>
      <c r="Y78" s="80" t="s">
        <v>11</v>
      </c>
      <c r="Z78" s="128" t="str">
        <f>VLOOKUP($J78,STOCKS!$A$2:$C$2035,3,0)</f>
        <v>上櫃電子全部,上櫃半導體,上櫃普通股(排除KY個股),上櫃普通股(排除營建與金融)</v>
      </c>
      <c r="AA78" s="82">
        <v>44523</v>
      </c>
      <c r="AB78" s="29"/>
      <c r="AC78" s="54">
        <v>1</v>
      </c>
      <c r="AD78" s="83"/>
      <c r="AE78" s="84" t="e">
        <f t="shared" ref="AE78" si="136">T78*AC78*1000</f>
        <v>#VALUE!</v>
      </c>
      <c r="AF78" s="151"/>
      <c r="AG78" s="74"/>
      <c r="AH78" s="74"/>
      <c r="AI78" s="74"/>
      <c r="AJ78" s="74"/>
      <c r="AK78" s="74"/>
    </row>
    <row r="79" spans="1:37" s="85" customFormat="1">
      <c r="A79" s="74"/>
      <c r="B79" s="90" t="str">
        <f>[1]!'3006.TW-Capital'</f>
        <v>--</v>
      </c>
      <c r="C79" s="75" t="str">
        <f>[1]!'3006.TW-NetIncomeGrowthRate'</f>
        <v>--</v>
      </c>
      <c r="D79" s="76" t="str">
        <f>[1]!'3006.TW-OperIncomeGrowthRate'</f>
        <v>--</v>
      </c>
      <c r="E79" s="76" t="str">
        <f>[1]!'3006.TW-TFXRatio'</f>
        <v>--</v>
      </c>
      <c r="F79" s="76" t="str">
        <f>[1]!'3006.TW-MonthlyNetSalesYoY'</f>
        <v>--</v>
      </c>
      <c r="G79" s="143" t="str">
        <f>[1]!'3006.TW-ProfitMargin'</f>
        <v>--</v>
      </c>
      <c r="H79" s="148" t="str">
        <f>[1]!'3006.TW-OperatingProfitRatio'</f>
        <v>--</v>
      </c>
      <c r="I79" s="148" t="str">
        <f>[1]!'3006.TW-NetProfitMargin'</f>
        <v>--</v>
      </c>
      <c r="J79" s="142">
        <v>3006</v>
      </c>
      <c r="K79" s="57" t="str">
        <f>VLOOKUP($J79,STOCKS!$A$2:$B$2035,2,0)</f>
        <v>晶豪科</v>
      </c>
      <c r="L79" s="115">
        <f>IFERROR(VLOOKUP($J79&amp;".TW",每日資料!$B$6:$J$1650,6,FALSE),"")</f>
        <v>3.41</v>
      </c>
      <c r="M79" s="114">
        <f>VLOOKUP($J79&amp;".TW",每日資料!$P$6:$U$1983,6,FALSE)</f>
        <v>36.72</v>
      </c>
      <c r="N79" s="115">
        <f>IFERROR(VLOOKUP($J79&amp;".TW",每日資料!$B$6:$J$1650,7,FALSE),"")</f>
        <v>20.21</v>
      </c>
      <c r="O79" s="115">
        <f>IFERROR(VLOOKUP($J79&amp;".TW",每日資料!$B$6:$J$1650,8,FALSE),"")</f>
        <v>59.22</v>
      </c>
      <c r="P79" s="77">
        <f t="shared" ref="P79:P80" si="137">SUM(M79:O79)</f>
        <v>116.15</v>
      </c>
      <c r="Q79" s="113" t="str">
        <f>[1]!'3006.TW-CashAndStockDividend'</f>
        <v>--</v>
      </c>
      <c r="R79" s="79" t="str">
        <f>[1]!'3006.TW-ProfitFourSeason'</f>
        <v>--</v>
      </c>
      <c r="S79" s="79" t="str" cm="1">
        <f t="array" ref="S79">[1]!'3006.TW-CashDividendYieldRate'</f>
        <v>--</v>
      </c>
      <c r="T79" s="28">
        <f>VLOOKUP($J79,STOCKS!$D$2:$E$2035,2,0)</f>
        <v>162</v>
      </c>
      <c r="U79" s="93">
        <v>165</v>
      </c>
      <c r="V79" s="86">
        <f t="shared" si="46"/>
        <v>-3.1142999999999859</v>
      </c>
      <c r="W79" s="34">
        <f t="shared" ref="W79:W80" si="138">V79/U79</f>
        <v>-1.887454545454537E-2</v>
      </c>
      <c r="X79" s="7" t="str">
        <f t="shared" si="48"/>
        <v>晶豪科</v>
      </c>
      <c r="Y79" s="80" t="s">
        <v>11</v>
      </c>
      <c r="Z79" s="128" t="str">
        <f>VLOOKUP($J79,STOCKS!$A$2:$C$2035,3,0)</f>
        <v>上市電子全部,上市半導體,上市普通股(排除KY個股),上市普通股(排除營建與金融)</v>
      </c>
      <c r="AA79" s="82">
        <v>44523</v>
      </c>
      <c r="AB79" s="29"/>
      <c r="AC79" s="54">
        <v>1</v>
      </c>
      <c r="AD79" s="83"/>
      <c r="AE79" s="84">
        <f t="shared" ref="AE79:AE80" si="139">T79*AC79*1000</f>
        <v>162000</v>
      </c>
      <c r="AF79" s="151"/>
      <c r="AG79" s="74"/>
      <c r="AH79" s="74"/>
      <c r="AI79" s="74"/>
      <c r="AJ79" s="74"/>
      <c r="AK79" s="74"/>
    </row>
    <row r="80" spans="1:37" s="85" customFormat="1">
      <c r="A80" s="74"/>
      <c r="B80" s="90" t="str">
        <f>[1]!'3019.TW-Capital'</f>
        <v>--</v>
      </c>
      <c r="C80" s="75" t="str">
        <f>[1]!'3019.TW-NetIncomeGrowthRate'</f>
        <v>--</v>
      </c>
      <c r="D80" s="76" t="str">
        <f>[1]!'3019.TW-OperIncomeGrowthRate'</f>
        <v>--</v>
      </c>
      <c r="E80" s="76" t="str">
        <f>[1]!'3019.TW-TFXRatio'</f>
        <v>--</v>
      </c>
      <c r="F80" s="76" t="str">
        <f>[1]!'3019.TW-MonthlyNetSalesYoY'</f>
        <v>--</v>
      </c>
      <c r="G80" s="143" t="str">
        <f>[1]!'3019.TW-ProfitMargin'</f>
        <v>--</v>
      </c>
      <c r="H80" s="148" t="str">
        <f>[1]!'3019.TW-OperatingProfitRatio'</f>
        <v>--</v>
      </c>
      <c r="I80" s="148" t="str">
        <f>[1]!'3019.TW-NetProfitMargin'</f>
        <v>--</v>
      </c>
      <c r="J80" s="142">
        <v>3019</v>
      </c>
      <c r="K80" s="57" t="str">
        <f>VLOOKUP($J80,STOCKS!$A$2:$B$2035,2,0)</f>
        <v>亞光</v>
      </c>
      <c r="L80" s="115">
        <f>IFERROR(VLOOKUP($J80&amp;".TW",每日資料!$B$6:$J$1650,6,FALSE),"")</f>
        <v>0.36</v>
      </c>
      <c r="M80" s="114">
        <f>VLOOKUP($J80&amp;".TW",每日資料!$P$6:$U$1983,6,FALSE)</f>
        <v>34.99</v>
      </c>
      <c r="N80" s="115">
        <f>IFERROR(VLOOKUP($J80&amp;".TW",每日資料!$B$6:$J$1650,7,FALSE),"")</f>
        <v>11.87</v>
      </c>
      <c r="O80" s="115">
        <f>IFERROR(VLOOKUP($J80&amp;".TW",每日資料!$B$6:$J$1650,8,FALSE),"")</f>
        <v>25.47</v>
      </c>
      <c r="P80" s="77">
        <f t="shared" si="137"/>
        <v>72.33</v>
      </c>
      <c r="Q80" s="113" t="str">
        <f>[1]!'3019.TW-CashAndStockDividend'</f>
        <v>--</v>
      </c>
      <c r="R80" s="79" t="str">
        <f>[1]!'3019.TW-ProfitFourSeason'</f>
        <v>--</v>
      </c>
      <c r="S80" s="79" t="str" cm="1">
        <f t="array" ref="S80">[1]!'3019.TW-CashDividendYieldRate'</f>
        <v>--</v>
      </c>
      <c r="T80" s="28" t="str">
        <f>VLOOKUP($J80,STOCKS!$D$2:$E$2035,2,0)</f>
        <v>--</v>
      </c>
      <c r="U80" s="93">
        <v>97.5</v>
      </c>
      <c r="V80" s="86" t="str">
        <f t="shared" si="46"/>
        <v/>
      </c>
      <c r="W80" s="34" t="e">
        <f t="shared" si="138"/>
        <v>#VALUE!</v>
      </c>
      <c r="X80" s="7" t="str">
        <f t="shared" si="48"/>
        <v>亞光</v>
      </c>
      <c r="Y80" s="80" t="s">
        <v>11</v>
      </c>
      <c r="Z80" s="128" t="str">
        <f>VLOOKUP($J80,STOCKS!$A$2:$C$2035,3,0)</f>
        <v>上市電子全部,上市光電,上市普通股(排除KY個股),上市普通股(排除營建與金融)</v>
      </c>
      <c r="AA80" s="82">
        <v>44523</v>
      </c>
      <c r="AB80" s="29"/>
      <c r="AC80" s="54">
        <v>1</v>
      </c>
      <c r="AD80" s="83"/>
      <c r="AE80" s="84" t="e">
        <f t="shared" si="139"/>
        <v>#VALUE!</v>
      </c>
      <c r="AF80" s="151" t="s">
        <v>5774</v>
      </c>
      <c r="AG80" s="74"/>
      <c r="AH80" s="74"/>
      <c r="AI80" s="74"/>
      <c r="AJ80" s="74"/>
      <c r="AK80" s="74"/>
    </row>
    <row r="81" spans="1:37" s="85" customFormat="1">
      <c r="A81" s="74"/>
      <c r="B81" s="90" t="str">
        <f>[1]!'3016.TW-Capital'</f>
        <v>--</v>
      </c>
      <c r="C81" s="75" t="str">
        <f>[1]!'3016.TW-NetIncomeGrowthRate'</f>
        <v>--</v>
      </c>
      <c r="D81" s="76" t="str">
        <f>[1]!'3016.TW-OperIncomeGrowthRate'</f>
        <v>--</v>
      </c>
      <c r="E81" s="76" t="str">
        <f>[1]!'3016.TW-TFXRatio'</f>
        <v>--</v>
      </c>
      <c r="F81" s="76" t="str">
        <f>[1]!'3016.TW-MonthlyNetSalesYoY'</f>
        <v>--</v>
      </c>
      <c r="G81" s="143" t="str">
        <f>[1]!'3016.TW-ProfitMargin'</f>
        <v>--</v>
      </c>
      <c r="H81" s="148" t="str">
        <f>[1]!'3016.TW-OperatingProfitRatio'</f>
        <v>--</v>
      </c>
      <c r="I81" s="148" t="str">
        <f>[1]!'3016.TW-NetProfitMargin'</f>
        <v>--</v>
      </c>
      <c r="J81" s="142">
        <v>3016</v>
      </c>
      <c r="K81" s="57" t="str">
        <f>VLOOKUP($J81,STOCKS!$A$2:$B$2035,2,0)</f>
        <v>嘉晶</v>
      </c>
      <c r="L81" s="115">
        <f>IFERROR(VLOOKUP($J81&amp;".TW",每日資料!$B$6:$J$1650,6,FALSE),"")</f>
        <v>6.32</v>
      </c>
      <c r="M81" s="114">
        <f>VLOOKUP($J81&amp;".TW",每日資料!$P$6:$U$1983,6,FALSE)</f>
        <v>71.709999999999994</v>
      </c>
      <c r="N81" s="115">
        <f>IFERROR(VLOOKUP($J81&amp;".TW",每日資料!$B$6:$J$1650,7,FALSE),"")</f>
        <v>7.83</v>
      </c>
      <c r="O81" s="115">
        <f>IFERROR(VLOOKUP($J81&amp;".TW",每日資料!$B$6:$J$1650,8,FALSE),"")</f>
        <v>17.18</v>
      </c>
      <c r="P81" s="77">
        <f t="shared" ref="P81" si="140">SUM(M81:O81)</f>
        <v>96.72</v>
      </c>
      <c r="Q81" s="113" t="str">
        <f>[1]!'3016.TW-CashAndStockDividend'</f>
        <v>--</v>
      </c>
      <c r="R81" s="79" t="str">
        <f>[1]!'3016.TW-ProfitFourSeason'</f>
        <v>--</v>
      </c>
      <c r="S81" s="79" t="str" cm="1">
        <f t="array" ref="S81">[1]!'3016.TW-CashDividendYieldRate'</f>
        <v>--</v>
      </c>
      <c r="T81" s="28" t="str">
        <f>VLOOKUP($J81,STOCKS!$D$2:$E$2035,2,0)</f>
        <v>--</v>
      </c>
      <c r="U81" s="93">
        <v>149</v>
      </c>
      <c r="V81" s="86" t="str">
        <f t="shared" si="46"/>
        <v/>
      </c>
      <c r="W81" s="34" t="e">
        <f t="shared" ref="W81" si="141">V81/U81</f>
        <v>#VALUE!</v>
      </c>
      <c r="X81" s="7" t="str">
        <f t="shared" si="48"/>
        <v>嘉晶</v>
      </c>
      <c r="Y81" s="80" t="s">
        <v>11</v>
      </c>
      <c r="Z81" s="128" t="str">
        <f>VLOOKUP($J81,STOCKS!$A$2:$C$2035,3,0)</f>
        <v>上市電子全部,上市半導體,上市普通股(排除KY個股),上市普通股(排除營建與金融)</v>
      </c>
      <c r="AA81" s="82">
        <v>44523</v>
      </c>
      <c r="AB81" s="29"/>
      <c r="AC81" s="54">
        <v>1</v>
      </c>
      <c r="AD81" s="83"/>
      <c r="AE81" s="84" t="e">
        <f t="shared" ref="AE81" si="142">T81*AC81*1000</f>
        <v>#VALUE!</v>
      </c>
      <c r="AF81" s="151" t="s">
        <v>5773</v>
      </c>
      <c r="AG81" s="74"/>
      <c r="AH81" s="74"/>
      <c r="AI81" s="74"/>
      <c r="AJ81" s="74"/>
      <c r="AK81" s="74"/>
    </row>
    <row r="82" spans="1:37" s="85" customFormat="1">
      <c r="A82" s="74"/>
      <c r="B82" s="90" t="str">
        <f>[1]!'8040.TW-Capital'</f>
        <v>0.00</v>
      </c>
      <c r="C82" s="75" t="str">
        <f>[1]!'8040.TW-NetIncomeGrowthRate'</f>
        <v>0.00</v>
      </c>
      <c r="D82" s="76" t="str">
        <f>[1]!'8040.TW-OperIncomeGrowthRate'</f>
        <v>0.00</v>
      </c>
      <c r="E82" s="76" t="str">
        <f>[1]!'8040.TW-TFXRatio'</f>
        <v>0.00</v>
      </c>
      <c r="F82" s="76" t="str">
        <f>[1]!'8040.TW-MonthlyNetSalesYoY'</f>
        <v>0.00</v>
      </c>
      <c r="G82" s="143" t="str">
        <f>[1]!'8040.TW-ProfitMargin'</f>
        <v>0.00</v>
      </c>
      <c r="H82" s="148" t="str">
        <f>[1]!'8040.TW-OperatingProfitRatio'</f>
        <v>0.00</v>
      </c>
      <c r="I82" s="148" t="str">
        <f>[1]!'8040.TW-NetProfitMargin'</f>
        <v>0.00</v>
      </c>
      <c r="J82" s="142">
        <v>8040</v>
      </c>
      <c r="K82" s="57" t="str">
        <f>VLOOKUP($J82,STOCKS!$A$2:$B$2035,2,0)</f>
        <v>九暘</v>
      </c>
      <c r="L82" s="115">
        <f>IFERROR(VLOOKUP($J82&amp;".TW",每日資料!$B$6:$J$1650,6,FALSE),"")</f>
        <v>2.97</v>
      </c>
      <c r="M82" s="114">
        <f>VLOOKUP($J82&amp;".TW",每日資料!$P$6:$U$1983,6,FALSE)</f>
        <v>24.51</v>
      </c>
      <c r="N82" s="115">
        <f>IFERROR(VLOOKUP($J82&amp;".TW",每日資料!$B$6:$J$1650,7,FALSE),"")</f>
        <v>4.1500000000000004</v>
      </c>
      <c r="O82" s="115">
        <f>IFERROR(VLOOKUP($J82&amp;".TW",每日資料!$B$6:$J$1650,8,FALSE),"")</f>
        <v>35.33</v>
      </c>
      <c r="P82" s="77">
        <f t="shared" ref="P82" si="143">SUM(M82:O82)</f>
        <v>63.99</v>
      </c>
      <c r="Q82" s="113" t="str">
        <f>[1]!'8040.TW-CashAndStockDividend'</f>
        <v>0.00</v>
      </c>
      <c r="R82" s="79" t="str">
        <f>[1]!'8040.TW-ProfitFourSeason'</f>
        <v>0.00</v>
      </c>
      <c r="S82" s="79" t="str" cm="1">
        <f t="array" ref="S82">[1]!'8040.TW-CashDividendYieldRate'</f>
        <v>--</v>
      </c>
      <c r="T82" s="28" t="str">
        <f>VLOOKUP($J82,STOCKS!$D$2:$E$2035,2,0)</f>
        <v>--</v>
      </c>
      <c r="U82" s="93">
        <v>79.2</v>
      </c>
      <c r="V82" s="86" t="str">
        <f t="shared" si="46"/>
        <v/>
      </c>
      <c r="W82" s="34" t="e">
        <f t="shared" ref="W82" si="144">V82/U82</f>
        <v>#VALUE!</v>
      </c>
      <c r="X82" s="7" t="str">
        <f t="shared" si="48"/>
        <v>九暘</v>
      </c>
      <c r="Y82" s="80" t="s">
        <v>11</v>
      </c>
      <c r="Z82" s="128" t="str">
        <f>VLOOKUP($J82,STOCKS!$A$2:$C$2035,3,0)</f>
        <v>上櫃電子全部,上櫃半導體,上櫃普通股(排除KY個股),上櫃普通股(排除營建與金融)</v>
      </c>
      <c r="AA82" s="82">
        <v>44523</v>
      </c>
      <c r="AB82" s="29"/>
      <c r="AC82" s="54">
        <v>1</v>
      </c>
      <c r="AD82" s="83"/>
      <c r="AE82" s="84" t="e">
        <f t="shared" ref="AE82" si="145">T82*AC82*1000</f>
        <v>#VALUE!</v>
      </c>
      <c r="AF82" s="151" t="s">
        <v>5772</v>
      </c>
      <c r="AG82" s="74"/>
      <c r="AH82" s="74"/>
      <c r="AI82" s="74"/>
      <c r="AJ82" s="74"/>
      <c r="AK82" s="74"/>
    </row>
    <row r="83" spans="1:37" s="85" customFormat="1">
      <c r="A83" s="74"/>
      <c r="B83" s="90"/>
      <c r="C83" s="75"/>
      <c r="D83" s="76"/>
      <c r="E83" s="76"/>
      <c r="F83" s="76"/>
      <c r="G83" s="143"/>
      <c r="H83" s="148"/>
      <c r="I83" s="148"/>
      <c r="J83" s="142"/>
      <c r="K83" s="57"/>
      <c r="L83" s="115"/>
      <c r="M83" s="114"/>
      <c r="N83" s="115"/>
      <c r="O83" s="115"/>
      <c r="P83" s="77"/>
      <c r="Q83" s="113"/>
      <c r="R83" s="79"/>
      <c r="S83" s="79"/>
      <c r="T83" s="28"/>
      <c r="U83" s="93"/>
      <c r="V83" s="30">
        <f>SUM(V72:V82)</f>
        <v>1.9896100000000416</v>
      </c>
      <c r="W83" s="35">
        <f>SUMIF(V72:V82,"&gt;0")*1000</f>
        <v>8304.1700000000055</v>
      </c>
      <c r="X83" s="7"/>
      <c r="Y83" s="80"/>
      <c r="Z83" s="128"/>
      <c r="AA83" s="82"/>
      <c r="AB83" s="29"/>
      <c r="AC83" s="54"/>
      <c r="AD83" s="83"/>
      <c r="AE83" s="84"/>
      <c r="AF83" s="151"/>
      <c r="AG83" s="74"/>
      <c r="AH83" s="74"/>
      <c r="AI83" s="74"/>
      <c r="AJ83" s="74"/>
      <c r="AK83" s="74"/>
    </row>
    <row r="84" spans="1:37" s="94" customFormat="1">
      <c r="C84" s="95"/>
      <c r="G84" s="64"/>
      <c r="U84" s="30"/>
      <c r="V84" s="30"/>
      <c r="W84" s="35"/>
    </row>
    <row r="85" spans="1:37" s="112" customFormat="1">
      <c r="A85" s="96"/>
      <c r="B85" s="96" t="s">
        <v>5683</v>
      </c>
      <c r="C85" s="97"/>
      <c r="D85" s="98"/>
      <c r="E85" s="98"/>
      <c r="F85" s="98"/>
      <c r="G85" s="149"/>
      <c r="H85" s="149"/>
      <c r="I85" s="149"/>
      <c r="J85" s="101"/>
      <c r="K85" s="102"/>
      <c r="L85" s="97"/>
      <c r="M85" s="103"/>
      <c r="N85" s="97"/>
      <c r="O85" s="96"/>
      <c r="P85" s="97"/>
      <c r="Q85" s="104"/>
      <c r="R85" s="99"/>
      <c r="S85" s="99"/>
      <c r="T85" s="105"/>
      <c r="U85" s="104"/>
      <c r="V85" s="106"/>
      <c r="W85" s="107"/>
      <c r="X85" s="102"/>
      <c r="Y85" s="108"/>
      <c r="Z85" s="100"/>
      <c r="AA85" s="96"/>
      <c r="AB85" s="96"/>
      <c r="AC85" s="109"/>
      <c r="AD85" s="110"/>
      <c r="AE85" s="111"/>
      <c r="AF85" s="153"/>
      <c r="AG85" s="96"/>
      <c r="AH85" s="96"/>
      <c r="AI85" s="96"/>
      <c r="AJ85" s="96"/>
      <c r="AK85" s="96"/>
    </row>
    <row r="86" spans="1:37" s="85" customFormat="1">
      <c r="A86" s="74"/>
      <c r="B86" s="90" t="str">
        <f>[1]!'2883.TW-Capital'</f>
        <v>--</v>
      </c>
      <c r="C86" s="75" t="str">
        <f>[1]!'2883.TW-NetIncomeGrowthRate'</f>
        <v>--</v>
      </c>
      <c r="D86" s="76" t="str">
        <f>[1]!'2883.TW-OperIncomeGrowthRate'</f>
        <v>--</v>
      </c>
      <c r="E86" s="76" t="str">
        <f>[1]!'2883.TW-TFXRatio'</f>
        <v>--</v>
      </c>
      <c r="F86" s="76" t="str">
        <f>[1]!'2883.TW-MonthlyNetSalesYoY'</f>
        <v>--</v>
      </c>
      <c r="G86" s="148"/>
      <c r="H86" s="148" t="str">
        <f>[1]!'2883.TW-OperatingProfitRatio'</f>
        <v>--</v>
      </c>
      <c r="I86" s="148"/>
      <c r="J86" s="127">
        <v>2883</v>
      </c>
      <c r="K86" s="57" t="str">
        <f>VLOOKUP($J86,STOCKS!$A$2:$B$2035,2,0)</f>
        <v>開發金</v>
      </c>
      <c r="L86" s="115">
        <f>IFERROR(VLOOKUP($J86&amp;".TW",每日資料!$B$6:$J$1650,6,FALSE),"")</f>
        <v>1.23</v>
      </c>
      <c r="M86" s="114">
        <f>VLOOKUP($J86&amp;".TW",每日資料!$P$6:$U$1983,6,FALSE)</f>
        <v>53.59</v>
      </c>
      <c r="N86" s="115">
        <f>IFERROR(VLOOKUP($J86&amp;".TW",每日資料!$B$6:$J$1650,7,FALSE),"")</f>
        <v>27.22</v>
      </c>
      <c r="O86" s="115">
        <f>IFERROR(VLOOKUP($J86&amp;".TW",每日資料!$B$6:$J$1650,8,FALSE),"")</f>
        <v>1.69</v>
      </c>
      <c r="P86" s="77">
        <f t="shared" ref="P86:P91" si="146">SUM(M86:O86)</f>
        <v>82.5</v>
      </c>
      <c r="Q86" s="113" t="str">
        <f>[1]!'2883.TW-CashAndStockDividend'</f>
        <v>--</v>
      </c>
      <c r="R86" s="79" t="str">
        <f>[1]!'2883.TW-ProfitFourSeason'</f>
        <v>--</v>
      </c>
      <c r="S86" s="79" t="str" cm="1">
        <f t="array" ref="S86">[1]!'2883.TW-CashDividendYieldRate'</f>
        <v>--</v>
      </c>
      <c r="T86" s="28">
        <f>VLOOKUP($J86,STOCKS!$D$2:$E$2035,2,0)</f>
        <v>17.05</v>
      </c>
      <c r="U86" s="93">
        <v>14.3</v>
      </c>
      <c r="V86" s="86">
        <f t="shared" ref="V86:V91" si="147">IFERROR(($T86-($T86*$AE$1-$T86*$AF$1))-($U86*$AF$1),"")</f>
        <v>2.7388900000000032</v>
      </c>
      <c r="W86" s="34">
        <f t="shared" ref="W86:W91" si="148">V86/U86</f>
        <v>0.19153076923076945</v>
      </c>
      <c r="X86" s="7" t="str">
        <f t="shared" ref="X86:X91" si="149">$K86</f>
        <v>開發金</v>
      </c>
      <c r="Y86" s="80" t="s">
        <v>11</v>
      </c>
      <c r="Z86" s="128" t="str">
        <f>VLOOKUP($J86,STOCKS!$A$2:$C$2035,3,0)</f>
        <v>上市金融保險,上市普通股(排除KY個股)</v>
      </c>
      <c r="AA86" s="82">
        <v>44495</v>
      </c>
      <c r="AB86" s="29"/>
      <c r="AC86" s="54">
        <v>1</v>
      </c>
      <c r="AD86" s="83"/>
      <c r="AE86" s="84">
        <f t="shared" ref="AE86:AE91" si="150">T86*AC86*1000</f>
        <v>17050</v>
      </c>
      <c r="AF86" s="151"/>
      <c r="AG86" s="74"/>
      <c r="AH86" s="74"/>
      <c r="AI86" s="74"/>
      <c r="AJ86" s="74"/>
      <c r="AK86" s="74"/>
    </row>
    <row r="87" spans="1:37" s="85" customFormat="1">
      <c r="A87" s="74"/>
      <c r="B87" s="90" t="str">
        <f>[1]!'2801.TW-Capital'</f>
        <v>--</v>
      </c>
      <c r="C87" s="75" t="str">
        <f>[1]!'2801.TW-NetIncomeGrowthRate'</f>
        <v>--</v>
      </c>
      <c r="D87" s="76" t="str">
        <f>[1]!'2801.TW-OperIncomeGrowthRate'</f>
        <v>--</v>
      </c>
      <c r="E87" s="76" t="str">
        <f>[1]!'2801.TW-TFXRatio'</f>
        <v>--</v>
      </c>
      <c r="F87" s="76" t="str">
        <f>[1]!'2801.TW-MonthlyNetSalesYoY'</f>
        <v>--</v>
      </c>
      <c r="G87" s="148"/>
      <c r="H87" s="148" t="str">
        <f>[1]!'2801.TW-OperatingProfitRatio'</f>
        <v>--</v>
      </c>
      <c r="I87" s="148"/>
      <c r="J87" s="127">
        <v>2801</v>
      </c>
      <c r="K87" s="57" t="str">
        <f>VLOOKUP($J87,STOCKS!$A$2:$B$2035,2,0)</f>
        <v>彰銀</v>
      </c>
      <c r="L87" s="115">
        <f>IFERROR(VLOOKUP($J87&amp;".TW",每日資料!$B$6:$J$1650,6,FALSE),"")</f>
        <v>0.01</v>
      </c>
      <c r="M87" s="114">
        <f>VLOOKUP($J87&amp;".TW",每日資料!$P$6:$U$1983,6,FALSE)</f>
        <v>80.09</v>
      </c>
      <c r="N87" s="115">
        <f>IFERROR(VLOOKUP($J87&amp;".TW",每日資料!$B$6:$J$1650,7,FALSE),"")</f>
        <v>12.21</v>
      </c>
      <c r="O87" s="115">
        <f>IFERROR(VLOOKUP($J87&amp;".TW",每日資料!$B$6:$J$1650,8,FALSE),"")</f>
        <v>0.26</v>
      </c>
      <c r="P87" s="77">
        <f t="shared" si="146"/>
        <v>92.560000000000016</v>
      </c>
      <c r="Q87" s="113" t="str">
        <f>[1]!'2801.TW-CashAndStockDividend'</f>
        <v>--</v>
      </c>
      <c r="R87" s="79" t="str">
        <f>[1]!'2801.TW-ProfitFourSeason'</f>
        <v>--</v>
      </c>
      <c r="S87" s="79" t="str" cm="1">
        <f t="array" ref="S87">[1]!'2801.TW-CashDividendYieldRate'</f>
        <v>--</v>
      </c>
      <c r="T87" s="28" t="str">
        <f>VLOOKUP($J87,STOCKS!$D$2:$E$2035,2,0)</f>
        <v>--</v>
      </c>
      <c r="U87" s="93">
        <v>16.7</v>
      </c>
      <c r="V87" s="86" t="str">
        <f t="shared" si="147"/>
        <v/>
      </c>
      <c r="W87" s="34" t="e">
        <f t="shared" si="148"/>
        <v>#VALUE!</v>
      </c>
      <c r="X87" s="7" t="str">
        <f t="shared" si="149"/>
        <v>彰銀</v>
      </c>
      <c r="Y87" s="80" t="s">
        <v>11</v>
      </c>
      <c r="Z87" s="128" t="str">
        <f>VLOOKUP($J87,STOCKS!$A$2:$C$2035,3,0)</f>
        <v>上市金融保險,上市普通股(排除KY個股)</v>
      </c>
      <c r="AA87" s="82">
        <v>44495</v>
      </c>
      <c r="AB87" s="29"/>
      <c r="AC87" s="54">
        <v>1</v>
      </c>
      <c r="AD87" s="83"/>
      <c r="AE87" s="84" t="e">
        <f t="shared" si="150"/>
        <v>#VALUE!</v>
      </c>
      <c r="AF87" s="151"/>
      <c r="AG87" s="74"/>
      <c r="AH87" s="74"/>
      <c r="AI87" s="74"/>
      <c r="AJ87" s="74"/>
      <c r="AK87" s="74"/>
    </row>
    <row r="88" spans="1:37" s="85" customFormat="1">
      <c r="A88" s="74"/>
      <c r="B88" s="90" t="str">
        <f>[1]!'2337.TW-Capital'</f>
        <v>--</v>
      </c>
      <c r="C88" s="75" t="str">
        <f>[1]!'2337.TW-NetIncomeGrowthRate'</f>
        <v>--</v>
      </c>
      <c r="D88" s="76" t="str">
        <f>[1]!'2337.TW-OperIncomeGrowthRate'</f>
        <v>--</v>
      </c>
      <c r="E88" s="76" t="str">
        <f>[1]!'2337.TW-TFXRatio'</f>
        <v>--</v>
      </c>
      <c r="F88" s="76" t="str">
        <f>[1]!'2337.TW-MonthlyNetSalesYoY'</f>
        <v>--</v>
      </c>
      <c r="G88" s="148"/>
      <c r="H88" s="148" t="str">
        <f>[1]!'2337.TW-OperatingProfitRatio'</f>
        <v>--</v>
      </c>
      <c r="I88" s="148"/>
      <c r="J88" s="127">
        <v>2337</v>
      </c>
      <c r="K88" s="57" t="str">
        <f>VLOOKUP($J88,STOCKS!$A$2:$B$2035,2,0)</f>
        <v>旺宏</v>
      </c>
      <c r="L88" s="115">
        <f>IFERROR(VLOOKUP($J88&amp;".TW",每日資料!$B$6:$J$1650,6,FALSE),"")</f>
        <v>0.71</v>
      </c>
      <c r="M88" s="114">
        <f>VLOOKUP($J88&amp;".TW",每日資料!$P$6:$U$1983,6,FALSE)</f>
        <v>35.630000000000003</v>
      </c>
      <c r="N88" s="115">
        <f>IFERROR(VLOOKUP($J88&amp;".TW",每日資料!$B$6:$J$1650,7,FALSE),"")</f>
        <v>23.1</v>
      </c>
      <c r="O88" s="115">
        <f>IFERROR(VLOOKUP($J88&amp;".TW",每日資料!$B$6:$J$1650,8,FALSE),"")</f>
        <v>12.88</v>
      </c>
      <c r="P88" s="77">
        <f t="shared" si="146"/>
        <v>71.61</v>
      </c>
      <c r="Q88" s="113" t="str">
        <f>[1]!'2337.TW-CashAndStockDividend'</f>
        <v>--</v>
      </c>
      <c r="R88" s="79" t="str">
        <f>[1]!'2337.TW-ProfitFourSeason'</f>
        <v>--</v>
      </c>
      <c r="S88" s="79" t="str" cm="1">
        <f t="array" ref="S88">[1]!'2337.TW-CashDividendYieldRate'</f>
        <v>--</v>
      </c>
      <c r="T88" s="28">
        <f>VLOOKUP($J88,STOCKS!$D$2:$E$2035,2,0)</f>
        <v>44.1</v>
      </c>
      <c r="U88" s="93">
        <v>38.450000000000003</v>
      </c>
      <c r="V88" s="86">
        <f t="shared" si="147"/>
        <v>5.6208250000000035</v>
      </c>
      <c r="W88" s="34">
        <f t="shared" si="148"/>
        <v>0.14618530559167758</v>
      </c>
      <c r="X88" s="7" t="str">
        <f t="shared" si="149"/>
        <v>旺宏</v>
      </c>
      <c r="Y88" s="80" t="s">
        <v>11</v>
      </c>
      <c r="Z88" s="128" t="str">
        <f>VLOOKUP($J88,STOCKS!$A$2:$C$2035,3,0)</f>
        <v>上市電子全部,上市半導體,上市普通股(排除KY個股),上市普通股(排除營建與金融)</v>
      </c>
      <c r="AA88" s="82">
        <v>44495</v>
      </c>
      <c r="AB88" s="29"/>
      <c r="AC88" s="54">
        <v>1</v>
      </c>
      <c r="AD88" s="83"/>
      <c r="AE88" s="84">
        <f t="shared" si="150"/>
        <v>44100</v>
      </c>
      <c r="AF88" s="151"/>
      <c r="AG88" s="74"/>
      <c r="AH88" s="74"/>
      <c r="AI88" s="74"/>
      <c r="AJ88" s="74"/>
      <c r="AK88" s="74"/>
    </row>
    <row r="89" spans="1:37" s="85" customFormat="1">
      <c r="A89" s="74"/>
      <c r="B89" s="90" t="str">
        <f>[1]!'3530.TW-Capital'</f>
        <v>--</v>
      </c>
      <c r="C89" s="75" t="str">
        <f>[1]!'3530.TW-NetIncomeGrowthRate'</f>
        <v>--</v>
      </c>
      <c r="D89" s="76" t="str">
        <f>[1]!'3530.TW-OperIncomeGrowthRate'</f>
        <v>--</v>
      </c>
      <c r="E89" s="76" t="str">
        <f>[1]!'3530.TW-TFXRatio'</f>
        <v>--</v>
      </c>
      <c r="F89" s="76" t="str">
        <f>[1]!'3530.TW-MonthlyNetSalesYoY'</f>
        <v>--</v>
      </c>
      <c r="G89" s="148"/>
      <c r="H89" s="148" t="str">
        <f>[1]!'3530.TW-OperatingProfitRatio'</f>
        <v>--</v>
      </c>
      <c r="I89" s="148"/>
      <c r="J89" s="127">
        <v>3530</v>
      </c>
      <c r="K89" s="57" t="str">
        <f>VLOOKUP($J89,STOCKS!$A$2:$B$2035,2,0)</f>
        <v>晶相光</v>
      </c>
      <c r="L89" s="115">
        <f>IFERROR(VLOOKUP($J89&amp;".TW",每日資料!$B$6:$J$1650,6,FALSE),"")</f>
        <v>3.37</v>
      </c>
      <c r="M89" s="114">
        <f>VLOOKUP($J89&amp;".TW",每日資料!$P$6:$U$1983,6,FALSE)</f>
        <v>40.880000000000003</v>
      </c>
      <c r="N89" s="115">
        <f>IFERROR(VLOOKUP($J89&amp;".TW",每日資料!$B$6:$J$1650,7,FALSE),"")</f>
        <v>47.35</v>
      </c>
      <c r="O89" s="115">
        <f>IFERROR(VLOOKUP($J89&amp;".TW",每日資料!$B$6:$J$1650,8,FALSE),"")</f>
        <v>33.31</v>
      </c>
      <c r="P89" s="77">
        <f t="shared" si="146"/>
        <v>121.54</v>
      </c>
      <c r="Q89" s="113" t="str">
        <f>[1]!'3530.TW-CashAndStockDividend'</f>
        <v>--</v>
      </c>
      <c r="R89" s="79" t="str">
        <f>[1]!'3530.TW-ProfitFourSeason'</f>
        <v>--</v>
      </c>
      <c r="S89" s="79" t="str" cm="1">
        <f t="array" ref="S89">[1]!'3530.TW-CashDividendYieldRate'</f>
        <v>--</v>
      </c>
      <c r="T89" s="28" t="str">
        <f>VLOOKUP($J89,STOCKS!$D$2:$E$2035,2,0)</f>
        <v>--</v>
      </c>
      <c r="U89" s="93">
        <v>150.5</v>
      </c>
      <c r="V89" s="86" t="str">
        <f t="shared" si="147"/>
        <v/>
      </c>
      <c r="W89" s="34" t="e">
        <f t="shared" si="148"/>
        <v>#VALUE!</v>
      </c>
      <c r="X89" s="7" t="str">
        <f t="shared" si="149"/>
        <v>晶相光</v>
      </c>
      <c r="Y89" s="80" t="s">
        <v>11</v>
      </c>
      <c r="Z89" s="128" t="str">
        <f>VLOOKUP($J89,STOCKS!$A$2:$C$2035,3,0)</f>
        <v>上市電子全部,上市半導體,上市普通股(排除KY個股),上市普通股(排除營建與金融)</v>
      </c>
      <c r="AA89" s="82">
        <v>44495</v>
      </c>
      <c r="AB89" s="29"/>
      <c r="AC89" s="54">
        <v>1</v>
      </c>
      <c r="AD89" s="83"/>
      <c r="AE89" s="84" t="e">
        <f t="shared" si="150"/>
        <v>#VALUE!</v>
      </c>
      <c r="AF89" s="151"/>
      <c r="AG89" s="74"/>
      <c r="AH89" s="74"/>
      <c r="AI89" s="74"/>
      <c r="AJ89" s="74"/>
      <c r="AK89" s="74"/>
    </row>
    <row r="90" spans="1:37" s="85" customFormat="1">
      <c r="A90" s="74"/>
      <c r="B90" s="90" t="str">
        <f>[1]!'2498.TW-Capital'</f>
        <v>--</v>
      </c>
      <c r="C90" s="75" t="str">
        <f>[1]!'2498.TW-NetIncomeGrowthRate'</f>
        <v>--</v>
      </c>
      <c r="D90" s="76" t="str">
        <f>[1]!'2498.TW-OperIncomeGrowthRate'</f>
        <v>--</v>
      </c>
      <c r="E90" s="76" t="str">
        <f>[1]!'2498.TW-TFXRatio'</f>
        <v>--</v>
      </c>
      <c r="F90" s="76" t="str">
        <f>[1]!'2498.TW-MonthlyNetSalesYoY'</f>
        <v>--</v>
      </c>
      <c r="G90" s="148"/>
      <c r="H90" s="148" t="str">
        <f>[1]!'2498.TW-OperatingProfitRatio'</f>
        <v>--</v>
      </c>
      <c r="I90" s="148"/>
      <c r="J90" s="127">
        <v>2498</v>
      </c>
      <c r="K90" s="57" t="str">
        <f>VLOOKUP($J90,STOCKS!$A$2:$B$2035,2,0)</f>
        <v>宏達電</v>
      </c>
      <c r="L90" s="115">
        <f>IFERROR(VLOOKUP($J90&amp;".TW",每日資料!$B$6:$J$1650,6,FALSE),"")</f>
        <v>5.67</v>
      </c>
      <c r="M90" s="114">
        <f>VLOOKUP($J90&amp;".TW",每日資料!$P$6:$U$1983,6,FALSE)</f>
        <v>41.45</v>
      </c>
      <c r="N90" s="115">
        <f>IFERROR(VLOOKUP($J90&amp;".TW",每日資料!$B$6:$J$1650,7,FALSE),"")</f>
        <v>21.59</v>
      </c>
      <c r="O90" s="115">
        <f>IFERROR(VLOOKUP($J90&amp;".TW",每日資料!$B$6:$J$1650,8,FALSE),"")</f>
        <v>24.48</v>
      </c>
      <c r="P90" s="77">
        <f t="shared" si="146"/>
        <v>87.52000000000001</v>
      </c>
      <c r="Q90" s="113" t="str">
        <f>[1]!'2498.TW-CashAndStockDividend'</f>
        <v>--</v>
      </c>
      <c r="R90" s="79" t="str">
        <f>[1]!'2498.TW-ProfitFourSeason'</f>
        <v>--</v>
      </c>
      <c r="S90" s="79" t="str" cm="1">
        <f t="array" ref="S90">[1]!'2498.TW-CashDividendYieldRate'</f>
        <v>--</v>
      </c>
      <c r="T90" s="28">
        <f>VLOOKUP($J90,STOCKS!$D$2:$E$2035,2,0)</f>
        <v>79.7</v>
      </c>
      <c r="U90" s="93">
        <v>58.3</v>
      </c>
      <c r="V90" s="86">
        <f t="shared" si="147"/>
        <v>21.350630000000024</v>
      </c>
      <c r="W90" s="34">
        <f t="shared" si="148"/>
        <v>0.36622006861063505</v>
      </c>
      <c r="X90" s="7" t="str">
        <f t="shared" si="149"/>
        <v>宏達電</v>
      </c>
      <c r="Y90" s="80" t="s">
        <v>11</v>
      </c>
      <c r="Z90" s="128" t="str">
        <f>VLOOKUP($J90,STOCKS!$A$2:$C$2035,3,0)</f>
        <v>上市電子全部,上市通信網路,上市普通股(排除KY個股),上市普通股(排除營建與金融)</v>
      </c>
      <c r="AA90" s="82">
        <v>44495</v>
      </c>
      <c r="AB90" s="29"/>
      <c r="AC90" s="54">
        <v>1</v>
      </c>
      <c r="AD90" s="83"/>
      <c r="AE90" s="84">
        <f t="shared" si="150"/>
        <v>79700</v>
      </c>
      <c r="AF90" s="151"/>
      <c r="AG90" s="74"/>
      <c r="AH90" s="74"/>
      <c r="AI90" s="74"/>
      <c r="AJ90" s="74"/>
      <c r="AK90" s="74"/>
    </row>
    <row r="91" spans="1:37" s="85" customFormat="1">
      <c r="A91" s="74"/>
      <c r="B91" s="90" t="str">
        <f>[1]!'3058.TW-Capital'</f>
        <v>--</v>
      </c>
      <c r="C91" s="75" t="str">
        <f>[1]!'3058.TW-NetIncomeGrowthRate'</f>
        <v>--</v>
      </c>
      <c r="D91" s="76" t="str">
        <f>[1]!'3058.TW-OperIncomeGrowthRate'</f>
        <v>--</v>
      </c>
      <c r="E91" s="76" t="str">
        <f>[1]!'3058.TW-TFXRatio'</f>
        <v>--</v>
      </c>
      <c r="F91" s="76" t="str">
        <f>[1]!'3058.TW-MonthlyNetSalesYoY'</f>
        <v>--</v>
      </c>
      <c r="G91" s="148"/>
      <c r="H91" s="148" t="str">
        <f>[1]!'3058.TW-OperatingProfitRatio'</f>
        <v>--</v>
      </c>
      <c r="I91" s="148"/>
      <c r="J91" s="127">
        <v>3058</v>
      </c>
      <c r="K91" s="57" t="str">
        <f>VLOOKUP($J91,STOCKS!$A$2:$B$2035,2,0)</f>
        <v>立德</v>
      </c>
      <c r="L91" s="115">
        <f>IFERROR(VLOOKUP($J91&amp;".TW",每日資料!$B$6:$J$1650,6,FALSE),"")</f>
        <v>1.92</v>
      </c>
      <c r="M91" s="114">
        <f>VLOOKUP($J91&amp;".TW",每日資料!$P$6:$U$1983,6,FALSE)</f>
        <v>23.01</v>
      </c>
      <c r="N91" s="115">
        <f>IFERROR(VLOOKUP($J91&amp;".TW",每日資料!$B$6:$J$1650,7,FALSE),"")</f>
        <v>0.98</v>
      </c>
      <c r="O91" s="115">
        <f>IFERROR(VLOOKUP($J91&amp;".TW",每日資料!$B$6:$J$1650,8,FALSE),"")</f>
        <v>16.88</v>
      </c>
      <c r="P91" s="77">
        <f t="shared" si="146"/>
        <v>40.870000000000005</v>
      </c>
      <c r="Q91" s="113" t="str">
        <f>[1]!'3058.TW-CashAndStockDividend'</f>
        <v>--</v>
      </c>
      <c r="R91" s="79" t="str">
        <f>[1]!'3058.TW-ProfitFourSeason'</f>
        <v>--</v>
      </c>
      <c r="S91" s="79" t="str" cm="1">
        <f t="array" ref="S91">[1]!'3058.TW-CashDividendYieldRate'</f>
        <v>--</v>
      </c>
      <c r="T91" s="28" t="str">
        <f>VLOOKUP($J91,STOCKS!$D$2:$E$2035,2,0)</f>
        <v>--</v>
      </c>
      <c r="U91" s="93">
        <v>16.5</v>
      </c>
      <c r="V91" s="86" t="str">
        <f t="shared" si="147"/>
        <v/>
      </c>
      <c r="W91" s="34" t="e">
        <f t="shared" si="148"/>
        <v>#VALUE!</v>
      </c>
      <c r="X91" s="7" t="str">
        <f t="shared" si="149"/>
        <v>立德</v>
      </c>
      <c r="Y91" s="80" t="s">
        <v>11</v>
      </c>
      <c r="Z91" s="128" t="str">
        <f>VLOOKUP($J91,STOCKS!$A$2:$C$2035,3,0)</f>
        <v>上市電子全部,上市電子零組件,上市普通股(排除KY個股),上市普通股(排除營建與金融)</v>
      </c>
      <c r="AA91" s="82">
        <v>44495</v>
      </c>
      <c r="AB91" s="29"/>
      <c r="AC91" s="54">
        <v>1</v>
      </c>
      <c r="AD91" s="83"/>
      <c r="AE91" s="84" t="e">
        <f t="shared" si="150"/>
        <v>#VALUE!</v>
      </c>
      <c r="AF91" s="151"/>
      <c r="AG91" s="74"/>
      <c r="AH91" s="74"/>
      <c r="AI91" s="74"/>
      <c r="AJ91" s="74"/>
      <c r="AK91" s="74"/>
    </row>
    <row r="92" spans="1:37">
      <c r="V92" s="30">
        <f>SUM(V86:V91)</f>
        <v>29.710345000000032</v>
      </c>
      <c r="W92" s="35">
        <f>SUMIF(V86:V91,"&gt;0")*1000</f>
        <v>29710.345000000034</v>
      </c>
    </row>
    <row r="93" spans="1:37">
      <c r="V93" s="30"/>
      <c r="W93" s="35"/>
    </row>
    <row r="94" spans="1:37" s="157" customFormat="1">
      <c r="C94" s="158"/>
      <c r="G94" s="159"/>
      <c r="AF94" s="160"/>
    </row>
    <row r="95" spans="1:37" s="85" customFormat="1">
      <c r="A95" s="74"/>
      <c r="B95" s="90" t="str">
        <f>[1]!'6523.TW-Capital'</f>
        <v>4.50</v>
      </c>
      <c r="C95" s="75" t="str">
        <f>[1]!'6523.TW-NetIncomeGrowthRate'</f>
        <v>60.18</v>
      </c>
      <c r="D95" s="76" t="str">
        <f>[1]!'6523.TW-OperIncomeGrowthRate'</f>
        <v>61.31</v>
      </c>
      <c r="E95" s="76" t="str">
        <f>[1]!'6523.TW-TFXRatio'</f>
        <v>-0.06</v>
      </c>
      <c r="F95" s="76" t="str">
        <f>[1]!'6523.TW-MonthlyNetSalesYoY'</f>
        <v>80.47</v>
      </c>
      <c r="G95" s="143" t="str">
        <f>[1]!'6523.TW-ProfitMargin'</f>
        <v>62.56</v>
      </c>
      <c r="H95" s="148" t="str">
        <f>[1]!'6523.TW-OperatingProfitRatio'</f>
        <v>35.53</v>
      </c>
      <c r="I95" s="148" t="str">
        <f>[1]!'6523.TW-NetProfitMargin'</f>
        <v>26.52</v>
      </c>
      <c r="J95" s="127">
        <v>6523</v>
      </c>
      <c r="K95" s="57" t="str">
        <f>VLOOKUP($J95,STOCKS!$A$2:$B$2035,2,0)</f>
        <v>達爾膚</v>
      </c>
      <c r="L95" s="115">
        <f>IFERROR(VLOOKUP($J95&amp;".TW",每日資料!$B$6:$J$1650,6,FALSE),"")</f>
        <v>2.1800000000000002</v>
      </c>
      <c r="M95" s="114">
        <f>VLOOKUP($J95&amp;".TW",每日資料!$P$6:$U$1983,6,FALSE)</f>
        <v>64.05</v>
      </c>
      <c r="N95" s="115">
        <f>IFERROR(VLOOKUP($J95&amp;".TW",每日資料!$B$6:$J$1650,7,FALSE),"")</f>
        <v>10.52</v>
      </c>
      <c r="O95" s="115">
        <f>IFERROR(VLOOKUP($J95&amp;".TW",每日資料!$B$6:$J$1650,8,FALSE),"")</f>
        <v>10.82</v>
      </c>
      <c r="P95" s="77">
        <f t="shared" ref="P95" si="151">SUM(M95:O95)</f>
        <v>85.389999999999986</v>
      </c>
      <c r="Q95" s="113" t="str">
        <f>[1]!'6523.TW-CashAndStockDividend'</f>
        <v>5.22</v>
      </c>
      <c r="R95" s="79" t="str">
        <f>[1]!'6523.TW-ProfitFourSeason'</f>
        <v>16.46</v>
      </c>
      <c r="S95" s="79" cm="1">
        <f t="array" ref="S95">[1]!'6523.TW-CashDividendYieldRate'</f>
        <v>2.69</v>
      </c>
      <c r="T95" s="28" t="str">
        <f>VLOOKUP($J95,STOCKS!$D$2:$E$2035,2,0)</f>
        <v>--</v>
      </c>
      <c r="U95" s="93">
        <v>76.599999999999994</v>
      </c>
      <c r="V95" s="86" t="str">
        <f t="shared" ref="V95:V96" si="152">IFERROR(($T95-($T95*$AE$1-$T95*$AF$1))-($U95*$AF$1),"")</f>
        <v/>
      </c>
      <c r="W95" s="34" t="e">
        <f t="shared" ref="W95" si="153">V95/U95</f>
        <v>#VALUE!</v>
      </c>
      <c r="X95" s="7" t="str">
        <f t="shared" ref="X95:X96" si="154">$K95</f>
        <v>達爾膚</v>
      </c>
      <c r="Y95" s="80" t="s">
        <v>11</v>
      </c>
      <c r="Z95" s="128" t="str">
        <f>VLOOKUP($J95,STOCKS!$A$2:$C$2035,3,0)</f>
        <v>上櫃生技醫療,上櫃普通股(排除KY個股),上櫃普通股(排除營建與金融)</v>
      </c>
      <c r="AA95" s="82">
        <v>44314</v>
      </c>
      <c r="AB95" s="29"/>
      <c r="AC95" s="54">
        <v>1</v>
      </c>
      <c r="AD95" s="83"/>
      <c r="AE95" s="84" t="e">
        <f t="shared" ref="AE95" si="155">T95*AC95*1000</f>
        <v>#VALUE!</v>
      </c>
      <c r="AF95" s="151"/>
      <c r="AG95" s="74"/>
      <c r="AH95" s="74"/>
      <c r="AI95" s="74"/>
      <c r="AJ95" s="74"/>
      <c r="AK95" s="74"/>
    </row>
    <row r="96" spans="1:37" s="85" customFormat="1">
      <c r="A96" s="74"/>
      <c r="B96" s="90" t="str">
        <f>[1]!'6523.TW-Capital'</f>
        <v>4.50</v>
      </c>
      <c r="C96" s="75" t="str">
        <f>[1]!'6523.TW-NetIncomeGrowthRate'</f>
        <v>60.18</v>
      </c>
      <c r="D96" s="76" t="str">
        <f>[1]!'6523.TW-OperIncomeGrowthRate'</f>
        <v>61.31</v>
      </c>
      <c r="E96" s="76" t="str">
        <f>[1]!'6523.TW-TFXRatio'</f>
        <v>-0.06</v>
      </c>
      <c r="F96" s="76" t="str">
        <f>[1]!'6523.TW-MonthlyNetSalesYoY'</f>
        <v>80.47</v>
      </c>
      <c r="G96" s="143" t="str">
        <f>[1]!'6523.TW-ProfitMargin'</f>
        <v>62.56</v>
      </c>
      <c r="H96" s="148" t="str">
        <f>[1]!'6523.TW-OperatingProfitRatio'</f>
        <v>35.53</v>
      </c>
      <c r="I96" s="148" t="str">
        <f>[1]!'6523.TW-NetProfitMargin'</f>
        <v>26.52</v>
      </c>
      <c r="J96" s="127">
        <v>6523</v>
      </c>
      <c r="K96" s="57" t="str">
        <f>VLOOKUP($J96,STOCKS!$A$2:$B$2035,2,0)</f>
        <v>達爾膚</v>
      </c>
      <c r="L96" s="115">
        <f>IFERROR(VLOOKUP($J96&amp;".TW",每日資料!$B$6:$J$1650,6,FALSE),"")</f>
        <v>2.1800000000000002</v>
      </c>
      <c r="M96" s="114">
        <f>VLOOKUP($J96&amp;".TW",每日資料!$P$6:$U$1983,6,FALSE)</f>
        <v>64.05</v>
      </c>
      <c r="N96" s="115">
        <f>IFERROR(VLOOKUP($J96&amp;".TW",每日資料!$B$6:$J$1650,7,FALSE),"")</f>
        <v>10.52</v>
      </c>
      <c r="O96" s="115">
        <f>IFERROR(VLOOKUP($J96&amp;".TW",每日資料!$B$6:$J$1650,8,FALSE),"")</f>
        <v>10.82</v>
      </c>
      <c r="P96" s="77">
        <f t="shared" ref="P96" si="156">SUM(M96:O96)</f>
        <v>85.389999999999986</v>
      </c>
      <c r="Q96" s="113" t="str">
        <f>[1]!'6523.TW-CashAndStockDividend'</f>
        <v>5.22</v>
      </c>
      <c r="R96" s="79" t="str">
        <f>[1]!'6523.TW-ProfitFourSeason'</f>
        <v>16.46</v>
      </c>
      <c r="S96" s="79" cm="1">
        <f t="array" ref="S96">[1]!'6523.TW-CashDividendYieldRate'</f>
        <v>2.69</v>
      </c>
      <c r="T96" s="28" t="str">
        <f>VLOOKUP($J96,STOCKS!$D$2:$E$2035,2,0)</f>
        <v>--</v>
      </c>
      <c r="U96" s="93">
        <v>76.5</v>
      </c>
      <c r="V96" s="86" t="str">
        <f t="shared" si="152"/>
        <v/>
      </c>
      <c r="W96" s="34" t="e">
        <f t="shared" ref="W96" si="157">V96/U96</f>
        <v>#VALUE!</v>
      </c>
      <c r="X96" s="7" t="str">
        <f t="shared" si="154"/>
        <v>達爾膚</v>
      </c>
      <c r="Y96" s="80" t="s">
        <v>11</v>
      </c>
      <c r="Z96" s="128" t="str">
        <f>VLOOKUP($J96,STOCKS!$A$2:$C$2035,3,0)</f>
        <v>上櫃生技醫療,上櫃普通股(排除KY個股),上櫃普通股(排除營建與金融)</v>
      </c>
      <c r="AA96" s="82">
        <v>44329</v>
      </c>
      <c r="AB96" s="29"/>
      <c r="AC96" s="54">
        <v>1</v>
      </c>
      <c r="AD96" s="83"/>
      <c r="AE96" s="84" t="e">
        <f t="shared" ref="AE96" si="158">T96*AC96*1000</f>
        <v>#VALUE!</v>
      </c>
      <c r="AF96" s="151"/>
      <c r="AG96" s="74"/>
      <c r="AH96" s="74"/>
      <c r="AI96" s="74"/>
      <c r="AJ96" s="74"/>
      <c r="AK96" s="74"/>
    </row>
    <row r="97" spans="22:23">
      <c r="V97" s="30">
        <f>SUM(V95:V96)</f>
        <v>0</v>
      </c>
      <c r="W97" s="35">
        <f>SUMIF(V95:V96,"&gt;0")*1000</f>
        <v>0</v>
      </c>
    </row>
    <row r="1379" spans="1:29">
      <c r="A1379" s="1"/>
      <c r="B1379" s="1"/>
      <c r="C1379" s="73"/>
      <c r="D1379" s="1"/>
      <c r="E1379" s="1"/>
      <c r="F1379" s="1"/>
      <c r="G1379" s="145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</row>
    <row r="1382" spans="1:29">
      <c r="A1382" s="1"/>
      <c r="B1382" s="1"/>
      <c r="C1382" s="73"/>
      <c r="D1382" s="1"/>
      <c r="E1382" s="1"/>
      <c r="F1382" s="1"/>
      <c r="G1382" s="145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</row>
    <row r="1383" spans="1:29">
      <c r="A1383" s="1"/>
      <c r="B1383" s="1"/>
      <c r="C1383" s="73"/>
      <c r="D1383" s="1"/>
      <c r="E1383" s="1"/>
      <c r="F1383" s="1"/>
      <c r="G1383" s="145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</row>
    <row r="1387" spans="1:29">
      <c r="A1387" s="1"/>
      <c r="B1387" s="1"/>
      <c r="C1387" s="73"/>
      <c r="D1387" s="1"/>
      <c r="E1387" s="1"/>
      <c r="F1387" s="1"/>
      <c r="G1387" s="145"/>
      <c r="H1387" s="1"/>
      <c r="I1387" s="1"/>
      <c r="J1387" s="1"/>
      <c r="K1387" s="1"/>
      <c r="L1387" s="1"/>
      <c r="M1387" s="1"/>
      <c r="N1387" s="1"/>
      <c r="O1387" s="1"/>
      <c r="P1387" s="1"/>
      <c r="Q1387" s="3"/>
      <c r="R1387" s="4"/>
      <c r="S1387" s="4"/>
      <c r="T1387" s="1"/>
      <c r="U1387" s="1"/>
      <c r="V1387" s="1"/>
      <c r="W1387" s="1"/>
      <c r="X1387" s="1"/>
      <c r="Y1387" s="1"/>
      <c r="Z1387" s="1"/>
      <c r="AA1387" s="1"/>
      <c r="AB1387" s="1"/>
      <c r="AC1387" s="5"/>
    </row>
    <row r="1388" spans="1:29">
      <c r="A1388" s="1"/>
      <c r="B1388" s="1"/>
      <c r="C1388" s="73"/>
      <c r="D1388" s="1"/>
      <c r="E1388" s="1"/>
      <c r="F1388" s="1"/>
      <c r="G1388" s="145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6"/>
      <c r="V1388" s="1"/>
      <c r="W1388" s="1"/>
      <c r="X1388" s="1"/>
      <c r="Y1388" s="1"/>
      <c r="Z1388" s="1"/>
      <c r="AA1388" s="1"/>
      <c r="AB1388" s="1"/>
      <c r="AC1388" s="1"/>
    </row>
    <row r="1394" spans="1:29">
      <c r="A1394" s="1"/>
      <c r="B1394" s="1"/>
      <c r="C1394" s="73"/>
      <c r="D1394" s="1"/>
      <c r="E1394" s="1"/>
      <c r="F1394" s="1"/>
      <c r="G1394" s="145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</row>
    <row r="1397" spans="1:29">
      <c r="A1397" s="1"/>
      <c r="B1397" s="1"/>
      <c r="C1397" s="73"/>
      <c r="D1397" s="1"/>
      <c r="E1397" s="1"/>
      <c r="F1397" s="1"/>
      <c r="G1397" s="145"/>
      <c r="H1397" s="1"/>
      <c r="I1397" s="1"/>
      <c r="J1397" s="1"/>
      <c r="K1397" s="1"/>
      <c r="L1397" s="1"/>
      <c r="M1397" s="1"/>
      <c r="N1397" s="1"/>
      <c r="O1397" s="1"/>
      <c r="P1397" s="1"/>
      <c r="Q1397" s="3"/>
      <c r="R1397" s="4"/>
      <c r="S1397" s="4"/>
      <c r="T1397" s="1"/>
      <c r="U1397" s="1"/>
      <c r="V1397" s="1"/>
      <c r="W1397" s="1"/>
      <c r="X1397" s="1"/>
      <c r="Y1397" s="1"/>
      <c r="Z1397" s="1"/>
      <c r="AA1397" s="1"/>
      <c r="AB1397" s="1"/>
      <c r="AC1397" s="5"/>
    </row>
    <row r="1398" spans="1:29">
      <c r="A1398" s="1"/>
      <c r="B1398" s="1"/>
      <c r="C1398" s="73"/>
      <c r="D1398" s="1"/>
      <c r="E1398" s="1"/>
      <c r="F1398" s="1"/>
      <c r="G1398" s="145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6"/>
      <c r="V1398" s="1"/>
      <c r="W1398" s="1"/>
      <c r="X1398" s="1"/>
      <c r="Y1398" s="1"/>
      <c r="Z1398" s="1"/>
      <c r="AA1398" s="1"/>
      <c r="AB1398" s="1"/>
      <c r="AC1398" s="1"/>
    </row>
    <row r="1401" spans="1:29">
      <c r="A1401" s="1"/>
      <c r="B1401" s="1"/>
      <c r="C1401" s="73"/>
      <c r="D1401" s="1"/>
      <c r="E1401" s="1"/>
      <c r="F1401" s="1"/>
      <c r="G1401" s="145"/>
      <c r="H1401" s="1"/>
      <c r="I1401" s="1"/>
      <c r="J1401" s="1"/>
      <c r="K1401" s="1"/>
      <c r="L1401" s="1"/>
      <c r="M1401" s="1"/>
      <c r="N1401" s="1"/>
      <c r="O1401" s="1"/>
      <c r="P1401" s="1"/>
      <c r="Q1401" s="3"/>
      <c r="R1401" s="4"/>
      <c r="S1401" s="4"/>
      <c r="T1401" s="1"/>
      <c r="U1401" s="1"/>
      <c r="V1401" s="1"/>
      <c r="W1401" s="1"/>
      <c r="X1401" s="1"/>
      <c r="Y1401" s="1"/>
      <c r="Z1401" s="1"/>
      <c r="AA1401" s="1"/>
      <c r="AB1401" s="1"/>
      <c r="AC1401" s="5"/>
    </row>
    <row r="1402" spans="1:29">
      <c r="A1402" s="1"/>
      <c r="B1402" s="1"/>
      <c r="C1402" s="73"/>
      <c r="D1402" s="1"/>
      <c r="E1402" s="1"/>
      <c r="F1402" s="1"/>
      <c r="G1402" s="145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6"/>
      <c r="V1402" s="1"/>
      <c r="W1402" s="1"/>
      <c r="X1402" s="1"/>
      <c r="Y1402" s="1"/>
      <c r="Z1402" s="1"/>
      <c r="AA1402" s="1"/>
      <c r="AB1402" s="1"/>
      <c r="AC1402" s="1"/>
    </row>
    <row r="1404" spans="1:29">
      <c r="A1404" s="1"/>
      <c r="B1404" s="1"/>
      <c r="C1404" s="73"/>
      <c r="D1404" s="1"/>
      <c r="E1404" s="1"/>
      <c r="F1404" s="1"/>
      <c r="G1404" s="145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</row>
    <row r="1406" spans="1:29">
      <c r="A1406" s="1"/>
      <c r="B1406" s="1"/>
      <c r="C1406" s="73"/>
      <c r="D1406" s="1"/>
      <c r="E1406" s="1"/>
      <c r="F1406" s="1"/>
      <c r="G1406" s="145"/>
      <c r="H1406" s="1"/>
      <c r="I1406" s="1"/>
      <c r="J1406" s="1"/>
      <c r="K1406" s="1"/>
      <c r="L1406" s="1"/>
      <c r="M1406" s="1"/>
      <c r="N1406" s="1"/>
      <c r="O1406" s="1"/>
      <c r="P1406" s="1"/>
      <c r="Q1406" s="3"/>
      <c r="R1406" s="4"/>
      <c r="S1406" s="4"/>
      <c r="T1406" s="1"/>
      <c r="U1406" s="1"/>
      <c r="V1406" s="1"/>
      <c r="W1406" s="1"/>
      <c r="X1406" s="1"/>
      <c r="Y1406" s="1"/>
      <c r="Z1406" s="1"/>
      <c r="AA1406" s="1"/>
      <c r="AB1406" s="1"/>
      <c r="AC1406" s="5"/>
    </row>
    <row r="1407" spans="1:29">
      <c r="A1407" s="1"/>
      <c r="B1407" s="1"/>
      <c r="C1407" s="73"/>
      <c r="D1407" s="1"/>
      <c r="E1407" s="1"/>
      <c r="F1407" s="1"/>
      <c r="G1407" s="145"/>
      <c r="H1407" s="1"/>
      <c r="I1407" s="1"/>
      <c r="J1407" s="1"/>
      <c r="K1407" s="1"/>
      <c r="L1407" s="1"/>
      <c r="M1407" s="1"/>
      <c r="N1407" s="1"/>
      <c r="O1407" s="1"/>
      <c r="P1407" s="1"/>
      <c r="Q1407" s="3"/>
      <c r="R1407" s="4"/>
      <c r="S1407" s="4"/>
      <c r="T1407" s="1"/>
      <c r="U1407" s="6"/>
      <c r="V1407" s="1"/>
      <c r="W1407" s="1"/>
      <c r="X1407" s="1"/>
      <c r="Y1407" s="1"/>
      <c r="Z1407" s="1"/>
      <c r="AA1407" s="1"/>
      <c r="AB1407" s="1"/>
      <c r="AC1407" s="5"/>
    </row>
    <row r="1408" spans="1:29">
      <c r="A1408" s="1"/>
      <c r="B1408" s="1"/>
      <c r="C1408" s="73"/>
      <c r="D1408" s="1"/>
      <c r="E1408" s="1"/>
      <c r="F1408" s="1"/>
      <c r="G1408" s="145"/>
      <c r="H1408" s="1"/>
      <c r="I1408" s="1"/>
      <c r="J1408" s="1"/>
      <c r="K1408" s="1"/>
      <c r="L1408" s="1"/>
      <c r="M1408" s="1"/>
      <c r="N1408" s="1"/>
      <c r="O1408" s="1"/>
      <c r="P1408" s="1"/>
      <c r="Q1408" s="3"/>
      <c r="R1408" s="4"/>
      <c r="S1408" s="4"/>
      <c r="T1408" s="1"/>
      <c r="U1408" s="6"/>
      <c r="V1408" s="1"/>
      <c r="W1408" s="1"/>
      <c r="X1408" s="1"/>
      <c r="Y1408" s="1"/>
      <c r="Z1408" s="1"/>
      <c r="AA1408" s="1"/>
      <c r="AB1408" s="1"/>
      <c r="AC1408" s="5"/>
    </row>
    <row r="1409" spans="1:29">
      <c r="A1409" s="1"/>
      <c r="B1409" s="1"/>
      <c r="C1409" s="73"/>
      <c r="D1409" s="1"/>
      <c r="E1409" s="1"/>
      <c r="F1409" s="1"/>
      <c r="G1409" s="145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6"/>
      <c r="V1409" s="1"/>
      <c r="W1409" s="1"/>
      <c r="X1409" s="1"/>
      <c r="Y1409" s="1"/>
      <c r="Z1409" s="1"/>
      <c r="AA1409" s="1"/>
      <c r="AB1409" s="1"/>
      <c r="AC1409" s="1"/>
    </row>
    <row r="1410" spans="1:29">
      <c r="A1410" s="1"/>
      <c r="B1410" s="1"/>
      <c r="C1410" s="73"/>
      <c r="D1410" s="1"/>
      <c r="E1410" s="1"/>
      <c r="F1410" s="1"/>
      <c r="G1410" s="145"/>
      <c r="H1410" s="1"/>
      <c r="I1410" s="1"/>
      <c r="J1410" s="1"/>
      <c r="K1410" s="1"/>
      <c r="L1410" s="1"/>
      <c r="M1410" s="1"/>
      <c r="N1410" s="1"/>
      <c r="O1410" s="1"/>
      <c r="P1410" s="1"/>
      <c r="Q1410" s="3"/>
      <c r="R1410" s="4"/>
      <c r="S1410" s="4"/>
      <c r="T1410" s="1"/>
      <c r="U1410" s="1"/>
      <c r="V1410" s="1"/>
      <c r="W1410" s="1"/>
      <c r="X1410" s="1"/>
      <c r="Y1410" s="1"/>
      <c r="Z1410" s="1"/>
      <c r="AA1410" s="1"/>
      <c r="AB1410" s="1"/>
      <c r="AC1410" s="5"/>
    </row>
    <row r="1411" spans="1:29">
      <c r="A1411" s="1"/>
      <c r="B1411" s="1"/>
      <c r="C1411" s="73"/>
      <c r="D1411" s="1"/>
      <c r="E1411" s="1"/>
      <c r="F1411" s="1"/>
      <c r="G1411" s="145"/>
      <c r="H1411" s="1"/>
      <c r="I1411" s="1"/>
      <c r="J1411" s="1"/>
      <c r="K1411" s="1"/>
      <c r="L1411" s="1"/>
      <c r="M1411" s="1"/>
      <c r="N1411" s="1"/>
      <c r="O1411" s="1"/>
      <c r="P1411" s="1"/>
      <c r="Q1411" s="3"/>
      <c r="R1411" s="4"/>
      <c r="S1411" s="4"/>
      <c r="T1411" s="1"/>
      <c r="U1411" s="6"/>
      <c r="V1411" s="1"/>
      <c r="W1411" s="1"/>
      <c r="X1411" s="1"/>
      <c r="Y1411" s="1"/>
      <c r="Z1411" s="1"/>
      <c r="AA1411" s="1"/>
      <c r="AB1411" s="1"/>
      <c r="AC1411" s="5"/>
    </row>
    <row r="1412" spans="1:29">
      <c r="A1412" s="1"/>
      <c r="B1412" s="1"/>
      <c r="C1412" s="73"/>
      <c r="D1412" s="1"/>
      <c r="E1412" s="1"/>
      <c r="F1412" s="1"/>
      <c r="G1412" s="145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6"/>
      <c r="V1412" s="1"/>
      <c r="W1412" s="1"/>
      <c r="X1412" s="1"/>
      <c r="Y1412" s="1"/>
      <c r="Z1412" s="1"/>
      <c r="AA1412" s="1"/>
      <c r="AB1412" s="1"/>
      <c r="AC1412" s="1"/>
    </row>
    <row r="1413" spans="1:29">
      <c r="A1413" s="1"/>
      <c r="B1413" s="1"/>
      <c r="C1413" s="73"/>
      <c r="D1413" s="1"/>
      <c r="E1413" s="1"/>
      <c r="F1413" s="1"/>
      <c r="G1413" s="145"/>
      <c r="H1413" s="1"/>
      <c r="I1413" s="1"/>
      <c r="J1413" s="1"/>
      <c r="K1413" s="1"/>
      <c r="L1413" s="1"/>
      <c r="M1413" s="1"/>
      <c r="N1413" s="1"/>
      <c r="O1413" s="1"/>
      <c r="P1413" s="1"/>
      <c r="Q1413" s="3"/>
      <c r="R1413" s="4"/>
      <c r="S1413" s="4"/>
      <c r="T1413" s="1"/>
      <c r="U1413" s="1"/>
      <c r="V1413" s="1"/>
      <c r="W1413" s="1"/>
      <c r="X1413" s="1"/>
      <c r="Y1413" s="1"/>
      <c r="Z1413" s="1"/>
      <c r="AA1413" s="1"/>
      <c r="AB1413" s="1"/>
      <c r="AC1413" s="5"/>
    </row>
    <row r="1414" spans="1:29">
      <c r="A1414" s="1"/>
      <c r="B1414" s="1"/>
      <c r="C1414" s="73"/>
      <c r="D1414" s="1"/>
      <c r="E1414" s="1"/>
      <c r="F1414" s="1"/>
      <c r="G1414" s="145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6"/>
      <c r="V1414" s="1"/>
      <c r="W1414" s="1"/>
      <c r="X1414" s="1"/>
      <c r="Y1414" s="1"/>
      <c r="Z1414" s="1"/>
      <c r="AA1414" s="1"/>
      <c r="AB1414" s="1"/>
      <c r="AC1414" s="1"/>
    </row>
    <row r="1415" spans="1:29">
      <c r="A1415" s="1"/>
      <c r="B1415" s="1"/>
      <c r="C1415" s="73"/>
      <c r="D1415" s="1"/>
      <c r="E1415" s="1"/>
      <c r="F1415" s="1"/>
      <c r="G1415" s="145"/>
      <c r="H1415" s="1"/>
      <c r="I1415" s="1"/>
      <c r="J1415" s="1"/>
      <c r="K1415" s="1"/>
      <c r="L1415" s="1"/>
      <c r="M1415" s="1"/>
      <c r="N1415" s="1"/>
      <c r="O1415" s="1"/>
      <c r="P1415" s="1"/>
      <c r="Q1415" s="3"/>
      <c r="R1415" s="4"/>
      <c r="S1415" s="4"/>
      <c r="T1415" s="1"/>
      <c r="U1415" s="1"/>
      <c r="V1415" s="1"/>
      <c r="W1415" s="1"/>
      <c r="X1415" s="1"/>
      <c r="Y1415" s="1"/>
      <c r="Z1415" s="1"/>
      <c r="AA1415" s="1"/>
      <c r="AB1415" s="1"/>
      <c r="AC1415" s="5"/>
    </row>
    <row r="1416" spans="1:29">
      <c r="A1416" s="1"/>
      <c r="B1416" s="1"/>
      <c r="C1416" s="73"/>
      <c r="D1416" s="1"/>
      <c r="E1416" s="1"/>
      <c r="F1416" s="1"/>
      <c r="G1416" s="145"/>
      <c r="H1416" s="1"/>
      <c r="I1416" s="1"/>
      <c r="J1416" s="1"/>
      <c r="K1416" s="1"/>
      <c r="L1416" s="1"/>
      <c r="M1416" s="1"/>
      <c r="N1416" s="1"/>
      <c r="O1416" s="1"/>
      <c r="P1416" s="1"/>
      <c r="Q1416" s="3"/>
      <c r="R1416" s="4"/>
      <c r="S1416" s="4"/>
      <c r="T1416" s="1"/>
      <c r="U1416" s="6"/>
      <c r="V1416" s="1"/>
      <c r="W1416" s="1"/>
      <c r="X1416" s="1"/>
      <c r="Y1416" s="1"/>
      <c r="Z1416" s="1"/>
      <c r="AA1416" s="1"/>
      <c r="AB1416" s="1"/>
      <c r="AC1416" s="5"/>
    </row>
    <row r="1417" spans="1:29">
      <c r="A1417" s="1"/>
      <c r="B1417" s="1"/>
      <c r="C1417" s="73"/>
      <c r="D1417" s="1"/>
      <c r="E1417" s="1"/>
      <c r="F1417" s="1"/>
      <c r="G1417" s="145"/>
      <c r="H1417" s="1"/>
      <c r="I1417" s="1"/>
      <c r="J1417" s="1"/>
      <c r="K1417" s="1"/>
      <c r="L1417" s="1"/>
      <c r="M1417" s="1"/>
      <c r="N1417" s="1"/>
      <c r="O1417" s="1"/>
      <c r="P1417" s="1"/>
      <c r="Q1417" s="3"/>
      <c r="R1417" s="4"/>
      <c r="S1417" s="4"/>
      <c r="T1417" s="1"/>
      <c r="U1417" s="6"/>
      <c r="V1417" s="1"/>
      <c r="W1417" s="1"/>
      <c r="X1417" s="1"/>
      <c r="Y1417" s="1"/>
      <c r="Z1417" s="1"/>
      <c r="AA1417" s="1"/>
      <c r="AB1417" s="1"/>
      <c r="AC1417" s="5"/>
    </row>
    <row r="1418" spans="1:29">
      <c r="A1418" s="1"/>
      <c r="B1418" s="1"/>
      <c r="C1418" s="73"/>
      <c r="D1418" s="1"/>
      <c r="E1418" s="1"/>
      <c r="F1418" s="1"/>
      <c r="G1418" s="145"/>
      <c r="H1418" s="1"/>
      <c r="I1418" s="1"/>
      <c r="J1418" s="1"/>
      <c r="K1418" s="1"/>
      <c r="L1418" s="1"/>
      <c r="M1418" s="1"/>
      <c r="N1418" s="1"/>
      <c r="O1418" s="1"/>
      <c r="P1418" s="1"/>
      <c r="Q1418" s="3"/>
      <c r="R1418" s="4"/>
      <c r="S1418" s="4"/>
      <c r="T1418" s="1"/>
      <c r="U1418" s="6"/>
      <c r="V1418" s="1"/>
      <c r="W1418" s="1"/>
      <c r="X1418" s="1"/>
      <c r="Y1418" s="1"/>
      <c r="Z1418" s="1"/>
      <c r="AA1418" s="1"/>
      <c r="AB1418" s="1"/>
      <c r="AC1418" s="5"/>
    </row>
    <row r="1419" spans="1:29">
      <c r="A1419" s="1"/>
      <c r="B1419" s="1"/>
      <c r="C1419" s="73"/>
      <c r="D1419" s="1"/>
      <c r="E1419" s="1"/>
      <c r="F1419" s="1"/>
      <c r="G1419" s="145"/>
      <c r="H1419" s="1"/>
      <c r="I1419" s="1"/>
      <c r="J1419" s="1"/>
      <c r="K1419" s="1"/>
      <c r="L1419" s="1"/>
      <c r="M1419" s="1"/>
      <c r="N1419" s="1"/>
      <c r="O1419" s="1"/>
      <c r="P1419" s="1"/>
      <c r="Q1419" s="3"/>
      <c r="R1419" s="4"/>
      <c r="S1419" s="4"/>
      <c r="T1419" s="1"/>
      <c r="U1419" s="6"/>
      <c r="V1419" s="1"/>
      <c r="W1419" s="1"/>
      <c r="X1419" s="1"/>
      <c r="Y1419" s="1"/>
      <c r="Z1419" s="1"/>
      <c r="AA1419" s="1"/>
      <c r="AB1419" s="1"/>
      <c r="AC1419" s="5"/>
    </row>
    <row r="1420" spans="1:29">
      <c r="A1420" s="1"/>
      <c r="B1420" s="1"/>
      <c r="C1420" s="73"/>
      <c r="D1420" s="1"/>
      <c r="E1420" s="1"/>
      <c r="F1420" s="1"/>
      <c r="G1420" s="145"/>
      <c r="H1420" s="1"/>
      <c r="I1420" s="1"/>
      <c r="J1420" s="1"/>
      <c r="K1420" s="1"/>
      <c r="L1420" s="1"/>
      <c r="M1420" s="1"/>
      <c r="N1420" s="1"/>
      <c r="O1420" s="1"/>
      <c r="P1420" s="1"/>
      <c r="Q1420" s="3"/>
      <c r="R1420" s="4"/>
      <c r="S1420" s="4"/>
      <c r="T1420" s="1"/>
      <c r="U1420" s="6"/>
      <c r="V1420" s="1"/>
      <c r="W1420" s="1"/>
      <c r="X1420" s="1"/>
      <c r="Y1420" s="1"/>
      <c r="Z1420" s="1"/>
      <c r="AA1420" s="1"/>
      <c r="AB1420" s="1"/>
      <c r="AC1420" s="5"/>
    </row>
    <row r="1421" spans="1:29">
      <c r="A1421" s="1"/>
      <c r="B1421" s="1"/>
      <c r="C1421" s="73"/>
      <c r="D1421" s="1"/>
      <c r="E1421" s="1"/>
      <c r="F1421" s="1"/>
      <c r="G1421" s="145"/>
      <c r="H1421" s="1"/>
      <c r="I1421" s="1"/>
      <c r="J1421" s="1"/>
      <c r="K1421" s="1"/>
      <c r="L1421" s="1"/>
      <c r="M1421" s="1"/>
      <c r="N1421" s="1"/>
      <c r="O1421" s="1"/>
      <c r="P1421" s="1"/>
      <c r="Q1421" s="3"/>
      <c r="R1421" s="4"/>
      <c r="S1421" s="4"/>
      <c r="T1421" s="1"/>
      <c r="U1421" s="6"/>
      <c r="V1421" s="1"/>
      <c r="W1421" s="1"/>
      <c r="X1421" s="1"/>
      <c r="Y1421" s="1"/>
      <c r="Z1421" s="1"/>
      <c r="AA1421" s="1"/>
      <c r="AB1421" s="1"/>
      <c r="AC1421" s="5"/>
    </row>
    <row r="1422" spans="1:29">
      <c r="A1422" s="1"/>
      <c r="B1422" s="1"/>
      <c r="C1422" s="73"/>
      <c r="D1422" s="1"/>
      <c r="E1422" s="1"/>
      <c r="F1422" s="1"/>
      <c r="G1422" s="145"/>
      <c r="H1422" s="1"/>
      <c r="I1422" s="1"/>
      <c r="J1422" s="1"/>
      <c r="K1422" s="1"/>
      <c r="L1422" s="1"/>
      <c r="M1422" s="1"/>
      <c r="N1422" s="1"/>
      <c r="O1422" s="1"/>
      <c r="P1422" s="1"/>
      <c r="Q1422" s="3"/>
      <c r="R1422" s="4"/>
      <c r="S1422" s="4"/>
      <c r="T1422" s="1"/>
      <c r="U1422" s="6"/>
      <c r="V1422" s="1"/>
      <c r="W1422" s="1"/>
      <c r="X1422" s="1"/>
      <c r="Y1422" s="1"/>
      <c r="Z1422" s="1"/>
      <c r="AA1422" s="1"/>
      <c r="AB1422" s="1"/>
      <c r="AC1422" s="5"/>
    </row>
    <row r="1423" spans="1:29">
      <c r="A1423" s="1"/>
      <c r="B1423" s="1"/>
      <c r="C1423" s="73"/>
      <c r="D1423" s="1"/>
      <c r="E1423" s="1"/>
      <c r="F1423" s="1"/>
      <c r="G1423" s="145"/>
      <c r="H1423" s="1"/>
      <c r="I1423" s="1"/>
      <c r="J1423" s="1"/>
      <c r="K1423" s="1"/>
      <c r="L1423" s="1"/>
      <c r="M1423" s="1"/>
      <c r="N1423" s="1"/>
      <c r="O1423" s="1"/>
      <c r="P1423" s="1"/>
      <c r="Q1423" s="3"/>
      <c r="R1423" s="1"/>
      <c r="S1423" s="1"/>
      <c r="T1423" s="1"/>
      <c r="U1423" s="6"/>
      <c r="V1423" s="1"/>
      <c r="W1423" s="1"/>
      <c r="X1423" s="1"/>
      <c r="Y1423" s="1"/>
      <c r="Z1423" s="1"/>
      <c r="AA1423" s="1"/>
      <c r="AB1423" s="1"/>
      <c r="AC1423" s="1"/>
    </row>
    <row r="1424" spans="1:29">
      <c r="A1424" s="1"/>
      <c r="B1424" s="1"/>
      <c r="C1424" s="73"/>
      <c r="D1424" s="1"/>
      <c r="E1424" s="1"/>
      <c r="F1424" s="1"/>
      <c r="G1424" s="145"/>
      <c r="H1424" s="1"/>
      <c r="I1424" s="1"/>
      <c r="J1424" s="1"/>
      <c r="K1424" s="1"/>
      <c r="L1424" s="1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</row>
    <row r="1425" spans="1:29">
      <c r="A1425" s="1"/>
      <c r="B1425" s="1"/>
      <c r="C1425" s="73"/>
      <c r="D1425" s="1"/>
      <c r="E1425" s="1"/>
      <c r="F1425" s="1"/>
      <c r="G1425" s="145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</row>
    <row r="1426" spans="1:29">
      <c r="A1426" s="1"/>
      <c r="B1426" s="1"/>
      <c r="C1426" s="73"/>
      <c r="D1426" s="1"/>
      <c r="E1426" s="1"/>
      <c r="F1426" s="1"/>
      <c r="G1426" s="145"/>
      <c r="H1426" s="1"/>
      <c r="I1426" s="1"/>
      <c r="J1426" s="1"/>
      <c r="K1426" s="1"/>
      <c r="L1426" s="1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</row>
    <row r="1427" spans="1:29">
      <c r="A1427" s="1"/>
      <c r="B1427" s="1"/>
      <c r="C1427" s="73"/>
      <c r="D1427" s="1"/>
      <c r="E1427" s="1"/>
      <c r="F1427" s="1"/>
      <c r="G1427" s="145"/>
      <c r="H1427" s="1"/>
      <c r="I1427" s="1"/>
      <c r="J1427" s="1"/>
      <c r="K1427" s="1"/>
      <c r="L1427" s="1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</row>
    <row r="1428" spans="1:29">
      <c r="A1428" s="1"/>
      <c r="B1428" s="1"/>
      <c r="C1428" s="73"/>
      <c r="D1428" s="1"/>
      <c r="E1428" s="1"/>
      <c r="F1428" s="1"/>
      <c r="G1428" s="145"/>
      <c r="H1428" s="1"/>
      <c r="I1428" s="1"/>
      <c r="J1428" s="1"/>
      <c r="K1428" s="1"/>
      <c r="L1428" s="1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</row>
    <row r="1429" spans="1:29">
      <c r="A1429" s="1"/>
      <c r="B1429" s="1"/>
      <c r="C1429" s="73"/>
      <c r="D1429" s="1"/>
      <c r="E1429" s="1"/>
      <c r="F1429" s="1"/>
      <c r="G1429" s="145"/>
      <c r="H1429" s="1"/>
      <c r="I1429" s="1"/>
      <c r="J1429" s="1"/>
      <c r="K1429" s="1"/>
      <c r="L1429" s="1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</row>
    <row r="1430" spans="1:29">
      <c r="A1430" s="1"/>
      <c r="B1430" s="1"/>
      <c r="C1430" s="73"/>
      <c r="D1430" s="1"/>
      <c r="E1430" s="1"/>
      <c r="F1430" s="1"/>
      <c r="G1430" s="145"/>
      <c r="H1430" s="1"/>
      <c r="I1430" s="1"/>
      <c r="J1430" s="1"/>
      <c r="K1430" s="1"/>
      <c r="L1430" s="1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</row>
    <row r="1431" spans="1:29">
      <c r="A1431" s="1"/>
      <c r="B1431" s="1"/>
      <c r="C1431" s="73"/>
      <c r="D1431" s="1"/>
      <c r="E1431" s="1"/>
      <c r="F1431" s="1"/>
      <c r="G1431" s="145"/>
      <c r="H1431" s="1"/>
      <c r="I1431" s="1"/>
      <c r="J1431" s="1"/>
      <c r="K1431" s="1"/>
      <c r="L1431" s="1"/>
      <c r="M1431" s="1"/>
      <c r="N1431" s="1"/>
      <c r="O1431" s="1"/>
      <c r="P1431" s="1"/>
      <c r="Q1431" s="3"/>
      <c r="R1431" s="4"/>
      <c r="S1431" s="4"/>
      <c r="T1431" s="1"/>
      <c r="U1431" s="6"/>
      <c r="V1431" s="1"/>
      <c r="W1431" s="1"/>
      <c r="X1431" s="1"/>
      <c r="Y1431" s="1"/>
      <c r="Z1431" s="1"/>
      <c r="AA1431" s="1"/>
      <c r="AB1431" s="1"/>
      <c r="AC1431" s="1"/>
    </row>
    <row r="1432" spans="1:29">
      <c r="A1432" s="1"/>
      <c r="B1432" s="1"/>
      <c r="C1432" s="73"/>
      <c r="D1432" s="1"/>
      <c r="E1432" s="1"/>
      <c r="F1432" s="1"/>
      <c r="G1432" s="145"/>
      <c r="H1432" s="1"/>
      <c r="I1432" s="1"/>
      <c r="J1432" s="1"/>
      <c r="K1432" s="1"/>
      <c r="L1432" s="1"/>
      <c r="M1432" s="1"/>
      <c r="N1432" s="1"/>
      <c r="O1432" s="1"/>
      <c r="P1432" s="1"/>
      <c r="Q1432" s="3"/>
      <c r="R1432" s="4"/>
      <c r="S1432" s="4"/>
      <c r="T1432" s="1"/>
      <c r="U1432" s="6"/>
      <c r="V1432" s="1"/>
      <c r="W1432" s="1"/>
      <c r="X1432" s="1"/>
      <c r="Y1432" s="1"/>
      <c r="Z1432" s="1"/>
      <c r="AA1432" s="1"/>
      <c r="AB1432" s="1"/>
      <c r="AC1432" s="1"/>
    </row>
    <row r="1433" spans="1:29">
      <c r="A1433" s="1"/>
      <c r="B1433" s="1"/>
      <c r="C1433" s="73"/>
      <c r="D1433" s="1"/>
      <c r="E1433" s="1"/>
      <c r="F1433" s="1"/>
      <c r="G1433" s="145"/>
      <c r="H1433" s="1"/>
      <c r="I1433" s="1"/>
      <c r="J1433" s="1"/>
      <c r="K1433" s="1"/>
      <c r="L1433" s="1"/>
      <c r="M1433" s="1"/>
      <c r="N1433" s="1"/>
      <c r="O1433" s="1"/>
      <c r="P1433" s="1"/>
      <c r="Q1433" s="3"/>
      <c r="R1433" s="4"/>
      <c r="S1433" s="4"/>
      <c r="T1433" s="1"/>
      <c r="U1433" s="6"/>
      <c r="V1433" s="1"/>
      <c r="W1433" s="1"/>
      <c r="X1433" s="1"/>
      <c r="Y1433" s="1"/>
      <c r="Z1433" s="1"/>
      <c r="AA1433" s="1"/>
      <c r="AB1433" s="1"/>
      <c r="AC1433" s="1"/>
    </row>
    <row r="1435" spans="1:29">
      <c r="A1435" s="1"/>
      <c r="B1435" s="1"/>
      <c r="C1435" s="73"/>
      <c r="D1435" s="1"/>
      <c r="E1435" s="1"/>
      <c r="F1435" s="1"/>
      <c r="G1435" s="145"/>
      <c r="H1435" s="1"/>
      <c r="I1435" s="1"/>
      <c r="J1435" s="1"/>
      <c r="K1435" s="1"/>
      <c r="L1435" s="1"/>
      <c r="M1435" s="1"/>
      <c r="N1435" s="1"/>
      <c r="O1435" s="1"/>
      <c r="P1435" s="1"/>
      <c r="Q1435" s="3"/>
      <c r="R1435" s="4"/>
      <c r="S1435" s="4"/>
      <c r="T1435" s="1"/>
      <c r="U1435" s="6"/>
      <c r="V1435" s="1"/>
      <c r="W1435" s="1"/>
      <c r="X1435" s="1"/>
      <c r="Y1435" s="1"/>
      <c r="Z1435" s="1"/>
      <c r="AA1435" s="1"/>
      <c r="AB1435" s="1"/>
      <c r="AC1435" s="1"/>
    </row>
    <row r="1436" spans="1:29">
      <c r="A1436" s="1"/>
      <c r="B1436" s="1"/>
      <c r="C1436" s="73"/>
      <c r="D1436" s="1"/>
      <c r="E1436" s="1"/>
      <c r="F1436" s="1"/>
      <c r="G1436" s="145"/>
      <c r="H1436" s="1"/>
      <c r="I1436" s="1"/>
      <c r="J1436" s="1"/>
      <c r="K1436" s="1"/>
      <c r="L1436" s="1"/>
      <c r="M1436" s="1"/>
      <c r="N1436" s="1"/>
      <c r="O1436" s="1"/>
      <c r="P1436" s="1"/>
      <c r="Q1436" s="3"/>
      <c r="R1436" s="4"/>
      <c r="S1436" s="4"/>
      <c r="T1436" s="1"/>
      <c r="U1436" s="6"/>
      <c r="V1436" s="1"/>
      <c r="W1436" s="1"/>
      <c r="X1436" s="1"/>
      <c r="Y1436" s="1"/>
      <c r="Z1436" s="1"/>
      <c r="AA1436" s="1"/>
      <c r="AB1436" s="1"/>
      <c r="AC1436" s="1"/>
    </row>
    <row r="1437" spans="1:29">
      <c r="A1437" s="1"/>
      <c r="B1437" s="1"/>
      <c r="C1437" s="73"/>
      <c r="D1437" s="1"/>
      <c r="E1437" s="1"/>
      <c r="F1437" s="1"/>
      <c r="G1437" s="145"/>
      <c r="H1437" s="1"/>
      <c r="I1437" s="1"/>
      <c r="J1437" s="1"/>
      <c r="K1437" s="1"/>
      <c r="L1437" s="1"/>
      <c r="M1437" s="1"/>
      <c r="N1437" s="1"/>
      <c r="O1437" s="1"/>
      <c r="P1437" s="1"/>
      <c r="Q1437" s="3"/>
      <c r="R1437" s="4"/>
      <c r="S1437" s="4"/>
      <c r="T1437" s="1"/>
      <c r="U1437" s="6"/>
      <c r="V1437" s="1"/>
      <c r="W1437" s="1"/>
      <c r="X1437" s="1"/>
      <c r="Y1437" s="1"/>
      <c r="Z1437" s="1"/>
      <c r="AA1437" s="1"/>
      <c r="AB1437" s="1"/>
      <c r="AC1437" s="1"/>
    </row>
    <row r="1438" spans="1:29">
      <c r="A1438" s="1"/>
      <c r="B1438" s="1"/>
      <c r="C1438" s="73"/>
      <c r="D1438" s="1"/>
      <c r="E1438" s="1"/>
      <c r="F1438" s="1"/>
      <c r="G1438" s="145"/>
      <c r="H1438" s="1"/>
      <c r="I1438" s="1"/>
      <c r="J1438" s="1"/>
      <c r="K1438" s="1"/>
      <c r="L1438" s="1"/>
      <c r="M1438" s="1"/>
      <c r="N1438" s="1"/>
      <c r="O1438" s="1"/>
      <c r="P1438" s="1"/>
      <c r="Q1438" s="3"/>
      <c r="R1438" s="4"/>
      <c r="S1438" s="4"/>
      <c r="T1438" s="1"/>
      <c r="U1438" s="6"/>
      <c r="V1438" s="1"/>
      <c r="W1438" s="1"/>
      <c r="X1438" s="1"/>
      <c r="Y1438" s="1"/>
      <c r="Z1438" s="1"/>
      <c r="AA1438" s="1"/>
      <c r="AB1438" s="1"/>
      <c r="AC1438" s="1"/>
    </row>
    <row r="1563" spans="1:29">
      <c r="A1563" s="1"/>
      <c r="B1563" s="1"/>
      <c r="C1563" s="73"/>
      <c r="D1563" s="1"/>
      <c r="E1563" s="1"/>
      <c r="F1563" s="1"/>
      <c r="G1563" s="145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"/>
      <c r="AC1563" s="1"/>
    </row>
    <row r="1564" spans="1:29">
      <c r="A1564" s="1"/>
      <c r="B1564" s="1"/>
      <c r="C1564" s="73"/>
      <c r="D1564" s="1"/>
      <c r="E1564" s="1"/>
      <c r="F1564" s="1"/>
      <c r="G1564" s="145"/>
      <c r="H1564" s="1"/>
      <c r="I1564" s="1"/>
      <c r="J1564" s="1"/>
      <c r="K1564" s="1"/>
      <c r="L1564" s="1"/>
      <c r="M1564" s="1"/>
      <c r="N1564" s="1"/>
      <c r="O1564" s="1"/>
      <c r="P1564" s="1"/>
      <c r="Q1564" s="3"/>
      <c r="R1564" s="4"/>
      <c r="S1564" s="4"/>
      <c r="T1564" s="1"/>
      <c r="U1564" s="6"/>
      <c r="V1564" s="1"/>
      <c r="W1564" s="1"/>
      <c r="X1564" s="1"/>
      <c r="Y1564" s="1"/>
      <c r="Z1564" s="1"/>
      <c r="AA1564" s="1"/>
      <c r="AB1564" s="1"/>
      <c r="AC1564" s="1"/>
    </row>
    <row r="1570" spans="1:29">
      <c r="A1570" s="1"/>
      <c r="B1570" s="1"/>
      <c r="C1570" s="73"/>
      <c r="D1570" s="1"/>
      <c r="E1570" s="1"/>
      <c r="F1570" s="1"/>
      <c r="G1570" s="145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"/>
      <c r="AC1570" s="1"/>
    </row>
    <row r="1571" spans="1:29">
      <c r="A1571" s="1"/>
      <c r="B1571" s="1"/>
      <c r="C1571" s="73"/>
      <c r="D1571" s="1"/>
      <c r="E1571" s="1"/>
      <c r="F1571" s="1"/>
      <c r="G1571" s="145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"/>
      <c r="AC1571" s="1"/>
    </row>
    <row r="1574" spans="1:29">
      <c r="A1574" s="1"/>
      <c r="B1574" s="1"/>
      <c r="C1574" s="73"/>
      <c r="D1574" s="1"/>
      <c r="E1574" s="1"/>
      <c r="F1574" s="1"/>
      <c r="G1574" s="145"/>
      <c r="H1574" s="1"/>
      <c r="I1574" s="1"/>
      <c r="J1574" s="1"/>
      <c r="K1574" s="1"/>
      <c r="L1574" s="1"/>
      <c r="M1574" s="1"/>
      <c r="N1574" s="1"/>
      <c r="O1574" s="1"/>
      <c r="P1574" s="1"/>
      <c r="Q1574" s="3"/>
      <c r="R1574" s="4"/>
      <c r="S1574" s="4"/>
      <c r="T1574" s="1"/>
      <c r="U1574" s="6"/>
      <c r="V1574" s="1"/>
      <c r="W1574" s="1"/>
      <c r="X1574" s="1"/>
      <c r="Y1574" s="1"/>
      <c r="Z1574" s="1"/>
      <c r="AA1574" s="1"/>
      <c r="AB1574" s="1"/>
      <c r="AC1574" s="1"/>
    </row>
    <row r="1577" spans="1:29">
      <c r="A1577" s="1"/>
      <c r="B1577" s="1"/>
      <c r="C1577" s="73"/>
      <c r="D1577" s="1"/>
      <c r="E1577" s="1"/>
      <c r="F1577" s="1"/>
      <c r="G1577" s="145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"/>
      <c r="AC1577" s="1"/>
    </row>
    <row r="1578" spans="1:29">
      <c r="A1578" s="1"/>
      <c r="B1578" s="1"/>
      <c r="C1578" s="73"/>
      <c r="D1578" s="1"/>
      <c r="E1578" s="1"/>
      <c r="F1578" s="1"/>
      <c r="G1578" s="145"/>
      <c r="H1578" s="1"/>
      <c r="I1578" s="1"/>
      <c r="J1578" s="1"/>
      <c r="K1578" s="1"/>
      <c r="L1578" s="1"/>
      <c r="M1578" s="1"/>
      <c r="N1578" s="1"/>
      <c r="O1578" s="1"/>
      <c r="P1578" s="1"/>
      <c r="Q1578" s="3"/>
      <c r="R1578" s="4"/>
      <c r="S1578" s="4"/>
      <c r="T1578" s="1"/>
      <c r="U1578" s="6"/>
      <c r="V1578" s="1"/>
      <c r="W1578" s="1"/>
      <c r="X1578" s="1"/>
      <c r="Y1578" s="1"/>
      <c r="Z1578" s="1"/>
      <c r="AA1578" s="1"/>
      <c r="AB1578" s="1"/>
      <c r="AC1578" s="1"/>
    </row>
    <row r="1579" spans="1:29">
      <c r="A1579" s="1"/>
      <c r="B1579" s="1"/>
      <c r="C1579" s="73"/>
      <c r="D1579" s="1"/>
      <c r="E1579" s="1"/>
      <c r="F1579" s="1"/>
      <c r="G1579" s="145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"/>
      <c r="AC1579" s="1"/>
    </row>
    <row r="1580" spans="1:29">
      <c r="A1580" s="1"/>
      <c r="B1580" s="1"/>
      <c r="C1580" s="73"/>
      <c r="D1580" s="1"/>
      <c r="E1580" s="1"/>
      <c r="F1580" s="1"/>
      <c r="G1580" s="145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"/>
      <c r="AC1580" s="1"/>
    </row>
    <row r="1583" spans="1:29">
      <c r="A1583" s="1"/>
      <c r="B1583" s="1"/>
      <c r="C1583" s="73"/>
      <c r="D1583" s="1"/>
      <c r="E1583" s="1"/>
      <c r="F1583" s="1"/>
      <c r="G1583" s="145"/>
      <c r="H1583" s="1"/>
      <c r="I1583" s="1"/>
      <c r="J1583" s="1"/>
      <c r="K1583" s="1"/>
      <c r="L1583" s="1"/>
      <c r="M1583" s="1"/>
      <c r="N1583" s="1"/>
      <c r="O1583" s="1"/>
      <c r="P1583" s="1"/>
      <c r="Q1583" s="3"/>
      <c r="R1583" s="4"/>
      <c r="S1583" s="4"/>
      <c r="T1583" s="1"/>
      <c r="U1583" s="6"/>
      <c r="V1583" s="1"/>
      <c r="W1583" s="1"/>
      <c r="X1583" s="1"/>
      <c r="Y1583" s="1"/>
      <c r="Z1583" s="1"/>
      <c r="AA1583" s="1"/>
      <c r="AB1583" s="1"/>
      <c r="AC1583" s="1"/>
    </row>
    <row r="1584" spans="1:29">
      <c r="A1584" s="1"/>
      <c r="B1584" s="1"/>
      <c r="C1584" s="73"/>
      <c r="D1584" s="1"/>
      <c r="E1584" s="1"/>
      <c r="F1584" s="1"/>
      <c r="G1584" s="145"/>
      <c r="H1584" s="1"/>
      <c r="I1584" s="1"/>
      <c r="J1584" s="1"/>
      <c r="K1584" s="1"/>
      <c r="L1584" s="1"/>
      <c r="M1584" s="1"/>
      <c r="N1584" s="1"/>
      <c r="O1584" s="1"/>
      <c r="P1584" s="1"/>
      <c r="Q1584" s="3"/>
      <c r="R1584" s="4"/>
      <c r="S1584" s="4"/>
      <c r="T1584" s="1"/>
      <c r="U1584" s="6"/>
      <c r="V1584" s="1"/>
      <c r="W1584" s="1"/>
      <c r="X1584" s="1"/>
      <c r="Y1584" s="1"/>
      <c r="Z1584" s="1"/>
      <c r="AA1584" s="1"/>
      <c r="AB1584" s="1"/>
      <c r="AC1584" s="1"/>
    </row>
    <row r="1585" spans="1:29">
      <c r="A1585" s="1"/>
      <c r="B1585" s="1"/>
      <c r="C1585" s="73"/>
      <c r="D1585" s="1"/>
      <c r="E1585" s="1"/>
      <c r="F1585" s="1"/>
      <c r="G1585" s="145"/>
      <c r="H1585" s="1"/>
      <c r="I1585" s="1"/>
      <c r="J1585" s="1"/>
      <c r="K1585" s="1"/>
      <c r="L1585" s="1"/>
      <c r="M1585" s="1"/>
      <c r="N1585" s="1"/>
      <c r="O1585" s="1"/>
      <c r="P1585" s="1"/>
      <c r="Q1585" s="3"/>
      <c r="R1585" s="4"/>
      <c r="S1585" s="4"/>
      <c r="T1585" s="1"/>
      <c r="U1585" s="6"/>
      <c r="V1585" s="1"/>
      <c r="W1585" s="1"/>
      <c r="X1585" s="1"/>
      <c r="Y1585" s="1"/>
      <c r="Z1585" s="1"/>
      <c r="AA1585" s="1"/>
      <c r="AB1585" s="1"/>
      <c r="AC1585" s="1"/>
    </row>
    <row r="1587" spans="1:29">
      <c r="A1587" s="1"/>
      <c r="B1587" s="1"/>
      <c r="C1587" s="73"/>
      <c r="D1587" s="1"/>
      <c r="E1587" s="1"/>
      <c r="F1587" s="1"/>
      <c r="G1587" s="145"/>
      <c r="H1587" s="1"/>
      <c r="I1587" s="1"/>
      <c r="J1587" s="1"/>
      <c r="K1587" s="1"/>
      <c r="L1587" s="1"/>
      <c r="M1587" s="1"/>
      <c r="N1587" s="1"/>
      <c r="O1587" s="1"/>
      <c r="P1587" s="1"/>
      <c r="Q1587" s="3"/>
      <c r="R1587" s="4"/>
      <c r="S1587" s="4"/>
      <c r="T1587" s="1"/>
      <c r="U1587" s="6"/>
      <c r="V1587" s="1"/>
      <c r="W1587" s="1"/>
      <c r="X1587" s="1"/>
      <c r="Y1587" s="1"/>
      <c r="Z1587" s="1"/>
      <c r="AA1587" s="1"/>
      <c r="AB1587" s="1"/>
      <c r="AC1587" s="1"/>
    </row>
    <row r="1588" spans="1:29">
      <c r="A1588" s="1"/>
      <c r="B1588" s="1"/>
      <c r="C1588" s="73"/>
      <c r="D1588" s="1"/>
      <c r="E1588" s="1"/>
      <c r="F1588" s="1"/>
      <c r="G1588" s="145"/>
      <c r="H1588" s="1"/>
      <c r="I1588" s="1"/>
      <c r="J1588" s="1"/>
      <c r="K1588" s="1"/>
      <c r="L1588" s="1"/>
      <c r="M1588" s="1"/>
      <c r="N1588" s="1"/>
      <c r="O1588" s="1"/>
      <c r="P1588" s="1"/>
      <c r="Q1588" s="3"/>
      <c r="R1588" s="4"/>
      <c r="S1588" s="4"/>
      <c r="T1588" s="1"/>
      <c r="U1588" s="6"/>
      <c r="V1588" s="1"/>
      <c r="W1588" s="1"/>
      <c r="X1588" s="1"/>
      <c r="Y1588" s="1"/>
      <c r="Z1588" s="1"/>
      <c r="AA1588" s="1"/>
      <c r="AB1588" s="1"/>
      <c r="AC1588" s="1"/>
    </row>
    <row r="1590" spans="1:29">
      <c r="A1590" s="1"/>
      <c r="B1590" s="1"/>
      <c r="C1590" s="73"/>
      <c r="D1590" s="1"/>
      <c r="E1590" s="1"/>
      <c r="F1590" s="1"/>
      <c r="G1590" s="145"/>
      <c r="H1590" s="1"/>
      <c r="I1590" s="1"/>
      <c r="J1590" s="1"/>
      <c r="K1590" s="1"/>
      <c r="L1590" s="1"/>
      <c r="M1590" s="1"/>
      <c r="N1590" s="1"/>
      <c r="O1590" s="1"/>
      <c r="P1590" s="1"/>
      <c r="Q1590" s="3"/>
      <c r="R1590" s="4"/>
      <c r="S1590" s="4"/>
      <c r="T1590" s="1"/>
      <c r="U1590" s="6"/>
      <c r="V1590" s="1"/>
      <c r="W1590" s="1"/>
      <c r="X1590" s="1"/>
      <c r="Y1590" s="1"/>
      <c r="Z1590" s="1"/>
      <c r="AA1590" s="1"/>
      <c r="AB1590" s="1"/>
      <c r="AC1590" s="1"/>
    </row>
    <row r="1592" spans="1:29">
      <c r="A1592" s="1"/>
      <c r="B1592" s="1"/>
      <c r="C1592" s="73"/>
      <c r="D1592" s="1"/>
      <c r="E1592" s="1"/>
      <c r="F1592" s="1"/>
      <c r="G1592" s="145"/>
      <c r="H1592" s="1"/>
      <c r="I1592" s="1"/>
      <c r="J1592" s="1"/>
      <c r="K1592" s="1"/>
      <c r="L1592" s="1"/>
      <c r="M1592" s="1"/>
      <c r="N1592" s="1"/>
      <c r="O1592" s="1"/>
      <c r="P1592" s="1"/>
      <c r="Q1592" s="3"/>
      <c r="R1592" s="4"/>
      <c r="S1592" s="4"/>
      <c r="T1592" s="1"/>
      <c r="U1592" s="6"/>
      <c r="V1592" s="1"/>
      <c r="W1592" s="1"/>
      <c r="X1592" s="1"/>
      <c r="Y1592" s="1"/>
      <c r="Z1592" s="1"/>
      <c r="AA1592" s="1"/>
      <c r="AB1592" s="1"/>
      <c r="AC1592" s="1"/>
    </row>
    <row r="1593" spans="1:29">
      <c r="A1593" s="1"/>
      <c r="B1593" s="1"/>
      <c r="C1593" s="73"/>
      <c r="D1593" s="1"/>
      <c r="E1593" s="1"/>
      <c r="F1593" s="1"/>
      <c r="G1593" s="145"/>
      <c r="H1593" s="1"/>
      <c r="I1593" s="1"/>
      <c r="J1593" s="1"/>
      <c r="K1593" s="1"/>
      <c r="L1593" s="1"/>
      <c r="M1593" s="1"/>
      <c r="N1593" s="1"/>
      <c r="O1593" s="1"/>
      <c r="P1593" s="1"/>
      <c r="Q1593" s="3"/>
      <c r="R1593" s="4"/>
      <c r="S1593" s="4"/>
      <c r="T1593" s="1"/>
      <c r="U1593" s="6"/>
      <c r="V1593" s="1"/>
      <c r="W1593" s="1"/>
      <c r="X1593" s="1"/>
      <c r="Y1593" s="1"/>
      <c r="Z1593" s="1"/>
      <c r="AA1593" s="1"/>
      <c r="AB1593" s="1"/>
      <c r="AC1593" s="1"/>
    </row>
    <row r="1594" spans="1:29">
      <c r="A1594" s="1"/>
      <c r="B1594" s="1"/>
      <c r="C1594" s="73"/>
      <c r="D1594" s="1"/>
      <c r="E1594" s="1"/>
      <c r="F1594" s="1"/>
      <c r="G1594" s="145"/>
      <c r="H1594" s="1"/>
      <c r="I1594" s="1"/>
      <c r="J1594" s="1"/>
      <c r="K1594" s="1"/>
      <c r="L1594" s="1"/>
      <c r="M1594" s="1"/>
      <c r="N1594" s="1"/>
      <c r="O1594" s="1"/>
      <c r="P1594" s="1"/>
      <c r="Q1594" s="3"/>
      <c r="R1594" s="4"/>
      <c r="S1594" s="4"/>
      <c r="T1594" s="1"/>
      <c r="U1594" s="6"/>
      <c r="V1594" s="1"/>
      <c r="W1594" s="1"/>
      <c r="X1594" s="1"/>
      <c r="Y1594" s="1"/>
      <c r="Z1594" s="1"/>
      <c r="AA1594" s="1"/>
      <c r="AB1594" s="1"/>
      <c r="AC1594" s="1"/>
    </row>
    <row r="1595" spans="1:29">
      <c r="A1595" s="1"/>
      <c r="B1595" s="1"/>
      <c r="C1595" s="73"/>
      <c r="D1595" s="1"/>
      <c r="E1595" s="1"/>
      <c r="F1595" s="1"/>
      <c r="G1595" s="145"/>
      <c r="H1595" s="1"/>
      <c r="I1595" s="1"/>
      <c r="J1595" s="1"/>
      <c r="K1595" s="1"/>
      <c r="L1595" s="1"/>
      <c r="M1595" s="1"/>
      <c r="N1595" s="1"/>
      <c r="O1595" s="1"/>
      <c r="P1595" s="1"/>
      <c r="Q1595" s="3"/>
      <c r="R1595" s="4"/>
      <c r="S1595" s="4"/>
      <c r="T1595" s="1"/>
      <c r="U1595" s="6"/>
      <c r="V1595" s="1"/>
      <c r="W1595" s="1"/>
      <c r="X1595" s="1"/>
      <c r="Y1595" s="1"/>
      <c r="Z1595" s="1"/>
      <c r="AA1595" s="1"/>
      <c r="AB1595" s="1"/>
      <c r="AC1595" s="1"/>
    </row>
    <row r="1596" spans="1:29">
      <c r="A1596" s="1"/>
      <c r="B1596" s="1"/>
      <c r="C1596" s="73"/>
      <c r="D1596" s="1"/>
      <c r="E1596" s="1"/>
      <c r="F1596" s="1"/>
      <c r="G1596" s="145"/>
      <c r="H1596" s="1"/>
      <c r="I1596" s="1"/>
      <c r="J1596" s="1"/>
      <c r="K1596" s="1"/>
      <c r="L1596" s="1"/>
      <c r="M1596" s="1"/>
      <c r="N1596" s="1"/>
      <c r="O1596" s="1"/>
      <c r="P1596" s="1"/>
      <c r="Q1596" s="3"/>
      <c r="R1596" s="4"/>
      <c r="S1596" s="4"/>
      <c r="T1596" s="1"/>
      <c r="U1596" s="6"/>
      <c r="V1596" s="1"/>
      <c r="W1596" s="1"/>
      <c r="X1596" s="1"/>
      <c r="Y1596" s="1"/>
      <c r="Z1596" s="1"/>
      <c r="AA1596" s="1"/>
      <c r="AB1596" s="1"/>
      <c r="AC1596" s="1"/>
    </row>
    <row r="1597" spans="1:29">
      <c r="A1597" s="1"/>
      <c r="B1597" s="1"/>
      <c r="C1597" s="73"/>
      <c r="D1597" s="1"/>
      <c r="E1597" s="1"/>
      <c r="F1597" s="1"/>
      <c r="G1597" s="145"/>
      <c r="H1597" s="1"/>
      <c r="I1597" s="1"/>
      <c r="J1597" s="1"/>
      <c r="K1597" s="1"/>
      <c r="L1597" s="1"/>
      <c r="M1597" s="1"/>
      <c r="N1597" s="1"/>
      <c r="O1597" s="1"/>
      <c r="P1597" s="1"/>
      <c r="Q1597" s="3"/>
      <c r="R1597" s="4"/>
      <c r="S1597" s="4"/>
      <c r="T1597" s="1"/>
      <c r="U1597" s="6"/>
      <c r="V1597" s="1"/>
      <c r="W1597" s="1"/>
      <c r="X1597" s="1"/>
      <c r="Y1597" s="1"/>
      <c r="Z1597" s="1"/>
      <c r="AA1597" s="1"/>
      <c r="AB1597" s="1"/>
      <c r="AC1597" s="1"/>
    </row>
    <row r="1598" spans="1:29">
      <c r="A1598" s="1"/>
      <c r="B1598" s="1"/>
      <c r="C1598" s="73"/>
      <c r="D1598" s="1"/>
      <c r="E1598" s="1"/>
      <c r="F1598" s="1"/>
      <c r="G1598" s="145"/>
      <c r="H1598" s="1"/>
      <c r="I1598" s="1"/>
      <c r="J1598" s="1"/>
      <c r="K1598" s="1"/>
      <c r="L1598" s="1"/>
      <c r="M1598" s="1"/>
      <c r="N1598" s="1"/>
      <c r="O1598" s="1"/>
      <c r="P1598" s="1"/>
      <c r="Q1598" s="3"/>
      <c r="R1598" s="4"/>
      <c r="S1598" s="4"/>
      <c r="T1598" s="1"/>
      <c r="U1598" s="6"/>
      <c r="V1598" s="1"/>
      <c r="W1598" s="1"/>
      <c r="X1598" s="1"/>
      <c r="Y1598" s="1"/>
      <c r="Z1598" s="1"/>
      <c r="AA1598" s="1"/>
      <c r="AB1598" s="1"/>
      <c r="AC1598" s="1"/>
    </row>
    <row r="1599" spans="1:29">
      <c r="A1599" s="1"/>
      <c r="B1599" s="1"/>
      <c r="C1599" s="73"/>
      <c r="D1599" s="1"/>
      <c r="E1599" s="1"/>
      <c r="F1599" s="1"/>
      <c r="G1599" s="145"/>
      <c r="H1599" s="1"/>
      <c r="I1599" s="1"/>
      <c r="J1599" s="1"/>
      <c r="K1599" s="1"/>
      <c r="L1599" s="1"/>
      <c r="M1599" s="1"/>
      <c r="N1599" s="1"/>
      <c r="O1599" s="1"/>
      <c r="P1599" s="1"/>
      <c r="Q1599" s="3"/>
      <c r="R1599" s="4"/>
      <c r="S1599" s="4"/>
      <c r="T1599" s="1"/>
      <c r="U1599" s="6"/>
      <c r="V1599" s="1"/>
      <c r="W1599" s="1"/>
      <c r="X1599" s="1"/>
      <c r="Y1599" s="1"/>
      <c r="Z1599" s="1"/>
      <c r="AA1599" s="1"/>
      <c r="AB1599" s="1"/>
      <c r="AC1599" s="1"/>
    </row>
    <row r="1600" spans="1:29">
      <c r="A1600" s="1"/>
      <c r="B1600" s="1"/>
      <c r="C1600" s="73"/>
      <c r="D1600" s="1"/>
      <c r="E1600" s="1"/>
      <c r="F1600" s="1"/>
      <c r="G1600" s="145"/>
      <c r="H1600" s="1"/>
      <c r="I1600" s="1"/>
      <c r="J1600" s="1"/>
      <c r="K1600" s="1"/>
      <c r="L1600" s="1"/>
      <c r="M1600" s="1"/>
      <c r="N1600" s="1"/>
      <c r="O1600" s="1"/>
      <c r="P1600" s="1"/>
      <c r="Q1600" s="3"/>
      <c r="R1600" s="4"/>
      <c r="S1600" s="4"/>
      <c r="T1600" s="1"/>
      <c r="U1600" s="6"/>
      <c r="V1600" s="1"/>
      <c r="W1600" s="1"/>
      <c r="X1600" s="1"/>
      <c r="Y1600" s="1"/>
      <c r="Z1600" s="1"/>
      <c r="AA1600" s="1"/>
      <c r="AB1600" s="1"/>
      <c r="AC1600" s="1"/>
    </row>
    <row r="1601" spans="1:29">
      <c r="A1601" s="1"/>
      <c r="B1601" s="1"/>
      <c r="C1601" s="73"/>
      <c r="D1601" s="1"/>
      <c r="E1601" s="1"/>
      <c r="F1601" s="1"/>
      <c r="G1601" s="145"/>
      <c r="H1601" s="1"/>
      <c r="I1601" s="1"/>
      <c r="J1601" s="1"/>
      <c r="K1601" s="1"/>
      <c r="L1601" s="1"/>
      <c r="M1601" s="1"/>
      <c r="N1601" s="1"/>
      <c r="O1601" s="1"/>
      <c r="P1601" s="1"/>
      <c r="Q1601" s="3"/>
      <c r="R1601" s="4"/>
      <c r="S1601" s="4"/>
      <c r="T1601" s="1"/>
      <c r="U1601" s="6"/>
      <c r="V1601" s="1"/>
      <c r="W1601" s="1"/>
      <c r="X1601" s="1"/>
      <c r="Y1601" s="1"/>
      <c r="Z1601" s="1"/>
      <c r="AA1601" s="1"/>
      <c r="AB1601" s="1"/>
      <c r="AC1601" s="1"/>
    </row>
    <row r="1603" spans="1:29">
      <c r="A1603" s="1"/>
      <c r="B1603" s="1"/>
      <c r="C1603" s="73"/>
      <c r="D1603" s="1"/>
      <c r="E1603" s="1"/>
      <c r="F1603" s="1"/>
      <c r="G1603" s="145"/>
      <c r="H1603" s="1"/>
      <c r="I1603" s="1"/>
      <c r="J1603" s="1"/>
      <c r="K1603" s="1"/>
      <c r="L1603" s="1"/>
      <c r="M1603" s="1"/>
      <c r="N1603" s="1"/>
      <c r="O1603" s="1"/>
      <c r="P1603" s="1"/>
      <c r="Q1603" s="3"/>
      <c r="R1603" s="4"/>
      <c r="S1603" s="4"/>
      <c r="T1603" s="1"/>
      <c r="U1603" s="6"/>
      <c r="V1603" s="1"/>
      <c r="W1603" s="1"/>
      <c r="X1603" s="1"/>
      <c r="Y1603" s="1"/>
      <c r="Z1603" s="1"/>
      <c r="AA1603" s="1"/>
      <c r="AB1603" s="1"/>
      <c r="AC1603" s="1"/>
    </row>
    <row r="1604" spans="1:29">
      <c r="A1604" s="1"/>
      <c r="B1604" s="1"/>
      <c r="C1604" s="73"/>
      <c r="D1604" s="1"/>
      <c r="E1604" s="1"/>
      <c r="F1604" s="1"/>
      <c r="G1604" s="145"/>
      <c r="H1604" s="1"/>
      <c r="I1604" s="1"/>
      <c r="J1604" s="1"/>
      <c r="K1604" s="1"/>
      <c r="L1604" s="1"/>
      <c r="M1604" s="1"/>
      <c r="N1604" s="1"/>
      <c r="O1604" s="1"/>
      <c r="P1604" s="1"/>
      <c r="Q1604" s="3"/>
      <c r="R1604" s="4"/>
      <c r="S1604" s="4"/>
      <c r="T1604" s="1"/>
      <c r="U1604" s="6"/>
      <c r="V1604" s="1"/>
      <c r="W1604" s="1"/>
      <c r="X1604" s="1"/>
      <c r="Y1604" s="1"/>
      <c r="Z1604" s="1"/>
      <c r="AA1604" s="1"/>
      <c r="AB1604" s="1"/>
      <c r="AC1604" s="1"/>
    </row>
    <row r="1605" spans="1:29">
      <c r="A1605" s="1"/>
      <c r="B1605" s="1"/>
      <c r="C1605" s="73"/>
      <c r="D1605" s="1"/>
      <c r="E1605" s="1"/>
      <c r="F1605" s="1"/>
      <c r="G1605" s="145"/>
      <c r="H1605" s="1"/>
      <c r="I1605" s="1"/>
      <c r="J1605" s="1"/>
      <c r="K1605" s="1"/>
      <c r="L1605" s="1"/>
      <c r="M1605" s="1"/>
      <c r="N1605" s="1"/>
      <c r="O1605" s="1"/>
      <c r="P1605" s="1"/>
      <c r="Q1605" s="3"/>
      <c r="R1605" s="4"/>
      <c r="S1605" s="4"/>
      <c r="T1605" s="1"/>
      <c r="U1605" s="6"/>
      <c r="V1605" s="1"/>
      <c r="W1605" s="1"/>
      <c r="X1605" s="1"/>
      <c r="Y1605" s="1"/>
      <c r="Z1605" s="1"/>
      <c r="AA1605" s="1"/>
      <c r="AB1605" s="1"/>
      <c r="AC1605" s="1"/>
    </row>
    <row r="1606" spans="1:29">
      <c r="A1606" s="1"/>
      <c r="B1606" s="1"/>
      <c r="C1606" s="73"/>
      <c r="D1606" s="1"/>
      <c r="E1606" s="1"/>
      <c r="F1606" s="1"/>
      <c r="G1606" s="145"/>
      <c r="H1606" s="1"/>
      <c r="I1606" s="1"/>
      <c r="J1606" s="1"/>
      <c r="K1606" s="1"/>
      <c r="L1606" s="1"/>
      <c r="M1606" s="1"/>
      <c r="N1606" s="1"/>
      <c r="O1606" s="1"/>
      <c r="P1606" s="1"/>
      <c r="Q1606" s="3"/>
      <c r="R1606" s="4"/>
      <c r="S1606" s="4"/>
      <c r="T1606" s="1"/>
      <c r="U1606" s="6"/>
      <c r="V1606" s="1"/>
      <c r="W1606" s="1"/>
      <c r="X1606" s="1"/>
      <c r="Y1606" s="1"/>
      <c r="Z1606" s="1"/>
      <c r="AA1606" s="1"/>
      <c r="AB1606" s="1"/>
      <c r="AC1606" s="1"/>
    </row>
    <row r="1607" spans="1:29">
      <c r="A1607" s="1"/>
      <c r="B1607" s="1"/>
      <c r="C1607" s="73"/>
      <c r="D1607" s="1"/>
      <c r="E1607" s="1"/>
      <c r="F1607" s="1"/>
      <c r="G1607" s="145"/>
      <c r="H1607" s="1"/>
      <c r="I1607" s="1"/>
      <c r="J1607" s="1"/>
      <c r="K1607" s="1"/>
      <c r="L1607" s="1"/>
      <c r="M1607" s="1"/>
      <c r="N1607" s="1"/>
      <c r="O1607" s="1"/>
      <c r="P1607" s="1"/>
      <c r="Q1607" s="3"/>
      <c r="R1607" s="4"/>
      <c r="S1607" s="4"/>
      <c r="T1607" s="1"/>
      <c r="U1607" s="6"/>
      <c r="V1607" s="1"/>
      <c r="W1607" s="1"/>
      <c r="X1607" s="1"/>
      <c r="Y1607" s="1"/>
      <c r="Z1607" s="1"/>
      <c r="AA1607" s="1"/>
      <c r="AB1607" s="1"/>
      <c r="AC1607" s="1"/>
    </row>
    <row r="1608" spans="1:29">
      <c r="A1608" s="1"/>
      <c r="B1608" s="1"/>
      <c r="C1608" s="73"/>
      <c r="D1608" s="1"/>
      <c r="E1608" s="1"/>
      <c r="F1608" s="1"/>
      <c r="G1608" s="145"/>
      <c r="H1608" s="1"/>
      <c r="I1608" s="1"/>
      <c r="J1608" s="1"/>
      <c r="K1608" s="1"/>
      <c r="L1608" s="1"/>
      <c r="M1608" s="1"/>
      <c r="N1608" s="1"/>
      <c r="O1608" s="1"/>
      <c r="P1608" s="1"/>
      <c r="Q1608" s="3"/>
      <c r="R1608" s="4"/>
      <c r="S1608" s="4"/>
      <c r="T1608" s="1"/>
      <c r="U1608" s="6"/>
      <c r="V1608" s="1"/>
      <c r="W1608" s="1"/>
      <c r="X1608" s="1"/>
      <c r="Y1608" s="1"/>
      <c r="Z1608" s="1"/>
      <c r="AA1608" s="1"/>
      <c r="AB1608" s="1"/>
      <c r="AC1608" s="1"/>
    </row>
    <row r="1609" spans="1:29">
      <c r="A1609" s="1"/>
      <c r="B1609" s="1"/>
      <c r="C1609" s="73"/>
      <c r="D1609" s="1"/>
      <c r="E1609" s="1"/>
      <c r="F1609" s="1"/>
      <c r="G1609" s="145"/>
      <c r="H1609" s="1"/>
      <c r="I1609" s="1"/>
      <c r="J1609" s="1"/>
      <c r="K1609" s="1"/>
      <c r="L1609" s="1"/>
      <c r="M1609" s="1"/>
      <c r="N1609" s="1"/>
      <c r="O1609" s="1"/>
      <c r="P1609" s="1"/>
      <c r="Q1609" s="3"/>
      <c r="R1609" s="4"/>
      <c r="S1609" s="4"/>
      <c r="T1609" s="1"/>
      <c r="U1609" s="6"/>
      <c r="V1609" s="1"/>
      <c r="W1609" s="1"/>
      <c r="X1609" s="1"/>
      <c r="Y1609" s="1"/>
      <c r="Z1609" s="1"/>
      <c r="AA1609" s="1"/>
      <c r="AB1609" s="1"/>
      <c r="AC1609" s="1"/>
    </row>
    <row r="1610" spans="1:29">
      <c r="A1610" s="1"/>
      <c r="B1610" s="1"/>
      <c r="C1610" s="73"/>
      <c r="D1610" s="1"/>
      <c r="E1610" s="1"/>
      <c r="F1610" s="1"/>
      <c r="G1610" s="145"/>
      <c r="H1610" s="1"/>
      <c r="I1610" s="1"/>
      <c r="J1610" s="1"/>
      <c r="K1610" s="1"/>
      <c r="L1610" s="1"/>
      <c r="M1610" s="1"/>
      <c r="N1610" s="1"/>
      <c r="O1610" s="1"/>
      <c r="P1610" s="1"/>
      <c r="Q1610" s="3"/>
      <c r="R1610" s="4"/>
      <c r="S1610" s="4"/>
      <c r="T1610" s="1"/>
      <c r="U1610" s="6"/>
      <c r="V1610" s="1"/>
      <c r="W1610" s="1"/>
      <c r="X1610" s="1"/>
      <c r="Y1610" s="1"/>
      <c r="Z1610" s="1"/>
      <c r="AA1610" s="1"/>
      <c r="AB1610" s="1"/>
      <c r="AC1610" s="1"/>
    </row>
    <row r="1612" spans="1:29">
      <c r="A1612" s="1"/>
      <c r="B1612" s="1"/>
      <c r="C1612" s="73"/>
      <c r="D1612" s="1"/>
      <c r="E1612" s="1"/>
      <c r="F1612" s="1"/>
      <c r="G1612" s="145"/>
      <c r="H1612" s="1"/>
      <c r="I1612" s="1"/>
      <c r="J1612" s="1"/>
      <c r="K1612" s="1"/>
      <c r="L1612" s="1"/>
      <c r="M1612" s="1"/>
      <c r="N1612" s="1"/>
      <c r="O1612" s="1"/>
      <c r="P1612" s="1"/>
      <c r="Q1612" s="3"/>
      <c r="R1612" s="4"/>
      <c r="S1612" s="4"/>
      <c r="T1612" s="1"/>
      <c r="U1612" s="6"/>
      <c r="V1612" s="1"/>
      <c r="W1612" s="1"/>
      <c r="X1612" s="1"/>
      <c r="Y1612" s="1"/>
      <c r="Z1612" s="1"/>
      <c r="AA1612" s="1"/>
      <c r="AB1612" s="1"/>
      <c r="AC1612" s="1"/>
    </row>
    <row r="1613" spans="1:29">
      <c r="A1613" s="1"/>
      <c r="B1613" s="1"/>
      <c r="C1613" s="73"/>
      <c r="D1613" s="1"/>
      <c r="E1613" s="1"/>
      <c r="F1613" s="1"/>
      <c r="G1613" s="145"/>
      <c r="H1613" s="1"/>
      <c r="I1613" s="1"/>
      <c r="J1613" s="1"/>
      <c r="K1613" s="1"/>
      <c r="L1613" s="1"/>
      <c r="M1613" s="1"/>
      <c r="N1613" s="1"/>
      <c r="O1613" s="1"/>
      <c r="P1613" s="1"/>
      <c r="Q1613" s="3"/>
      <c r="R1613" s="4"/>
      <c r="S1613" s="4"/>
      <c r="T1613" s="1"/>
      <c r="U1613" s="6"/>
      <c r="V1613" s="1"/>
      <c r="W1613" s="1"/>
      <c r="X1613" s="1"/>
      <c r="Y1613" s="1"/>
      <c r="Z1613" s="1"/>
      <c r="AA1613" s="1"/>
      <c r="AB1613" s="1"/>
      <c r="AC1613" s="1"/>
    </row>
    <row r="1614" spans="1:29">
      <c r="A1614" s="1"/>
      <c r="B1614" s="1"/>
      <c r="C1614" s="73"/>
      <c r="D1614" s="1"/>
      <c r="E1614" s="1"/>
      <c r="F1614" s="1"/>
      <c r="G1614" s="145"/>
      <c r="H1614" s="1"/>
      <c r="I1614" s="1"/>
      <c r="J1614" s="1"/>
      <c r="K1614" s="1"/>
      <c r="L1614" s="1"/>
      <c r="M1614" s="1"/>
      <c r="N1614" s="1"/>
      <c r="O1614" s="1"/>
      <c r="P1614" s="1"/>
      <c r="Q1614" s="3"/>
      <c r="R1614" s="4"/>
      <c r="S1614" s="4"/>
      <c r="T1614" s="1"/>
      <c r="U1614" s="6"/>
      <c r="V1614" s="1"/>
      <c r="W1614" s="1"/>
      <c r="X1614" s="1"/>
      <c r="Y1614" s="1"/>
      <c r="Z1614" s="1"/>
      <c r="AA1614" s="1"/>
      <c r="AB1614" s="1"/>
      <c r="AC1614" s="1"/>
    </row>
    <row r="1615" spans="1:29">
      <c r="A1615" s="1"/>
      <c r="B1615" s="1"/>
      <c r="C1615" s="73"/>
      <c r="D1615" s="1"/>
      <c r="E1615" s="1"/>
      <c r="F1615" s="1"/>
      <c r="G1615" s="145"/>
      <c r="H1615" s="1"/>
      <c r="I1615" s="1"/>
      <c r="J1615" s="1"/>
      <c r="K1615" s="1"/>
      <c r="L1615" s="1"/>
      <c r="M1615" s="1"/>
      <c r="N1615" s="1"/>
      <c r="O1615" s="1"/>
      <c r="P1615" s="1"/>
      <c r="Q1615" s="3"/>
      <c r="R1615" s="4"/>
      <c r="S1615" s="4"/>
      <c r="T1615" s="1"/>
      <c r="U1615" s="6"/>
      <c r="V1615" s="1"/>
      <c r="W1615" s="1"/>
      <c r="X1615" s="1"/>
      <c r="Y1615" s="1"/>
      <c r="Z1615" s="1"/>
      <c r="AA1615" s="1"/>
      <c r="AB1615" s="1"/>
      <c r="AC1615" s="1"/>
    </row>
    <row r="1616" spans="1:29">
      <c r="A1616" s="1"/>
      <c r="B1616" s="1"/>
      <c r="C1616" s="73"/>
      <c r="D1616" s="1"/>
      <c r="E1616" s="1"/>
      <c r="F1616" s="1"/>
      <c r="G1616" s="145"/>
      <c r="H1616" s="1"/>
      <c r="I1616" s="1"/>
      <c r="J1616" s="1"/>
      <c r="K1616" s="1"/>
      <c r="L1616" s="1"/>
      <c r="M1616" s="1"/>
      <c r="N1616" s="1"/>
      <c r="O1616" s="1"/>
      <c r="P1616" s="1"/>
      <c r="Q1616" s="3"/>
      <c r="R1616" s="4"/>
      <c r="S1616" s="4"/>
      <c r="T1616" s="1"/>
      <c r="U1616" s="6"/>
      <c r="V1616" s="1"/>
      <c r="W1616" s="1"/>
      <c r="X1616" s="1"/>
      <c r="Y1616" s="1"/>
      <c r="Z1616" s="1"/>
      <c r="AA1616" s="1"/>
      <c r="AB1616" s="1"/>
      <c r="AC1616" s="1"/>
    </row>
    <row r="1617" spans="1:29">
      <c r="A1617" s="1"/>
      <c r="B1617" s="1"/>
      <c r="C1617" s="73"/>
      <c r="D1617" s="1"/>
      <c r="E1617" s="1"/>
      <c r="F1617" s="1"/>
      <c r="G1617" s="145"/>
      <c r="H1617" s="1"/>
      <c r="I1617" s="1"/>
      <c r="J1617" s="1"/>
      <c r="K1617" s="1"/>
      <c r="L1617" s="1"/>
      <c r="M1617" s="1"/>
      <c r="N1617" s="1"/>
      <c r="O1617" s="1"/>
      <c r="P1617" s="1"/>
      <c r="Q1617" s="3"/>
      <c r="R1617" s="4"/>
      <c r="S1617" s="4"/>
      <c r="T1617" s="1"/>
      <c r="U1617" s="6"/>
      <c r="V1617" s="1"/>
      <c r="W1617" s="1"/>
      <c r="X1617" s="1"/>
      <c r="Y1617" s="1"/>
      <c r="Z1617" s="1"/>
      <c r="AA1617" s="1"/>
      <c r="AB1617" s="1"/>
      <c r="AC1617" s="1"/>
    </row>
    <row r="1618" spans="1:29">
      <c r="A1618" s="1"/>
      <c r="B1618" s="1"/>
      <c r="C1618" s="73"/>
      <c r="D1618" s="1"/>
      <c r="E1618" s="1"/>
      <c r="F1618" s="1"/>
      <c r="G1618" s="145"/>
      <c r="H1618" s="1"/>
      <c r="I1618" s="1"/>
      <c r="J1618" s="1"/>
      <c r="K1618" s="1"/>
      <c r="L1618" s="1"/>
      <c r="M1618" s="1"/>
      <c r="N1618" s="1"/>
      <c r="O1618" s="1"/>
      <c r="P1618" s="1"/>
      <c r="Q1618" s="3"/>
      <c r="R1618" s="4"/>
      <c r="S1618" s="4"/>
      <c r="T1618" s="1"/>
      <c r="U1618" s="6"/>
      <c r="V1618" s="1"/>
      <c r="W1618" s="1"/>
      <c r="X1618" s="1"/>
      <c r="Y1618" s="1"/>
      <c r="Z1618" s="1"/>
      <c r="AA1618" s="1"/>
      <c r="AB1618" s="1"/>
      <c r="AC1618" s="1"/>
    </row>
    <row r="1619" spans="1:29">
      <c r="A1619" s="1"/>
      <c r="B1619" s="1"/>
      <c r="C1619" s="73"/>
      <c r="D1619" s="1"/>
      <c r="E1619" s="1"/>
      <c r="F1619" s="1"/>
      <c r="G1619" s="145"/>
      <c r="H1619" s="1"/>
      <c r="I1619" s="1"/>
      <c r="J1619" s="1"/>
      <c r="K1619" s="1"/>
      <c r="L1619" s="1"/>
      <c r="M1619" s="1"/>
      <c r="N1619" s="1"/>
      <c r="O1619" s="1"/>
      <c r="P1619" s="1"/>
      <c r="Q1619" s="3"/>
      <c r="R1619" s="4"/>
      <c r="S1619" s="4"/>
      <c r="T1619" s="1"/>
      <c r="U1619" s="6"/>
      <c r="V1619" s="1"/>
      <c r="W1619" s="1"/>
      <c r="X1619" s="1"/>
      <c r="Y1619" s="1"/>
      <c r="Z1619" s="1"/>
      <c r="AA1619" s="1"/>
      <c r="AB1619" s="1"/>
      <c r="AC1619" s="1"/>
    </row>
    <row r="1620" spans="1:29">
      <c r="A1620" s="1"/>
      <c r="B1620" s="1"/>
      <c r="C1620" s="73"/>
      <c r="D1620" s="1"/>
      <c r="E1620" s="1"/>
      <c r="F1620" s="1"/>
      <c r="G1620" s="145"/>
      <c r="H1620" s="1"/>
      <c r="I1620" s="1"/>
      <c r="J1620" s="1"/>
      <c r="K1620" s="1"/>
      <c r="L1620" s="1"/>
      <c r="M1620" s="1"/>
      <c r="N1620" s="1"/>
      <c r="O1620" s="1"/>
      <c r="P1620" s="1"/>
      <c r="Q1620" s="3"/>
      <c r="R1620" s="4"/>
      <c r="S1620" s="4"/>
      <c r="T1620" s="1"/>
      <c r="U1620" s="6"/>
      <c r="V1620" s="1"/>
      <c r="W1620" s="1"/>
      <c r="X1620" s="1"/>
      <c r="Y1620" s="1"/>
      <c r="Z1620" s="1"/>
      <c r="AA1620" s="1"/>
      <c r="AB1620" s="1"/>
      <c r="AC1620" s="1"/>
    </row>
    <row r="1621" spans="1:29">
      <c r="A1621" s="1"/>
      <c r="B1621" s="1"/>
      <c r="C1621" s="73"/>
      <c r="D1621" s="1"/>
      <c r="E1621" s="1"/>
      <c r="F1621" s="1"/>
      <c r="G1621" s="145"/>
      <c r="H1621" s="1"/>
      <c r="I1621" s="1"/>
      <c r="J1621" s="1"/>
      <c r="K1621" s="1"/>
      <c r="L1621" s="1"/>
      <c r="M1621" s="1"/>
      <c r="N1621" s="1"/>
      <c r="O1621" s="1"/>
      <c r="P1621" s="1"/>
      <c r="Q1621" s="3"/>
      <c r="R1621" s="4"/>
      <c r="S1621" s="4"/>
      <c r="T1621" s="1"/>
      <c r="U1621" s="6"/>
      <c r="V1621" s="1"/>
      <c r="W1621" s="1"/>
      <c r="X1621" s="1"/>
      <c r="Y1621" s="1"/>
      <c r="Z1621" s="1"/>
      <c r="AA1621" s="1"/>
      <c r="AB1621" s="1"/>
      <c r="AC1621" s="1"/>
    </row>
    <row r="1622" spans="1:29">
      <c r="A1622" s="1"/>
      <c r="B1622" s="1"/>
      <c r="C1622" s="73"/>
      <c r="D1622" s="1"/>
      <c r="E1622" s="1"/>
      <c r="F1622" s="1"/>
      <c r="G1622" s="145"/>
      <c r="H1622" s="1"/>
      <c r="I1622" s="1"/>
      <c r="J1622" s="1"/>
      <c r="K1622" s="1"/>
      <c r="L1622" s="1"/>
      <c r="M1622" s="1"/>
      <c r="N1622" s="1"/>
      <c r="O1622" s="1"/>
      <c r="P1622" s="1"/>
      <c r="Q1622" s="3"/>
      <c r="R1622" s="4"/>
      <c r="S1622" s="4"/>
      <c r="T1622" s="1"/>
      <c r="U1622" s="6"/>
      <c r="V1622" s="1"/>
      <c r="W1622" s="1"/>
      <c r="X1622" s="1"/>
      <c r="Y1622" s="1"/>
      <c r="Z1622" s="1"/>
      <c r="AA1622" s="1"/>
      <c r="AB1622" s="1"/>
      <c r="AC1622" s="1"/>
    </row>
    <row r="1624" spans="1:29">
      <c r="A1624" s="1"/>
      <c r="B1624" s="1"/>
      <c r="C1624" s="73"/>
      <c r="D1624" s="1"/>
      <c r="E1624" s="1"/>
      <c r="F1624" s="1"/>
      <c r="G1624" s="145"/>
      <c r="H1624" s="1"/>
      <c r="I1624" s="1"/>
      <c r="J1624" s="1"/>
      <c r="K1624" s="1"/>
      <c r="L1624" s="1"/>
      <c r="M1624" s="1"/>
      <c r="N1624" s="1"/>
      <c r="O1624" s="1"/>
      <c r="P1624" s="1"/>
      <c r="Q1624" s="3"/>
      <c r="R1624" s="4"/>
      <c r="S1624" s="4"/>
      <c r="T1624" s="1"/>
      <c r="U1624" s="6"/>
      <c r="V1624" s="1"/>
      <c r="W1624" s="1"/>
      <c r="X1624" s="1"/>
      <c r="Y1624" s="1"/>
      <c r="Z1624" s="1"/>
      <c r="AA1624" s="1"/>
      <c r="AB1624" s="1"/>
      <c r="AC1624" s="1"/>
    </row>
    <row r="1625" spans="1:29">
      <c r="A1625" s="1"/>
      <c r="B1625" s="1"/>
      <c r="C1625" s="73"/>
      <c r="D1625" s="1"/>
      <c r="E1625" s="1"/>
      <c r="F1625" s="1"/>
      <c r="G1625" s="145"/>
      <c r="H1625" s="1"/>
      <c r="I1625" s="1"/>
      <c r="J1625" s="1"/>
      <c r="K1625" s="1"/>
      <c r="L1625" s="1"/>
      <c r="M1625" s="1"/>
      <c r="N1625" s="1"/>
      <c r="O1625" s="1"/>
      <c r="P1625" s="1"/>
      <c r="Q1625" s="3"/>
      <c r="R1625" s="4"/>
      <c r="S1625" s="4"/>
      <c r="T1625" s="1"/>
      <c r="U1625" s="6"/>
      <c r="V1625" s="1"/>
      <c r="W1625" s="1"/>
      <c r="X1625" s="1"/>
      <c r="Y1625" s="1"/>
      <c r="Z1625" s="1"/>
      <c r="AA1625" s="1"/>
      <c r="AB1625" s="1"/>
      <c r="AC1625" s="1"/>
    </row>
    <row r="1626" spans="1:29">
      <c r="A1626" s="1"/>
      <c r="B1626" s="1"/>
      <c r="C1626" s="73"/>
      <c r="D1626" s="1"/>
      <c r="E1626" s="1"/>
      <c r="F1626" s="1"/>
      <c r="G1626" s="145"/>
      <c r="H1626" s="1"/>
      <c r="I1626" s="1"/>
      <c r="J1626" s="1"/>
      <c r="K1626" s="1"/>
      <c r="L1626" s="1"/>
      <c r="M1626" s="1"/>
      <c r="N1626" s="1"/>
      <c r="O1626" s="1"/>
      <c r="P1626" s="1"/>
      <c r="Q1626" s="3"/>
      <c r="R1626" s="4"/>
      <c r="S1626" s="4"/>
      <c r="T1626" s="1"/>
      <c r="U1626" s="6"/>
      <c r="V1626" s="1"/>
      <c r="W1626" s="1"/>
      <c r="X1626" s="1"/>
      <c r="Y1626" s="1"/>
      <c r="Z1626" s="1"/>
      <c r="AA1626" s="1"/>
      <c r="AB1626" s="1"/>
      <c r="AC1626" s="1"/>
    </row>
    <row r="1627" spans="1:29">
      <c r="A1627" s="1"/>
      <c r="B1627" s="1"/>
      <c r="C1627" s="73"/>
      <c r="D1627" s="1"/>
      <c r="E1627" s="1"/>
      <c r="F1627" s="1"/>
      <c r="G1627" s="145"/>
      <c r="H1627" s="1"/>
      <c r="I1627" s="1"/>
      <c r="J1627" s="1"/>
      <c r="K1627" s="1"/>
      <c r="L1627" s="1"/>
      <c r="M1627" s="1"/>
      <c r="N1627" s="1"/>
      <c r="O1627" s="1"/>
      <c r="P1627" s="1"/>
      <c r="Q1627" s="3"/>
      <c r="R1627" s="4"/>
      <c r="S1627" s="4"/>
      <c r="T1627" s="1"/>
      <c r="U1627" s="6"/>
      <c r="V1627" s="1"/>
      <c r="W1627" s="1"/>
      <c r="X1627" s="1"/>
      <c r="Y1627" s="1"/>
      <c r="Z1627" s="1"/>
      <c r="AA1627" s="1"/>
      <c r="AB1627" s="1"/>
      <c r="AC1627" s="1"/>
    </row>
    <row r="1628" spans="1:29">
      <c r="A1628" s="1"/>
      <c r="B1628" s="1"/>
      <c r="C1628" s="73"/>
      <c r="D1628" s="1"/>
      <c r="E1628" s="1"/>
      <c r="F1628" s="1"/>
      <c r="G1628" s="145"/>
      <c r="H1628" s="1"/>
      <c r="I1628" s="1"/>
      <c r="J1628" s="1"/>
      <c r="K1628" s="1"/>
      <c r="L1628" s="1"/>
      <c r="M1628" s="1"/>
      <c r="N1628" s="1"/>
      <c r="O1628" s="1"/>
      <c r="P1628" s="1"/>
      <c r="Q1628" s="3"/>
      <c r="R1628" s="4"/>
      <c r="S1628" s="4"/>
      <c r="T1628" s="1"/>
      <c r="U1628" s="6"/>
      <c r="V1628" s="1"/>
      <c r="W1628" s="1"/>
      <c r="X1628" s="1"/>
      <c r="Y1628" s="1"/>
      <c r="Z1628" s="1"/>
      <c r="AA1628" s="1"/>
      <c r="AB1628" s="1"/>
      <c r="AC1628" s="1"/>
    </row>
    <row r="1629" spans="1:29">
      <c r="A1629" s="1"/>
      <c r="B1629" s="1"/>
      <c r="C1629" s="73"/>
      <c r="D1629" s="1"/>
      <c r="E1629" s="1"/>
      <c r="F1629" s="1"/>
      <c r="G1629" s="145"/>
      <c r="H1629" s="1"/>
      <c r="I1629" s="1"/>
      <c r="J1629" s="1"/>
      <c r="K1629" s="1"/>
      <c r="L1629" s="1"/>
      <c r="M1629" s="1"/>
      <c r="N1629" s="1"/>
      <c r="O1629" s="1"/>
      <c r="P1629" s="1"/>
      <c r="Q1629" s="3"/>
      <c r="R1629" s="4"/>
      <c r="S1629" s="4"/>
      <c r="T1629" s="1"/>
      <c r="U1629" s="6"/>
      <c r="V1629" s="1"/>
      <c r="W1629" s="1"/>
      <c r="X1629" s="1"/>
      <c r="Y1629" s="1"/>
      <c r="Z1629" s="1"/>
      <c r="AA1629" s="1"/>
      <c r="AB1629" s="1"/>
      <c r="AC1629" s="1"/>
    </row>
    <row r="1630" spans="1:29">
      <c r="A1630" s="1"/>
      <c r="B1630" s="1"/>
      <c r="C1630" s="73"/>
      <c r="D1630" s="1"/>
      <c r="E1630" s="1"/>
      <c r="F1630" s="1"/>
      <c r="G1630" s="145"/>
      <c r="H1630" s="1"/>
      <c r="I1630" s="1"/>
      <c r="J1630" s="1"/>
      <c r="K1630" s="1"/>
      <c r="L1630" s="1"/>
      <c r="M1630" s="1"/>
      <c r="N1630" s="1"/>
      <c r="O1630" s="1"/>
      <c r="P1630" s="1"/>
      <c r="Q1630" s="3"/>
      <c r="R1630" s="4"/>
      <c r="S1630" s="4"/>
      <c r="T1630" s="1"/>
      <c r="U1630" s="6"/>
      <c r="V1630" s="1"/>
      <c r="W1630" s="1"/>
      <c r="X1630" s="1"/>
      <c r="Y1630" s="1"/>
      <c r="Z1630" s="1"/>
      <c r="AA1630" s="1"/>
      <c r="AB1630" s="1"/>
      <c r="AC1630" s="1"/>
    </row>
    <row r="1631" spans="1:29">
      <c r="A1631" s="1"/>
      <c r="B1631" s="1"/>
      <c r="C1631" s="73"/>
      <c r="D1631" s="1"/>
      <c r="E1631" s="1"/>
      <c r="F1631" s="1"/>
      <c r="G1631" s="145"/>
      <c r="H1631" s="1"/>
      <c r="I1631" s="1"/>
      <c r="J1631" s="1"/>
      <c r="K1631" s="1"/>
      <c r="L1631" s="1"/>
      <c r="M1631" s="1"/>
      <c r="N1631" s="1"/>
      <c r="O1631" s="1"/>
      <c r="P1631" s="1"/>
      <c r="Q1631" s="3"/>
      <c r="R1631" s="4"/>
      <c r="S1631" s="4"/>
      <c r="T1631" s="1"/>
      <c r="U1631" s="6"/>
      <c r="V1631" s="1"/>
      <c r="W1631" s="1"/>
      <c r="X1631" s="1"/>
      <c r="Y1631" s="1"/>
      <c r="Z1631" s="1"/>
      <c r="AA1631" s="1"/>
      <c r="AB1631" s="1"/>
      <c r="AC1631" s="1"/>
    </row>
    <row r="1633" spans="1:29">
      <c r="A1633" s="1"/>
      <c r="B1633" s="1"/>
      <c r="C1633" s="73"/>
      <c r="D1633" s="1"/>
      <c r="E1633" s="1"/>
      <c r="F1633" s="1"/>
      <c r="G1633" s="145"/>
      <c r="H1633" s="1"/>
      <c r="I1633" s="1"/>
      <c r="J1633" s="1"/>
      <c r="K1633" s="1"/>
      <c r="L1633" s="1"/>
      <c r="M1633" s="1"/>
      <c r="N1633" s="1"/>
      <c r="O1633" s="1"/>
      <c r="P1633" s="1"/>
      <c r="Q1633" s="3"/>
      <c r="R1633" s="4"/>
      <c r="S1633" s="4"/>
      <c r="T1633" s="1"/>
      <c r="U1633" s="6"/>
      <c r="V1633" s="1"/>
      <c r="W1633" s="1"/>
      <c r="X1633" s="1"/>
      <c r="Y1633" s="1"/>
      <c r="Z1633" s="1"/>
      <c r="AA1633" s="1"/>
      <c r="AB1633" s="1"/>
      <c r="AC1633" s="1"/>
    </row>
    <row r="1634" spans="1:29">
      <c r="A1634" s="1"/>
      <c r="B1634" s="1"/>
      <c r="C1634" s="73"/>
      <c r="D1634" s="1"/>
      <c r="E1634" s="1"/>
      <c r="F1634" s="1"/>
      <c r="G1634" s="145"/>
      <c r="H1634" s="1"/>
      <c r="I1634" s="1"/>
      <c r="J1634" s="1"/>
      <c r="K1634" s="1"/>
      <c r="L1634" s="1"/>
      <c r="M1634" s="1"/>
      <c r="N1634" s="1"/>
      <c r="O1634" s="1"/>
      <c r="P1634" s="1"/>
      <c r="Q1634" s="3"/>
      <c r="R1634" s="4"/>
      <c r="S1634" s="4"/>
      <c r="T1634" s="1"/>
      <c r="U1634" s="6"/>
      <c r="V1634" s="1"/>
      <c r="W1634" s="1"/>
      <c r="X1634" s="1"/>
      <c r="Y1634" s="1"/>
      <c r="Z1634" s="1"/>
      <c r="AA1634" s="1"/>
      <c r="AB1634" s="1"/>
      <c r="AC1634" s="1"/>
    </row>
    <row r="1635" spans="1:29">
      <c r="A1635" s="1"/>
      <c r="B1635" s="1"/>
      <c r="C1635" s="73"/>
      <c r="D1635" s="1"/>
      <c r="E1635" s="1"/>
      <c r="F1635" s="1"/>
      <c r="G1635" s="145"/>
      <c r="H1635" s="1"/>
      <c r="I1635" s="1"/>
      <c r="J1635" s="1"/>
      <c r="K1635" s="1"/>
      <c r="L1635" s="1"/>
      <c r="M1635" s="1"/>
      <c r="N1635" s="1"/>
      <c r="O1635" s="1"/>
      <c r="P1635" s="1"/>
      <c r="Q1635" s="3"/>
      <c r="R1635" s="4"/>
      <c r="S1635" s="4"/>
      <c r="T1635" s="1"/>
      <c r="U1635" s="6"/>
      <c r="V1635" s="1"/>
      <c r="W1635" s="1"/>
      <c r="X1635" s="1"/>
      <c r="Y1635" s="1"/>
      <c r="Z1635" s="1"/>
      <c r="AA1635" s="1"/>
      <c r="AB1635" s="1"/>
      <c r="AC1635" s="1"/>
    </row>
    <row r="1636" spans="1:29">
      <c r="A1636" s="1"/>
      <c r="B1636" s="1"/>
      <c r="C1636" s="73"/>
      <c r="D1636" s="1"/>
      <c r="E1636" s="1"/>
      <c r="F1636" s="1"/>
      <c r="G1636" s="145"/>
      <c r="H1636" s="1"/>
      <c r="I1636" s="1"/>
      <c r="J1636" s="1"/>
      <c r="K1636" s="1"/>
      <c r="L1636" s="1"/>
      <c r="M1636" s="1"/>
      <c r="N1636" s="1"/>
      <c r="O1636" s="1"/>
      <c r="P1636" s="1"/>
      <c r="Q1636" s="3"/>
      <c r="R1636" s="4"/>
      <c r="S1636" s="4"/>
      <c r="T1636" s="1"/>
      <c r="U1636" s="6"/>
      <c r="V1636" s="1"/>
      <c r="W1636" s="1"/>
      <c r="X1636" s="1"/>
      <c r="Y1636" s="1"/>
      <c r="Z1636" s="1"/>
      <c r="AA1636" s="1"/>
      <c r="AB1636" s="1"/>
      <c r="AC1636" s="1"/>
    </row>
    <row r="1637" spans="1:29">
      <c r="A1637" s="1"/>
      <c r="B1637" s="1"/>
      <c r="C1637" s="73"/>
      <c r="D1637" s="1"/>
      <c r="E1637" s="1"/>
      <c r="F1637" s="1"/>
      <c r="G1637" s="145"/>
      <c r="H1637" s="1"/>
      <c r="I1637" s="1"/>
      <c r="J1637" s="1"/>
      <c r="K1637" s="1"/>
      <c r="L1637" s="1"/>
      <c r="M1637" s="1"/>
      <c r="N1637" s="1"/>
      <c r="O1637" s="1"/>
      <c r="P1637" s="1"/>
      <c r="Q1637" s="3"/>
      <c r="R1637" s="4"/>
      <c r="S1637" s="4"/>
      <c r="T1637" s="1"/>
      <c r="U1637" s="6"/>
      <c r="V1637" s="1"/>
      <c r="W1637" s="1"/>
      <c r="X1637" s="1"/>
      <c r="Y1637" s="1"/>
      <c r="Z1637" s="1"/>
      <c r="AA1637" s="1"/>
      <c r="AB1637" s="1"/>
      <c r="AC1637" s="1"/>
    </row>
    <row r="1638" spans="1:29">
      <c r="A1638" s="1"/>
      <c r="B1638" s="1"/>
      <c r="C1638" s="73"/>
      <c r="D1638" s="1"/>
      <c r="E1638" s="1"/>
      <c r="F1638" s="1"/>
      <c r="G1638" s="145"/>
      <c r="H1638" s="1"/>
      <c r="I1638" s="1"/>
      <c r="J1638" s="1"/>
      <c r="K1638" s="1"/>
      <c r="L1638" s="1"/>
      <c r="M1638" s="1"/>
      <c r="N1638" s="1"/>
      <c r="O1638" s="1"/>
      <c r="P1638" s="1"/>
      <c r="Q1638" s="3"/>
      <c r="R1638" s="4"/>
      <c r="S1638" s="4"/>
      <c r="T1638" s="1"/>
      <c r="U1638" s="6"/>
      <c r="V1638" s="1"/>
      <c r="W1638" s="1"/>
      <c r="X1638" s="1"/>
      <c r="Y1638" s="1"/>
      <c r="Z1638" s="1"/>
      <c r="AA1638" s="1"/>
      <c r="AB1638" s="1"/>
      <c r="AC1638" s="1"/>
    </row>
    <row r="1639" spans="1:29">
      <c r="A1639" s="1"/>
      <c r="B1639" s="1"/>
      <c r="C1639" s="73"/>
      <c r="D1639" s="1"/>
      <c r="E1639" s="1"/>
      <c r="F1639" s="1"/>
      <c r="G1639" s="145"/>
      <c r="H1639" s="1"/>
      <c r="I1639" s="1"/>
      <c r="J1639" s="1"/>
      <c r="K1639" s="1"/>
      <c r="L1639" s="1"/>
      <c r="M1639" s="1"/>
      <c r="N1639" s="1"/>
      <c r="O1639" s="1"/>
      <c r="P1639" s="1"/>
      <c r="Q1639" s="3"/>
      <c r="R1639" s="4"/>
      <c r="S1639" s="4"/>
      <c r="T1639" s="1"/>
      <c r="U1639" s="6"/>
      <c r="V1639" s="1"/>
      <c r="W1639" s="1"/>
      <c r="X1639" s="1"/>
      <c r="Y1639" s="1"/>
      <c r="Z1639" s="1"/>
      <c r="AA1639" s="1"/>
      <c r="AB1639" s="1"/>
      <c r="AC1639" s="1"/>
    </row>
    <row r="1640" spans="1:29">
      <c r="A1640" s="1"/>
      <c r="B1640" s="1"/>
      <c r="C1640" s="73"/>
      <c r="D1640" s="1"/>
      <c r="E1640" s="1"/>
      <c r="F1640" s="1"/>
      <c r="G1640" s="145"/>
      <c r="H1640" s="1"/>
      <c r="I1640" s="1"/>
      <c r="J1640" s="1"/>
      <c r="K1640" s="1"/>
      <c r="L1640" s="1"/>
      <c r="M1640" s="1"/>
      <c r="N1640" s="1"/>
      <c r="O1640" s="1"/>
      <c r="P1640" s="1"/>
      <c r="Q1640" s="3"/>
      <c r="R1640" s="4"/>
      <c r="S1640" s="4"/>
      <c r="T1640" s="1"/>
      <c r="U1640" s="6"/>
      <c r="V1640" s="1"/>
      <c r="W1640" s="1"/>
      <c r="X1640" s="1"/>
      <c r="Y1640" s="1"/>
      <c r="Z1640" s="1"/>
      <c r="AA1640" s="1"/>
      <c r="AB1640" s="1"/>
      <c r="AC1640" s="1"/>
    </row>
    <row r="1641" spans="1:29">
      <c r="A1641" s="1"/>
      <c r="B1641" s="1"/>
      <c r="C1641" s="73"/>
      <c r="D1641" s="1"/>
      <c r="E1641" s="1"/>
      <c r="F1641" s="1"/>
      <c r="G1641" s="145"/>
      <c r="H1641" s="1"/>
      <c r="I1641" s="1"/>
      <c r="J1641" s="1"/>
      <c r="K1641" s="1"/>
      <c r="L1641" s="1"/>
      <c r="M1641" s="1"/>
      <c r="N1641" s="1"/>
      <c r="O1641" s="1"/>
      <c r="P1641" s="1"/>
      <c r="Q1641" s="3"/>
      <c r="R1641" s="4"/>
      <c r="S1641" s="4"/>
      <c r="T1641" s="1"/>
      <c r="U1641" s="6"/>
      <c r="V1641" s="1"/>
      <c r="W1641" s="1"/>
      <c r="X1641" s="1"/>
      <c r="Y1641" s="1"/>
      <c r="Z1641" s="1"/>
      <c r="AA1641" s="1"/>
      <c r="AB1641" s="1"/>
      <c r="AC1641" s="1"/>
    </row>
    <row r="1642" spans="1:29">
      <c r="A1642" s="1"/>
      <c r="B1642" s="1"/>
      <c r="C1642" s="73"/>
      <c r="D1642" s="1"/>
      <c r="E1642" s="1"/>
      <c r="F1642" s="1"/>
      <c r="G1642" s="145"/>
      <c r="H1642" s="1"/>
      <c r="I1642" s="1"/>
      <c r="J1642" s="1"/>
      <c r="K1642" s="1"/>
      <c r="L1642" s="1"/>
      <c r="M1642" s="1"/>
      <c r="N1642" s="1"/>
      <c r="O1642" s="1"/>
      <c r="P1642" s="1"/>
      <c r="Q1642" s="3"/>
      <c r="R1642" s="4"/>
      <c r="S1642" s="4"/>
      <c r="T1642" s="1"/>
      <c r="U1642" s="6"/>
      <c r="V1642" s="1"/>
      <c r="W1642" s="1"/>
      <c r="X1642" s="1"/>
      <c r="Y1642" s="1"/>
      <c r="Z1642" s="1"/>
      <c r="AA1642" s="1"/>
      <c r="AB1642" s="1"/>
      <c r="AC1642" s="1"/>
    </row>
    <row r="1643" spans="1:29">
      <c r="A1643" s="1"/>
      <c r="B1643" s="1"/>
      <c r="C1643" s="73"/>
      <c r="D1643" s="1"/>
      <c r="E1643" s="1"/>
      <c r="F1643" s="1"/>
      <c r="G1643" s="145"/>
      <c r="H1643" s="1"/>
      <c r="I1643" s="1"/>
      <c r="J1643" s="1"/>
      <c r="K1643" s="1"/>
      <c r="L1643" s="1"/>
      <c r="M1643" s="1"/>
      <c r="N1643" s="1"/>
      <c r="O1643" s="1"/>
      <c r="P1643" s="1"/>
      <c r="Q1643" s="3"/>
      <c r="R1643" s="4"/>
      <c r="S1643" s="4"/>
      <c r="T1643" s="1"/>
      <c r="U1643" s="6"/>
      <c r="V1643" s="1"/>
      <c r="W1643" s="1"/>
      <c r="X1643" s="1"/>
      <c r="Y1643" s="1"/>
      <c r="Z1643" s="1"/>
      <c r="AA1643" s="1"/>
      <c r="AB1643" s="1"/>
      <c r="AC1643" s="1"/>
    </row>
    <row r="1644" spans="1:29">
      <c r="A1644" s="1"/>
      <c r="B1644" s="1"/>
      <c r="C1644" s="73"/>
      <c r="D1644" s="1"/>
      <c r="E1644" s="1"/>
      <c r="F1644" s="1"/>
      <c r="G1644" s="145"/>
      <c r="H1644" s="1"/>
      <c r="I1644" s="1"/>
      <c r="J1644" s="1"/>
      <c r="K1644" s="1"/>
      <c r="L1644" s="1"/>
      <c r="M1644" s="1"/>
      <c r="N1644" s="1"/>
      <c r="O1644" s="1"/>
      <c r="P1644" s="1"/>
      <c r="Q1644" s="3"/>
      <c r="R1644" s="4"/>
      <c r="S1644" s="4"/>
      <c r="T1644" s="1"/>
      <c r="U1644" s="6"/>
      <c r="V1644" s="1"/>
      <c r="W1644" s="1"/>
      <c r="X1644" s="1"/>
      <c r="Y1644" s="1"/>
      <c r="Z1644" s="1"/>
      <c r="AA1644" s="1"/>
      <c r="AB1644" s="1"/>
      <c r="AC1644" s="1"/>
    </row>
    <row r="1645" spans="1:29">
      <c r="A1645" s="1"/>
      <c r="B1645" s="1"/>
      <c r="C1645" s="73"/>
      <c r="D1645" s="1"/>
      <c r="E1645" s="1"/>
      <c r="F1645" s="1"/>
      <c r="G1645" s="145"/>
      <c r="H1645" s="1"/>
      <c r="I1645" s="1"/>
      <c r="J1645" s="1"/>
      <c r="K1645" s="1"/>
      <c r="L1645" s="1"/>
      <c r="M1645" s="1"/>
      <c r="N1645" s="1"/>
      <c r="O1645" s="1"/>
      <c r="P1645" s="1"/>
      <c r="Q1645" s="3"/>
      <c r="R1645" s="4"/>
      <c r="S1645" s="4"/>
      <c r="T1645" s="1"/>
      <c r="U1645" s="6"/>
      <c r="V1645" s="1"/>
      <c r="W1645" s="1"/>
      <c r="X1645" s="1"/>
      <c r="Y1645" s="1"/>
      <c r="Z1645" s="1"/>
      <c r="AA1645" s="1"/>
      <c r="AB1645" s="1"/>
      <c r="AC1645" s="1"/>
    </row>
    <row r="1646" spans="1:29">
      <c r="A1646" s="1"/>
      <c r="B1646" s="1"/>
      <c r="C1646" s="73"/>
      <c r="D1646" s="1"/>
      <c r="E1646" s="1"/>
      <c r="F1646" s="1"/>
      <c r="G1646" s="145"/>
      <c r="H1646" s="1"/>
      <c r="I1646" s="1"/>
      <c r="J1646" s="1"/>
      <c r="K1646" s="1"/>
      <c r="L1646" s="1"/>
      <c r="M1646" s="1"/>
      <c r="N1646" s="1"/>
      <c r="O1646" s="1"/>
      <c r="P1646" s="1"/>
      <c r="Q1646" s="3"/>
      <c r="R1646" s="4"/>
      <c r="S1646" s="4"/>
      <c r="T1646" s="1"/>
      <c r="U1646" s="6"/>
      <c r="V1646" s="1"/>
      <c r="W1646" s="1"/>
      <c r="X1646" s="1"/>
      <c r="Y1646" s="1"/>
      <c r="Z1646" s="1"/>
      <c r="AA1646" s="1"/>
      <c r="AB1646" s="1"/>
      <c r="AC1646" s="1"/>
    </row>
    <row r="1647" spans="1:29">
      <c r="A1647" s="1"/>
      <c r="B1647" s="1"/>
      <c r="C1647" s="73"/>
      <c r="D1647" s="1"/>
      <c r="E1647" s="1"/>
      <c r="F1647" s="1"/>
      <c r="G1647" s="145"/>
      <c r="H1647" s="1"/>
      <c r="I1647" s="1"/>
      <c r="J1647" s="1"/>
      <c r="K1647" s="1"/>
      <c r="L1647" s="1"/>
      <c r="M1647" s="1"/>
      <c r="N1647" s="1"/>
      <c r="O1647" s="1"/>
      <c r="P1647" s="1"/>
      <c r="Q1647" s="3"/>
      <c r="R1647" s="4"/>
      <c r="S1647" s="4"/>
      <c r="T1647" s="1"/>
      <c r="U1647" s="6"/>
      <c r="V1647" s="1"/>
      <c r="W1647" s="1"/>
      <c r="X1647" s="1"/>
      <c r="Y1647" s="1"/>
      <c r="Z1647" s="1"/>
      <c r="AA1647" s="1"/>
      <c r="AB1647" s="1"/>
      <c r="AC1647" s="1"/>
    </row>
    <row r="1648" spans="1:29">
      <c r="A1648" s="1"/>
      <c r="B1648" s="1"/>
      <c r="C1648" s="73"/>
      <c r="D1648" s="1"/>
      <c r="E1648" s="1"/>
      <c r="F1648" s="1"/>
      <c r="G1648" s="145"/>
      <c r="H1648" s="1"/>
      <c r="I1648" s="1"/>
      <c r="J1648" s="1"/>
      <c r="K1648" s="1"/>
      <c r="L1648" s="1"/>
      <c r="M1648" s="1"/>
      <c r="N1648" s="1"/>
      <c r="O1648" s="1"/>
      <c r="P1648" s="1"/>
      <c r="Q1648" s="3"/>
      <c r="R1648" s="4"/>
      <c r="S1648" s="4"/>
      <c r="T1648" s="1"/>
      <c r="U1648" s="6"/>
      <c r="V1648" s="1"/>
      <c r="W1648" s="1"/>
      <c r="X1648" s="1"/>
      <c r="Y1648" s="1"/>
      <c r="Z1648" s="1"/>
      <c r="AA1648" s="1"/>
      <c r="AB1648" s="1"/>
      <c r="AC1648" s="1"/>
    </row>
    <row r="1649" spans="1:29">
      <c r="A1649" s="1"/>
      <c r="B1649" s="1"/>
      <c r="C1649" s="73"/>
      <c r="D1649" s="1"/>
      <c r="E1649" s="1"/>
      <c r="F1649" s="1"/>
      <c r="G1649" s="145"/>
      <c r="H1649" s="1"/>
      <c r="I1649" s="1"/>
      <c r="J1649" s="1"/>
      <c r="K1649" s="1"/>
      <c r="L1649" s="1"/>
      <c r="M1649" s="1"/>
      <c r="N1649" s="1"/>
      <c r="O1649" s="1"/>
      <c r="P1649" s="1"/>
      <c r="Q1649" s="3"/>
      <c r="R1649" s="4"/>
      <c r="S1649" s="4"/>
      <c r="T1649" s="1"/>
      <c r="U1649" s="6"/>
      <c r="V1649" s="1"/>
      <c r="W1649" s="1"/>
      <c r="X1649" s="1"/>
      <c r="Y1649" s="1"/>
      <c r="Z1649" s="1"/>
      <c r="AA1649" s="1"/>
      <c r="AB1649" s="1"/>
      <c r="AC1649" s="1"/>
    </row>
    <row r="1650" spans="1:29">
      <c r="A1650" s="1"/>
      <c r="B1650" s="1"/>
      <c r="C1650" s="73"/>
      <c r="D1650" s="1"/>
      <c r="E1650" s="1"/>
      <c r="F1650" s="1"/>
      <c r="G1650" s="145"/>
      <c r="H1650" s="1"/>
      <c r="I1650" s="1"/>
      <c r="J1650" s="1"/>
      <c r="K1650" s="1"/>
      <c r="L1650" s="1"/>
      <c r="M1650" s="1"/>
      <c r="N1650" s="1"/>
      <c r="O1650" s="1"/>
      <c r="P1650" s="1"/>
      <c r="Q1650" s="3"/>
      <c r="R1650" s="4"/>
      <c r="S1650" s="4"/>
      <c r="T1650" s="1"/>
      <c r="U1650" s="6"/>
      <c r="V1650" s="1"/>
      <c r="W1650" s="1"/>
      <c r="X1650" s="1"/>
      <c r="Y1650" s="1"/>
      <c r="Z1650" s="1"/>
      <c r="AA1650" s="1"/>
      <c r="AB1650" s="1"/>
      <c r="AC1650" s="1"/>
    </row>
    <row r="1651" spans="1:29">
      <c r="A1651" s="1"/>
      <c r="B1651" s="1"/>
      <c r="C1651" s="73"/>
      <c r="D1651" s="1"/>
      <c r="E1651" s="1"/>
      <c r="F1651" s="1"/>
      <c r="G1651" s="145"/>
      <c r="H1651" s="1"/>
      <c r="I1651" s="1"/>
      <c r="J1651" s="1"/>
      <c r="K1651" s="1"/>
      <c r="L1651" s="1"/>
      <c r="M1651" s="1"/>
      <c r="N1651" s="1"/>
      <c r="O1651" s="1"/>
      <c r="P1651" s="1"/>
      <c r="Q1651" s="3"/>
      <c r="R1651" s="4"/>
      <c r="S1651" s="4"/>
      <c r="T1651" s="1"/>
      <c r="U1651" s="6"/>
      <c r="V1651" s="1"/>
      <c r="W1651" s="1"/>
      <c r="X1651" s="1"/>
      <c r="Y1651" s="1"/>
      <c r="Z1651" s="1"/>
      <c r="AA1651" s="1"/>
      <c r="AB1651" s="1"/>
      <c r="AC1651" s="1"/>
    </row>
    <row r="1652" spans="1:29">
      <c r="A1652" s="1"/>
      <c r="B1652" s="1"/>
      <c r="C1652" s="73"/>
      <c r="D1652" s="1"/>
      <c r="E1652" s="1"/>
      <c r="F1652" s="1"/>
      <c r="G1652" s="145"/>
      <c r="H1652" s="1"/>
      <c r="I1652" s="1"/>
      <c r="J1652" s="1"/>
      <c r="K1652" s="1"/>
      <c r="L1652" s="1"/>
      <c r="M1652" s="1"/>
      <c r="N1652" s="1"/>
      <c r="O1652" s="1"/>
      <c r="P1652" s="1"/>
      <c r="Q1652" s="3"/>
      <c r="R1652" s="4"/>
      <c r="S1652" s="4"/>
      <c r="T1652" s="1"/>
      <c r="U1652" s="6"/>
      <c r="V1652" s="1"/>
      <c r="W1652" s="1"/>
      <c r="X1652" s="1"/>
      <c r="Y1652" s="1"/>
      <c r="Z1652" s="1"/>
      <c r="AA1652" s="1"/>
      <c r="AB1652" s="1"/>
      <c r="AC1652" s="1"/>
    </row>
    <row r="1653" spans="1:29">
      <c r="A1653" s="1"/>
      <c r="B1653" s="1"/>
      <c r="C1653" s="73"/>
      <c r="D1653" s="1"/>
      <c r="E1653" s="1"/>
      <c r="F1653" s="1"/>
      <c r="G1653" s="145"/>
      <c r="H1653" s="1"/>
      <c r="I1653" s="1"/>
      <c r="J1653" s="1"/>
      <c r="K1653" s="1"/>
      <c r="L1653" s="1"/>
      <c r="M1653" s="1"/>
      <c r="N1653" s="1"/>
      <c r="O1653" s="1"/>
      <c r="P1653" s="1"/>
      <c r="Q1653" s="3"/>
      <c r="R1653" s="4"/>
      <c r="S1653" s="4"/>
      <c r="T1653" s="1"/>
      <c r="U1653" s="6"/>
      <c r="V1653" s="1"/>
      <c r="W1653" s="1"/>
      <c r="X1653" s="1"/>
      <c r="Y1653" s="1"/>
      <c r="Z1653" s="1"/>
      <c r="AA1653" s="1"/>
      <c r="AB1653" s="1"/>
      <c r="AC1653" s="1"/>
    </row>
    <row r="1654" spans="1:29">
      <c r="A1654" s="1"/>
      <c r="B1654" s="1"/>
      <c r="C1654" s="73"/>
      <c r="D1654" s="1"/>
      <c r="E1654" s="1"/>
      <c r="F1654" s="1"/>
      <c r="G1654" s="145"/>
      <c r="H1654" s="1"/>
      <c r="I1654" s="1"/>
      <c r="J1654" s="1"/>
      <c r="K1654" s="1"/>
      <c r="L1654" s="1"/>
      <c r="M1654" s="1"/>
      <c r="N1654" s="1"/>
      <c r="O1654" s="1"/>
      <c r="P1654" s="1"/>
      <c r="Q1654" s="3"/>
      <c r="R1654" s="4"/>
      <c r="S1654" s="4"/>
      <c r="T1654" s="1"/>
      <c r="U1654" s="6"/>
      <c r="V1654" s="1"/>
      <c r="W1654" s="1"/>
      <c r="X1654" s="1"/>
      <c r="Y1654" s="1"/>
      <c r="Z1654" s="1"/>
      <c r="AA1654" s="1"/>
      <c r="AB1654" s="1"/>
      <c r="AC1654" s="1"/>
    </row>
    <row r="1655" spans="1:29">
      <c r="A1655" s="1"/>
      <c r="B1655" s="1"/>
      <c r="C1655" s="73"/>
      <c r="D1655" s="1"/>
      <c r="E1655" s="1"/>
      <c r="F1655" s="1"/>
      <c r="G1655" s="145"/>
      <c r="H1655" s="1"/>
      <c r="I1655" s="1"/>
      <c r="J1655" s="1"/>
      <c r="K1655" s="1"/>
      <c r="L1655" s="1"/>
      <c r="M1655" s="1"/>
      <c r="N1655" s="1"/>
      <c r="O1655" s="1"/>
      <c r="P1655" s="1"/>
      <c r="Q1655" s="3"/>
      <c r="R1655" s="4"/>
      <c r="S1655" s="4"/>
      <c r="T1655" s="1"/>
      <c r="U1655" s="6"/>
      <c r="V1655" s="1"/>
      <c r="W1655" s="1"/>
      <c r="X1655" s="1"/>
      <c r="Y1655" s="1"/>
      <c r="Z1655" s="1"/>
      <c r="AA1655" s="1"/>
      <c r="AB1655" s="1"/>
      <c r="AC1655" s="1"/>
    </row>
    <row r="1656" spans="1:29">
      <c r="A1656" s="1"/>
      <c r="B1656" s="1"/>
      <c r="C1656" s="73"/>
      <c r="D1656" s="1"/>
      <c r="E1656" s="1"/>
      <c r="F1656" s="1"/>
      <c r="G1656" s="145"/>
      <c r="H1656" s="1"/>
      <c r="I1656" s="1"/>
      <c r="J1656" s="1"/>
      <c r="K1656" s="1"/>
      <c r="L1656" s="1"/>
      <c r="M1656" s="1"/>
      <c r="N1656" s="1"/>
      <c r="O1656" s="1"/>
      <c r="P1656" s="1"/>
      <c r="Q1656" s="3"/>
      <c r="R1656" s="4"/>
      <c r="S1656" s="4"/>
      <c r="T1656" s="1"/>
      <c r="U1656" s="6"/>
      <c r="V1656" s="1"/>
      <c r="W1656" s="1"/>
      <c r="X1656" s="1"/>
      <c r="Y1656" s="1"/>
      <c r="Z1656" s="1"/>
      <c r="AA1656" s="1"/>
      <c r="AB1656" s="1"/>
      <c r="AC1656" s="1"/>
    </row>
    <row r="1657" spans="1:29">
      <c r="A1657" s="1"/>
      <c r="B1657" s="1"/>
      <c r="C1657" s="73"/>
      <c r="D1657" s="1"/>
      <c r="E1657" s="1"/>
      <c r="F1657" s="1"/>
      <c r="G1657" s="145"/>
      <c r="H1657" s="1"/>
      <c r="I1657" s="1"/>
      <c r="J1657" s="1"/>
      <c r="K1657" s="1"/>
      <c r="L1657" s="1"/>
      <c r="M1657" s="1"/>
      <c r="N1657" s="1"/>
      <c r="O1657" s="1"/>
      <c r="P1657" s="1"/>
      <c r="Q1657" s="3"/>
      <c r="R1657" s="4"/>
      <c r="S1657" s="4"/>
      <c r="T1657" s="1"/>
      <c r="U1657" s="6"/>
      <c r="V1657" s="1"/>
      <c r="W1657" s="1"/>
      <c r="X1657" s="1"/>
      <c r="Y1657" s="1"/>
      <c r="Z1657" s="1"/>
      <c r="AA1657" s="1"/>
      <c r="AB1657" s="1"/>
      <c r="AC1657" s="1"/>
    </row>
    <row r="1658" spans="1:29">
      <c r="A1658" s="1"/>
      <c r="B1658" s="1"/>
      <c r="C1658" s="73"/>
      <c r="D1658" s="1"/>
      <c r="E1658" s="1"/>
      <c r="F1658" s="1"/>
      <c r="G1658" s="145"/>
      <c r="H1658" s="1"/>
      <c r="I1658" s="1"/>
      <c r="J1658" s="1"/>
      <c r="K1658" s="1"/>
      <c r="L1658" s="1"/>
      <c r="M1658" s="1"/>
      <c r="N1658" s="1"/>
      <c r="O1658" s="1"/>
      <c r="P1658" s="1"/>
      <c r="Q1658" s="3"/>
      <c r="R1658" s="4"/>
      <c r="S1658" s="4"/>
      <c r="T1658" s="1"/>
      <c r="U1658" s="6"/>
      <c r="V1658" s="1"/>
      <c r="W1658" s="1"/>
      <c r="X1658" s="1"/>
      <c r="Y1658" s="1"/>
      <c r="Z1658" s="1"/>
      <c r="AA1658" s="1"/>
      <c r="AB1658" s="1"/>
      <c r="AC1658" s="1"/>
    </row>
    <row r="1659" spans="1:29">
      <c r="A1659" s="1"/>
      <c r="B1659" s="1"/>
      <c r="C1659" s="73"/>
      <c r="D1659" s="1"/>
      <c r="E1659" s="1"/>
      <c r="F1659" s="1"/>
      <c r="G1659" s="145"/>
      <c r="H1659" s="1"/>
      <c r="I1659" s="1"/>
      <c r="J1659" s="1"/>
      <c r="K1659" s="1"/>
      <c r="L1659" s="1"/>
      <c r="M1659" s="1"/>
      <c r="N1659" s="1"/>
      <c r="O1659" s="1"/>
      <c r="P1659" s="1"/>
      <c r="Q1659" s="3"/>
      <c r="R1659" s="4"/>
      <c r="S1659" s="4"/>
      <c r="T1659" s="1"/>
      <c r="U1659" s="6"/>
      <c r="V1659" s="1"/>
      <c r="W1659" s="1"/>
      <c r="X1659" s="1"/>
      <c r="Y1659" s="1"/>
      <c r="Z1659" s="1"/>
      <c r="AA1659" s="1"/>
      <c r="AB1659" s="1"/>
      <c r="AC1659" s="1"/>
    </row>
    <row r="1660" spans="1:29">
      <c r="A1660" s="1"/>
      <c r="B1660" s="1"/>
      <c r="C1660" s="73"/>
      <c r="D1660" s="1"/>
      <c r="E1660" s="1"/>
      <c r="F1660" s="1"/>
      <c r="G1660" s="145"/>
      <c r="H1660" s="1"/>
      <c r="I1660" s="1"/>
      <c r="J1660" s="1"/>
      <c r="K1660" s="1"/>
      <c r="L1660" s="1"/>
      <c r="M1660" s="1"/>
      <c r="N1660" s="1"/>
      <c r="O1660" s="1"/>
      <c r="P1660" s="1"/>
      <c r="Q1660" s="3"/>
      <c r="R1660" s="4"/>
      <c r="S1660" s="4"/>
      <c r="T1660" s="1"/>
      <c r="U1660" s="6"/>
      <c r="V1660" s="1"/>
      <c r="W1660" s="1"/>
      <c r="X1660" s="1"/>
      <c r="Y1660" s="1"/>
      <c r="Z1660" s="1"/>
      <c r="AA1660" s="1"/>
      <c r="AB1660" s="1"/>
      <c r="AC1660" s="1"/>
    </row>
    <row r="1661" spans="1:29">
      <c r="A1661" s="1"/>
      <c r="B1661" s="1"/>
      <c r="C1661" s="73"/>
      <c r="D1661" s="1"/>
      <c r="E1661" s="1"/>
      <c r="F1661" s="1"/>
      <c r="G1661" s="145"/>
      <c r="H1661" s="1"/>
      <c r="I1661" s="1"/>
      <c r="J1661" s="1"/>
      <c r="K1661" s="1"/>
      <c r="L1661" s="1"/>
      <c r="M1661" s="1"/>
      <c r="N1661" s="1"/>
      <c r="O1661" s="1"/>
      <c r="P1661" s="1"/>
      <c r="Q1661" s="3"/>
      <c r="R1661" s="4"/>
      <c r="S1661" s="4"/>
      <c r="T1661" s="1"/>
      <c r="U1661" s="6"/>
      <c r="V1661" s="1"/>
      <c r="W1661" s="1"/>
      <c r="X1661" s="1"/>
      <c r="Y1661" s="1"/>
      <c r="Z1661" s="1"/>
      <c r="AA1661" s="1"/>
      <c r="AB1661" s="1"/>
      <c r="AC1661" s="1"/>
    </row>
    <row r="1662" spans="1:29">
      <c r="A1662" s="1"/>
      <c r="B1662" s="1"/>
      <c r="C1662" s="73"/>
      <c r="D1662" s="1"/>
      <c r="E1662" s="1"/>
      <c r="F1662" s="1"/>
      <c r="G1662" s="145"/>
      <c r="H1662" s="1"/>
      <c r="I1662" s="1"/>
      <c r="J1662" s="1"/>
      <c r="K1662" s="1"/>
      <c r="L1662" s="1"/>
      <c r="M1662" s="1"/>
      <c r="N1662" s="1"/>
      <c r="O1662" s="1"/>
      <c r="P1662" s="1"/>
      <c r="Q1662" s="3"/>
      <c r="R1662" s="4"/>
      <c r="S1662" s="4"/>
      <c r="T1662" s="1"/>
      <c r="U1662" s="6"/>
      <c r="V1662" s="1"/>
      <c r="W1662" s="1"/>
      <c r="X1662" s="1"/>
      <c r="Y1662" s="1"/>
      <c r="Z1662" s="1"/>
      <c r="AA1662" s="1"/>
      <c r="AB1662" s="1"/>
      <c r="AC1662" s="1"/>
    </row>
    <row r="1663" spans="1:29">
      <c r="A1663" s="1"/>
      <c r="B1663" s="1"/>
      <c r="C1663" s="73"/>
      <c r="D1663" s="1"/>
      <c r="E1663" s="1"/>
      <c r="F1663" s="1"/>
      <c r="G1663" s="145"/>
      <c r="H1663" s="1"/>
      <c r="I1663" s="1"/>
      <c r="J1663" s="1"/>
      <c r="K1663" s="1"/>
      <c r="L1663" s="1"/>
      <c r="M1663" s="1"/>
      <c r="N1663" s="1"/>
      <c r="O1663" s="1"/>
      <c r="P1663" s="1"/>
      <c r="Q1663" s="3"/>
      <c r="R1663" s="4"/>
      <c r="S1663" s="4"/>
      <c r="T1663" s="1"/>
      <c r="U1663" s="6"/>
      <c r="V1663" s="1"/>
      <c r="W1663" s="1"/>
      <c r="X1663" s="1"/>
      <c r="Y1663" s="1"/>
      <c r="Z1663" s="1"/>
      <c r="AA1663" s="1"/>
      <c r="AB1663" s="1"/>
      <c r="AC1663" s="1"/>
    </row>
    <row r="1664" spans="1:29">
      <c r="A1664" s="1"/>
      <c r="B1664" s="1"/>
      <c r="C1664" s="73"/>
      <c r="D1664" s="1"/>
      <c r="E1664" s="1"/>
      <c r="F1664" s="1"/>
      <c r="G1664" s="145"/>
      <c r="H1664" s="1"/>
      <c r="I1664" s="1"/>
      <c r="J1664" s="1"/>
      <c r="K1664" s="1"/>
      <c r="L1664" s="1"/>
      <c r="M1664" s="1"/>
      <c r="N1664" s="1"/>
      <c r="O1664" s="1"/>
      <c r="P1664" s="1"/>
      <c r="Q1664" s="3"/>
      <c r="R1664" s="4"/>
      <c r="S1664" s="4"/>
      <c r="T1664" s="1"/>
      <c r="U1664" s="6"/>
      <c r="V1664" s="1"/>
      <c r="W1664" s="1"/>
      <c r="X1664" s="1"/>
      <c r="Y1664" s="1"/>
      <c r="Z1664" s="1"/>
      <c r="AA1664" s="1"/>
      <c r="AB1664" s="1"/>
      <c r="AC1664" s="1"/>
    </row>
    <row r="1665" spans="1:29">
      <c r="A1665" s="1"/>
      <c r="B1665" s="1"/>
      <c r="C1665" s="73"/>
      <c r="D1665" s="1"/>
      <c r="E1665" s="1"/>
      <c r="F1665" s="1"/>
      <c r="G1665" s="145"/>
      <c r="H1665" s="1"/>
      <c r="I1665" s="1"/>
      <c r="J1665" s="1"/>
      <c r="K1665" s="1"/>
      <c r="L1665" s="1"/>
      <c r="M1665" s="1"/>
      <c r="N1665" s="1"/>
      <c r="O1665" s="1"/>
      <c r="P1665" s="1"/>
      <c r="Q1665" s="3"/>
      <c r="R1665" s="4"/>
      <c r="S1665" s="4"/>
      <c r="T1665" s="1"/>
      <c r="U1665" s="6"/>
      <c r="V1665" s="1"/>
      <c r="W1665" s="1"/>
      <c r="X1665" s="1"/>
      <c r="Y1665" s="1"/>
      <c r="Z1665" s="1"/>
      <c r="AA1665" s="1"/>
      <c r="AB1665" s="1"/>
      <c r="AC1665" s="1"/>
    </row>
    <row r="1666" spans="1:29">
      <c r="A1666" s="1"/>
      <c r="B1666" s="1"/>
      <c r="C1666" s="73"/>
      <c r="D1666" s="1"/>
      <c r="E1666" s="1"/>
      <c r="F1666" s="1"/>
      <c r="G1666" s="145"/>
      <c r="H1666" s="1"/>
      <c r="I1666" s="1"/>
      <c r="J1666" s="1"/>
      <c r="K1666" s="1"/>
      <c r="L1666" s="1"/>
      <c r="M1666" s="1"/>
      <c r="N1666" s="1"/>
      <c r="O1666" s="1"/>
      <c r="P1666" s="1"/>
      <c r="Q1666" s="3"/>
      <c r="R1666" s="4"/>
      <c r="S1666" s="4"/>
      <c r="T1666" s="1"/>
      <c r="U1666" s="6"/>
      <c r="V1666" s="1"/>
      <c r="W1666" s="1"/>
      <c r="X1666" s="1"/>
      <c r="Y1666" s="1"/>
      <c r="Z1666" s="1"/>
      <c r="AA1666" s="1"/>
      <c r="AB1666" s="1"/>
      <c r="AC1666" s="1"/>
    </row>
    <row r="1667" spans="1:29">
      <c r="A1667" s="1"/>
      <c r="B1667" s="1"/>
      <c r="C1667" s="73"/>
      <c r="D1667" s="1"/>
      <c r="E1667" s="1"/>
      <c r="F1667" s="1"/>
      <c r="G1667" s="145"/>
      <c r="H1667" s="1"/>
      <c r="I1667" s="1"/>
      <c r="J1667" s="1"/>
      <c r="K1667" s="1"/>
      <c r="L1667" s="1"/>
      <c r="M1667" s="1"/>
      <c r="N1667" s="1"/>
      <c r="O1667" s="1"/>
      <c r="P1667" s="1"/>
      <c r="Q1667" s="3"/>
      <c r="R1667" s="4"/>
      <c r="S1667" s="4"/>
      <c r="T1667" s="1"/>
      <c r="U1667" s="6"/>
      <c r="V1667" s="1"/>
      <c r="W1667" s="1"/>
      <c r="X1667" s="1"/>
      <c r="Y1667" s="1"/>
      <c r="Z1667" s="1"/>
      <c r="AA1667" s="1"/>
      <c r="AB1667" s="1"/>
      <c r="AC1667" s="1"/>
    </row>
    <row r="1668" spans="1:29">
      <c r="A1668" s="1"/>
      <c r="B1668" s="1"/>
      <c r="C1668" s="73"/>
      <c r="D1668" s="1"/>
      <c r="E1668" s="1"/>
      <c r="F1668" s="1"/>
      <c r="G1668" s="145"/>
      <c r="H1668" s="1"/>
      <c r="I1668" s="1"/>
      <c r="J1668" s="1"/>
      <c r="K1668" s="1"/>
      <c r="L1668" s="1"/>
      <c r="M1668" s="1"/>
      <c r="N1668" s="1"/>
      <c r="O1668" s="1"/>
      <c r="P1668" s="1"/>
      <c r="Q1668" s="3"/>
      <c r="R1668" s="4"/>
      <c r="S1668" s="4"/>
      <c r="T1668" s="1"/>
      <c r="U1668" s="6"/>
      <c r="V1668" s="1"/>
      <c r="W1668" s="1"/>
      <c r="X1668" s="1"/>
      <c r="Y1668" s="1"/>
      <c r="Z1668" s="1"/>
      <c r="AA1668" s="1"/>
      <c r="AB1668" s="1"/>
      <c r="AC1668" s="1"/>
    </row>
    <row r="1669" spans="1:29">
      <c r="A1669" s="1"/>
      <c r="B1669" s="1"/>
      <c r="C1669" s="73"/>
      <c r="D1669" s="1"/>
      <c r="E1669" s="1"/>
      <c r="F1669" s="1"/>
      <c r="G1669" s="145"/>
      <c r="H1669" s="1"/>
      <c r="I1669" s="1"/>
      <c r="J1669" s="1"/>
      <c r="K1669" s="1"/>
      <c r="L1669" s="1"/>
      <c r="M1669" s="1"/>
      <c r="N1669" s="1"/>
      <c r="O1669" s="1"/>
      <c r="P1669" s="1"/>
      <c r="Q1669" s="3"/>
      <c r="R1669" s="4"/>
      <c r="S1669" s="4"/>
      <c r="T1669" s="1"/>
      <c r="U1669" s="6"/>
      <c r="V1669" s="1"/>
      <c r="W1669" s="1"/>
      <c r="X1669" s="1"/>
      <c r="Y1669" s="1"/>
      <c r="Z1669" s="1"/>
      <c r="AA1669" s="1"/>
      <c r="AB1669" s="1"/>
      <c r="AC1669" s="1"/>
    </row>
    <row r="1670" spans="1:29">
      <c r="A1670" s="1"/>
      <c r="B1670" s="1"/>
      <c r="C1670" s="73"/>
      <c r="D1670" s="1"/>
      <c r="E1670" s="1"/>
      <c r="F1670" s="1"/>
      <c r="G1670" s="145"/>
      <c r="H1670" s="1"/>
      <c r="I1670" s="1"/>
      <c r="J1670" s="1"/>
      <c r="K1670" s="1"/>
      <c r="L1670" s="1"/>
      <c r="M1670" s="1"/>
      <c r="N1670" s="1"/>
      <c r="O1670" s="1"/>
      <c r="P1670" s="1"/>
      <c r="Q1670" s="3"/>
      <c r="R1670" s="4"/>
      <c r="S1670" s="4"/>
      <c r="T1670" s="1"/>
      <c r="U1670" s="6"/>
      <c r="V1670" s="1"/>
      <c r="W1670" s="1"/>
      <c r="X1670" s="1"/>
      <c r="Y1670" s="1"/>
      <c r="Z1670" s="1"/>
      <c r="AA1670" s="1"/>
      <c r="AB1670" s="1"/>
      <c r="AC1670" s="1"/>
    </row>
    <row r="1671" spans="1:29">
      <c r="A1671" s="1"/>
      <c r="B1671" s="1"/>
      <c r="C1671" s="73"/>
      <c r="D1671" s="1"/>
      <c r="E1671" s="1"/>
      <c r="F1671" s="1"/>
      <c r="G1671" s="145"/>
      <c r="H1671" s="1"/>
      <c r="I1671" s="1"/>
      <c r="J1671" s="1"/>
      <c r="K1671" s="1"/>
      <c r="L1671" s="1"/>
      <c r="M1671" s="1"/>
      <c r="N1671" s="1"/>
      <c r="O1671" s="1"/>
      <c r="P1671" s="1"/>
      <c r="Q1671" s="3"/>
      <c r="R1671" s="4"/>
      <c r="S1671" s="4"/>
      <c r="T1671" s="1"/>
      <c r="U1671" s="6"/>
      <c r="V1671" s="1"/>
      <c r="W1671" s="1"/>
      <c r="X1671" s="1"/>
      <c r="Y1671" s="1"/>
      <c r="Z1671" s="1"/>
      <c r="AA1671" s="1"/>
      <c r="AB1671" s="1"/>
      <c r="AC1671" s="1"/>
    </row>
    <row r="1672" spans="1:29">
      <c r="A1672" s="1"/>
      <c r="B1672" s="1"/>
      <c r="C1672" s="73"/>
      <c r="D1672" s="1"/>
      <c r="E1672" s="1"/>
      <c r="F1672" s="1"/>
      <c r="G1672" s="145"/>
      <c r="H1672" s="1"/>
      <c r="I1672" s="1"/>
      <c r="J1672" s="1"/>
      <c r="K1672" s="1"/>
      <c r="L1672" s="1"/>
      <c r="M1672" s="1"/>
      <c r="N1672" s="1"/>
      <c r="O1672" s="1"/>
      <c r="P1672" s="1"/>
      <c r="Q1672" s="3"/>
      <c r="R1672" s="4"/>
      <c r="S1672" s="4"/>
      <c r="T1672" s="1"/>
      <c r="U1672" s="6"/>
      <c r="V1672" s="1"/>
      <c r="W1672" s="1"/>
      <c r="X1672" s="1"/>
      <c r="Y1672" s="1"/>
      <c r="Z1672" s="1"/>
      <c r="AA1672" s="1"/>
      <c r="AB1672" s="1"/>
      <c r="AC1672" s="1"/>
    </row>
    <row r="1673" spans="1:29">
      <c r="A1673" s="1"/>
      <c r="B1673" s="1"/>
      <c r="C1673" s="73"/>
      <c r="D1673" s="1"/>
      <c r="E1673" s="1"/>
      <c r="F1673" s="1"/>
      <c r="G1673" s="145"/>
      <c r="H1673" s="1"/>
      <c r="I1673" s="1"/>
      <c r="J1673" s="1"/>
      <c r="K1673" s="1"/>
      <c r="L1673" s="1"/>
      <c r="M1673" s="1"/>
      <c r="N1673" s="1"/>
      <c r="O1673" s="1"/>
      <c r="P1673" s="1"/>
      <c r="Q1673" s="3"/>
      <c r="R1673" s="4"/>
      <c r="S1673" s="4"/>
      <c r="T1673" s="1"/>
      <c r="U1673" s="6"/>
      <c r="V1673" s="1"/>
      <c r="W1673" s="1"/>
      <c r="X1673" s="1"/>
      <c r="Y1673" s="1"/>
      <c r="Z1673" s="1"/>
      <c r="AA1673" s="1"/>
      <c r="AB1673" s="1"/>
      <c r="AC1673" s="1"/>
    </row>
    <row r="1674" spans="1:29">
      <c r="A1674" s="1"/>
      <c r="B1674" s="1"/>
      <c r="C1674" s="73"/>
      <c r="D1674" s="1"/>
      <c r="E1674" s="1"/>
      <c r="F1674" s="1"/>
      <c r="G1674" s="145"/>
      <c r="H1674" s="1"/>
      <c r="I1674" s="1"/>
      <c r="J1674" s="1"/>
      <c r="K1674" s="1"/>
      <c r="L1674" s="1"/>
      <c r="M1674" s="1"/>
      <c r="N1674" s="1"/>
      <c r="O1674" s="1"/>
      <c r="P1674" s="1"/>
      <c r="Q1674" s="3"/>
      <c r="R1674" s="4"/>
      <c r="S1674" s="4"/>
      <c r="T1674" s="1"/>
      <c r="U1674" s="6"/>
      <c r="V1674" s="1"/>
      <c r="W1674" s="1"/>
      <c r="X1674" s="1"/>
      <c r="Y1674" s="1"/>
      <c r="Z1674" s="1"/>
      <c r="AA1674" s="1"/>
      <c r="AB1674" s="1"/>
      <c r="AC1674" s="1"/>
    </row>
    <row r="1675" spans="1:29">
      <c r="A1675" s="1"/>
      <c r="B1675" s="1"/>
      <c r="C1675" s="73"/>
      <c r="D1675" s="1"/>
      <c r="E1675" s="1"/>
      <c r="F1675" s="1"/>
      <c r="G1675" s="145"/>
      <c r="H1675" s="1"/>
      <c r="I1675" s="1"/>
      <c r="J1675" s="1"/>
      <c r="K1675" s="1"/>
      <c r="L1675" s="1"/>
      <c r="M1675" s="1"/>
      <c r="N1675" s="1"/>
      <c r="O1675" s="1"/>
      <c r="P1675" s="1"/>
      <c r="Q1675" s="3"/>
      <c r="R1675" s="4"/>
      <c r="S1675" s="4"/>
      <c r="T1675" s="1"/>
      <c r="U1675" s="6"/>
      <c r="V1675" s="1"/>
      <c r="W1675" s="1"/>
      <c r="X1675" s="1"/>
      <c r="Y1675" s="1"/>
      <c r="Z1675" s="1"/>
      <c r="AA1675" s="1"/>
      <c r="AB1675" s="1"/>
      <c r="AC1675" s="1"/>
    </row>
    <row r="1676" spans="1:29">
      <c r="A1676" s="1"/>
      <c r="B1676" s="1"/>
      <c r="C1676" s="73"/>
      <c r="D1676" s="1"/>
      <c r="E1676" s="1"/>
      <c r="F1676" s="1"/>
      <c r="G1676" s="145"/>
      <c r="H1676" s="1"/>
      <c r="I1676" s="1"/>
      <c r="J1676" s="1"/>
      <c r="K1676" s="1"/>
      <c r="L1676" s="1"/>
      <c r="M1676" s="1"/>
      <c r="N1676" s="1"/>
      <c r="O1676" s="1"/>
      <c r="P1676" s="1"/>
      <c r="Q1676" s="3"/>
      <c r="R1676" s="4"/>
      <c r="S1676" s="4"/>
      <c r="T1676" s="1"/>
      <c r="U1676" s="6"/>
      <c r="V1676" s="1"/>
      <c r="W1676" s="1"/>
      <c r="X1676" s="1"/>
      <c r="Y1676" s="1"/>
      <c r="Z1676" s="1"/>
      <c r="AA1676" s="1"/>
      <c r="AB1676" s="1"/>
      <c r="AC1676" s="1"/>
    </row>
    <row r="1677" spans="1:29">
      <c r="A1677" s="1"/>
      <c r="B1677" s="1"/>
      <c r="C1677" s="73"/>
      <c r="D1677" s="1"/>
      <c r="E1677" s="1"/>
      <c r="F1677" s="1"/>
      <c r="G1677" s="145"/>
      <c r="H1677" s="1"/>
      <c r="I1677" s="1"/>
      <c r="J1677" s="1"/>
      <c r="K1677" s="1"/>
      <c r="L1677" s="1"/>
      <c r="M1677" s="1"/>
      <c r="N1677" s="1"/>
      <c r="O1677" s="1"/>
      <c r="P1677" s="1"/>
      <c r="Q1677" s="3"/>
      <c r="R1677" s="4"/>
      <c r="S1677" s="4"/>
      <c r="T1677" s="1"/>
      <c r="U1677" s="6"/>
      <c r="V1677" s="1"/>
      <c r="W1677" s="1"/>
      <c r="X1677" s="1"/>
      <c r="Y1677" s="1"/>
      <c r="Z1677" s="1"/>
      <c r="AA1677" s="1"/>
      <c r="AB1677" s="1"/>
      <c r="AC1677" s="1"/>
    </row>
    <row r="1678" spans="1:29">
      <c r="A1678" s="1"/>
      <c r="B1678" s="1"/>
      <c r="C1678" s="73"/>
      <c r="D1678" s="1"/>
      <c r="E1678" s="1"/>
      <c r="F1678" s="1"/>
      <c r="G1678" s="145"/>
      <c r="H1678" s="1"/>
      <c r="I1678" s="1"/>
      <c r="J1678" s="1"/>
      <c r="K1678" s="1"/>
      <c r="L1678" s="1"/>
      <c r="M1678" s="1"/>
      <c r="N1678" s="1"/>
      <c r="O1678" s="1"/>
      <c r="P1678" s="1"/>
      <c r="Q1678" s="3"/>
      <c r="R1678" s="4"/>
      <c r="S1678" s="4"/>
      <c r="T1678" s="1"/>
      <c r="U1678" s="6"/>
      <c r="V1678" s="1"/>
      <c r="W1678" s="1"/>
      <c r="X1678" s="1"/>
      <c r="Y1678" s="1"/>
      <c r="Z1678" s="1"/>
      <c r="AA1678" s="1"/>
      <c r="AB1678" s="1"/>
      <c r="AC1678" s="1"/>
    </row>
    <row r="1679" spans="1:29">
      <c r="A1679" s="1"/>
      <c r="B1679" s="1"/>
      <c r="C1679" s="73"/>
      <c r="D1679" s="1"/>
      <c r="E1679" s="1"/>
      <c r="F1679" s="1"/>
      <c r="G1679" s="145"/>
      <c r="H1679" s="1"/>
      <c r="I1679" s="1"/>
      <c r="J1679" s="1"/>
      <c r="K1679" s="1"/>
      <c r="L1679" s="1"/>
      <c r="M1679" s="1"/>
      <c r="N1679" s="1"/>
      <c r="O1679" s="1"/>
      <c r="P1679" s="1"/>
      <c r="Q1679" s="3"/>
      <c r="R1679" s="4"/>
      <c r="S1679" s="4"/>
      <c r="T1679" s="1"/>
      <c r="U1679" s="6"/>
      <c r="V1679" s="1"/>
      <c r="W1679" s="1"/>
      <c r="X1679" s="1"/>
      <c r="Y1679" s="1"/>
      <c r="Z1679" s="1"/>
      <c r="AA1679" s="1"/>
      <c r="AB1679" s="1"/>
      <c r="AC1679" s="1"/>
    </row>
    <row r="1680" spans="1:29">
      <c r="A1680" s="1"/>
      <c r="B1680" s="1"/>
      <c r="C1680" s="73"/>
      <c r="D1680" s="1"/>
      <c r="E1680" s="1"/>
      <c r="F1680" s="1"/>
      <c r="G1680" s="145"/>
      <c r="H1680" s="1"/>
      <c r="I1680" s="1"/>
      <c r="J1680" s="1"/>
      <c r="K1680" s="1"/>
      <c r="L1680" s="1"/>
      <c r="M1680" s="1"/>
      <c r="N1680" s="1"/>
      <c r="O1680" s="1"/>
      <c r="P1680" s="1"/>
      <c r="Q1680" s="3"/>
      <c r="R1680" s="4"/>
      <c r="S1680" s="4"/>
      <c r="T1680" s="1"/>
      <c r="U1680" s="6"/>
      <c r="V1680" s="1"/>
      <c r="W1680" s="1"/>
      <c r="X1680" s="1"/>
      <c r="Y1680" s="1"/>
      <c r="Z1680" s="1"/>
      <c r="AA1680" s="1"/>
      <c r="AB1680" s="1"/>
      <c r="AC1680" s="1"/>
    </row>
    <row r="1681" spans="1:29">
      <c r="A1681" s="1"/>
      <c r="B1681" s="1"/>
      <c r="C1681" s="73"/>
      <c r="D1681" s="1"/>
      <c r="E1681" s="1"/>
      <c r="F1681" s="1"/>
      <c r="G1681" s="145"/>
      <c r="H1681" s="1"/>
      <c r="I1681" s="1"/>
      <c r="J1681" s="1"/>
      <c r="K1681" s="1"/>
      <c r="L1681" s="1"/>
      <c r="M1681" s="1"/>
      <c r="N1681" s="1"/>
      <c r="O1681" s="1"/>
      <c r="P1681" s="1"/>
      <c r="Q1681" s="3"/>
      <c r="R1681" s="4"/>
      <c r="S1681" s="4"/>
      <c r="T1681" s="1"/>
      <c r="U1681" s="6"/>
      <c r="V1681" s="1"/>
      <c r="W1681" s="1"/>
      <c r="X1681" s="1"/>
      <c r="Y1681" s="1"/>
      <c r="Z1681" s="1"/>
      <c r="AA1681" s="1"/>
      <c r="AB1681" s="1"/>
      <c r="AC1681" s="1"/>
    </row>
    <row r="1682" spans="1:29">
      <c r="A1682" s="1"/>
      <c r="B1682" s="1"/>
      <c r="C1682" s="73"/>
      <c r="D1682" s="1"/>
      <c r="E1682" s="1"/>
      <c r="F1682" s="1"/>
      <c r="G1682" s="145"/>
      <c r="H1682" s="1"/>
      <c r="I1682" s="1"/>
      <c r="J1682" s="1"/>
      <c r="K1682" s="1"/>
      <c r="L1682" s="1"/>
      <c r="M1682" s="1"/>
      <c r="N1682" s="1"/>
      <c r="O1682" s="1"/>
      <c r="P1682" s="1"/>
      <c r="Q1682" s="3"/>
      <c r="R1682" s="4"/>
      <c r="S1682" s="4"/>
      <c r="T1682" s="1"/>
      <c r="U1682" s="6"/>
      <c r="V1682" s="1"/>
      <c r="W1682" s="1"/>
      <c r="X1682" s="1"/>
      <c r="Y1682" s="1"/>
      <c r="Z1682" s="1"/>
      <c r="AA1682" s="1"/>
      <c r="AB1682" s="1"/>
      <c r="AC1682" s="1"/>
    </row>
    <row r="1683" spans="1:29">
      <c r="A1683" s="1"/>
      <c r="B1683" s="1"/>
      <c r="C1683" s="73"/>
      <c r="D1683" s="1"/>
      <c r="E1683" s="1"/>
      <c r="F1683" s="1"/>
      <c r="G1683" s="145"/>
      <c r="H1683" s="1"/>
      <c r="I1683" s="1"/>
      <c r="J1683" s="1"/>
      <c r="K1683" s="1"/>
      <c r="L1683" s="1"/>
      <c r="M1683" s="1"/>
      <c r="N1683" s="1"/>
      <c r="O1683" s="1"/>
      <c r="P1683" s="1"/>
      <c r="Q1683" s="3"/>
      <c r="R1683" s="4"/>
      <c r="S1683" s="4"/>
      <c r="T1683" s="1"/>
      <c r="U1683" s="6"/>
      <c r="V1683" s="1"/>
      <c r="W1683" s="1"/>
      <c r="X1683" s="1"/>
      <c r="Y1683" s="1"/>
      <c r="Z1683" s="1"/>
      <c r="AA1683" s="1"/>
      <c r="AB1683" s="1"/>
      <c r="AC1683" s="1"/>
    </row>
    <row r="1684" spans="1:29">
      <c r="A1684" s="1"/>
      <c r="B1684" s="1"/>
      <c r="C1684" s="73"/>
      <c r="D1684" s="1"/>
      <c r="E1684" s="1"/>
      <c r="F1684" s="1"/>
      <c r="G1684" s="145"/>
      <c r="H1684" s="1"/>
      <c r="I1684" s="1"/>
      <c r="J1684" s="1"/>
      <c r="K1684" s="1"/>
      <c r="L1684" s="1"/>
      <c r="M1684" s="1"/>
      <c r="N1684" s="1"/>
      <c r="O1684" s="1"/>
      <c r="P1684" s="1"/>
      <c r="Q1684" s="3"/>
      <c r="R1684" s="4"/>
      <c r="S1684" s="4"/>
      <c r="T1684" s="1"/>
      <c r="U1684" s="6"/>
      <c r="V1684" s="1"/>
      <c r="W1684" s="1"/>
      <c r="X1684" s="1"/>
      <c r="Y1684" s="1"/>
      <c r="Z1684" s="1"/>
      <c r="AA1684" s="1"/>
      <c r="AB1684" s="1"/>
      <c r="AC1684" s="1"/>
    </row>
    <row r="1685" spans="1:29">
      <c r="A1685" s="1"/>
      <c r="B1685" s="1"/>
      <c r="C1685" s="73"/>
      <c r="D1685" s="1"/>
      <c r="E1685" s="1"/>
      <c r="F1685" s="1"/>
      <c r="G1685" s="145"/>
      <c r="H1685" s="1"/>
      <c r="I1685" s="1"/>
      <c r="J1685" s="1"/>
      <c r="K1685" s="1"/>
      <c r="L1685" s="1"/>
      <c r="M1685" s="1"/>
      <c r="N1685" s="1"/>
      <c r="O1685" s="1"/>
      <c r="P1685" s="1"/>
      <c r="Q1685" s="3"/>
      <c r="R1685" s="4"/>
      <c r="S1685" s="4"/>
      <c r="T1685" s="1"/>
      <c r="U1685" s="6"/>
      <c r="V1685" s="1"/>
      <c r="W1685" s="1"/>
      <c r="X1685" s="1"/>
      <c r="Y1685" s="1"/>
      <c r="Z1685" s="1"/>
      <c r="AA1685" s="1"/>
      <c r="AB1685" s="1"/>
      <c r="AC1685" s="1"/>
    </row>
    <row r="1686" spans="1:29">
      <c r="A1686" s="1"/>
      <c r="B1686" s="1"/>
      <c r="C1686" s="73"/>
      <c r="D1686" s="1"/>
      <c r="E1686" s="1"/>
      <c r="F1686" s="1"/>
      <c r="G1686" s="145"/>
      <c r="H1686" s="1"/>
      <c r="I1686" s="1"/>
      <c r="J1686" s="1"/>
      <c r="K1686" s="1"/>
      <c r="L1686" s="1"/>
      <c r="M1686" s="1"/>
      <c r="N1686" s="1"/>
      <c r="O1686" s="1"/>
      <c r="P1686" s="1"/>
      <c r="Q1686" s="3"/>
      <c r="R1686" s="4"/>
      <c r="S1686" s="4"/>
      <c r="T1686" s="1"/>
      <c r="U1686" s="6"/>
      <c r="V1686" s="1"/>
      <c r="W1686" s="1"/>
      <c r="X1686" s="1"/>
      <c r="Y1686" s="1"/>
      <c r="Z1686" s="1"/>
      <c r="AA1686" s="1"/>
      <c r="AB1686" s="1"/>
      <c r="AC1686" s="1"/>
    </row>
    <row r="1687" spans="1:29">
      <c r="A1687" s="1"/>
      <c r="B1687" s="1"/>
      <c r="C1687" s="73"/>
      <c r="D1687" s="1"/>
      <c r="E1687" s="1"/>
      <c r="F1687" s="1"/>
      <c r="G1687" s="145"/>
      <c r="H1687" s="1"/>
      <c r="I1687" s="1"/>
      <c r="J1687" s="1"/>
      <c r="K1687" s="1"/>
      <c r="L1687" s="1"/>
      <c r="M1687" s="1"/>
      <c r="N1687" s="1"/>
      <c r="O1687" s="1"/>
      <c r="P1687" s="1"/>
      <c r="Q1687" s="3"/>
      <c r="R1687" s="4"/>
      <c r="S1687" s="4"/>
      <c r="T1687" s="1"/>
      <c r="U1687" s="6"/>
      <c r="V1687" s="1"/>
      <c r="W1687" s="1"/>
      <c r="X1687" s="1"/>
      <c r="Y1687" s="1"/>
      <c r="Z1687" s="1"/>
      <c r="AA1687" s="1"/>
      <c r="AB1687" s="1"/>
      <c r="AC1687" s="1"/>
    </row>
    <row r="1688" spans="1:29">
      <c r="A1688" s="1"/>
      <c r="B1688" s="1"/>
      <c r="C1688" s="73"/>
      <c r="D1688" s="1"/>
      <c r="E1688" s="1"/>
      <c r="F1688" s="1"/>
      <c r="G1688" s="145"/>
      <c r="H1688" s="1"/>
      <c r="I1688" s="1"/>
      <c r="J1688" s="1"/>
      <c r="K1688" s="1"/>
      <c r="L1688" s="1"/>
      <c r="M1688" s="1"/>
      <c r="N1688" s="1"/>
      <c r="O1688" s="1"/>
      <c r="P1688" s="1"/>
      <c r="Q1688" s="3"/>
      <c r="R1688" s="4"/>
      <c r="S1688" s="4"/>
      <c r="T1688" s="1"/>
      <c r="U1688" s="6"/>
      <c r="V1688" s="1"/>
      <c r="W1688" s="1"/>
      <c r="X1688" s="1"/>
      <c r="Y1688" s="1"/>
      <c r="Z1688" s="1"/>
      <c r="AA1688" s="1"/>
      <c r="AB1688" s="1"/>
      <c r="AC1688" s="1"/>
    </row>
    <row r="1689" spans="1:29">
      <c r="A1689" s="1"/>
      <c r="B1689" s="1"/>
      <c r="C1689" s="73"/>
      <c r="D1689" s="1"/>
      <c r="E1689" s="1"/>
      <c r="F1689" s="1"/>
      <c r="G1689" s="145"/>
      <c r="H1689" s="1"/>
      <c r="I1689" s="1"/>
      <c r="J1689" s="1"/>
      <c r="K1689" s="1"/>
      <c r="L1689" s="1"/>
      <c r="M1689" s="1"/>
      <c r="N1689" s="1"/>
      <c r="O1689" s="1"/>
      <c r="P1689" s="1"/>
      <c r="Q1689" s="3"/>
      <c r="R1689" s="4"/>
      <c r="S1689" s="4"/>
      <c r="T1689" s="1"/>
      <c r="U1689" s="6"/>
      <c r="V1689" s="1"/>
      <c r="W1689" s="1"/>
      <c r="X1689" s="1"/>
      <c r="Y1689" s="1"/>
      <c r="Z1689" s="1"/>
      <c r="AA1689" s="1"/>
      <c r="AB1689" s="1"/>
      <c r="AC1689" s="1"/>
    </row>
    <row r="1690" spans="1:29">
      <c r="A1690" s="1"/>
      <c r="B1690" s="1"/>
      <c r="C1690" s="73"/>
      <c r="D1690" s="1"/>
      <c r="E1690" s="1"/>
      <c r="F1690" s="1"/>
      <c r="G1690" s="145"/>
      <c r="H1690" s="1"/>
      <c r="I1690" s="1"/>
      <c r="J1690" s="1"/>
      <c r="K1690" s="1"/>
      <c r="L1690" s="1"/>
      <c r="M1690" s="1"/>
      <c r="N1690" s="1"/>
      <c r="O1690" s="1"/>
      <c r="P1690" s="1"/>
      <c r="Q1690" s="3"/>
      <c r="R1690" s="4"/>
      <c r="S1690" s="4"/>
      <c r="T1690" s="1"/>
      <c r="U1690" s="6"/>
      <c r="V1690" s="1"/>
      <c r="W1690" s="1"/>
      <c r="X1690" s="1"/>
      <c r="Y1690" s="1"/>
      <c r="Z1690" s="1"/>
      <c r="AA1690" s="1"/>
      <c r="AB1690" s="1"/>
      <c r="AC1690" s="1"/>
    </row>
    <row r="1691" spans="1:29">
      <c r="A1691" s="1"/>
      <c r="B1691" s="1"/>
      <c r="C1691" s="73"/>
      <c r="D1691" s="1"/>
      <c r="E1691" s="1"/>
      <c r="F1691" s="1"/>
      <c r="G1691" s="145"/>
      <c r="H1691" s="1"/>
      <c r="I1691" s="1"/>
      <c r="J1691" s="1"/>
      <c r="K1691" s="1"/>
      <c r="L1691" s="1"/>
      <c r="M1691" s="1"/>
      <c r="N1691" s="1"/>
      <c r="O1691" s="1"/>
      <c r="P1691" s="1"/>
      <c r="Q1691" s="3"/>
      <c r="R1691" s="4"/>
      <c r="S1691" s="4"/>
      <c r="T1691" s="1"/>
      <c r="U1691" s="6"/>
      <c r="V1691" s="1"/>
      <c r="W1691" s="1"/>
      <c r="X1691" s="1"/>
      <c r="Y1691" s="1"/>
      <c r="Z1691" s="1"/>
      <c r="AA1691" s="1"/>
      <c r="AB1691" s="1"/>
      <c r="AC1691" s="1"/>
    </row>
    <row r="1692" spans="1:29">
      <c r="A1692" s="1"/>
      <c r="B1692" s="1"/>
      <c r="C1692" s="73"/>
      <c r="D1692" s="1"/>
      <c r="E1692" s="1"/>
      <c r="F1692" s="1"/>
      <c r="G1692" s="145"/>
      <c r="H1692" s="1"/>
      <c r="I1692" s="1"/>
      <c r="J1692" s="1"/>
      <c r="K1692" s="1"/>
      <c r="L1692" s="1"/>
      <c r="M1692" s="1"/>
      <c r="N1692" s="1"/>
      <c r="O1692" s="1"/>
      <c r="P1692" s="1"/>
      <c r="Q1692" s="3"/>
      <c r="R1692" s="4"/>
      <c r="S1692" s="4"/>
      <c r="T1692" s="1"/>
      <c r="U1692" s="6"/>
      <c r="V1692" s="1"/>
      <c r="W1692" s="1"/>
      <c r="X1692" s="1"/>
      <c r="Y1692" s="1"/>
      <c r="Z1692" s="1"/>
      <c r="AA1692" s="1"/>
      <c r="AB1692" s="1"/>
      <c r="AC1692" s="1"/>
    </row>
    <row r="1693" spans="1:29">
      <c r="A1693" s="1"/>
      <c r="B1693" s="1"/>
      <c r="C1693" s="73"/>
      <c r="D1693" s="1"/>
      <c r="E1693" s="1"/>
      <c r="F1693" s="1"/>
      <c r="G1693" s="145"/>
      <c r="H1693" s="1"/>
      <c r="I1693" s="1"/>
      <c r="J1693" s="1"/>
      <c r="K1693" s="1"/>
      <c r="L1693" s="1"/>
      <c r="M1693" s="1"/>
      <c r="N1693" s="1"/>
      <c r="O1693" s="1"/>
      <c r="P1693" s="1"/>
      <c r="Q1693" s="3"/>
      <c r="R1693" s="4"/>
      <c r="S1693" s="4"/>
      <c r="T1693" s="1"/>
      <c r="U1693" s="6"/>
      <c r="V1693" s="1"/>
      <c r="W1693" s="1"/>
      <c r="X1693" s="1"/>
      <c r="Y1693" s="1"/>
      <c r="Z1693" s="1"/>
      <c r="AA1693" s="1"/>
      <c r="AB1693" s="1"/>
      <c r="AC1693" s="1"/>
    </row>
    <row r="1694" spans="1:29">
      <c r="A1694" s="1"/>
      <c r="B1694" s="1"/>
      <c r="C1694" s="73"/>
      <c r="D1694" s="1"/>
      <c r="E1694" s="1"/>
      <c r="F1694" s="1"/>
      <c r="G1694" s="145"/>
      <c r="H1694" s="1"/>
      <c r="I1694" s="1"/>
      <c r="J1694" s="1"/>
      <c r="K1694" s="1"/>
      <c r="L1694" s="1"/>
      <c r="M1694" s="1"/>
      <c r="N1694" s="1"/>
      <c r="O1694" s="1"/>
      <c r="P1694" s="1"/>
      <c r="Q1694" s="3"/>
      <c r="R1694" s="4"/>
      <c r="S1694" s="4"/>
      <c r="T1694" s="1"/>
      <c r="U1694" s="6"/>
      <c r="V1694" s="1"/>
      <c r="W1694" s="1"/>
      <c r="X1694" s="1"/>
      <c r="Y1694" s="1"/>
      <c r="Z1694" s="1"/>
      <c r="AA1694" s="1"/>
      <c r="AB1694" s="1"/>
      <c r="AC1694" s="1"/>
    </row>
    <row r="1695" spans="1:29">
      <c r="A1695" s="1"/>
      <c r="B1695" s="1"/>
      <c r="C1695" s="73"/>
      <c r="D1695" s="1"/>
      <c r="E1695" s="1"/>
      <c r="F1695" s="1"/>
      <c r="G1695" s="145"/>
      <c r="H1695" s="1"/>
      <c r="I1695" s="1"/>
      <c r="J1695" s="1"/>
      <c r="K1695" s="1"/>
      <c r="L1695" s="1"/>
      <c r="M1695" s="1"/>
      <c r="N1695" s="1"/>
      <c r="O1695" s="1"/>
      <c r="P1695" s="1"/>
      <c r="Q1695" s="3"/>
      <c r="R1695" s="4"/>
      <c r="S1695" s="4"/>
      <c r="T1695" s="1"/>
      <c r="U1695" s="6"/>
      <c r="V1695" s="1"/>
      <c r="W1695" s="1"/>
      <c r="X1695" s="1"/>
      <c r="Y1695" s="1"/>
      <c r="Z1695" s="1"/>
      <c r="AA1695" s="1"/>
      <c r="AB1695" s="1"/>
      <c r="AC1695" s="1"/>
    </row>
    <row r="1696" spans="1:29">
      <c r="A1696" s="1"/>
      <c r="B1696" s="1"/>
      <c r="C1696" s="73"/>
      <c r="D1696" s="1"/>
      <c r="E1696" s="1"/>
      <c r="F1696" s="1"/>
      <c r="G1696" s="145"/>
      <c r="H1696" s="1"/>
      <c r="I1696" s="1"/>
      <c r="J1696" s="1"/>
      <c r="K1696" s="1"/>
      <c r="L1696" s="1"/>
      <c r="M1696" s="1"/>
      <c r="N1696" s="1"/>
      <c r="O1696" s="1"/>
      <c r="P1696" s="1"/>
      <c r="Q1696" s="3"/>
      <c r="R1696" s="4"/>
      <c r="S1696" s="4"/>
      <c r="T1696" s="1"/>
      <c r="U1696" s="6"/>
      <c r="V1696" s="1"/>
      <c r="W1696" s="1"/>
      <c r="X1696" s="1"/>
      <c r="Y1696" s="1"/>
      <c r="Z1696" s="1"/>
      <c r="AA1696" s="1"/>
      <c r="AB1696" s="1"/>
      <c r="AC1696" s="1"/>
    </row>
    <row r="1697" spans="1:29">
      <c r="A1697" s="1"/>
      <c r="B1697" s="1"/>
      <c r="C1697" s="73"/>
      <c r="D1697" s="1"/>
      <c r="E1697" s="1"/>
      <c r="F1697" s="1"/>
      <c r="G1697" s="145"/>
      <c r="H1697" s="1"/>
      <c r="I1697" s="1"/>
      <c r="J1697" s="1"/>
      <c r="K1697" s="1"/>
      <c r="L1697" s="1"/>
      <c r="M1697" s="1"/>
      <c r="N1697" s="1"/>
      <c r="O1697" s="1"/>
      <c r="P1697" s="1"/>
      <c r="Q1697" s="3"/>
      <c r="R1697" s="4"/>
      <c r="S1697" s="4"/>
      <c r="T1697" s="1"/>
      <c r="U1697" s="6"/>
      <c r="V1697" s="1"/>
      <c r="W1697" s="1"/>
      <c r="X1697" s="1"/>
      <c r="Y1697" s="1"/>
      <c r="Z1697" s="1"/>
      <c r="AA1697" s="1"/>
      <c r="AB1697" s="1"/>
      <c r="AC1697" s="1"/>
    </row>
    <row r="1698" spans="1:29">
      <c r="A1698" s="1"/>
      <c r="B1698" s="1"/>
      <c r="C1698" s="73"/>
      <c r="D1698" s="1"/>
      <c r="E1698" s="1"/>
      <c r="F1698" s="1"/>
      <c r="G1698" s="145"/>
      <c r="H1698" s="1"/>
      <c r="I1698" s="1"/>
      <c r="J1698" s="1"/>
      <c r="K1698" s="1"/>
      <c r="L1698" s="1"/>
      <c r="M1698" s="1"/>
      <c r="N1698" s="1"/>
      <c r="O1698" s="1"/>
      <c r="P1698" s="1"/>
      <c r="Q1698" s="3"/>
      <c r="R1698" s="4"/>
      <c r="S1698" s="4"/>
      <c r="T1698" s="1"/>
      <c r="U1698" s="6"/>
      <c r="V1698" s="1"/>
      <c r="W1698" s="1"/>
      <c r="X1698" s="1"/>
      <c r="Y1698" s="1"/>
      <c r="Z1698" s="1"/>
      <c r="AA1698" s="1"/>
      <c r="AB1698" s="1"/>
      <c r="AC1698" s="1"/>
    </row>
    <row r="1699" spans="1:29">
      <c r="A1699" s="1"/>
      <c r="B1699" s="1"/>
      <c r="C1699" s="73"/>
      <c r="D1699" s="1"/>
      <c r="E1699" s="1"/>
      <c r="F1699" s="1"/>
      <c r="G1699" s="145"/>
      <c r="H1699" s="1"/>
      <c r="I1699" s="1"/>
      <c r="J1699" s="1"/>
      <c r="K1699" s="1"/>
      <c r="L1699" s="1"/>
      <c r="M1699" s="1"/>
      <c r="N1699" s="1"/>
      <c r="O1699" s="1"/>
      <c r="P1699" s="1"/>
      <c r="Q1699" s="3"/>
      <c r="R1699" s="4"/>
      <c r="S1699" s="4"/>
      <c r="T1699" s="1"/>
      <c r="U1699" s="6"/>
      <c r="V1699" s="1"/>
      <c r="W1699" s="1"/>
      <c r="X1699" s="1"/>
      <c r="Y1699" s="1"/>
      <c r="Z1699" s="1"/>
      <c r="AA1699" s="1"/>
      <c r="AB1699" s="1"/>
      <c r="AC1699" s="1"/>
    </row>
    <row r="1700" spans="1:29">
      <c r="A1700" s="1"/>
      <c r="B1700" s="1"/>
      <c r="C1700" s="73"/>
      <c r="D1700" s="1"/>
      <c r="E1700" s="1"/>
      <c r="F1700" s="1"/>
      <c r="G1700" s="145"/>
      <c r="H1700" s="1"/>
      <c r="I1700" s="1"/>
      <c r="J1700" s="1"/>
      <c r="K1700" s="1"/>
      <c r="L1700" s="1"/>
      <c r="M1700" s="1"/>
      <c r="N1700" s="1"/>
      <c r="O1700" s="1"/>
      <c r="P1700" s="1"/>
      <c r="Q1700" s="3"/>
      <c r="R1700" s="4"/>
      <c r="S1700" s="4"/>
      <c r="T1700" s="1"/>
      <c r="U1700" s="6"/>
      <c r="V1700" s="1"/>
      <c r="W1700" s="1"/>
      <c r="X1700" s="1"/>
      <c r="Y1700" s="1"/>
      <c r="Z1700" s="1"/>
      <c r="AA1700" s="1"/>
      <c r="AB1700" s="1"/>
      <c r="AC1700" s="1"/>
    </row>
    <row r="1701" spans="1:29">
      <c r="A1701" s="1"/>
      <c r="B1701" s="1"/>
      <c r="C1701" s="73"/>
      <c r="D1701" s="1"/>
      <c r="E1701" s="1"/>
      <c r="F1701" s="1"/>
      <c r="G1701" s="145"/>
      <c r="H1701" s="1"/>
      <c r="I1701" s="1"/>
      <c r="J1701" s="1"/>
      <c r="K1701" s="1"/>
      <c r="L1701" s="1"/>
      <c r="M1701" s="1"/>
      <c r="N1701" s="1"/>
      <c r="O1701" s="1"/>
      <c r="P1701" s="1"/>
      <c r="Q1701" s="3"/>
      <c r="R1701" s="4"/>
      <c r="S1701" s="4"/>
      <c r="T1701" s="1"/>
      <c r="U1701" s="6"/>
      <c r="V1701" s="1"/>
      <c r="W1701" s="1"/>
      <c r="X1701" s="1"/>
      <c r="Y1701" s="1"/>
      <c r="Z1701" s="1"/>
      <c r="AA1701" s="1"/>
      <c r="AB1701" s="1"/>
      <c r="AC1701" s="1"/>
    </row>
    <row r="1702" spans="1:29">
      <c r="A1702" s="1"/>
      <c r="B1702" s="1"/>
      <c r="C1702" s="73"/>
      <c r="D1702" s="1"/>
      <c r="E1702" s="1"/>
      <c r="F1702" s="1"/>
      <c r="G1702" s="145"/>
      <c r="H1702" s="1"/>
      <c r="I1702" s="1"/>
      <c r="J1702" s="1"/>
      <c r="K1702" s="1"/>
      <c r="L1702" s="1"/>
      <c r="M1702" s="1"/>
      <c r="N1702" s="1"/>
      <c r="O1702" s="1"/>
      <c r="P1702" s="1"/>
      <c r="Q1702" s="3"/>
      <c r="R1702" s="4"/>
      <c r="S1702" s="4"/>
      <c r="T1702" s="1"/>
      <c r="U1702" s="6"/>
      <c r="V1702" s="1"/>
      <c r="W1702" s="1"/>
      <c r="X1702" s="1"/>
      <c r="Y1702" s="1"/>
      <c r="Z1702" s="1"/>
      <c r="AA1702" s="1"/>
      <c r="AB1702" s="1"/>
      <c r="AC1702" s="1"/>
    </row>
    <row r="1703" spans="1:29">
      <c r="A1703" s="1"/>
      <c r="B1703" s="1"/>
      <c r="C1703" s="73"/>
      <c r="D1703" s="1"/>
      <c r="E1703" s="1"/>
      <c r="F1703" s="1"/>
      <c r="G1703" s="145"/>
      <c r="H1703" s="1"/>
      <c r="I1703" s="1"/>
      <c r="J1703" s="1"/>
      <c r="K1703" s="1"/>
      <c r="L1703" s="1"/>
      <c r="M1703" s="1"/>
      <c r="N1703" s="1"/>
      <c r="O1703" s="1"/>
      <c r="P1703" s="1"/>
      <c r="Q1703" s="3"/>
      <c r="R1703" s="4"/>
      <c r="S1703" s="4"/>
      <c r="T1703" s="1"/>
      <c r="U1703" s="6"/>
      <c r="V1703" s="1"/>
      <c r="W1703" s="1"/>
      <c r="X1703" s="1"/>
      <c r="Y1703" s="1"/>
      <c r="Z1703" s="1"/>
      <c r="AA1703" s="1"/>
      <c r="AB1703" s="1"/>
      <c r="AC1703" s="1"/>
    </row>
    <row r="1704" spans="1:29">
      <c r="A1704" s="1"/>
      <c r="B1704" s="1"/>
      <c r="C1704" s="73"/>
      <c r="D1704" s="1"/>
      <c r="E1704" s="1"/>
      <c r="F1704" s="1"/>
      <c r="G1704" s="145"/>
      <c r="H1704" s="1"/>
      <c r="I1704" s="1"/>
      <c r="J1704" s="1"/>
      <c r="K1704" s="1"/>
      <c r="L1704" s="1"/>
      <c r="M1704" s="1"/>
      <c r="N1704" s="1"/>
      <c r="O1704" s="1"/>
      <c r="P1704" s="1"/>
      <c r="Q1704" s="3"/>
      <c r="R1704" s="4"/>
      <c r="S1704" s="4"/>
      <c r="T1704" s="1"/>
      <c r="U1704" s="6"/>
      <c r="V1704" s="1"/>
      <c r="W1704" s="1"/>
      <c r="X1704" s="1"/>
      <c r="Y1704" s="1"/>
      <c r="Z1704" s="1"/>
      <c r="AA1704" s="1"/>
      <c r="AB1704" s="1"/>
      <c r="AC1704" s="1"/>
    </row>
    <row r="1705" spans="1:29">
      <c r="A1705" s="1"/>
      <c r="B1705" s="1"/>
      <c r="C1705" s="73"/>
      <c r="D1705" s="1"/>
      <c r="E1705" s="1"/>
      <c r="F1705" s="1"/>
      <c r="G1705" s="145"/>
      <c r="H1705" s="1"/>
      <c r="I1705" s="1"/>
      <c r="J1705" s="1"/>
      <c r="K1705" s="1"/>
      <c r="L1705" s="1"/>
      <c r="M1705" s="1"/>
      <c r="N1705" s="1"/>
      <c r="O1705" s="1"/>
      <c r="P1705" s="1"/>
      <c r="Q1705" s="3"/>
      <c r="R1705" s="4"/>
      <c r="S1705" s="4"/>
      <c r="T1705" s="1"/>
      <c r="U1705" s="6"/>
      <c r="V1705" s="1"/>
      <c r="W1705" s="1"/>
      <c r="X1705" s="1"/>
      <c r="Y1705" s="1"/>
      <c r="Z1705" s="1"/>
      <c r="AA1705" s="1"/>
      <c r="AB1705" s="1"/>
      <c r="AC1705" s="1"/>
    </row>
    <row r="1706" spans="1:29">
      <c r="A1706" s="1"/>
      <c r="B1706" s="1"/>
      <c r="C1706" s="73"/>
      <c r="D1706" s="1"/>
      <c r="E1706" s="1"/>
      <c r="F1706" s="1"/>
      <c r="G1706" s="145"/>
      <c r="H1706" s="1"/>
      <c r="I1706" s="1"/>
      <c r="J1706" s="1"/>
      <c r="K1706" s="1"/>
      <c r="L1706" s="1"/>
      <c r="M1706" s="1"/>
      <c r="N1706" s="1"/>
      <c r="O1706" s="1"/>
      <c r="P1706" s="1"/>
      <c r="Q1706" s="3"/>
      <c r="R1706" s="4"/>
      <c r="S1706" s="4"/>
      <c r="T1706" s="1"/>
      <c r="U1706" s="6"/>
      <c r="V1706" s="1"/>
      <c r="W1706" s="1"/>
      <c r="X1706" s="1"/>
      <c r="Y1706" s="1"/>
      <c r="Z1706" s="1"/>
      <c r="AA1706" s="1"/>
      <c r="AB1706" s="1"/>
      <c r="AC1706" s="1"/>
    </row>
    <row r="1707" spans="1:29">
      <c r="A1707" s="1"/>
      <c r="B1707" s="1"/>
      <c r="C1707" s="73"/>
      <c r="D1707" s="1"/>
      <c r="E1707" s="1"/>
      <c r="F1707" s="1"/>
      <c r="G1707" s="145"/>
      <c r="H1707" s="1"/>
      <c r="I1707" s="1"/>
      <c r="J1707" s="1"/>
      <c r="K1707" s="1"/>
      <c r="L1707" s="1"/>
      <c r="M1707" s="1"/>
      <c r="N1707" s="1"/>
      <c r="O1707" s="1"/>
      <c r="P1707" s="1"/>
      <c r="Q1707" s="3"/>
      <c r="R1707" s="4"/>
      <c r="S1707" s="4"/>
      <c r="T1707" s="1"/>
      <c r="U1707" s="6"/>
      <c r="V1707" s="1"/>
      <c r="W1707" s="1"/>
      <c r="X1707" s="1"/>
      <c r="Y1707" s="1"/>
      <c r="Z1707" s="1"/>
      <c r="AA1707" s="1"/>
      <c r="AB1707" s="1"/>
      <c r="AC1707" s="1"/>
    </row>
    <row r="1708" spans="1:29">
      <c r="A1708" s="1"/>
      <c r="B1708" s="1"/>
      <c r="C1708" s="73"/>
      <c r="D1708" s="1"/>
      <c r="E1708" s="1"/>
      <c r="F1708" s="1"/>
      <c r="G1708" s="145"/>
      <c r="H1708" s="1"/>
      <c r="I1708" s="1"/>
      <c r="J1708" s="1"/>
      <c r="K1708" s="1"/>
      <c r="L1708" s="1"/>
      <c r="M1708" s="1"/>
      <c r="N1708" s="1"/>
      <c r="O1708" s="1"/>
      <c r="P1708" s="1"/>
      <c r="Q1708" s="3"/>
      <c r="R1708" s="4"/>
      <c r="S1708" s="4"/>
      <c r="T1708" s="1"/>
      <c r="U1708" s="6"/>
      <c r="V1708" s="1"/>
      <c r="W1708" s="1"/>
      <c r="X1708" s="1"/>
      <c r="Y1708" s="1"/>
      <c r="Z1708" s="1"/>
      <c r="AA1708" s="1"/>
      <c r="AB1708" s="1"/>
      <c r="AC1708" s="1"/>
    </row>
    <row r="1709" spans="1:29">
      <c r="A1709" s="1"/>
      <c r="B1709" s="1"/>
      <c r="C1709" s="73"/>
      <c r="D1709" s="1"/>
      <c r="E1709" s="1"/>
      <c r="F1709" s="1"/>
      <c r="G1709" s="145"/>
      <c r="H1709" s="1"/>
      <c r="I1709" s="1"/>
      <c r="J1709" s="1"/>
      <c r="K1709" s="1"/>
      <c r="L1709" s="1"/>
      <c r="M1709" s="1"/>
      <c r="N1709" s="1"/>
      <c r="O1709" s="1"/>
      <c r="P1709" s="1"/>
      <c r="Q1709" s="3"/>
      <c r="R1709" s="4"/>
      <c r="S1709" s="4"/>
      <c r="T1709" s="1"/>
      <c r="U1709" s="6"/>
      <c r="V1709" s="1"/>
      <c r="W1709" s="1"/>
      <c r="X1709" s="1"/>
      <c r="Y1709" s="1"/>
      <c r="Z1709" s="1"/>
      <c r="AA1709" s="1"/>
      <c r="AB1709" s="1"/>
      <c r="AC1709" s="1"/>
    </row>
    <row r="1710" spans="1:29">
      <c r="A1710" s="1"/>
      <c r="B1710" s="1"/>
      <c r="C1710" s="73"/>
      <c r="D1710" s="1"/>
      <c r="E1710" s="1"/>
      <c r="F1710" s="1"/>
      <c r="G1710" s="145"/>
      <c r="H1710" s="1"/>
      <c r="I1710" s="1"/>
      <c r="J1710" s="1"/>
      <c r="K1710" s="1"/>
      <c r="L1710" s="1"/>
      <c r="M1710" s="1"/>
      <c r="N1710" s="1"/>
      <c r="O1710" s="1"/>
      <c r="P1710" s="1"/>
      <c r="Q1710" s="3"/>
      <c r="R1710" s="4"/>
      <c r="S1710" s="4"/>
      <c r="T1710" s="1"/>
      <c r="U1710" s="6"/>
      <c r="V1710" s="1"/>
      <c r="W1710" s="1"/>
      <c r="X1710" s="1"/>
      <c r="Y1710" s="1"/>
      <c r="Z1710" s="1"/>
      <c r="AA1710" s="1"/>
      <c r="AB1710" s="1"/>
      <c r="AC1710" s="1"/>
    </row>
    <row r="1711" spans="1:29">
      <c r="A1711" s="1"/>
      <c r="B1711" s="1"/>
      <c r="C1711" s="73"/>
      <c r="D1711" s="1"/>
      <c r="E1711" s="1"/>
      <c r="F1711" s="1"/>
      <c r="G1711" s="145"/>
      <c r="H1711" s="1"/>
      <c r="I1711" s="1"/>
      <c r="J1711" s="1"/>
      <c r="K1711" s="1"/>
      <c r="L1711" s="1"/>
      <c r="M1711" s="1"/>
      <c r="N1711" s="1"/>
      <c r="O1711" s="1"/>
      <c r="P1711" s="1"/>
      <c r="Q1711" s="3"/>
      <c r="R1711" s="4"/>
      <c r="S1711" s="4"/>
      <c r="T1711" s="1"/>
      <c r="U1711" s="6"/>
      <c r="V1711" s="1"/>
      <c r="W1711" s="1"/>
      <c r="X1711" s="1"/>
      <c r="Y1711" s="1"/>
      <c r="Z1711" s="1"/>
      <c r="AA1711" s="1"/>
      <c r="AB1711" s="1"/>
      <c r="AC1711" s="1"/>
    </row>
    <row r="1712" spans="1:29">
      <c r="A1712" s="1"/>
      <c r="B1712" s="1"/>
      <c r="C1712" s="73"/>
      <c r="D1712" s="1"/>
      <c r="E1712" s="1"/>
      <c r="F1712" s="1"/>
      <c r="G1712" s="145"/>
      <c r="H1712" s="1"/>
      <c r="I1712" s="1"/>
      <c r="J1712" s="1"/>
      <c r="K1712" s="1"/>
      <c r="L1712" s="1"/>
      <c r="M1712" s="1"/>
      <c r="N1712" s="1"/>
      <c r="O1712" s="1"/>
      <c r="P1712" s="1"/>
      <c r="Q1712" s="3"/>
      <c r="R1712" s="4"/>
      <c r="S1712" s="4"/>
      <c r="T1712" s="1"/>
      <c r="U1712" s="6"/>
      <c r="V1712" s="1"/>
      <c r="W1712" s="1"/>
      <c r="X1712" s="1"/>
      <c r="Y1712" s="1"/>
      <c r="Z1712" s="1"/>
      <c r="AA1712" s="1"/>
      <c r="AB1712" s="1"/>
      <c r="AC1712" s="1"/>
    </row>
    <row r="1713" spans="1:29">
      <c r="A1713" s="1"/>
      <c r="B1713" s="1"/>
      <c r="C1713" s="73"/>
      <c r="D1713" s="1"/>
      <c r="E1713" s="1"/>
      <c r="F1713" s="1"/>
      <c r="G1713" s="145"/>
      <c r="H1713" s="1"/>
      <c r="I1713" s="1"/>
      <c r="J1713" s="1"/>
      <c r="K1713" s="1"/>
      <c r="L1713" s="1"/>
      <c r="M1713" s="1"/>
      <c r="N1713" s="1"/>
      <c r="O1713" s="1"/>
      <c r="P1713" s="1"/>
      <c r="Q1713" s="3"/>
      <c r="R1713" s="4"/>
      <c r="S1713" s="4"/>
      <c r="T1713" s="1"/>
      <c r="U1713" s="6"/>
      <c r="V1713" s="1"/>
      <c r="W1713" s="1"/>
      <c r="X1713" s="1"/>
      <c r="Y1713" s="1"/>
      <c r="Z1713" s="1"/>
      <c r="AA1713" s="1"/>
      <c r="AB1713" s="1"/>
      <c r="AC1713" s="1"/>
    </row>
    <row r="1714" spans="1:29">
      <c r="A1714" s="1"/>
      <c r="B1714" s="1"/>
      <c r="C1714" s="73"/>
      <c r="D1714" s="1"/>
      <c r="E1714" s="1"/>
      <c r="F1714" s="1"/>
      <c r="G1714" s="145"/>
      <c r="H1714" s="1"/>
      <c r="I1714" s="1"/>
      <c r="J1714" s="1"/>
      <c r="K1714" s="1"/>
      <c r="L1714" s="1"/>
      <c r="M1714" s="1"/>
      <c r="N1714" s="1"/>
      <c r="O1714" s="1"/>
      <c r="P1714" s="1"/>
      <c r="Q1714" s="3"/>
      <c r="R1714" s="4"/>
      <c r="S1714" s="4"/>
      <c r="T1714" s="1"/>
      <c r="U1714" s="6"/>
      <c r="V1714" s="1"/>
      <c r="W1714" s="1"/>
      <c r="X1714" s="1"/>
      <c r="Y1714" s="1"/>
      <c r="Z1714" s="1"/>
      <c r="AA1714" s="1"/>
      <c r="AB1714" s="1"/>
      <c r="AC1714" s="1"/>
    </row>
    <row r="1715" spans="1:29">
      <c r="A1715" s="1"/>
      <c r="B1715" s="1"/>
      <c r="C1715" s="73"/>
      <c r="D1715" s="1"/>
      <c r="E1715" s="1"/>
      <c r="F1715" s="1"/>
      <c r="G1715" s="145"/>
      <c r="H1715" s="1"/>
      <c r="I1715" s="1"/>
      <c r="J1715" s="1"/>
      <c r="K1715" s="1"/>
      <c r="L1715" s="1"/>
      <c r="M1715" s="1"/>
      <c r="N1715" s="1"/>
      <c r="O1715" s="1"/>
      <c r="P1715" s="1"/>
      <c r="Q1715" s="3"/>
      <c r="R1715" s="4"/>
      <c r="S1715" s="4"/>
      <c r="T1715" s="1"/>
      <c r="U1715" s="6"/>
      <c r="V1715" s="1"/>
      <c r="W1715" s="1"/>
      <c r="X1715" s="1"/>
      <c r="Y1715" s="1"/>
      <c r="Z1715" s="1"/>
      <c r="AA1715" s="1"/>
      <c r="AB1715" s="1"/>
      <c r="AC1715" s="1"/>
    </row>
    <row r="1716" spans="1:29">
      <c r="A1716" s="1"/>
      <c r="B1716" s="1"/>
      <c r="C1716" s="73"/>
      <c r="D1716" s="1"/>
      <c r="E1716" s="1"/>
      <c r="F1716" s="1"/>
      <c r="G1716" s="145"/>
      <c r="H1716" s="1"/>
      <c r="I1716" s="1"/>
      <c r="J1716" s="1"/>
      <c r="K1716" s="1"/>
      <c r="L1716" s="1"/>
      <c r="M1716" s="1"/>
      <c r="N1716" s="1"/>
      <c r="O1716" s="1"/>
      <c r="P1716" s="1"/>
      <c r="Q1716" s="3"/>
      <c r="R1716" s="4"/>
      <c r="S1716" s="4"/>
      <c r="T1716" s="1"/>
      <c r="U1716" s="6"/>
      <c r="V1716" s="1"/>
      <c r="W1716" s="1"/>
      <c r="X1716" s="1"/>
      <c r="Y1716" s="1"/>
      <c r="Z1716" s="1"/>
      <c r="AA1716" s="1"/>
      <c r="AB1716" s="1"/>
      <c r="AC1716" s="1"/>
    </row>
    <row r="1717" spans="1:29">
      <c r="A1717" s="1"/>
      <c r="B1717" s="1"/>
      <c r="C1717" s="73"/>
      <c r="D1717" s="1"/>
      <c r="E1717" s="1"/>
      <c r="F1717" s="1"/>
      <c r="G1717" s="145"/>
      <c r="H1717" s="1"/>
      <c r="I1717" s="1"/>
      <c r="J1717" s="1"/>
      <c r="K1717" s="1"/>
      <c r="L1717" s="1"/>
      <c r="M1717" s="1"/>
      <c r="N1717" s="1"/>
      <c r="O1717" s="1"/>
      <c r="P1717" s="1"/>
      <c r="Q1717" s="3"/>
      <c r="R1717" s="4"/>
      <c r="S1717" s="4"/>
      <c r="T1717" s="1"/>
      <c r="U1717" s="6"/>
      <c r="V1717" s="1"/>
      <c r="W1717" s="1"/>
      <c r="X1717" s="1"/>
      <c r="Y1717" s="1"/>
      <c r="Z1717" s="1"/>
      <c r="AA1717" s="1"/>
      <c r="AB1717" s="1"/>
      <c r="AC1717" s="1"/>
    </row>
    <row r="1718" spans="1:29">
      <c r="A1718" s="1"/>
      <c r="B1718" s="1"/>
      <c r="C1718" s="73"/>
      <c r="D1718" s="1"/>
      <c r="E1718" s="1"/>
      <c r="F1718" s="1"/>
      <c r="G1718" s="145"/>
      <c r="H1718" s="1"/>
      <c r="I1718" s="1"/>
      <c r="J1718" s="1"/>
      <c r="K1718" s="1"/>
      <c r="L1718" s="1"/>
      <c r="M1718" s="1"/>
      <c r="N1718" s="1"/>
      <c r="O1718" s="1"/>
      <c r="P1718" s="1"/>
      <c r="Q1718" s="3"/>
      <c r="R1718" s="4"/>
      <c r="S1718" s="4"/>
      <c r="T1718" s="1"/>
      <c r="U1718" s="6"/>
      <c r="V1718" s="1"/>
      <c r="W1718" s="1"/>
      <c r="X1718" s="1"/>
      <c r="Y1718" s="1"/>
      <c r="Z1718" s="1"/>
      <c r="AA1718" s="1"/>
      <c r="AB1718" s="1"/>
      <c r="AC1718" s="1"/>
    </row>
    <row r="1719" spans="1:29">
      <c r="A1719" s="1"/>
      <c r="B1719" s="1"/>
      <c r="C1719" s="73"/>
      <c r="D1719" s="1"/>
      <c r="E1719" s="1"/>
      <c r="F1719" s="1"/>
      <c r="G1719" s="145"/>
      <c r="H1719" s="1"/>
      <c r="I1719" s="1"/>
      <c r="J1719" s="1"/>
      <c r="K1719" s="1"/>
      <c r="L1719" s="1"/>
      <c r="M1719" s="1"/>
      <c r="N1719" s="1"/>
      <c r="O1719" s="1"/>
      <c r="P1719" s="1"/>
      <c r="Q1719" s="3"/>
      <c r="R1719" s="4"/>
      <c r="S1719" s="4"/>
      <c r="T1719" s="1"/>
      <c r="U1719" s="6"/>
      <c r="V1719" s="1"/>
      <c r="W1719" s="1"/>
      <c r="X1719" s="1"/>
      <c r="Y1719" s="1"/>
      <c r="Z1719" s="1"/>
      <c r="AA1719" s="1"/>
      <c r="AB1719" s="1"/>
      <c r="AC1719" s="1"/>
    </row>
    <row r="1720" spans="1:29">
      <c r="A1720" s="1"/>
      <c r="B1720" s="1"/>
      <c r="C1720" s="73"/>
      <c r="D1720" s="1"/>
      <c r="E1720" s="1"/>
      <c r="F1720" s="1"/>
      <c r="G1720" s="145"/>
      <c r="H1720" s="1"/>
      <c r="I1720" s="1"/>
      <c r="J1720" s="1"/>
      <c r="K1720" s="1"/>
      <c r="L1720" s="1"/>
      <c r="M1720" s="1"/>
      <c r="N1720" s="1"/>
      <c r="O1720" s="1"/>
      <c r="P1720" s="1"/>
      <c r="Q1720" s="3"/>
      <c r="R1720" s="4"/>
      <c r="S1720" s="4"/>
      <c r="T1720" s="1"/>
      <c r="U1720" s="6"/>
      <c r="V1720" s="1"/>
      <c r="W1720" s="1"/>
      <c r="X1720" s="1"/>
      <c r="Y1720" s="1"/>
      <c r="Z1720" s="1"/>
      <c r="AA1720" s="1"/>
      <c r="AB1720" s="1"/>
      <c r="AC1720" s="1"/>
    </row>
    <row r="1721" spans="1:29">
      <c r="A1721" s="1"/>
      <c r="B1721" s="1"/>
      <c r="C1721" s="73"/>
      <c r="D1721" s="1"/>
      <c r="E1721" s="1"/>
      <c r="F1721" s="1"/>
      <c r="G1721" s="145"/>
      <c r="H1721" s="1"/>
      <c r="I1721" s="1"/>
      <c r="J1721" s="1"/>
      <c r="K1721" s="1"/>
      <c r="L1721" s="1"/>
      <c r="M1721" s="1"/>
      <c r="N1721" s="1"/>
      <c r="O1721" s="1"/>
      <c r="P1721" s="1"/>
      <c r="Q1721" s="3"/>
      <c r="R1721" s="4"/>
      <c r="S1721" s="4"/>
      <c r="T1721" s="1"/>
      <c r="U1721" s="6"/>
      <c r="V1721" s="1"/>
      <c r="W1721" s="1"/>
      <c r="X1721" s="1"/>
      <c r="Y1721" s="1"/>
      <c r="Z1721" s="1"/>
      <c r="AA1721" s="1"/>
      <c r="AB1721" s="1"/>
      <c r="AC1721" s="1"/>
    </row>
    <row r="1722" spans="1:29">
      <c r="A1722" s="1"/>
      <c r="B1722" s="1"/>
      <c r="C1722" s="73"/>
      <c r="D1722" s="1"/>
      <c r="E1722" s="1"/>
      <c r="F1722" s="1"/>
      <c r="G1722" s="145"/>
      <c r="H1722" s="1"/>
      <c r="I1722" s="1"/>
      <c r="J1722" s="1"/>
      <c r="K1722" s="1"/>
      <c r="L1722" s="1"/>
      <c r="M1722" s="1"/>
      <c r="N1722" s="1"/>
      <c r="O1722" s="1"/>
      <c r="P1722" s="1"/>
      <c r="Q1722" s="3"/>
      <c r="R1722" s="4"/>
      <c r="S1722" s="4"/>
      <c r="T1722" s="1"/>
      <c r="U1722" s="6"/>
      <c r="V1722" s="1"/>
      <c r="W1722" s="1"/>
      <c r="X1722" s="1"/>
      <c r="Y1722" s="1"/>
      <c r="Z1722" s="1"/>
      <c r="AA1722" s="1"/>
      <c r="AB1722" s="1"/>
      <c r="AC1722" s="1"/>
    </row>
    <row r="1723" spans="1:29">
      <c r="A1723" s="1"/>
      <c r="B1723" s="1"/>
      <c r="C1723" s="73"/>
      <c r="D1723" s="1"/>
      <c r="E1723" s="1"/>
      <c r="F1723" s="1"/>
      <c r="G1723" s="145"/>
      <c r="H1723" s="1"/>
      <c r="I1723" s="1"/>
      <c r="J1723" s="1"/>
      <c r="K1723" s="1"/>
      <c r="L1723" s="1"/>
      <c r="M1723" s="1"/>
      <c r="N1723" s="1"/>
      <c r="O1723" s="1"/>
      <c r="P1723" s="1"/>
      <c r="Q1723" s="3"/>
      <c r="R1723" s="4"/>
      <c r="S1723" s="4"/>
      <c r="T1723" s="1"/>
      <c r="U1723" s="6"/>
      <c r="V1723" s="1"/>
      <c r="W1723" s="1"/>
      <c r="X1723" s="1"/>
      <c r="Y1723" s="1"/>
      <c r="Z1723" s="1"/>
      <c r="AA1723" s="1"/>
      <c r="AB1723" s="1"/>
      <c r="AC1723" s="1"/>
    </row>
    <row r="1724" spans="1:29">
      <c r="A1724" s="1"/>
      <c r="B1724" s="1"/>
      <c r="C1724" s="73"/>
      <c r="D1724" s="1"/>
      <c r="E1724" s="1"/>
      <c r="F1724" s="1"/>
      <c r="G1724" s="145"/>
      <c r="H1724" s="1"/>
      <c r="I1724" s="1"/>
      <c r="J1724" s="1"/>
      <c r="K1724" s="1"/>
      <c r="L1724" s="1"/>
      <c r="M1724" s="1"/>
      <c r="N1724" s="1"/>
      <c r="O1724" s="1"/>
      <c r="P1724" s="1"/>
      <c r="Q1724" s="3"/>
      <c r="R1724" s="4"/>
      <c r="S1724" s="4"/>
      <c r="T1724" s="1"/>
      <c r="U1724" s="6"/>
      <c r="V1724" s="1"/>
      <c r="W1724" s="1"/>
      <c r="X1724" s="1"/>
      <c r="Y1724" s="1"/>
      <c r="Z1724" s="1"/>
      <c r="AA1724" s="1"/>
      <c r="AB1724" s="1"/>
      <c r="AC1724" s="1"/>
    </row>
    <row r="1725" spans="1:29">
      <c r="A1725" s="1"/>
      <c r="B1725" s="1"/>
      <c r="C1725" s="73"/>
      <c r="D1725" s="1"/>
      <c r="E1725" s="1"/>
      <c r="F1725" s="1"/>
      <c r="G1725" s="145"/>
      <c r="H1725" s="1"/>
      <c r="I1725" s="1"/>
      <c r="J1725" s="1"/>
      <c r="K1725" s="1"/>
      <c r="L1725" s="1"/>
      <c r="M1725" s="1"/>
      <c r="N1725" s="1"/>
      <c r="O1725" s="1"/>
      <c r="P1725" s="1"/>
      <c r="Q1725" s="3"/>
      <c r="R1725" s="4"/>
      <c r="S1725" s="4"/>
      <c r="T1725" s="1"/>
      <c r="U1725" s="6"/>
      <c r="V1725" s="1"/>
      <c r="W1725" s="1"/>
      <c r="X1725" s="1"/>
      <c r="Y1725" s="1"/>
      <c r="Z1725" s="1"/>
      <c r="AA1725" s="1"/>
      <c r="AB1725" s="1"/>
      <c r="AC1725" s="1"/>
    </row>
    <row r="1726" spans="1:29">
      <c r="A1726" s="1"/>
      <c r="B1726" s="1"/>
      <c r="C1726" s="73"/>
      <c r="D1726" s="1"/>
      <c r="E1726" s="1"/>
      <c r="F1726" s="1"/>
      <c r="G1726" s="145"/>
      <c r="H1726" s="1"/>
      <c r="I1726" s="1"/>
      <c r="J1726" s="1"/>
      <c r="K1726" s="1"/>
      <c r="L1726" s="1"/>
      <c r="M1726" s="1"/>
      <c r="N1726" s="1"/>
      <c r="O1726" s="1"/>
      <c r="P1726" s="1"/>
      <c r="Q1726" s="3"/>
      <c r="R1726" s="4"/>
      <c r="S1726" s="4"/>
      <c r="T1726" s="1"/>
      <c r="U1726" s="6"/>
      <c r="V1726" s="1"/>
      <c r="W1726" s="1"/>
      <c r="X1726" s="1"/>
      <c r="Y1726" s="1"/>
      <c r="Z1726" s="1"/>
      <c r="AA1726" s="1"/>
      <c r="AB1726" s="1"/>
      <c r="AC1726" s="1"/>
    </row>
    <row r="1727" spans="1:29">
      <c r="A1727" s="1"/>
      <c r="B1727" s="1"/>
      <c r="C1727" s="73"/>
      <c r="D1727" s="1"/>
      <c r="E1727" s="1"/>
      <c r="F1727" s="1"/>
      <c r="G1727" s="145"/>
      <c r="H1727" s="1"/>
      <c r="I1727" s="1"/>
      <c r="J1727" s="1"/>
      <c r="K1727" s="1"/>
      <c r="L1727" s="1"/>
      <c r="M1727" s="1"/>
      <c r="N1727" s="1"/>
      <c r="O1727" s="1"/>
      <c r="P1727" s="1"/>
      <c r="Q1727" s="3"/>
      <c r="R1727" s="4"/>
      <c r="S1727" s="4"/>
      <c r="T1727" s="1"/>
      <c r="U1727" s="6"/>
      <c r="V1727" s="1"/>
      <c r="W1727" s="1"/>
      <c r="X1727" s="1"/>
      <c r="Y1727" s="1"/>
      <c r="Z1727" s="1"/>
      <c r="AA1727" s="1"/>
      <c r="AB1727" s="1"/>
      <c r="AC1727" s="1"/>
    </row>
    <row r="1728" spans="1:29">
      <c r="A1728" s="1"/>
      <c r="B1728" s="1"/>
      <c r="C1728" s="73"/>
      <c r="D1728" s="1"/>
      <c r="E1728" s="1"/>
      <c r="F1728" s="1"/>
      <c r="G1728" s="145"/>
      <c r="H1728" s="1"/>
      <c r="I1728" s="1"/>
      <c r="J1728" s="1"/>
      <c r="K1728" s="1"/>
      <c r="L1728" s="1"/>
      <c r="M1728" s="1"/>
      <c r="N1728" s="1"/>
      <c r="O1728" s="1"/>
      <c r="P1728" s="1"/>
      <c r="Q1728" s="3"/>
      <c r="R1728" s="4"/>
      <c r="S1728" s="4"/>
      <c r="T1728" s="1"/>
      <c r="U1728" s="6"/>
      <c r="V1728" s="1"/>
      <c r="W1728" s="1"/>
      <c r="X1728" s="1"/>
      <c r="Y1728" s="1"/>
      <c r="Z1728" s="1"/>
      <c r="AA1728" s="1"/>
      <c r="AB1728" s="1"/>
      <c r="AC1728" s="1"/>
    </row>
    <row r="1729" spans="1:29">
      <c r="A1729" s="1"/>
      <c r="B1729" s="1"/>
      <c r="C1729" s="73"/>
      <c r="D1729" s="1"/>
      <c r="E1729" s="1"/>
      <c r="F1729" s="1"/>
      <c r="G1729" s="145"/>
      <c r="H1729" s="1"/>
      <c r="I1729" s="1"/>
      <c r="J1729" s="1"/>
      <c r="K1729" s="1"/>
      <c r="L1729" s="1"/>
      <c r="M1729" s="1"/>
      <c r="N1729" s="1"/>
      <c r="O1729" s="1"/>
      <c r="P1729" s="1"/>
      <c r="Q1729" s="3"/>
      <c r="R1729" s="4"/>
      <c r="S1729" s="4"/>
      <c r="T1729" s="1"/>
      <c r="U1729" s="6"/>
      <c r="V1729" s="1"/>
      <c r="W1729" s="1"/>
      <c r="X1729" s="1"/>
      <c r="Y1729" s="1"/>
      <c r="Z1729" s="1"/>
      <c r="AA1729" s="1"/>
      <c r="AB1729" s="1"/>
      <c r="AC1729" s="1"/>
    </row>
    <row r="1730" spans="1:29">
      <c r="A1730" s="1"/>
      <c r="B1730" s="1"/>
      <c r="C1730" s="73"/>
      <c r="D1730" s="1"/>
      <c r="E1730" s="1"/>
      <c r="F1730" s="1"/>
      <c r="G1730" s="145"/>
      <c r="H1730" s="1"/>
      <c r="I1730" s="1"/>
      <c r="J1730" s="1"/>
      <c r="K1730" s="1"/>
      <c r="L1730" s="1"/>
      <c r="M1730" s="1"/>
      <c r="N1730" s="1"/>
      <c r="O1730" s="1"/>
      <c r="P1730" s="1"/>
      <c r="Q1730" s="3"/>
      <c r="R1730" s="4"/>
      <c r="S1730" s="4"/>
      <c r="T1730" s="1"/>
      <c r="U1730" s="6"/>
      <c r="V1730" s="1"/>
      <c r="W1730" s="1"/>
      <c r="X1730" s="1"/>
      <c r="Y1730" s="1"/>
      <c r="Z1730" s="1"/>
      <c r="AA1730" s="1"/>
      <c r="AB1730" s="1"/>
      <c r="AC1730" s="1"/>
    </row>
    <row r="1731" spans="1:29">
      <c r="A1731" s="1"/>
      <c r="B1731" s="1"/>
      <c r="C1731" s="73"/>
      <c r="D1731" s="1"/>
      <c r="E1731" s="1"/>
      <c r="F1731" s="1"/>
      <c r="G1731" s="145"/>
      <c r="H1731" s="1"/>
      <c r="I1731" s="1"/>
      <c r="J1731" s="1"/>
      <c r="K1731" s="1"/>
      <c r="L1731" s="1"/>
      <c r="M1731" s="1"/>
      <c r="N1731" s="1"/>
      <c r="O1731" s="1"/>
      <c r="P1731" s="1"/>
      <c r="Q1731" s="3"/>
      <c r="R1731" s="4"/>
      <c r="S1731" s="4"/>
      <c r="T1731" s="1"/>
      <c r="U1731" s="6"/>
      <c r="V1731" s="1"/>
      <c r="W1731" s="1"/>
      <c r="X1731" s="1"/>
      <c r="Y1731" s="1"/>
      <c r="Z1731" s="1"/>
      <c r="AA1731" s="1"/>
      <c r="AB1731" s="1"/>
      <c r="AC1731" s="1"/>
    </row>
    <row r="1732" spans="1:29">
      <c r="A1732" s="1"/>
      <c r="B1732" s="1"/>
      <c r="C1732" s="73"/>
      <c r="D1732" s="1"/>
      <c r="E1732" s="1"/>
      <c r="F1732" s="1"/>
      <c r="G1732" s="145"/>
      <c r="H1732" s="1"/>
      <c r="I1732" s="1"/>
      <c r="J1732" s="1"/>
      <c r="K1732" s="1"/>
      <c r="L1732" s="1"/>
      <c r="M1732" s="1"/>
      <c r="N1732" s="1"/>
      <c r="O1732" s="1"/>
      <c r="P1732" s="1"/>
      <c r="Q1732" s="3"/>
      <c r="R1732" s="4"/>
      <c r="S1732" s="4"/>
      <c r="T1732" s="1"/>
      <c r="U1732" s="6"/>
      <c r="V1732" s="1"/>
      <c r="W1732" s="1"/>
      <c r="X1732" s="1"/>
      <c r="Y1732" s="1"/>
      <c r="Z1732" s="1"/>
      <c r="AA1732" s="1"/>
      <c r="AB1732" s="1"/>
      <c r="AC1732" s="1"/>
    </row>
    <row r="1733" spans="1:29">
      <c r="A1733" s="1"/>
      <c r="B1733" s="1"/>
      <c r="C1733" s="73"/>
      <c r="D1733" s="1"/>
      <c r="E1733" s="1"/>
      <c r="F1733" s="1"/>
      <c r="G1733" s="145"/>
      <c r="H1733" s="1"/>
      <c r="I1733" s="1"/>
      <c r="J1733" s="1"/>
      <c r="K1733" s="1"/>
      <c r="L1733" s="1"/>
      <c r="M1733" s="1"/>
      <c r="N1733" s="1"/>
      <c r="O1733" s="1"/>
      <c r="P1733" s="1"/>
      <c r="Q1733" s="3"/>
      <c r="R1733" s="4"/>
      <c r="S1733" s="4"/>
      <c r="T1733" s="1"/>
      <c r="U1733" s="6"/>
      <c r="V1733" s="1"/>
      <c r="W1733" s="1"/>
      <c r="X1733" s="1"/>
      <c r="Y1733" s="1"/>
      <c r="Z1733" s="1"/>
      <c r="AA1733" s="1"/>
      <c r="AB1733" s="1"/>
      <c r="AC1733" s="1"/>
    </row>
    <row r="1734" spans="1:29">
      <c r="A1734" s="1"/>
      <c r="B1734" s="1"/>
      <c r="C1734" s="73"/>
      <c r="D1734" s="1"/>
      <c r="E1734" s="1"/>
      <c r="F1734" s="1"/>
      <c r="G1734" s="145"/>
      <c r="H1734" s="1"/>
      <c r="I1734" s="1"/>
      <c r="J1734" s="1"/>
      <c r="K1734" s="1"/>
      <c r="L1734" s="1"/>
      <c r="M1734" s="1"/>
      <c r="N1734" s="1"/>
      <c r="O1734" s="1"/>
      <c r="P1734" s="1"/>
      <c r="Q1734" s="3"/>
      <c r="R1734" s="4"/>
      <c r="S1734" s="4"/>
      <c r="T1734" s="1"/>
      <c r="U1734" s="6"/>
      <c r="V1734" s="1"/>
      <c r="W1734" s="1"/>
      <c r="X1734" s="1"/>
      <c r="Y1734" s="1"/>
      <c r="Z1734" s="1"/>
      <c r="AA1734" s="1"/>
      <c r="AB1734" s="1"/>
      <c r="AC1734" s="1"/>
    </row>
    <row r="1735" spans="1:29">
      <c r="A1735" s="1"/>
      <c r="B1735" s="1"/>
      <c r="C1735" s="73"/>
      <c r="D1735" s="1"/>
      <c r="E1735" s="1"/>
      <c r="F1735" s="1"/>
      <c r="G1735" s="145"/>
      <c r="H1735" s="1"/>
      <c r="I1735" s="1"/>
      <c r="J1735" s="1"/>
      <c r="K1735" s="1"/>
      <c r="L1735" s="1"/>
      <c r="M1735" s="1"/>
      <c r="N1735" s="1"/>
      <c r="O1735" s="1"/>
      <c r="P1735" s="1"/>
      <c r="Q1735" s="3"/>
      <c r="R1735" s="4"/>
      <c r="S1735" s="4"/>
      <c r="T1735" s="1"/>
      <c r="U1735" s="6"/>
      <c r="V1735" s="1"/>
      <c r="W1735" s="1"/>
      <c r="X1735" s="1"/>
      <c r="Y1735" s="1"/>
      <c r="Z1735" s="1"/>
      <c r="AA1735" s="1"/>
      <c r="AB1735" s="1"/>
      <c r="AC1735" s="1"/>
    </row>
    <row r="1736" spans="1:29">
      <c r="A1736" s="1"/>
      <c r="B1736" s="1"/>
      <c r="C1736" s="73"/>
      <c r="D1736" s="1"/>
      <c r="E1736" s="1"/>
      <c r="F1736" s="1"/>
      <c r="G1736" s="145"/>
      <c r="H1736" s="1"/>
      <c r="I1736" s="1"/>
      <c r="J1736" s="1"/>
      <c r="K1736" s="1"/>
      <c r="L1736" s="1"/>
      <c r="M1736" s="1"/>
      <c r="N1736" s="1"/>
      <c r="O1736" s="1"/>
      <c r="P1736" s="1"/>
      <c r="Q1736" s="3"/>
      <c r="R1736" s="4"/>
      <c r="S1736" s="4"/>
      <c r="T1736" s="1"/>
      <c r="U1736" s="6"/>
      <c r="V1736" s="1"/>
      <c r="W1736" s="1"/>
      <c r="X1736" s="1"/>
      <c r="Y1736" s="1"/>
      <c r="Z1736" s="1"/>
      <c r="AA1736" s="1"/>
      <c r="AB1736" s="1"/>
      <c r="AC1736" s="1"/>
    </row>
    <row r="1737" spans="1:29">
      <c r="A1737" s="1"/>
      <c r="B1737" s="1"/>
      <c r="C1737" s="73"/>
      <c r="D1737" s="1"/>
      <c r="E1737" s="1"/>
      <c r="F1737" s="1"/>
      <c r="G1737" s="145"/>
      <c r="H1737" s="1"/>
      <c r="I1737" s="1"/>
      <c r="J1737" s="1"/>
      <c r="K1737" s="1"/>
      <c r="L1737" s="1"/>
      <c r="M1737" s="1"/>
      <c r="N1737" s="1"/>
      <c r="O1737" s="1"/>
      <c r="P1737" s="1"/>
      <c r="Q1737" s="3"/>
      <c r="R1737" s="4"/>
      <c r="S1737" s="4"/>
      <c r="T1737" s="1"/>
      <c r="U1737" s="6"/>
      <c r="V1737" s="1"/>
      <c r="W1737" s="1"/>
      <c r="X1737" s="1"/>
      <c r="Y1737" s="1"/>
      <c r="Z1737" s="1"/>
      <c r="AA1737" s="1"/>
      <c r="AB1737" s="1"/>
      <c r="AC1737" s="1"/>
    </row>
    <row r="1738" spans="1:29">
      <c r="A1738" s="1"/>
      <c r="B1738" s="1"/>
      <c r="C1738" s="73"/>
      <c r="D1738" s="1"/>
      <c r="E1738" s="1"/>
      <c r="F1738" s="1"/>
      <c r="G1738" s="145"/>
      <c r="H1738" s="1"/>
      <c r="I1738" s="1"/>
      <c r="J1738" s="1"/>
      <c r="K1738" s="1"/>
      <c r="L1738" s="1"/>
      <c r="M1738" s="1"/>
      <c r="N1738" s="1"/>
      <c r="O1738" s="1"/>
      <c r="P1738" s="1"/>
      <c r="Q1738" s="3"/>
      <c r="R1738" s="4"/>
      <c r="S1738" s="4"/>
      <c r="T1738" s="1"/>
      <c r="U1738" s="6"/>
      <c r="V1738" s="1"/>
      <c r="W1738" s="1"/>
      <c r="X1738" s="1"/>
      <c r="Y1738" s="1"/>
      <c r="Z1738" s="1"/>
      <c r="AA1738" s="1"/>
      <c r="AB1738" s="1"/>
      <c r="AC1738" s="1"/>
    </row>
    <row r="1739" spans="1:29">
      <c r="A1739" s="1"/>
      <c r="B1739" s="1"/>
      <c r="C1739" s="73"/>
      <c r="D1739" s="1"/>
      <c r="E1739" s="1"/>
      <c r="F1739" s="1"/>
      <c r="G1739" s="145"/>
      <c r="H1739" s="1"/>
      <c r="I1739" s="1"/>
      <c r="J1739" s="1"/>
      <c r="K1739" s="1"/>
      <c r="L1739" s="1"/>
      <c r="M1739" s="1"/>
      <c r="N1739" s="1"/>
      <c r="O1739" s="1"/>
      <c r="P1739" s="1"/>
      <c r="Q1739" s="3"/>
      <c r="R1739" s="4"/>
      <c r="S1739" s="4"/>
      <c r="T1739" s="1"/>
      <c r="U1739" s="6"/>
      <c r="V1739" s="1"/>
      <c r="W1739" s="1"/>
      <c r="X1739" s="1"/>
      <c r="Y1739" s="1"/>
      <c r="Z1739" s="1"/>
      <c r="AA1739" s="1"/>
      <c r="AB1739" s="1"/>
      <c r="AC1739" s="1"/>
    </row>
    <row r="1740" spans="1:29">
      <c r="A1740" s="1"/>
      <c r="B1740" s="1"/>
      <c r="C1740" s="73"/>
      <c r="D1740" s="1"/>
      <c r="E1740" s="1"/>
      <c r="F1740" s="1"/>
      <c r="G1740" s="145"/>
      <c r="H1740" s="1"/>
      <c r="I1740" s="1"/>
      <c r="J1740" s="1"/>
      <c r="K1740" s="1"/>
      <c r="L1740" s="1"/>
      <c r="M1740" s="1"/>
      <c r="N1740" s="1"/>
      <c r="O1740" s="1"/>
      <c r="P1740" s="1"/>
      <c r="Q1740" s="3"/>
      <c r="R1740" s="4"/>
      <c r="S1740" s="4"/>
      <c r="T1740" s="1"/>
      <c r="U1740" s="6"/>
      <c r="V1740" s="1"/>
      <c r="W1740" s="1"/>
      <c r="X1740" s="1"/>
      <c r="Y1740" s="1"/>
      <c r="Z1740" s="1"/>
      <c r="AA1740" s="1"/>
      <c r="AB1740" s="1"/>
      <c r="AC1740" s="1"/>
    </row>
    <row r="1741" spans="1:29">
      <c r="A1741" s="1"/>
      <c r="B1741" s="1"/>
      <c r="C1741" s="73"/>
      <c r="D1741" s="1"/>
      <c r="E1741" s="1"/>
      <c r="F1741" s="1"/>
      <c r="G1741" s="145"/>
      <c r="H1741" s="1"/>
      <c r="I1741" s="1"/>
      <c r="J1741" s="1"/>
      <c r="K1741" s="1"/>
      <c r="L1741" s="1"/>
      <c r="M1741" s="1"/>
      <c r="N1741" s="1"/>
      <c r="O1741" s="1"/>
      <c r="P1741" s="1"/>
      <c r="Q1741" s="3"/>
      <c r="R1741" s="4"/>
      <c r="S1741" s="4"/>
      <c r="T1741" s="1"/>
      <c r="U1741" s="6"/>
      <c r="V1741" s="1"/>
      <c r="W1741" s="1"/>
      <c r="X1741" s="1"/>
      <c r="Y1741" s="1"/>
      <c r="Z1741" s="1"/>
      <c r="AA1741" s="1"/>
      <c r="AB1741" s="1"/>
      <c r="AC1741" s="1"/>
    </row>
    <row r="1742" spans="1:29">
      <c r="A1742" s="1"/>
      <c r="B1742" s="1"/>
      <c r="C1742" s="73"/>
      <c r="D1742" s="1"/>
      <c r="E1742" s="1"/>
      <c r="F1742" s="1"/>
      <c r="G1742" s="145"/>
      <c r="H1742" s="1"/>
      <c r="I1742" s="1"/>
      <c r="J1742" s="1"/>
      <c r="K1742" s="1"/>
      <c r="L1742" s="1"/>
      <c r="M1742" s="1"/>
      <c r="N1742" s="1"/>
      <c r="O1742" s="1"/>
      <c r="P1742" s="1"/>
      <c r="Q1742" s="3"/>
      <c r="R1742" s="4"/>
      <c r="S1742" s="4"/>
      <c r="T1742" s="1"/>
      <c r="U1742" s="6"/>
      <c r="V1742" s="1"/>
      <c r="W1742" s="1"/>
      <c r="X1742" s="1"/>
      <c r="Y1742" s="1"/>
      <c r="Z1742" s="1"/>
      <c r="AA1742" s="1"/>
      <c r="AB1742" s="1"/>
      <c r="AC1742" s="1"/>
    </row>
    <row r="1743" spans="1:29">
      <c r="A1743" s="1"/>
      <c r="B1743" s="1"/>
      <c r="C1743" s="73"/>
      <c r="D1743" s="1"/>
      <c r="E1743" s="1"/>
      <c r="F1743" s="1"/>
      <c r="G1743" s="145"/>
      <c r="H1743" s="1"/>
      <c r="I1743" s="1"/>
      <c r="J1743" s="1"/>
      <c r="K1743" s="1"/>
      <c r="L1743" s="1"/>
      <c r="M1743" s="1"/>
      <c r="N1743" s="1"/>
      <c r="O1743" s="1"/>
      <c r="P1743" s="1"/>
      <c r="Q1743" s="3"/>
      <c r="R1743" s="4"/>
      <c r="S1743" s="4"/>
      <c r="T1743" s="1"/>
      <c r="U1743" s="6"/>
      <c r="V1743" s="1"/>
      <c r="W1743" s="1"/>
      <c r="X1743" s="1"/>
      <c r="Y1743" s="1"/>
      <c r="Z1743" s="1"/>
      <c r="AA1743" s="1"/>
      <c r="AB1743" s="1"/>
      <c r="AC1743" s="1"/>
    </row>
    <row r="1744" spans="1:29">
      <c r="A1744" s="1"/>
      <c r="B1744" s="1"/>
      <c r="C1744" s="73"/>
      <c r="D1744" s="1"/>
      <c r="E1744" s="1"/>
      <c r="F1744" s="1"/>
      <c r="G1744" s="145"/>
      <c r="H1744" s="1"/>
      <c r="I1744" s="1"/>
      <c r="J1744" s="1"/>
      <c r="K1744" s="1"/>
      <c r="L1744" s="1"/>
      <c r="M1744" s="1"/>
      <c r="N1744" s="1"/>
      <c r="O1744" s="1"/>
      <c r="P1744" s="1"/>
      <c r="Q1744" s="3"/>
      <c r="R1744" s="4"/>
      <c r="S1744" s="4"/>
      <c r="T1744" s="1"/>
      <c r="U1744" s="6"/>
      <c r="V1744" s="1"/>
      <c r="W1744" s="1"/>
      <c r="X1744" s="1"/>
      <c r="Y1744" s="1"/>
      <c r="Z1744" s="1"/>
      <c r="AA1744" s="1"/>
      <c r="AB1744" s="1"/>
      <c r="AC1744" s="1"/>
    </row>
    <row r="1745" spans="1:29">
      <c r="A1745" s="1"/>
      <c r="B1745" s="1"/>
      <c r="C1745" s="73"/>
      <c r="D1745" s="1"/>
      <c r="E1745" s="1"/>
      <c r="F1745" s="1"/>
      <c r="G1745" s="145"/>
      <c r="H1745" s="1"/>
      <c r="I1745" s="1"/>
      <c r="J1745" s="1"/>
      <c r="K1745" s="1"/>
      <c r="L1745" s="1"/>
      <c r="M1745" s="1"/>
      <c r="N1745" s="1"/>
      <c r="O1745" s="1"/>
      <c r="P1745" s="1"/>
      <c r="Q1745" s="3"/>
      <c r="R1745" s="4"/>
      <c r="S1745" s="4"/>
      <c r="T1745" s="1"/>
      <c r="U1745" s="6"/>
      <c r="V1745" s="1"/>
      <c r="W1745" s="1"/>
      <c r="X1745" s="1"/>
      <c r="Y1745" s="1"/>
      <c r="Z1745" s="1"/>
      <c r="AA1745" s="1"/>
      <c r="AB1745" s="1"/>
      <c r="AC1745" s="1"/>
    </row>
    <row r="1746" spans="1:29">
      <c r="A1746" s="1"/>
      <c r="B1746" s="1"/>
      <c r="C1746" s="73"/>
      <c r="D1746" s="1"/>
      <c r="E1746" s="1"/>
      <c r="F1746" s="1"/>
      <c r="G1746" s="145"/>
      <c r="H1746" s="1"/>
      <c r="I1746" s="1"/>
      <c r="J1746" s="1"/>
      <c r="K1746" s="1"/>
      <c r="L1746" s="1"/>
      <c r="M1746" s="1"/>
      <c r="N1746" s="1"/>
      <c r="O1746" s="1"/>
      <c r="P1746" s="1"/>
      <c r="Q1746" s="3"/>
      <c r="R1746" s="4"/>
      <c r="S1746" s="4"/>
      <c r="T1746" s="1"/>
      <c r="U1746" s="6"/>
      <c r="V1746" s="1"/>
      <c r="W1746" s="1"/>
      <c r="X1746" s="1"/>
      <c r="Y1746" s="1"/>
      <c r="Z1746" s="1"/>
      <c r="AA1746" s="1"/>
      <c r="AB1746" s="1"/>
      <c r="AC1746" s="1"/>
    </row>
    <row r="1747" spans="1:29">
      <c r="A1747" s="1"/>
      <c r="B1747" s="1"/>
      <c r="C1747" s="73"/>
      <c r="D1747" s="1"/>
      <c r="E1747" s="1"/>
      <c r="F1747" s="1"/>
      <c r="G1747" s="145"/>
      <c r="H1747" s="1"/>
      <c r="I1747" s="1"/>
      <c r="J1747" s="1"/>
      <c r="K1747" s="1"/>
      <c r="L1747" s="1"/>
      <c r="M1747" s="1"/>
      <c r="N1747" s="1"/>
      <c r="O1747" s="1"/>
      <c r="P1747" s="1"/>
      <c r="Q1747" s="3"/>
      <c r="R1747" s="4"/>
      <c r="S1747" s="4"/>
      <c r="T1747" s="1"/>
      <c r="U1747" s="6"/>
      <c r="V1747" s="1"/>
      <c r="W1747" s="1"/>
      <c r="X1747" s="1"/>
      <c r="Y1747" s="1"/>
      <c r="Z1747" s="1"/>
      <c r="AA1747" s="1"/>
      <c r="AB1747" s="1"/>
      <c r="AC1747" s="1"/>
    </row>
    <row r="1748" spans="1:29">
      <c r="A1748" s="1"/>
      <c r="B1748" s="1"/>
      <c r="C1748" s="73"/>
      <c r="D1748" s="1"/>
      <c r="E1748" s="1"/>
      <c r="F1748" s="1"/>
      <c r="G1748" s="145"/>
      <c r="H1748" s="1"/>
      <c r="I1748" s="1"/>
      <c r="J1748" s="1"/>
      <c r="K1748" s="1"/>
      <c r="L1748" s="1"/>
      <c r="M1748" s="1"/>
      <c r="N1748" s="1"/>
      <c r="O1748" s="1"/>
      <c r="P1748" s="1"/>
      <c r="Q1748" s="3"/>
      <c r="R1748" s="4"/>
      <c r="S1748" s="4"/>
      <c r="T1748" s="1"/>
      <c r="U1748" s="6"/>
      <c r="V1748" s="1"/>
      <c r="W1748" s="1"/>
      <c r="X1748" s="1"/>
      <c r="Y1748" s="1"/>
      <c r="Z1748" s="1"/>
      <c r="AA1748" s="1"/>
      <c r="AB1748" s="1"/>
      <c r="AC1748" s="1"/>
    </row>
    <row r="1749" spans="1:29">
      <c r="A1749" s="1"/>
      <c r="B1749" s="1"/>
      <c r="C1749" s="73"/>
      <c r="D1749" s="1"/>
      <c r="E1749" s="1"/>
      <c r="F1749" s="1"/>
      <c r="G1749" s="145"/>
      <c r="H1749" s="1"/>
      <c r="I1749" s="1"/>
      <c r="J1749" s="1"/>
      <c r="K1749" s="1"/>
      <c r="L1749" s="1"/>
      <c r="M1749" s="1"/>
      <c r="N1749" s="1"/>
      <c r="O1749" s="1"/>
      <c r="P1749" s="1"/>
      <c r="Q1749" s="3"/>
      <c r="R1749" s="4"/>
      <c r="S1749" s="4"/>
      <c r="T1749" s="1"/>
      <c r="U1749" s="6"/>
      <c r="V1749" s="1"/>
      <c r="W1749" s="1"/>
      <c r="X1749" s="1"/>
      <c r="Y1749" s="1"/>
      <c r="Z1749" s="1"/>
      <c r="AA1749" s="1"/>
      <c r="AB1749" s="1"/>
      <c r="AC1749" s="1"/>
    </row>
    <row r="1750" spans="1:29">
      <c r="A1750" s="1"/>
      <c r="B1750" s="1"/>
      <c r="C1750" s="73"/>
      <c r="D1750" s="1"/>
      <c r="E1750" s="1"/>
      <c r="F1750" s="1"/>
      <c r="G1750" s="145"/>
      <c r="H1750" s="1"/>
      <c r="I1750" s="1"/>
      <c r="J1750" s="1"/>
      <c r="K1750" s="1"/>
      <c r="L1750" s="1"/>
      <c r="M1750" s="1"/>
      <c r="N1750" s="1"/>
      <c r="O1750" s="1"/>
      <c r="P1750" s="1"/>
      <c r="Q1750" s="3"/>
      <c r="R1750" s="4"/>
      <c r="S1750" s="4"/>
      <c r="T1750" s="1"/>
      <c r="U1750" s="6"/>
      <c r="V1750" s="1"/>
      <c r="W1750" s="1"/>
      <c r="X1750" s="1"/>
      <c r="Y1750" s="1"/>
      <c r="Z1750" s="1"/>
      <c r="AA1750" s="1"/>
      <c r="AB1750" s="1"/>
      <c r="AC1750" s="1"/>
    </row>
    <row r="1751" spans="1:29">
      <c r="A1751" s="1"/>
      <c r="B1751" s="1"/>
      <c r="C1751" s="73"/>
      <c r="D1751" s="1"/>
      <c r="E1751" s="1"/>
      <c r="F1751" s="1"/>
      <c r="G1751" s="145"/>
      <c r="H1751" s="1"/>
      <c r="I1751" s="1"/>
      <c r="J1751" s="1"/>
      <c r="K1751" s="1"/>
      <c r="L1751" s="1"/>
      <c r="M1751" s="1"/>
      <c r="N1751" s="1"/>
      <c r="O1751" s="1"/>
      <c r="P1751" s="1"/>
      <c r="Q1751" s="3"/>
      <c r="R1751" s="4"/>
      <c r="S1751" s="4"/>
      <c r="T1751" s="1"/>
      <c r="U1751" s="6"/>
      <c r="V1751" s="1"/>
      <c r="W1751" s="1"/>
      <c r="X1751" s="1"/>
      <c r="Y1751" s="1"/>
      <c r="Z1751" s="1"/>
      <c r="AA1751" s="1"/>
      <c r="AB1751" s="1"/>
      <c r="AC1751" s="1"/>
    </row>
    <row r="1752" spans="1:29">
      <c r="A1752" s="1"/>
      <c r="B1752" s="1"/>
      <c r="C1752" s="73"/>
      <c r="D1752" s="1"/>
      <c r="E1752" s="1"/>
      <c r="F1752" s="1"/>
      <c r="G1752" s="145"/>
      <c r="H1752" s="1"/>
      <c r="I1752" s="1"/>
      <c r="J1752" s="1"/>
      <c r="K1752" s="1"/>
      <c r="L1752" s="1"/>
      <c r="M1752" s="1"/>
      <c r="N1752" s="1"/>
      <c r="O1752" s="1"/>
      <c r="P1752" s="1"/>
      <c r="Q1752" s="3"/>
      <c r="R1752" s="4"/>
      <c r="S1752" s="4"/>
      <c r="T1752" s="1"/>
      <c r="U1752" s="6"/>
      <c r="V1752" s="1"/>
      <c r="W1752" s="1"/>
      <c r="X1752" s="1"/>
      <c r="Y1752" s="1"/>
      <c r="Z1752" s="1"/>
      <c r="AA1752" s="1"/>
      <c r="AB1752" s="1"/>
      <c r="AC1752" s="1"/>
    </row>
    <row r="1753" spans="1:29">
      <c r="A1753" s="1"/>
      <c r="B1753" s="1"/>
      <c r="C1753" s="73"/>
      <c r="D1753" s="1"/>
      <c r="E1753" s="1"/>
      <c r="F1753" s="1"/>
      <c r="G1753" s="145"/>
      <c r="H1753" s="1"/>
      <c r="I1753" s="1"/>
      <c r="J1753" s="1"/>
      <c r="K1753" s="1"/>
      <c r="L1753" s="1"/>
      <c r="M1753" s="1"/>
      <c r="N1753" s="1"/>
      <c r="O1753" s="1"/>
      <c r="P1753" s="1"/>
      <c r="Q1753" s="3"/>
      <c r="R1753" s="4"/>
      <c r="S1753" s="4"/>
      <c r="T1753" s="1"/>
      <c r="U1753" s="6"/>
      <c r="V1753" s="1"/>
      <c r="W1753" s="1"/>
      <c r="X1753" s="1"/>
      <c r="Y1753" s="1"/>
      <c r="Z1753" s="1"/>
      <c r="AA1753" s="1"/>
      <c r="AB1753" s="1"/>
      <c r="AC1753" s="1"/>
    </row>
    <row r="1754" spans="1:29">
      <c r="A1754" s="1"/>
      <c r="B1754" s="1"/>
      <c r="C1754" s="73"/>
      <c r="D1754" s="1"/>
      <c r="E1754" s="1"/>
      <c r="F1754" s="1"/>
      <c r="G1754" s="145"/>
      <c r="H1754" s="1"/>
      <c r="I1754" s="1"/>
      <c r="J1754" s="1"/>
      <c r="K1754" s="1"/>
      <c r="L1754" s="1"/>
      <c r="M1754" s="1"/>
      <c r="N1754" s="1"/>
      <c r="O1754" s="1"/>
      <c r="P1754" s="1"/>
      <c r="Q1754" s="3"/>
      <c r="R1754" s="4"/>
      <c r="S1754" s="4"/>
      <c r="T1754" s="1"/>
      <c r="U1754" s="6"/>
      <c r="V1754" s="1"/>
      <c r="W1754" s="1"/>
      <c r="X1754" s="1"/>
      <c r="Y1754" s="1"/>
      <c r="Z1754" s="1"/>
      <c r="AA1754" s="1"/>
      <c r="AB1754" s="1"/>
      <c r="AC1754" s="1"/>
    </row>
    <row r="1755" spans="1:29">
      <c r="A1755" s="1"/>
      <c r="B1755" s="1"/>
      <c r="C1755" s="73"/>
      <c r="D1755" s="1"/>
      <c r="E1755" s="1"/>
      <c r="F1755" s="1"/>
      <c r="G1755" s="145"/>
      <c r="H1755" s="1"/>
      <c r="I1755" s="1"/>
      <c r="J1755" s="1"/>
      <c r="K1755" s="1"/>
      <c r="L1755" s="1"/>
      <c r="M1755" s="1"/>
      <c r="N1755" s="1"/>
      <c r="O1755" s="1"/>
      <c r="P1755" s="1"/>
      <c r="Q1755" s="3"/>
      <c r="R1755" s="4"/>
      <c r="S1755" s="4"/>
      <c r="T1755" s="1"/>
      <c r="U1755" s="6"/>
      <c r="V1755" s="1"/>
      <c r="W1755" s="1"/>
      <c r="X1755" s="1"/>
      <c r="Y1755" s="1"/>
      <c r="Z1755" s="1"/>
      <c r="AA1755" s="1"/>
      <c r="AB1755" s="1"/>
      <c r="AC1755" s="1"/>
    </row>
    <row r="1756" spans="1:29">
      <c r="A1756" s="1"/>
      <c r="B1756" s="1"/>
      <c r="C1756" s="73"/>
      <c r="D1756" s="1"/>
      <c r="E1756" s="1"/>
      <c r="F1756" s="1"/>
      <c r="G1756" s="145"/>
      <c r="H1756" s="1"/>
      <c r="I1756" s="1"/>
      <c r="J1756" s="1"/>
      <c r="K1756" s="1"/>
      <c r="L1756" s="1"/>
      <c r="M1756" s="1"/>
      <c r="N1756" s="1"/>
      <c r="O1756" s="1"/>
      <c r="P1756" s="1"/>
      <c r="Q1756" s="3"/>
      <c r="R1756" s="4"/>
      <c r="S1756" s="4"/>
      <c r="T1756" s="1"/>
      <c r="U1756" s="6"/>
      <c r="V1756" s="1"/>
      <c r="W1756" s="1"/>
      <c r="X1756" s="1"/>
      <c r="Y1756" s="1"/>
      <c r="Z1756" s="1"/>
      <c r="AA1756" s="1"/>
      <c r="AB1756" s="1"/>
      <c r="AC1756" s="1"/>
    </row>
    <row r="1757" spans="1:29">
      <c r="A1757" s="1"/>
      <c r="B1757" s="1"/>
      <c r="C1757" s="73"/>
      <c r="D1757" s="1"/>
      <c r="E1757" s="1"/>
      <c r="F1757" s="1"/>
      <c r="G1757" s="145"/>
      <c r="H1757" s="1"/>
      <c r="I1757" s="1"/>
      <c r="J1757" s="1"/>
      <c r="K1757" s="1"/>
      <c r="L1757" s="1"/>
      <c r="M1757" s="1"/>
      <c r="N1757" s="1"/>
      <c r="O1757" s="1"/>
      <c r="P1757" s="1"/>
      <c r="Q1757" s="3"/>
      <c r="R1757" s="4"/>
      <c r="S1757" s="4"/>
      <c r="T1757" s="1"/>
      <c r="U1757" s="6"/>
      <c r="V1757" s="1"/>
      <c r="W1757" s="1"/>
      <c r="X1757" s="1"/>
      <c r="Y1757" s="1"/>
      <c r="Z1757" s="1"/>
      <c r="AA1757" s="1"/>
      <c r="AB1757" s="1"/>
      <c r="AC1757" s="1"/>
    </row>
    <row r="1758" spans="1:29">
      <c r="A1758" s="1"/>
      <c r="B1758" s="1"/>
      <c r="C1758" s="73"/>
      <c r="D1758" s="1"/>
      <c r="E1758" s="1"/>
      <c r="F1758" s="1"/>
      <c r="G1758" s="145"/>
      <c r="H1758" s="1"/>
      <c r="I1758" s="1"/>
      <c r="J1758" s="1"/>
      <c r="K1758" s="1"/>
      <c r="L1758" s="1"/>
      <c r="M1758" s="1"/>
      <c r="N1758" s="1"/>
      <c r="O1758" s="1"/>
      <c r="P1758" s="1"/>
      <c r="Q1758" s="3"/>
      <c r="R1758" s="4"/>
      <c r="S1758" s="4"/>
      <c r="T1758" s="1"/>
      <c r="U1758" s="6"/>
      <c r="V1758" s="1"/>
      <c r="W1758" s="1"/>
      <c r="X1758" s="1"/>
      <c r="Y1758" s="1"/>
      <c r="Z1758" s="1"/>
      <c r="AA1758" s="1"/>
      <c r="AB1758" s="1"/>
      <c r="AC1758" s="1"/>
    </row>
    <row r="1759" spans="1:29">
      <c r="A1759" s="1"/>
      <c r="B1759" s="1"/>
      <c r="C1759" s="73"/>
      <c r="D1759" s="1"/>
      <c r="E1759" s="1"/>
      <c r="F1759" s="1"/>
      <c r="G1759" s="145"/>
      <c r="H1759" s="1"/>
      <c r="I1759" s="1"/>
      <c r="J1759" s="1"/>
      <c r="K1759" s="1"/>
      <c r="L1759" s="1"/>
      <c r="M1759" s="1"/>
      <c r="N1759" s="1"/>
      <c r="O1759" s="1"/>
      <c r="P1759" s="1"/>
      <c r="Q1759" s="3"/>
      <c r="R1759" s="4"/>
      <c r="S1759" s="4"/>
      <c r="T1759" s="1"/>
      <c r="U1759" s="6"/>
      <c r="V1759" s="1"/>
      <c r="W1759" s="1"/>
      <c r="X1759" s="1"/>
      <c r="Y1759" s="1"/>
      <c r="Z1759" s="1"/>
      <c r="AA1759" s="1"/>
      <c r="AB1759" s="1"/>
      <c r="AC1759" s="1"/>
    </row>
    <row r="1760" spans="1:29">
      <c r="A1760" s="1"/>
      <c r="B1760" s="1"/>
      <c r="C1760" s="73"/>
      <c r="D1760" s="1"/>
      <c r="E1760" s="1"/>
      <c r="F1760" s="1"/>
      <c r="G1760" s="145"/>
      <c r="H1760" s="1"/>
      <c r="I1760" s="1"/>
      <c r="J1760" s="1"/>
      <c r="K1760" s="1"/>
      <c r="L1760" s="1"/>
      <c r="M1760" s="1"/>
      <c r="N1760" s="1"/>
      <c r="O1760" s="1"/>
      <c r="P1760" s="1"/>
      <c r="Q1760" s="3"/>
      <c r="R1760" s="4"/>
      <c r="S1760" s="4"/>
      <c r="T1760" s="1"/>
      <c r="U1760" s="6"/>
      <c r="V1760" s="1"/>
      <c r="W1760" s="1"/>
      <c r="X1760" s="1"/>
      <c r="Y1760" s="1"/>
      <c r="Z1760" s="1"/>
      <c r="AA1760" s="1"/>
      <c r="AB1760" s="1"/>
      <c r="AC1760" s="1"/>
    </row>
    <row r="1761" spans="1:29">
      <c r="A1761" s="1"/>
      <c r="B1761" s="1"/>
      <c r="C1761" s="73"/>
      <c r="D1761" s="1"/>
      <c r="E1761" s="1"/>
      <c r="F1761" s="1"/>
      <c r="G1761" s="145"/>
      <c r="H1761" s="1"/>
      <c r="I1761" s="1"/>
      <c r="J1761" s="1"/>
      <c r="K1761" s="1"/>
      <c r="L1761" s="1"/>
      <c r="M1761" s="1"/>
      <c r="N1761" s="1"/>
      <c r="O1761" s="1"/>
      <c r="P1761" s="1"/>
      <c r="Q1761" s="3"/>
      <c r="R1761" s="4"/>
      <c r="S1761" s="4"/>
      <c r="T1761" s="1"/>
      <c r="U1761" s="6"/>
      <c r="V1761" s="1"/>
      <c r="W1761" s="1"/>
      <c r="X1761" s="1"/>
      <c r="Y1761" s="1"/>
      <c r="Z1761" s="1"/>
      <c r="AA1761" s="1"/>
      <c r="AB1761" s="1"/>
      <c r="AC1761" s="1"/>
    </row>
    <row r="1762" spans="1:29">
      <c r="A1762" s="1"/>
      <c r="B1762" s="1"/>
      <c r="C1762" s="73"/>
      <c r="D1762" s="1"/>
      <c r="E1762" s="1"/>
      <c r="F1762" s="1"/>
      <c r="G1762" s="145"/>
      <c r="H1762" s="1"/>
      <c r="I1762" s="1"/>
      <c r="J1762" s="1"/>
      <c r="K1762" s="1"/>
      <c r="L1762" s="1"/>
      <c r="M1762" s="1"/>
      <c r="N1762" s="1"/>
      <c r="O1762" s="1"/>
      <c r="P1762" s="1"/>
      <c r="Q1762" s="3"/>
      <c r="R1762" s="4"/>
      <c r="S1762" s="4"/>
      <c r="T1762" s="1"/>
      <c r="U1762" s="6"/>
      <c r="V1762" s="1"/>
      <c r="W1762" s="1"/>
      <c r="X1762" s="1"/>
      <c r="Y1762" s="1"/>
      <c r="Z1762" s="1"/>
      <c r="AA1762" s="1"/>
      <c r="AB1762" s="1"/>
      <c r="AC1762" s="1"/>
    </row>
    <row r="1763" spans="1:29">
      <c r="A1763" s="1"/>
      <c r="B1763" s="1"/>
      <c r="C1763" s="73"/>
      <c r="D1763" s="1"/>
      <c r="E1763" s="1"/>
      <c r="F1763" s="1"/>
      <c r="G1763" s="145"/>
      <c r="H1763" s="1"/>
      <c r="I1763" s="1"/>
      <c r="J1763" s="1"/>
      <c r="K1763" s="1"/>
      <c r="L1763" s="1"/>
      <c r="M1763" s="1"/>
      <c r="N1763" s="1"/>
      <c r="O1763" s="1"/>
      <c r="P1763" s="1"/>
      <c r="Q1763" s="3"/>
      <c r="R1763" s="4"/>
      <c r="S1763" s="4"/>
      <c r="T1763" s="1"/>
      <c r="U1763" s="6"/>
      <c r="V1763" s="1"/>
      <c r="W1763" s="1"/>
      <c r="X1763" s="1"/>
      <c r="Y1763" s="1"/>
      <c r="Z1763" s="1"/>
      <c r="AA1763" s="1"/>
      <c r="AB1763" s="1"/>
      <c r="AC1763" s="1"/>
    </row>
    <row r="1764" spans="1:29">
      <c r="A1764" s="1"/>
      <c r="B1764" s="1"/>
      <c r="C1764" s="73"/>
      <c r="D1764" s="1"/>
      <c r="E1764" s="1"/>
      <c r="F1764" s="1"/>
      <c r="G1764" s="145"/>
      <c r="H1764" s="1"/>
      <c r="I1764" s="1"/>
      <c r="J1764" s="1"/>
      <c r="K1764" s="1"/>
      <c r="L1764" s="1"/>
      <c r="M1764" s="1"/>
      <c r="N1764" s="1"/>
      <c r="O1764" s="1"/>
      <c r="P1764" s="1"/>
      <c r="Q1764" s="3"/>
      <c r="R1764" s="4"/>
      <c r="S1764" s="4"/>
      <c r="T1764" s="1"/>
      <c r="U1764" s="6"/>
      <c r="V1764" s="1"/>
      <c r="W1764" s="1"/>
      <c r="X1764" s="1"/>
      <c r="Y1764" s="1"/>
      <c r="Z1764" s="1"/>
      <c r="AA1764" s="1"/>
      <c r="AB1764" s="1"/>
      <c r="AC1764" s="1"/>
    </row>
    <row r="1765" spans="1:29">
      <c r="A1765" s="1"/>
      <c r="B1765" s="1"/>
      <c r="C1765" s="73"/>
      <c r="D1765" s="1"/>
      <c r="E1765" s="1"/>
      <c r="F1765" s="1"/>
      <c r="G1765" s="145"/>
      <c r="H1765" s="1"/>
      <c r="I1765" s="1"/>
      <c r="J1765" s="1"/>
      <c r="K1765" s="1"/>
      <c r="L1765" s="1"/>
      <c r="M1765" s="1"/>
      <c r="N1765" s="1"/>
      <c r="O1765" s="1"/>
      <c r="P1765" s="1"/>
      <c r="Q1765" s="3"/>
      <c r="R1765" s="4"/>
      <c r="S1765" s="4"/>
      <c r="T1765" s="1"/>
      <c r="U1765" s="6"/>
      <c r="V1765" s="1"/>
      <c r="W1765" s="1"/>
      <c r="X1765" s="1"/>
      <c r="Y1765" s="1"/>
      <c r="Z1765" s="1"/>
      <c r="AA1765" s="1"/>
      <c r="AB1765" s="1"/>
      <c r="AC1765" s="1"/>
    </row>
    <row r="1766" spans="1:29">
      <c r="A1766" s="1"/>
      <c r="B1766" s="1"/>
      <c r="C1766" s="73"/>
      <c r="D1766" s="1"/>
      <c r="E1766" s="1"/>
      <c r="F1766" s="1"/>
      <c r="G1766" s="145"/>
      <c r="H1766" s="1"/>
      <c r="I1766" s="1"/>
      <c r="J1766" s="1"/>
      <c r="K1766" s="1"/>
      <c r="L1766" s="1"/>
      <c r="M1766" s="1"/>
      <c r="N1766" s="1"/>
      <c r="O1766" s="1"/>
      <c r="P1766" s="1"/>
      <c r="Q1766" s="3"/>
      <c r="R1766" s="4"/>
      <c r="S1766" s="4"/>
      <c r="T1766" s="1"/>
      <c r="U1766" s="6"/>
      <c r="V1766" s="1"/>
      <c r="W1766" s="1"/>
      <c r="X1766" s="1"/>
      <c r="Y1766" s="1"/>
      <c r="Z1766" s="1"/>
      <c r="AA1766" s="1"/>
      <c r="AB1766" s="1"/>
      <c r="AC1766" s="1"/>
    </row>
    <row r="1767" spans="1:29">
      <c r="A1767" s="1"/>
      <c r="B1767" s="1"/>
      <c r="C1767" s="73"/>
      <c r="D1767" s="1"/>
      <c r="E1767" s="1"/>
      <c r="F1767" s="1"/>
      <c r="G1767" s="145"/>
      <c r="H1767" s="1"/>
      <c r="I1767" s="1"/>
      <c r="J1767" s="1"/>
      <c r="K1767" s="1"/>
      <c r="L1767" s="1"/>
      <c r="M1767" s="1"/>
      <c r="N1767" s="1"/>
      <c r="O1767" s="1"/>
      <c r="P1767" s="1"/>
      <c r="Q1767" s="3"/>
      <c r="R1767" s="4"/>
      <c r="S1767" s="4"/>
      <c r="T1767" s="1"/>
      <c r="U1767" s="6"/>
      <c r="V1767" s="1"/>
      <c r="W1767" s="1"/>
      <c r="X1767" s="1"/>
      <c r="Y1767" s="1"/>
      <c r="Z1767" s="1"/>
      <c r="AA1767" s="1"/>
      <c r="AB1767" s="1"/>
      <c r="AC1767" s="1"/>
    </row>
    <row r="1768" spans="1:29">
      <c r="A1768" s="1"/>
      <c r="B1768" s="1"/>
      <c r="C1768" s="73"/>
      <c r="D1768" s="1"/>
      <c r="E1768" s="1"/>
      <c r="F1768" s="1"/>
      <c r="G1768" s="145"/>
      <c r="H1768" s="1"/>
      <c r="I1768" s="1"/>
      <c r="J1768" s="1"/>
      <c r="K1768" s="1"/>
      <c r="L1768" s="1"/>
      <c r="M1768" s="1"/>
      <c r="N1768" s="1"/>
      <c r="O1768" s="1"/>
      <c r="P1768" s="1"/>
      <c r="Q1768" s="3"/>
      <c r="R1768" s="4"/>
      <c r="S1768" s="4"/>
      <c r="T1768" s="1"/>
      <c r="U1768" s="6"/>
      <c r="V1768" s="1"/>
      <c r="W1768" s="1"/>
      <c r="X1768" s="1"/>
      <c r="Y1768" s="1"/>
      <c r="Z1768" s="1"/>
      <c r="AA1768" s="1"/>
      <c r="AB1768" s="1"/>
      <c r="AC1768" s="1"/>
    </row>
    <row r="1769" spans="1:29">
      <c r="A1769" s="1"/>
      <c r="B1769" s="1"/>
      <c r="C1769" s="73"/>
      <c r="D1769" s="1"/>
      <c r="E1769" s="1"/>
      <c r="F1769" s="1"/>
      <c r="G1769" s="145"/>
      <c r="H1769" s="1"/>
      <c r="I1769" s="1"/>
      <c r="J1769" s="1"/>
      <c r="K1769" s="1"/>
      <c r="L1769" s="1"/>
      <c r="M1769" s="1"/>
      <c r="N1769" s="1"/>
      <c r="O1769" s="1"/>
      <c r="P1769" s="1"/>
      <c r="Q1769" s="3"/>
      <c r="R1769" s="4"/>
      <c r="S1769" s="4"/>
      <c r="T1769" s="1"/>
      <c r="U1769" s="6"/>
      <c r="V1769" s="1"/>
      <c r="W1769" s="1"/>
      <c r="X1769" s="1"/>
      <c r="Y1769" s="1"/>
      <c r="Z1769" s="1"/>
      <c r="AA1769" s="1"/>
      <c r="AB1769" s="1"/>
      <c r="AC1769" s="1"/>
    </row>
    <row r="1770" spans="1:29">
      <c r="A1770" s="1"/>
      <c r="B1770" s="1"/>
      <c r="C1770" s="73"/>
      <c r="D1770" s="1"/>
      <c r="E1770" s="1"/>
      <c r="F1770" s="1"/>
      <c r="G1770" s="145"/>
      <c r="H1770" s="1"/>
      <c r="I1770" s="1"/>
      <c r="J1770" s="1"/>
      <c r="K1770" s="1"/>
      <c r="L1770" s="1"/>
      <c r="M1770" s="1"/>
      <c r="N1770" s="1"/>
      <c r="O1770" s="1"/>
      <c r="P1770" s="1"/>
      <c r="Q1770" s="3"/>
      <c r="R1770" s="4"/>
      <c r="S1770" s="4"/>
      <c r="T1770" s="1"/>
      <c r="U1770" s="6"/>
      <c r="V1770" s="1"/>
      <c r="W1770" s="1"/>
      <c r="X1770" s="1"/>
      <c r="Y1770" s="1"/>
      <c r="Z1770" s="1"/>
      <c r="AA1770" s="1"/>
      <c r="AB1770" s="1"/>
      <c r="AC1770" s="1"/>
    </row>
    <row r="1771" spans="1:29">
      <c r="A1771" s="1"/>
      <c r="B1771" s="1"/>
      <c r="C1771" s="73"/>
      <c r="D1771" s="1"/>
      <c r="E1771" s="1"/>
      <c r="F1771" s="1"/>
      <c r="G1771" s="145"/>
      <c r="H1771" s="1"/>
      <c r="I1771" s="1"/>
      <c r="J1771" s="1"/>
      <c r="K1771" s="1"/>
      <c r="L1771" s="1"/>
      <c r="M1771" s="1"/>
      <c r="N1771" s="1"/>
      <c r="O1771" s="1"/>
      <c r="P1771" s="1"/>
      <c r="Q1771" s="3"/>
      <c r="R1771" s="4"/>
      <c r="S1771" s="4"/>
      <c r="T1771" s="1"/>
      <c r="U1771" s="6"/>
      <c r="V1771" s="1"/>
      <c r="W1771" s="1"/>
      <c r="X1771" s="1"/>
      <c r="Y1771" s="1"/>
      <c r="Z1771" s="1"/>
      <c r="AA1771" s="1"/>
      <c r="AB1771" s="1"/>
      <c r="AC1771" s="1"/>
    </row>
    <row r="1772" spans="1:29">
      <c r="A1772" s="1"/>
      <c r="B1772" s="1"/>
      <c r="C1772" s="73"/>
      <c r="D1772" s="1"/>
      <c r="E1772" s="1"/>
      <c r="F1772" s="1"/>
      <c r="G1772" s="145"/>
      <c r="H1772" s="1"/>
      <c r="I1772" s="1"/>
      <c r="J1772" s="1"/>
      <c r="K1772" s="1"/>
      <c r="L1772" s="1"/>
      <c r="M1772" s="1"/>
      <c r="N1772" s="1"/>
      <c r="O1772" s="1"/>
      <c r="P1772" s="1"/>
      <c r="Q1772" s="3"/>
      <c r="R1772" s="4"/>
      <c r="S1772" s="4"/>
      <c r="T1772" s="1"/>
      <c r="U1772" s="6"/>
      <c r="V1772" s="1"/>
      <c r="W1772" s="1"/>
      <c r="X1772" s="1"/>
      <c r="Y1772" s="1"/>
      <c r="Z1772" s="1"/>
      <c r="AA1772" s="1"/>
      <c r="AB1772" s="1"/>
      <c r="AC1772" s="1"/>
    </row>
    <row r="1773" spans="1:29">
      <c r="A1773" s="1"/>
      <c r="B1773" s="1"/>
      <c r="C1773" s="73"/>
      <c r="D1773" s="1"/>
      <c r="E1773" s="1"/>
      <c r="F1773" s="1"/>
      <c r="G1773" s="145"/>
      <c r="H1773" s="1"/>
      <c r="I1773" s="1"/>
      <c r="J1773" s="1"/>
      <c r="K1773" s="1"/>
      <c r="L1773" s="1"/>
      <c r="M1773" s="1"/>
      <c r="N1773" s="1"/>
      <c r="O1773" s="1"/>
      <c r="P1773" s="1"/>
      <c r="Q1773" s="3"/>
      <c r="R1773" s="4"/>
      <c r="S1773" s="4"/>
      <c r="T1773" s="1"/>
      <c r="U1773" s="6"/>
      <c r="V1773" s="1"/>
      <c r="W1773" s="1"/>
      <c r="X1773" s="1"/>
      <c r="Y1773" s="1"/>
      <c r="Z1773" s="1"/>
      <c r="AA1773" s="1"/>
      <c r="AB1773" s="1"/>
      <c r="AC1773" s="1"/>
    </row>
    <row r="1774" spans="1:29">
      <c r="A1774" s="1"/>
      <c r="B1774" s="1"/>
      <c r="C1774" s="73"/>
      <c r="D1774" s="1"/>
      <c r="E1774" s="1"/>
      <c r="F1774" s="1"/>
      <c r="G1774" s="145"/>
      <c r="H1774" s="1"/>
      <c r="I1774" s="1"/>
      <c r="J1774" s="1"/>
      <c r="K1774" s="1"/>
      <c r="L1774" s="1"/>
      <c r="M1774" s="1"/>
      <c r="N1774" s="1"/>
      <c r="O1774" s="1"/>
      <c r="P1774" s="1"/>
      <c r="Q1774" s="3"/>
      <c r="R1774" s="4"/>
      <c r="S1774" s="4"/>
      <c r="T1774" s="1"/>
      <c r="U1774" s="6"/>
      <c r="V1774" s="1"/>
      <c r="W1774" s="1"/>
      <c r="X1774" s="1"/>
      <c r="Y1774" s="1"/>
      <c r="Z1774" s="1"/>
      <c r="AA1774" s="1"/>
      <c r="AB1774" s="1"/>
      <c r="AC1774" s="1"/>
    </row>
    <row r="1775" spans="1:29">
      <c r="A1775" s="1"/>
      <c r="B1775" s="1"/>
      <c r="C1775" s="73"/>
      <c r="D1775" s="1"/>
      <c r="E1775" s="1"/>
      <c r="F1775" s="1"/>
      <c r="G1775" s="145"/>
      <c r="H1775" s="1"/>
      <c r="I1775" s="1"/>
      <c r="J1775" s="1"/>
      <c r="K1775" s="1"/>
      <c r="L1775" s="1"/>
      <c r="M1775" s="1"/>
      <c r="N1775" s="1"/>
      <c r="O1775" s="1"/>
      <c r="P1775" s="1"/>
      <c r="Q1775" s="3"/>
      <c r="R1775" s="4"/>
      <c r="S1775" s="4"/>
      <c r="T1775" s="1"/>
      <c r="U1775" s="6"/>
      <c r="V1775" s="1"/>
      <c r="W1775" s="1"/>
      <c r="X1775" s="1"/>
      <c r="Y1775" s="1"/>
      <c r="Z1775" s="1"/>
      <c r="AA1775" s="1"/>
      <c r="AB1775" s="1"/>
      <c r="AC1775" s="1"/>
    </row>
    <row r="1776" spans="1:29">
      <c r="A1776" s="1"/>
      <c r="B1776" s="1"/>
      <c r="C1776" s="73"/>
      <c r="D1776" s="1"/>
      <c r="E1776" s="1"/>
      <c r="F1776" s="1"/>
      <c r="G1776" s="145"/>
      <c r="H1776" s="1"/>
      <c r="I1776" s="1"/>
      <c r="J1776" s="1"/>
      <c r="K1776" s="1"/>
      <c r="L1776" s="1"/>
      <c r="M1776" s="1"/>
      <c r="N1776" s="1"/>
      <c r="O1776" s="1"/>
      <c r="P1776" s="1"/>
      <c r="Q1776" s="3"/>
      <c r="R1776" s="4"/>
      <c r="S1776" s="4"/>
      <c r="T1776" s="1"/>
      <c r="U1776" s="6"/>
      <c r="V1776" s="1"/>
      <c r="W1776" s="1"/>
      <c r="X1776" s="1"/>
      <c r="Y1776" s="1"/>
      <c r="Z1776" s="1"/>
      <c r="AA1776" s="1"/>
      <c r="AB1776" s="1"/>
      <c r="AC1776" s="1"/>
    </row>
    <row r="1777" spans="1:29">
      <c r="A1777" s="1"/>
      <c r="B1777" s="1"/>
      <c r="C1777" s="73"/>
      <c r="D1777" s="1"/>
      <c r="E1777" s="1"/>
      <c r="F1777" s="1"/>
      <c r="G1777" s="145"/>
      <c r="H1777" s="1"/>
      <c r="I1777" s="1"/>
      <c r="J1777" s="1"/>
      <c r="K1777" s="1"/>
      <c r="L1777" s="1"/>
      <c r="M1777" s="1"/>
      <c r="N1777" s="1"/>
      <c r="O1777" s="1"/>
      <c r="P1777" s="1"/>
      <c r="Q1777" s="3"/>
      <c r="R1777" s="4"/>
      <c r="S1777" s="4"/>
      <c r="T1777" s="1"/>
      <c r="U1777" s="6"/>
      <c r="V1777" s="1"/>
      <c r="W1777" s="1"/>
      <c r="X1777" s="1"/>
      <c r="Y1777" s="1"/>
      <c r="Z1777" s="1"/>
      <c r="AA1777" s="1"/>
      <c r="AB1777" s="1"/>
      <c r="AC1777" s="1"/>
    </row>
    <row r="1778" spans="1:29">
      <c r="A1778" s="1"/>
      <c r="B1778" s="1"/>
      <c r="C1778" s="73"/>
      <c r="D1778" s="1"/>
      <c r="E1778" s="1"/>
      <c r="F1778" s="1"/>
      <c r="G1778" s="145"/>
      <c r="H1778" s="1"/>
      <c r="I1778" s="1"/>
      <c r="J1778" s="1"/>
      <c r="K1778" s="1"/>
      <c r="L1778" s="1"/>
      <c r="M1778" s="1"/>
      <c r="N1778" s="1"/>
      <c r="O1778" s="1"/>
      <c r="P1778" s="1"/>
      <c r="Q1778" s="3"/>
      <c r="R1778" s="4"/>
      <c r="S1778" s="4"/>
      <c r="T1778" s="1"/>
      <c r="U1778" s="6"/>
      <c r="V1778" s="1"/>
      <c r="W1778" s="1"/>
      <c r="X1778" s="1"/>
      <c r="Y1778" s="1"/>
      <c r="Z1778" s="1"/>
      <c r="AA1778" s="1"/>
      <c r="AB1778" s="1"/>
      <c r="AC1778" s="1"/>
    </row>
    <row r="1779" spans="1:29">
      <c r="A1779" s="1"/>
      <c r="B1779" s="1"/>
      <c r="C1779" s="73"/>
      <c r="D1779" s="1"/>
      <c r="E1779" s="1"/>
      <c r="F1779" s="1"/>
      <c r="G1779" s="145"/>
      <c r="H1779" s="1"/>
      <c r="I1779" s="1"/>
      <c r="J1779" s="1"/>
      <c r="K1779" s="1"/>
      <c r="L1779" s="1"/>
      <c r="M1779" s="1"/>
      <c r="N1779" s="1"/>
      <c r="O1779" s="1"/>
      <c r="P1779" s="1"/>
      <c r="Q1779" s="3"/>
      <c r="R1779" s="4"/>
      <c r="S1779" s="4"/>
      <c r="T1779" s="1"/>
      <c r="U1779" s="6"/>
      <c r="V1779" s="1"/>
      <c r="W1779" s="1"/>
      <c r="X1779" s="1"/>
      <c r="Y1779" s="1"/>
      <c r="Z1779" s="1"/>
      <c r="AA1779" s="1"/>
      <c r="AB1779" s="1"/>
      <c r="AC1779" s="1"/>
    </row>
    <row r="1780" spans="1:29">
      <c r="A1780" s="1"/>
      <c r="B1780" s="1"/>
      <c r="C1780" s="73"/>
      <c r="D1780" s="1"/>
      <c r="E1780" s="1"/>
      <c r="F1780" s="1"/>
      <c r="G1780" s="145"/>
      <c r="H1780" s="1"/>
      <c r="I1780" s="1"/>
      <c r="J1780" s="1"/>
      <c r="K1780" s="1"/>
      <c r="L1780" s="1"/>
      <c r="M1780" s="1"/>
      <c r="N1780" s="1"/>
      <c r="O1780" s="1"/>
      <c r="P1780" s="1"/>
      <c r="Q1780" s="3"/>
      <c r="R1780" s="4"/>
      <c r="S1780" s="4"/>
      <c r="T1780" s="1"/>
      <c r="U1780" s="6"/>
      <c r="V1780" s="1"/>
      <c r="W1780" s="1"/>
      <c r="X1780" s="1"/>
      <c r="Y1780" s="1"/>
      <c r="Z1780" s="1"/>
      <c r="AA1780" s="1"/>
      <c r="AB1780" s="1"/>
      <c r="AC1780" s="1"/>
    </row>
    <row r="1781" spans="1:29">
      <c r="A1781" s="1"/>
      <c r="B1781" s="1"/>
      <c r="C1781" s="73"/>
      <c r="D1781" s="1"/>
      <c r="E1781" s="1"/>
      <c r="F1781" s="1"/>
      <c r="G1781" s="145"/>
      <c r="H1781" s="1"/>
      <c r="I1781" s="1"/>
      <c r="J1781" s="1"/>
      <c r="K1781" s="1"/>
      <c r="L1781" s="1"/>
      <c r="M1781" s="1"/>
      <c r="N1781" s="1"/>
      <c r="O1781" s="1"/>
      <c r="P1781" s="1"/>
      <c r="Q1781" s="3"/>
      <c r="R1781" s="4"/>
      <c r="S1781" s="4"/>
      <c r="T1781" s="1"/>
      <c r="U1781" s="6"/>
      <c r="V1781" s="1"/>
      <c r="W1781" s="1"/>
      <c r="X1781" s="1"/>
      <c r="Y1781" s="1"/>
      <c r="Z1781" s="1"/>
      <c r="AA1781" s="1"/>
      <c r="AB1781" s="1"/>
      <c r="AC1781" s="1"/>
    </row>
    <row r="1782" spans="1:29">
      <c r="A1782" s="1"/>
      <c r="B1782" s="1"/>
      <c r="C1782" s="73"/>
      <c r="D1782" s="1"/>
      <c r="E1782" s="1"/>
      <c r="F1782" s="1"/>
      <c r="G1782" s="145"/>
      <c r="H1782" s="1"/>
      <c r="I1782" s="1"/>
      <c r="J1782" s="1"/>
      <c r="K1782" s="1"/>
      <c r="L1782" s="1"/>
      <c r="M1782" s="1"/>
      <c r="N1782" s="1"/>
      <c r="O1782" s="1"/>
      <c r="P1782" s="1"/>
      <c r="Q1782" s="3"/>
      <c r="R1782" s="4"/>
      <c r="S1782" s="4"/>
      <c r="T1782" s="1"/>
      <c r="U1782" s="6"/>
      <c r="V1782" s="1"/>
      <c r="W1782" s="1"/>
      <c r="X1782" s="1"/>
      <c r="Y1782" s="1"/>
      <c r="Z1782" s="1"/>
      <c r="AA1782" s="1"/>
      <c r="AB1782" s="1"/>
      <c r="AC1782" s="1"/>
    </row>
    <row r="1783" spans="1:29">
      <c r="A1783" s="1"/>
      <c r="B1783" s="1"/>
      <c r="C1783" s="73"/>
      <c r="D1783" s="1"/>
      <c r="E1783" s="1"/>
      <c r="F1783" s="1"/>
      <c r="G1783" s="145"/>
      <c r="H1783" s="1"/>
      <c r="I1783" s="1"/>
      <c r="J1783" s="1"/>
      <c r="K1783" s="1"/>
      <c r="L1783" s="1"/>
      <c r="M1783" s="1"/>
      <c r="N1783" s="1"/>
      <c r="O1783" s="1"/>
      <c r="P1783" s="1"/>
      <c r="Q1783" s="3"/>
      <c r="R1783" s="4"/>
      <c r="S1783" s="4"/>
      <c r="T1783" s="1"/>
      <c r="U1783" s="6"/>
      <c r="V1783" s="1"/>
      <c r="W1783" s="1"/>
      <c r="X1783" s="1"/>
      <c r="Y1783" s="1"/>
      <c r="Z1783" s="1"/>
      <c r="AA1783" s="1"/>
      <c r="AB1783" s="1"/>
      <c r="AC1783" s="1"/>
    </row>
    <row r="1784" spans="1:29">
      <c r="A1784" s="1"/>
      <c r="B1784" s="1"/>
      <c r="C1784" s="73"/>
      <c r="D1784" s="1"/>
      <c r="E1784" s="1"/>
      <c r="F1784" s="1"/>
      <c r="G1784" s="145"/>
      <c r="H1784" s="1"/>
      <c r="I1784" s="1"/>
      <c r="J1784" s="1"/>
      <c r="K1784" s="1"/>
      <c r="L1784" s="1"/>
      <c r="M1784" s="1"/>
      <c r="N1784" s="1"/>
      <c r="O1784" s="1"/>
      <c r="P1784" s="1"/>
      <c r="Q1784" s="3"/>
      <c r="R1784" s="4"/>
      <c r="S1784" s="4"/>
      <c r="T1784" s="1"/>
      <c r="U1784" s="6"/>
      <c r="V1784" s="1"/>
      <c r="W1784" s="1"/>
      <c r="X1784" s="1"/>
      <c r="Y1784" s="1"/>
      <c r="Z1784" s="1"/>
      <c r="AA1784" s="1"/>
      <c r="AB1784" s="1"/>
      <c r="AC1784" s="1"/>
    </row>
    <row r="1785" spans="1:29">
      <c r="A1785" s="1"/>
      <c r="B1785" s="1"/>
      <c r="C1785" s="73"/>
      <c r="D1785" s="1"/>
      <c r="E1785" s="1"/>
      <c r="F1785" s="1"/>
      <c r="G1785" s="145"/>
      <c r="H1785" s="1"/>
      <c r="I1785" s="1"/>
      <c r="J1785" s="1"/>
      <c r="K1785" s="1"/>
      <c r="L1785" s="1"/>
      <c r="M1785" s="1"/>
      <c r="N1785" s="1"/>
      <c r="O1785" s="1"/>
      <c r="P1785" s="1"/>
      <c r="Q1785" s="3"/>
      <c r="R1785" s="4"/>
      <c r="S1785" s="4"/>
      <c r="T1785" s="1"/>
      <c r="U1785" s="6"/>
      <c r="V1785" s="1"/>
      <c r="W1785" s="1"/>
      <c r="X1785" s="1"/>
      <c r="Y1785" s="1"/>
      <c r="Z1785" s="1"/>
      <c r="AA1785" s="1"/>
      <c r="AB1785" s="1"/>
      <c r="AC1785" s="1"/>
    </row>
    <row r="1786" spans="1:29">
      <c r="A1786" s="1"/>
      <c r="B1786" s="1"/>
      <c r="C1786" s="73"/>
      <c r="D1786" s="1"/>
      <c r="E1786" s="1"/>
      <c r="F1786" s="1"/>
      <c r="G1786" s="145"/>
      <c r="H1786" s="1"/>
      <c r="I1786" s="1"/>
      <c r="J1786" s="1"/>
      <c r="K1786" s="1"/>
      <c r="L1786" s="1"/>
      <c r="M1786" s="1"/>
      <c r="N1786" s="1"/>
      <c r="O1786" s="1"/>
      <c r="P1786" s="1"/>
      <c r="Q1786" s="3"/>
      <c r="R1786" s="4"/>
      <c r="S1786" s="4"/>
      <c r="T1786" s="1"/>
      <c r="U1786" s="6"/>
      <c r="V1786" s="1"/>
      <c r="W1786" s="1"/>
      <c r="X1786" s="1"/>
      <c r="Y1786" s="1"/>
      <c r="Z1786" s="1"/>
      <c r="AA1786" s="1"/>
      <c r="AB1786" s="1"/>
      <c r="AC1786" s="1"/>
    </row>
    <row r="1787" spans="1:29">
      <c r="A1787" s="1"/>
      <c r="B1787" s="1"/>
      <c r="C1787" s="73"/>
      <c r="D1787" s="1"/>
      <c r="E1787" s="1"/>
      <c r="F1787" s="1"/>
      <c r="G1787" s="145"/>
      <c r="H1787" s="1"/>
      <c r="I1787" s="1"/>
      <c r="J1787" s="1"/>
      <c r="K1787" s="1"/>
      <c r="L1787" s="1"/>
      <c r="M1787" s="1"/>
      <c r="N1787" s="1"/>
      <c r="O1787" s="1"/>
      <c r="P1787" s="1"/>
      <c r="Q1787" s="3"/>
      <c r="R1787" s="4"/>
      <c r="S1787" s="4"/>
      <c r="T1787" s="1"/>
      <c r="U1787" s="6"/>
      <c r="V1787" s="1"/>
      <c r="W1787" s="1"/>
      <c r="X1787" s="1"/>
      <c r="Y1787" s="1"/>
      <c r="Z1787" s="1"/>
      <c r="AA1787" s="1"/>
      <c r="AB1787" s="1"/>
      <c r="AC1787" s="1"/>
    </row>
    <row r="1788" spans="1:29">
      <c r="A1788" s="1"/>
      <c r="B1788" s="1"/>
      <c r="C1788" s="73"/>
      <c r="D1788" s="1"/>
      <c r="E1788" s="1"/>
      <c r="F1788" s="1"/>
      <c r="G1788" s="145"/>
      <c r="H1788" s="1"/>
      <c r="I1788" s="1"/>
      <c r="J1788" s="1"/>
      <c r="K1788" s="1"/>
      <c r="L1788" s="1"/>
      <c r="M1788" s="1"/>
      <c r="N1788" s="1"/>
      <c r="O1788" s="1"/>
      <c r="P1788" s="1"/>
      <c r="Q1788" s="3"/>
      <c r="R1788" s="4"/>
      <c r="S1788" s="4"/>
      <c r="T1788" s="1"/>
      <c r="U1788" s="6"/>
      <c r="V1788" s="1"/>
      <c r="W1788" s="1"/>
      <c r="X1788" s="1"/>
      <c r="Y1788" s="1"/>
      <c r="Z1788" s="1"/>
      <c r="AA1788" s="1"/>
      <c r="AB1788" s="1"/>
      <c r="AC1788" s="1"/>
    </row>
    <row r="1789" spans="1:29">
      <c r="A1789" s="1"/>
      <c r="B1789" s="1"/>
      <c r="C1789" s="73"/>
      <c r="D1789" s="1"/>
      <c r="E1789" s="1"/>
      <c r="F1789" s="1"/>
      <c r="G1789" s="145"/>
      <c r="H1789" s="1"/>
      <c r="I1789" s="1"/>
      <c r="J1789" s="1"/>
      <c r="K1789" s="1"/>
      <c r="L1789" s="1"/>
      <c r="M1789" s="1"/>
      <c r="N1789" s="1"/>
      <c r="O1789" s="1"/>
      <c r="P1789" s="1"/>
      <c r="Q1789" s="3"/>
      <c r="R1789" s="4"/>
      <c r="S1789" s="4"/>
      <c r="T1789" s="1"/>
      <c r="U1789" s="6"/>
      <c r="V1789" s="1"/>
      <c r="W1789" s="1"/>
      <c r="X1789" s="1"/>
      <c r="Y1789" s="1"/>
      <c r="Z1789" s="1"/>
      <c r="AA1789" s="1"/>
      <c r="AB1789" s="1"/>
      <c r="AC1789" s="1"/>
    </row>
    <row r="1790" spans="1:29">
      <c r="A1790" s="1"/>
      <c r="B1790" s="1"/>
      <c r="C1790" s="73"/>
      <c r="D1790" s="1"/>
      <c r="E1790" s="1"/>
      <c r="F1790" s="1"/>
      <c r="G1790" s="145"/>
      <c r="H1790" s="1"/>
      <c r="I1790" s="1"/>
      <c r="J1790" s="1"/>
      <c r="K1790" s="1"/>
      <c r="L1790" s="1"/>
      <c r="M1790" s="1"/>
      <c r="N1790" s="1"/>
      <c r="O1790" s="1"/>
      <c r="P1790" s="1"/>
      <c r="Q1790" s="3"/>
      <c r="R1790" s="4"/>
      <c r="S1790" s="4"/>
      <c r="T1790" s="1"/>
      <c r="U1790" s="6"/>
      <c r="V1790" s="1"/>
      <c r="W1790" s="1"/>
      <c r="X1790" s="1"/>
      <c r="Y1790" s="1"/>
      <c r="Z1790" s="1"/>
      <c r="AA1790" s="1"/>
      <c r="AB1790" s="1"/>
      <c r="AC1790" s="1"/>
    </row>
    <row r="1791" spans="1:29">
      <c r="A1791" s="1"/>
      <c r="B1791" s="1"/>
      <c r="C1791" s="73"/>
      <c r="D1791" s="1"/>
      <c r="E1791" s="1"/>
      <c r="F1791" s="1"/>
      <c r="G1791" s="145"/>
      <c r="H1791" s="1"/>
      <c r="I1791" s="1"/>
      <c r="J1791" s="1"/>
      <c r="K1791" s="1"/>
      <c r="L1791" s="1"/>
      <c r="M1791" s="1"/>
      <c r="N1791" s="1"/>
      <c r="O1791" s="1"/>
      <c r="P1791" s="1"/>
      <c r="Q1791" s="3"/>
      <c r="R1791" s="4"/>
      <c r="S1791" s="4"/>
      <c r="T1791" s="1"/>
      <c r="U1791" s="6"/>
      <c r="V1791" s="1"/>
      <c r="W1791" s="1"/>
      <c r="X1791" s="1"/>
      <c r="Y1791" s="1"/>
      <c r="Z1791" s="1"/>
      <c r="AA1791" s="1"/>
      <c r="AB1791" s="1"/>
      <c r="AC1791" s="1"/>
    </row>
    <row r="1792" spans="1:29">
      <c r="A1792" s="1"/>
      <c r="B1792" s="1"/>
      <c r="C1792" s="73"/>
      <c r="D1792" s="1"/>
      <c r="E1792" s="1"/>
      <c r="F1792" s="1"/>
      <c r="G1792" s="145"/>
      <c r="H1792" s="1"/>
      <c r="I1792" s="1"/>
      <c r="J1792" s="1"/>
      <c r="K1792" s="1"/>
      <c r="L1792" s="1"/>
      <c r="M1792" s="1"/>
      <c r="N1792" s="1"/>
      <c r="O1792" s="1"/>
      <c r="P1792" s="1"/>
      <c r="Q1792" s="3"/>
      <c r="R1792" s="4"/>
      <c r="S1792" s="4"/>
      <c r="T1792" s="1"/>
      <c r="U1792" s="6"/>
      <c r="V1792" s="1"/>
      <c r="W1792" s="1"/>
      <c r="X1792" s="1"/>
      <c r="Y1792" s="1"/>
      <c r="Z1792" s="1"/>
      <c r="AA1792" s="1"/>
      <c r="AB1792" s="1"/>
      <c r="AC1792" s="1"/>
    </row>
    <row r="1793" spans="1:29">
      <c r="A1793" s="1"/>
      <c r="B1793" s="1"/>
      <c r="C1793" s="73"/>
      <c r="D1793" s="1"/>
      <c r="E1793" s="1"/>
      <c r="F1793" s="1"/>
      <c r="G1793" s="145"/>
      <c r="H1793" s="1"/>
      <c r="I1793" s="1"/>
      <c r="J1793" s="1"/>
      <c r="K1793" s="1"/>
      <c r="L1793" s="1"/>
      <c r="M1793" s="1"/>
      <c r="N1793" s="1"/>
      <c r="O1793" s="1"/>
      <c r="P1793" s="1"/>
      <c r="Q1793" s="3"/>
      <c r="R1793" s="4"/>
      <c r="S1793" s="4"/>
      <c r="T1793" s="1"/>
      <c r="U1793" s="6"/>
      <c r="V1793" s="1"/>
      <c r="W1793" s="1"/>
      <c r="X1793" s="1"/>
      <c r="Y1793" s="1"/>
      <c r="Z1793" s="1"/>
      <c r="AA1793" s="1"/>
      <c r="AB1793" s="1"/>
      <c r="AC1793" s="1"/>
    </row>
    <row r="1794" spans="1:29">
      <c r="A1794" s="1"/>
      <c r="B1794" s="1"/>
      <c r="C1794" s="73"/>
      <c r="D1794" s="1"/>
      <c r="E1794" s="1"/>
      <c r="F1794" s="1"/>
      <c r="G1794" s="145"/>
      <c r="H1794" s="1"/>
      <c r="I1794" s="1"/>
      <c r="J1794" s="1"/>
      <c r="K1794" s="1"/>
      <c r="L1794" s="1"/>
      <c r="M1794" s="1"/>
      <c r="N1794" s="1"/>
      <c r="O1794" s="1"/>
      <c r="P1794" s="1"/>
      <c r="Q1794" s="3"/>
      <c r="R1794" s="4"/>
      <c r="S1794" s="4"/>
      <c r="T1794" s="1"/>
      <c r="U1794" s="6"/>
      <c r="V1794" s="1"/>
      <c r="W1794" s="1"/>
      <c r="X1794" s="1"/>
      <c r="Y1794" s="1"/>
      <c r="Z1794" s="1"/>
      <c r="AA1794" s="1"/>
      <c r="AB1794" s="1"/>
      <c r="AC1794" s="1"/>
    </row>
    <row r="1795" spans="1:29">
      <c r="A1795" s="1"/>
      <c r="B1795" s="1"/>
      <c r="C1795" s="73"/>
      <c r="D1795" s="1"/>
      <c r="E1795" s="1"/>
      <c r="F1795" s="1"/>
      <c r="G1795" s="145"/>
      <c r="H1795" s="1"/>
      <c r="I1795" s="1"/>
      <c r="J1795" s="1"/>
      <c r="K1795" s="1"/>
      <c r="L1795" s="1"/>
      <c r="M1795" s="1"/>
      <c r="N1795" s="1"/>
      <c r="O1795" s="1"/>
      <c r="P1795" s="1"/>
      <c r="Q1795" s="3"/>
      <c r="R1795" s="4"/>
      <c r="S1795" s="4"/>
      <c r="T1795" s="1"/>
      <c r="U1795" s="6"/>
      <c r="V1795" s="1"/>
      <c r="W1795" s="1"/>
      <c r="X1795" s="1"/>
      <c r="Y1795" s="1"/>
      <c r="Z1795" s="1"/>
      <c r="AA1795" s="1"/>
      <c r="AB1795" s="1"/>
      <c r="AC1795" s="1"/>
    </row>
    <row r="1796" spans="1:29">
      <c r="A1796" s="1"/>
      <c r="B1796" s="1"/>
      <c r="C1796" s="73"/>
      <c r="D1796" s="1"/>
      <c r="E1796" s="1"/>
      <c r="F1796" s="1"/>
      <c r="G1796" s="145"/>
      <c r="H1796" s="1"/>
      <c r="I1796" s="1"/>
      <c r="J1796" s="1"/>
      <c r="K1796" s="1"/>
      <c r="L1796" s="1"/>
      <c r="M1796" s="1"/>
      <c r="N1796" s="1"/>
      <c r="O1796" s="1"/>
      <c r="P1796" s="1"/>
      <c r="Q1796" s="3"/>
      <c r="R1796" s="4"/>
      <c r="S1796" s="4"/>
      <c r="T1796" s="1"/>
      <c r="U1796" s="6"/>
      <c r="V1796" s="1"/>
      <c r="W1796" s="1"/>
      <c r="X1796" s="1"/>
      <c r="Y1796" s="1"/>
      <c r="Z1796" s="1"/>
      <c r="AA1796" s="1"/>
      <c r="AB1796" s="1"/>
      <c r="AC1796" s="1"/>
    </row>
    <row r="1797" spans="1:29">
      <c r="A1797" s="1"/>
      <c r="B1797" s="1"/>
      <c r="C1797" s="73"/>
      <c r="D1797" s="1"/>
      <c r="E1797" s="1"/>
      <c r="F1797" s="1"/>
      <c r="G1797" s="145"/>
      <c r="H1797" s="1"/>
      <c r="I1797" s="1"/>
      <c r="J1797" s="1"/>
      <c r="K1797" s="1"/>
      <c r="L1797" s="1"/>
      <c r="M1797" s="1"/>
      <c r="N1797" s="1"/>
      <c r="O1797" s="1"/>
      <c r="P1797" s="1"/>
      <c r="Q1797" s="3"/>
      <c r="R1797" s="4"/>
      <c r="S1797" s="4"/>
      <c r="T1797" s="1"/>
      <c r="U1797" s="6"/>
      <c r="V1797" s="1"/>
      <c r="W1797" s="1"/>
      <c r="X1797" s="1"/>
      <c r="Y1797" s="1"/>
      <c r="Z1797" s="1"/>
      <c r="AA1797" s="1"/>
      <c r="AB1797" s="1"/>
      <c r="AC1797" s="1"/>
    </row>
    <row r="1798" spans="1:29">
      <c r="A1798" s="1"/>
      <c r="B1798" s="1"/>
      <c r="C1798" s="73"/>
      <c r="D1798" s="1"/>
      <c r="E1798" s="1"/>
      <c r="F1798" s="1"/>
      <c r="G1798" s="145"/>
      <c r="H1798" s="1"/>
      <c r="I1798" s="1"/>
      <c r="J1798" s="1"/>
      <c r="K1798" s="1"/>
      <c r="L1798" s="1"/>
      <c r="M1798" s="1"/>
      <c r="N1798" s="1"/>
      <c r="O1798" s="1"/>
      <c r="P1798" s="1"/>
      <c r="Q1798" s="3"/>
      <c r="R1798" s="4"/>
      <c r="S1798" s="4"/>
      <c r="T1798" s="1"/>
      <c r="U1798" s="6"/>
      <c r="V1798" s="1"/>
      <c r="W1798" s="1"/>
      <c r="X1798" s="1"/>
      <c r="Y1798" s="1"/>
      <c r="Z1798" s="1"/>
      <c r="AA1798" s="1"/>
      <c r="AB1798" s="1"/>
      <c r="AC1798" s="1"/>
    </row>
    <row r="1799" spans="1:29">
      <c r="A1799" s="1"/>
      <c r="B1799" s="1"/>
      <c r="C1799" s="73"/>
      <c r="D1799" s="1"/>
      <c r="E1799" s="1"/>
      <c r="F1799" s="1"/>
      <c r="G1799" s="145"/>
      <c r="H1799" s="1"/>
      <c r="I1799" s="1"/>
      <c r="J1799" s="1"/>
      <c r="K1799" s="1"/>
      <c r="L1799" s="1"/>
      <c r="M1799" s="1"/>
      <c r="N1799" s="1"/>
      <c r="O1799" s="1"/>
      <c r="P1799" s="1"/>
      <c r="Q1799" s="3"/>
      <c r="R1799" s="4"/>
      <c r="S1799" s="4"/>
      <c r="T1799" s="1"/>
      <c r="U1799" s="6"/>
      <c r="V1799" s="1"/>
      <c r="W1799" s="1"/>
      <c r="X1799" s="1"/>
      <c r="Y1799" s="1"/>
      <c r="Z1799" s="1"/>
      <c r="AA1799" s="1"/>
      <c r="AB1799" s="1"/>
      <c r="AC1799" s="1"/>
    </row>
    <row r="1800" spans="1:29">
      <c r="A1800" s="1"/>
      <c r="B1800" s="1"/>
      <c r="C1800" s="73"/>
      <c r="D1800" s="1"/>
      <c r="E1800" s="1"/>
      <c r="F1800" s="1"/>
      <c r="G1800" s="145"/>
      <c r="H1800" s="1"/>
      <c r="I1800" s="1"/>
      <c r="J1800" s="1"/>
      <c r="K1800" s="1"/>
      <c r="L1800" s="1"/>
      <c r="M1800" s="1"/>
      <c r="N1800" s="1"/>
      <c r="O1800" s="1"/>
      <c r="P1800" s="1"/>
      <c r="Q1800" s="3"/>
      <c r="R1800" s="4"/>
      <c r="S1800" s="4"/>
      <c r="T1800" s="1"/>
      <c r="U1800" s="6"/>
      <c r="V1800" s="1"/>
      <c r="W1800" s="1"/>
      <c r="X1800" s="1"/>
      <c r="Y1800" s="1"/>
      <c r="Z1800" s="1"/>
      <c r="AA1800" s="1"/>
      <c r="AB1800" s="1"/>
      <c r="AC1800" s="1"/>
    </row>
    <row r="1801" spans="1:29">
      <c r="A1801" s="1"/>
      <c r="B1801" s="1"/>
      <c r="C1801" s="73"/>
      <c r="D1801" s="1"/>
      <c r="E1801" s="1"/>
      <c r="F1801" s="1"/>
      <c r="G1801" s="145"/>
      <c r="H1801" s="1"/>
      <c r="I1801" s="1"/>
      <c r="J1801" s="1"/>
      <c r="K1801" s="1"/>
      <c r="L1801" s="1"/>
      <c r="M1801" s="1"/>
      <c r="N1801" s="1"/>
      <c r="O1801" s="1"/>
      <c r="P1801" s="1"/>
      <c r="Q1801" s="3"/>
      <c r="R1801" s="4"/>
      <c r="S1801" s="4"/>
      <c r="T1801" s="1"/>
      <c r="U1801" s="6"/>
      <c r="V1801" s="1"/>
      <c r="W1801" s="1"/>
      <c r="X1801" s="1"/>
      <c r="Y1801" s="1"/>
      <c r="Z1801" s="1"/>
      <c r="AA1801" s="1"/>
      <c r="AB1801" s="1"/>
      <c r="AC1801" s="1"/>
    </row>
    <row r="1802" spans="1:29">
      <c r="A1802" s="1"/>
      <c r="B1802" s="1"/>
      <c r="C1802" s="73"/>
      <c r="D1802" s="1"/>
      <c r="E1802" s="1"/>
      <c r="F1802" s="1"/>
      <c r="G1802" s="145"/>
      <c r="H1802" s="1"/>
      <c r="I1802" s="1"/>
      <c r="J1802" s="1"/>
      <c r="K1802" s="1"/>
      <c r="L1802" s="1"/>
      <c r="M1802" s="1"/>
      <c r="N1802" s="1"/>
      <c r="O1802" s="1"/>
      <c r="P1802" s="1"/>
      <c r="Q1802" s="3"/>
      <c r="R1802" s="4"/>
      <c r="S1802" s="4"/>
      <c r="T1802" s="1"/>
      <c r="U1802" s="6"/>
      <c r="V1802" s="1"/>
      <c r="W1802" s="1"/>
      <c r="X1802" s="1"/>
      <c r="Y1802" s="1"/>
      <c r="Z1802" s="1"/>
      <c r="AA1802" s="1"/>
      <c r="AB1802" s="1"/>
      <c r="AC1802" s="1"/>
    </row>
    <row r="1803" spans="1:29">
      <c r="A1803" s="1"/>
      <c r="B1803" s="1"/>
      <c r="C1803" s="73"/>
      <c r="D1803" s="1"/>
      <c r="E1803" s="1"/>
      <c r="F1803" s="1"/>
      <c r="G1803" s="145"/>
      <c r="H1803" s="1"/>
      <c r="I1803" s="1"/>
      <c r="J1803" s="1"/>
      <c r="K1803" s="1"/>
      <c r="L1803" s="1"/>
      <c r="M1803" s="1"/>
      <c r="N1803" s="1"/>
      <c r="O1803" s="1"/>
      <c r="P1803" s="1"/>
      <c r="Q1803" s="3"/>
      <c r="R1803" s="4"/>
      <c r="S1803" s="4"/>
      <c r="T1803" s="1"/>
      <c r="U1803" s="6"/>
      <c r="V1803" s="1"/>
      <c r="W1803" s="1"/>
      <c r="X1803" s="1"/>
      <c r="Y1803" s="1"/>
      <c r="Z1803" s="1"/>
      <c r="AA1803" s="1"/>
      <c r="AB1803" s="1"/>
      <c r="AC1803" s="1"/>
    </row>
    <row r="1804" spans="1:29">
      <c r="A1804" s="1"/>
      <c r="B1804" s="1"/>
      <c r="C1804" s="73"/>
      <c r="D1804" s="1"/>
      <c r="E1804" s="1"/>
      <c r="F1804" s="1"/>
      <c r="G1804" s="145"/>
      <c r="H1804" s="1"/>
      <c r="I1804" s="1"/>
      <c r="J1804" s="1"/>
      <c r="K1804" s="1"/>
      <c r="L1804" s="1"/>
      <c r="M1804" s="1"/>
      <c r="N1804" s="1"/>
      <c r="O1804" s="1"/>
      <c r="P1804" s="1"/>
      <c r="Q1804" s="3"/>
      <c r="R1804" s="4"/>
      <c r="S1804" s="4"/>
      <c r="T1804" s="1"/>
      <c r="U1804" s="6"/>
      <c r="V1804" s="1"/>
      <c r="W1804" s="1"/>
      <c r="X1804" s="1"/>
      <c r="Y1804" s="1"/>
      <c r="Z1804" s="1"/>
      <c r="AA1804" s="1"/>
      <c r="AB1804" s="1"/>
      <c r="AC1804" s="1"/>
    </row>
    <row r="1805" spans="1:29">
      <c r="A1805" s="1"/>
      <c r="B1805" s="1"/>
      <c r="C1805" s="73"/>
      <c r="D1805" s="1"/>
      <c r="E1805" s="1"/>
      <c r="F1805" s="1"/>
      <c r="G1805" s="145"/>
      <c r="H1805" s="1"/>
      <c r="I1805" s="1"/>
      <c r="J1805" s="1"/>
      <c r="K1805" s="1"/>
      <c r="L1805" s="1"/>
      <c r="M1805" s="1"/>
      <c r="N1805" s="1"/>
      <c r="O1805" s="1"/>
      <c r="P1805" s="1"/>
      <c r="Q1805" s="3"/>
      <c r="R1805" s="4"/>
      <c r="S1805" s="4"/>
      <c r="T1805" s="1"/>
      <c r="U1805" s="6"/>
      <c r="V1805" s="1"/>
      <c r="W1805" s="1"/>
      <c r="X1805" s="1"/>
      <c r="Y1805" s="1"/>
      <c r="Z1805" s="1"/>
      <c r="AA1805" s="1"/>
      <c r="AB1805" s="1"/>
      <c r="AC1805" s="1"/>
    </row>
    <row r="1806" spans="1:29">
      <c r="A1806" s="1"/>
      <c r="B1806" s="1"/>
      <c r="C1806" s="73"/>
      <c r="D1806" s="1"/>
      <c r="E1806" s="1"/>
      <c r="F1806" s="1"/>
      <c r="G1806" s="145"/>
      <c r="H1806" s="1"/>
      <c r="I1806" s="1"/>
      <c r="J1806" s="1"/>
      <c r="K1806" s="1"/>
      <c r="L1806" s="1"/>
      <c r="M1806" s="1"/>
      <c r="N1806" s="1"/>
      <c r="O1806" s="1"/>
      <c r="P1806" s="1"/>
      <c r="Q1806" s="3"/>
      <c r="R1806" s="4"/>
      <c r="S1806" s="4"/>
      <c r="T1806" s="1"/>
      <c r="U1806" s="6"/>
      <c r="V1806" s="1"/>
      <c r="W1806" s="1"/>
      <c r="X1806" s="1"/>
      <c r="Y1806" s="1"/>
      <c r="Z1806" s="1"/>
      <c r="AA1806" s="1"/>
      <c r="AB1806" s="1"/>
      <c r="AC1806" s="1"/>
    </row>
    <row r="1807" spans="1:29">
      <c r="A1807" s="1"/>
      <c r="B1807" s="1"/>
      <c r="C1807" s="73"/>
      <c r="D1807" s="1"/>
      <c r="E1807" s="1"/>
      <c r="F1807" s="1"/>
      <c r="G1807" s="145"/>
      <c r="H1807" s="1"/>
      <c r="I1807" s="1"/>
      <c r="J1807" s="1"/>
      <c r="K1807" s="1"/>
      <c r="L1807" s="1"/>
      <c r="M1807" s="1"/>
      <c r="N1807" s="1"/>
      <c r="O1807" s="1"/>
      <c r="P1807" s="1"/>
      <c r="Q1807" s="3"/>
      <c r="R1807" s="4"/>
      <c r="S1807" s="4"/>
      <c r="T1807" s="1"/>
      <c r="U1807" s="6"/>
      <c r="V1807" s="1"/>
      <c r="W1807" s="1"/>
      <c r="X1807" s="1"/>
      <c r="Y1807" s="1"/>
      <c r="Z1807" s="1"/>
      <c r="AA1807" s="1"/>
      <c r="AB1807" s="1"/>
      <c r="AC1807" s="1"/>
    </row>
    <row r="1808" spans="1:29">
      <c r="A1808" s="1"/>
      <c r="B1808" s="1"/>
      <c r="C1808" s="73"/>
      <c r="D1808" s="1"/>
      <c r="E1808" s="1"/>
      <c r="F1808" s="1"/>
      <c r="G1808" s="145"/>
      <c r="H1808" s="1"/>
      <c r="I1808" s="1"/>
      <c r="J1808" s="1"/>
      <c r="K1808" s="1"/>
      <c r="L1808" s="1"/>
      <c r="M1808" s="1"/>
      <c r="N1808" s="1"/>
      <c r="O1808" s="1"/>
      <c r="P1808" s="1"/>
      <c r="Q1808" s="3"/>
      <c r="R1808" s="4"/>
      <c r="S1808" s="4"/>
      <c r="T1808" s="1"/>
      <c r="U1808" s="6"/>
      <c r="V1808" s="1"/>
      <c r="W1808" s="1"/>
      <c r="X1808" s="1"/>
      <c r="Y1808" s="1"/>
      <c r="Z1808" s="1"/>
      <c r="AA1808" s="1"/>
      <c r="AB1808" s="1"/>
      <c r="AC1808" s="1"/>
    </row>
    <row r="1809" spans="1:29">
      <c r="A1809" s="1"/>
      <c r="B1809" s="1"/>
      <c r="C1809" s="73"/>
      <c r="D1809" s="1"/>
      <c r="E1809" s="1"/>
      <c r="F1809" s="1"/>
      <c r="G1809" s="145"/>
      <c r="H1809" s="1"/>
      <c r="I1809" s="1"/>
      <c r="J1809" s="1"/>
      <c r="K1809" s="1"/>
      <c r="L1809" s="1"/>
      <c r="M1809" s="1"/>
      <c r="N1809" s="1"/>
      <c r="O1809" s="1"/>
      <c r="P1809" s="1"/>
      <c r="Q1809" s="3"/>
      <c r="R1809" s="4"/>
      <c r="S1809" s="4"/>
      <c r="T1809" s="1"/>
      <c r="U1809" s="6"/>
      <c r="V1809" s="1"/>
      <c r="W1809" s="1"/>
      <c r="X1809" s="1"/>
      <c r="Y1809" s="1"/>
      <c r="Z1809" s="1"/>
      <c r="AA1809" s="1"/>
      <c r="AB1809" s="1"/>
      <c r="AC1809" s="1"/>
    </row>
    <row r="1810" spans="1:29">
      <c r="A1810" s="1"/>
      <c r="B1810" s="1"/>
      <c r="C1810" s="73"/>
      <c r="D1810" s="1"/>
      <c r="E1810" s="1"/>
      <c r="F1810" s="1"/>
      <c r="G1810" s="145"/>
      <c r="H1810" s="1"/>
      <c r="I1810" s="1"/>
      <c r="J1810" s="1"/>
      <c r="K1810" s="1"/>
      <c r="L1810" s="1"/>
      <c r="M1810" s="1"/>
      <c r="N1810" s="1"/>
      <c r="O1810" s="1"/>
      <c r="P1810" s="1"/>
      <c r="Q1810" s="3"/>
      <c r="R1810" s="4"/>
      <c r="S1810" s="4"/>
      <c r="T1810" s="1"/>
      <c r="U1810" s="6"/>
      <c r="V1810" s="1"/>
      <c r="W1810" s="1"/>
      <c r="X1810" s="1"/>
      <c r="Y1810" s="1"/>
      <c r="Z1810" s="1"/>
      <c r="AA1810" s="1"/>
      <c r="AB1810" s="1"/>
      <c r="AC1810" s="1"/>
    </row>
    <row r="1811" spans="1:29">
      <c r="A1811" s="1"/>
      <c r="B1811" s="1"/>
      <c r="C1811" s="73"/>
      <c r="D1811" s="1"/>
      <c r="E1811" s="1"/>
      <c r="F1811" s="1"/>
      <c r="G1811" s="145"/>
      <c r="H1811" s="1"/>
      <c r="I1811" s="1"/>
      <c r="J1811" s="1"/>
      <c r="K1811" s="1"/>
      <c r="L1811" s="1"/>
      <c r="M1811" s="1"/>
      <c r="N1811" s="1"/>
      <c r="O1811" s="1"/>
      <c r="P1811" s="1"/>
      <c r="Q1811" s="3"/>
      <c r="R1811" s="4"/>
      <c r="S1811" s="4"/>
      <c r="T1811" s="1"/>
      <c r="U1811" s="6"/>
      <c r="V1811" s="1"/>
      <c r="W1811" s="1"/>
      <c r="X1811" s="1"/>
      <c r="Y1811" s="1"/>
      <c r="Z1811" s="1"/>
      <c r="AA1811" s="1"/>
      <c r="AB1811" s="1"/>
      <c r="AC1811" s="1"/>
    </row>
    <row r="1812" spans="1:29">
      <c r="A1812" s="1"/>
      <c r="B1812" s="1"/>
      <c r="C1812" s="73"/>
      <c r="D1812" s="1"/>
      <c r="E1812" s="1"/>
      <c r="F1812" s="1"/>
      <c r="G1812" s="145"/>
      <c r="H1812" s="1"/>
      <c r="I1812" s="1"/>
      <c r="J1812" s="1"/>
      <c r="K1812" s="1"/>
      <c r="L1812" s="1"/>
      <c r="M1812" s="1"/>
      <c r="N1812" s="1"/>
      <c r="O1812" s="1"/>
      <c r="P1812" s="1"/>
      <c r="Q1812" s="3"/>
      <c r="R1812" s="4"/>
      <c r="S1812" s="4"/>
      <c r="T1812" s="1"/>
      <c r="U1812" s="6"/>
      <c r="V1812" s="1"/>
      <c r="W1812" s="1"/>
      <c r="X1812" s="1"/>
      <c r="Y1812" s="1"/>
      <c r="Z1812" s="1"/>
      <c r="AA1812" s="1"/>
      <c r="AB1812" s="1"/>
      <c r="AC1812" s="1"/>
    </row>
    <row r="1813" spans="1:29">
      <c r="A1813" s="1"/>
      <c r="B1813" s="1"/>
      <c r="C1813" s="73"/>
      <c r="D1813" s="1"/>
      <c r="E1813" s="1"/>
      <c r="F1813" s="1"/>
      <c r="G1813" s="145"/>
      <c r="H1813" s="1"/>
      <c r="I1813" s="1"/>
      <c r="J1813" s="1"/>
      <c r="K1813" s="1"/>
      <c r="L1813" s="1"/>
      <c r="M1813" s="1"/>
      <c r="N1813" s="1"/>
      <c r="O1813" s="1"/>
      <c r="P1813" s="1"/>
      <c r="Q1813" s="3"/>
      <c r="R1813" s="4"/>
      <c r="S1813" s="4"/>
      <c r="T1813" s="1"/>
      <c r="U1813" s="6"/>
      <c r="V1813" s="1"/>
      <c r="W1813" s="1"/>
      <c r="X1813" s="1"/>
      <c r="Y1813" s="1"/>
      <c r="Z1813" s="1"/>
      <c r="AA1813" s="1"/>
      <c r="AB1813" s="1"/>
      <c r="AC1813" s="1"/>
    </row>
    <row r="1814" spans="1:29">
      <c r="A1814" s="1"/>
      <c r="B1814" s="1"/>
      <c r="C1814" s="73"/>
      <c r="D1814" s="1"/>
      <c r="E1814" s="1"/>
      <c r="F1814" s="1"/>
      <c r="G1814" s="145"/>
      <c r="H1814" s="1"/>
      <c r="I1814" s="1"/>
      <c r="J1814" s="1"/>
      <c r="K1814" s="1"/>
      <c r="L1814" s="1"/>
      <c r="M1814" s="1"/>
      <c r="N1814" s="1"/>
      <c r="O1814" s="1"/>
      <c r="P1814" s="1"/>
      <c r="Q1814" s="3"/>
      <c r="R1814" s="4"/>
      <c r="S1814" s="4"/>
      <c r="T1814" s="1"/>
      <c r="U1814" s="6"/>
      <c r="V1814" s="1"/>
      <c r="W1814" s="1"/>
      <c r="X1814" s="1"/>
      <c r="Y1814" s="1"/>
      <c r="Z1814" s="1"/>
      <c r="AA1814" s="1"/>
      <c r="AB1814" s="1"/>
      <c r="AC1814" s="1"/>
    </row>
    <row r="1815" spans="1:29">
      <c r="A1815" s="1"/>
      <c r="B1815" s="1"/>
      <c r="C1815" s="73"/>
      <c r="D1815" s="1"/>
      <c r="E1815" s="1"/>
      <c r="F1815" s="1"/>
      <c r="G1815" s="145"/>
      <c r="H1815" s="1"/>
      <c r="I1815" s="1"/>
      <c r="J1815" s="1"/>
      <c r="K1815" s="1"/>
      <c r="L1815" s="1"/>
      <c r="M1815" s="1"/>
      <c r="N1815" s="1"/>
      <c r="O1815" s="1"/>
      <c r="P1815" s="1"/>
      <c r="Q1815" s="3"/>
      <c r="R1815" s="4"/>
      <c r="S1815" s="4"/>
      <c r="T1815" s="1"/>
      <c r="U1815" s="6"/>
      <c r="V1815" s="1"/>
      <c r="W1815" s="1"/>
      <c r="X1815" s="1"/>
      <c r="Y1815" s="1"/>
      <c r="Z1815" s="1"/>
      <c r="AA1815" s="1"/>
      <c r="AB1815" s="1"/>
      <c r="AC1815" s="1"/>
    </row>
    <row r="1816" spans="1:29">
      <c r="A1816" s="1"/>
      <c r="B1816" s="1"/>
      <c r="C1816" s="73"/>
      <c r="D1816" s="1"/>
      <c r="E1816" s="1"/>
      <c r="F1816" s="1"/>
      <c r="G1816" s="145"/>
      <c r="H1816" s="1"/>
      <c r="I1816" s="1"/>
      <c r="J1816" s="1"/>
      <c r="K1816" s="1"/>
      <c r="L1816" s="1"/>
      <c r="M1816" s="1"/>
      <c r="N1816" s="1"/>
      <c r="O1816" s="1"/>
      <c r="P1816" s="1"/>
      <c r="Q1816" s="3"/>
      <c r="R1816" s="4"/>
      <c r="S1816" s="4"/>
      <c r="T1816" s="1"/>
      <c r="U1816" s="6"/>
      <c r="V1816" s="1"/>
      <c r="W1816" s="1"/>
      <c r="X1816" s="1"/>
      <c r="Y1816" s="1"/>
      <c r="Z1816" s="1"/>
      <c r="AA1816" s="1"/>
      <c r="AB1816" s="1"/>
      <c r="AC1816" s="1"/>
    </row>
    <row r="1817" spans="1:29">
      <c r="A1817" s="1"/>
      <c r="B1817" s="1"/>
      <c r="C1817" s="73"/>
      <c r="D1817" s="1"/>
      <c r="E1817" s="1"/>
      <c r="F1817" s="1"/>
      <c r="G1817" s="145"/>
      <c r="H1817" s="1"/>
      <c r="I1817" s="1"/>
      <c r="J1817" s="1"/>
      <c r="K1817" s="1"/>
      <c r="L1817" s="1"/>
      <c r="M1817" s="1"/>
      <c r="N1817" s="1"/>
      <c r="O1817" s="1"/>
      <c r="P1817" s="1"/>
      <c r="Q1817" s="3"/>
      <c r="R1817" s="4"/>
      <c r="S1817" s="4"/>
      <c r="T1817" s="1"/>
      <c r="U1817" s="6"/>
      <c r="V1817" s="1"/>
      <c r="W1817" s="1"/>
      <c r="X1817" s="1"/>
      <c r="Y1817" s="1"/>
      <c r="Z1817" s="1"/>
      <c r="AA1817" s="1"/>
      <c r="AB1817" s="1"/>
      <c r="AC1817" s="1"/>
    </row>
    <row r="1818" spans="1:29">
      <c r="A1818" s="1"/>
      <c r="B1818" s="1"/>
      <c r="C1818" s="73"/>
      <c r="D1818" s="1"/>
      <c r="E1818" s="1"/>
      <c r="F1818" s="1"/>
      <c r="G1818" s="145"/>
      <c r="H1818" s="1"/>
      <c r="I1818" s="1"/>
      <c r="J1818" s="1"/>
      <c r="K1818" s="1"/>
      <c r="L1818" s="1"/>
      <c r="M1818" s="1"/>
      <c r="N1818" s="1"/>
      <c r="O1818" s="1"/>
      <c r="P1818" s="1"/>
      <c r="Q1818" s="3"/>
      <c r="R1818" s="4"/>
      <c r="S1818" s="4"/>
      <c r="T1818" s="1"/>
      <c r="U1818" s="6"/>
      <c r="V1818" s="1"/>
      <c r="W1818" s="1"/>
      <c r="X1818" s="1"/>
      <c r="Y1818" s="1"/>
      <c r="Z1818" s="1"/>
      <c r="AA1818" s="1"/>
      <c r="AB1818" s="1"/>
      <c r="AC1818" s="1"/>
    </row>
    <row r="1819" spans="1:29">
      <c r="A1819" s="1"/>
      <c r="B1819" s="1"/>
      <c r="C1819" s="73"/>
      <c r="D1819" s="1"/>
      <c r="E1819" s="1"/>
      <c r="F1819" s="1"/>
      <c r="G1819" s="145"/>
      <c r="H1819" s="1"/>
      <c r="I1819" s="1"/>
      <c r="J1819" s="1"/>
      <c r="K1819" s="1"/>
      <c r="L1819" s="1"/>
      <c r="M1819" s="1"/>
      <c r="N1819" s="1"/>
      <c r="O1819" s="1"/>
      <c r="P1819" s="1"/>
      <c r="Q1819" s="3"/>
      <c r="R1819" s="4"/>
      <c r="S1819" s="4"/>
      <c r="T1819" s="1"/>
      <c r="U1819" s="6"/>
      <c r="V1819" s="1"/>
      <c r="W1819" s="1"/>
      <c r="X1819" s="1"/>
      <c r="Y1819" s="1"/>
      <c r="Z1819" s="1"/>
      <c r="AA1819" s="1"/>
      <c r="AB1819" s="1"/>
      <c r="AC1819" s="1"/>
    </row>
    <row r="1820" spans="1:29">
      <c r="A1820" s="1"/>
      <c r="B1820" s="1"/>
      <c r="C1820" s="73"/>
      <c r="D1820" s="1"/>
      <c r="E1820" s="1"/>
      <c r="F1820" s="1"/>
      <c r="G1820" s="145"/>
      <c r="H1820" s="1"/>
      <c r="I1820" s="1"/>
      <c r="J1820" s="1"/>
      <c r="K1820" s="1"/>
      <c r="L1820" s="1"/>
      <c r="M1820" s="1"/>
      <c r="N1820" s="1"/>
      <c r="O1820" s="1"/>
      <c r="P1820" s="1"/>
      <c r="Q1820" s="3"/>
      <c r="R1820" s="4"/>
      <c r="S1820" s="4"/>
      <c r="T1820" s="1"/>
      <c r="U1820" s="6"/>
      <c r="V1820" s="1"/>
      <c r="W1820" s="1"/>
      <c r="X1820" s="1"/>
      <c r="Y1820" s="1"/>
      <c r="Z1820" s="1"/>
      <c r="AA1820" s="1"/>
      <c r="AB1820" s="1"/>
      <c r="AC1820" s="1"/>
    </row>
    <row r="1821" spans="1:29">
      <c r="A1821" s="1"/>
      <c r="B1821" s="1"/>
      <c r="C1821" s="73"/>
      <c r="D1821" s="1"/>
      <c r="E1821" s="1"/>
      <c r="F1821" s="1"/>
      <c r="G1821" s="145"/>
      <c r="H1821" s="1"/>
      <c r="I1821" s="1"/>
      <c r="J1821" s="1"/>
      <c r="K1821" s="1"/>
      <c r="L1821" s="1"/>
      <c r="M1821" s="1"/>
      <c r="N1821" s="1"/>
      <c r="O1821" s="1"/>
      <c r="P1821" s="1"/>
      <c r="Q1821" s="3"/>
      <c r="R1821" s="4"/>
      <c r="S1821" s="4"/>
      <c r="T1821" s="1"/>
      <c r="U1821" s="6"/>
      <c r="V1821" s="1"/>
      <c r="W1821" s="1"/>
      <c r="X1821" s="1"/>
      <c r="Y1821" s="1"/>
      <c r="Z1821" s="1"/>
      <c r="AA1821" s="1"/>
      <c r="AB1821" s="1"/>
      <c r="AC1821" s="1"/>
    </row>
    <row r="1822" spans="1:29">
      <c r="A1822" s="1"/>
      <c r="B1822" s="1"/>
      <c r="C1822" s="73"/>
      <c r="D1822" s="1"/>
      <c r="E1822" s="1"/>
      <c r="F1822" s="1"/>
      <c r="G1822" s="145"/>
      <c r="H1822" s="1"/>
      <c r="I1822" s="1"/>
      <c r="J1822" s="1"/>
      <c r="K1822" s="1"/>
      <c r="L1822" s="1"/>
      <c r="M1822" s="1"/>
      <c r="N1822" s="1"/>
      <c r="O1822" s="1"/>
      <c r="P1822" s="1"/>
      <c r="Q1822" s="3"/>
      <c r="R1822" s="4"/>
      <c r="S1822" s="4"/>
      <c r="T1822" s="1"/>
      <c r="U1822" s="6"/>
      <c r="V1822" s="1"/>
      <c r="W1822" s="1"/>
      <c r="X1822" s="1"/>
      <c r="Y1822" s="1"/>
      <c r="Z1822" s="1"/>
      <c r="AA1822" s="1"/>
      <c r="AB1822" s="1"/>
      <c r="AC1822" s="1"/>
    </row>
    <row r="1823" spans="1:29">
      <c r="A1823" s="1"/>
      <c r="B1823" s="1"/>
      <c r="C1823" s="73"/>
      <c r="D1823" s="1"/>
      <c r="E1823" s="1"/>
      <c r="F1823" s="1"/>
      <c r="G1823" s="145"/>
      <c r="H1823" s="1"/>
      <c r="I1823" s="1"/>
      <c r="J1823" s="1"/>
      <c r="K1823" s="1"/>
      <c r="L1823" s="1"/>
      <c r="M1823" s="1"/>
      <c r="N1823" s="1"/>
      <c r="O1823" s="1"/>
      <c r="P1823" s="1"/>
      <c r="Q1823" s="3"/>
      <c r="R1823" s="4"/>
      <c r="S1823" s="4"/>
      <c r="T1823" s="1"/>
      <c r="U1823" s="6"/>
      <c r="V1823" s="1"/>
      <c r="W1823" s="1"/>
      <c r="X1823" s="1"/>
      <c r="Y1823" s="1"/>
      <c r="Z1823" s="1"/>
      <c r="AA1823" s="1"/>
      <c r="AB1823" s="1"/>
      <c r="AC1823" s="1"/>
    </row>
    <row r="1824" spans="1:29">
      <c r="A1824" s="1"/>
      <c r="B1824" s="1"/>
      <c r="C1824" s="73"/>
      <c r="D1824" s="1"/>
      <c r="E1824" s="1"/>
      <c r="F1824" s="1"/>
      <c r="G1824" s="145"/>
      <c r="H1824" s="1"/>
      <c r="I1824" s="1"/>
      <c r="J1824" s="1"/>
      <c r="K1824" s="1"/>
      <c r="L1824" s="1"/>
      <c r="M1824" s="1"/>
      <c r="N1824" s="1"/>
      <c r="O1824" s="1"/>
      <c r="P1824" s="1"/>
      <c r="Q1824" s="3"/>
      <c r="R1824" s="4"/>
      <c r="S1824" s="4"/>
      <c r="T1824" s="1"/>
      <c r="U1824" s="6"/>
      <c r="V1824" s="1"/>
      <c r="W1824" s="1"/>
      <c r="X1824" s="1"/>
      <c r="Y1824" s="1"/>
      <c r="Z1824" s="1"/>
      <c r="AA1824" s="1"/>
      <c r="AB1824" s="1"/>
      <c r="AC1824" s="1"/>
    </row>
    <row r="1825" spans="1:29">
      <c r="A1825" s="1"/>
      <c r="B1825" s="1"/>
      <c r="C1825" s="73"/>
      <c r="D1825" s="1"/>
      <c r="E1825" s="1"/>
      <c r="F1825" s="1"/>
      <c r="G1825" s="145"/>
      <c r="H1825" s="1"/>
      <c r="I1825" s="1"/>
      <c r="J1825" s="1"/>
      <c r="K1825" s="1"/>
      <c r="L1825" s="1"/>
      <c r="M1825" s="1"/>
      <c r="N1825" s="1"/>
      <c r="O1825" s="1"/>
      <c r="P1825" s="1"/>
      <c r="Q1825" s="3"/>
      <c r="R1825" s="4"/>
      <c r="S1825" s="4"/>
      <c r="T1825" s="1"/>
      <c r="U1825" s="6"/>
      <c r="V1825" s="1"/>
      <c r="W1825" s="1"/>
      <c r="X1825" s="1"/>
      <c r="Y1825" s="1"/>
      <c r="Z1825" s="1"/>
      <c r="AA1825" s="1"/>
      <c r="AB1825" s="1"/>
      <c r="AC1825" s="1"/>
    </row>
    <row r="1826" spans="1:29">
      <c r="A1826" s="1"/>
      <c r="B1826" s="1"/>
      <c r="C1826" s="73"/>
      <c r="D1826" s="1"/>
      <c r="E1826" s="1"/>
      <c r="F1826" s="1"/>
      <c r="G1826" s="145"/>
      <c r="H1826" s="1"/>
      <c r="I1826" s="1"/>
      <c r="J1826" s="1"/>
      <c r="K1826" s="1"/>
      <c r="L1826" s="1"/>
      <c r="M1826" s="1"/>
      <c r="N1826" s="1"/>
      <c r="O1826" s="1"/>
      <c r="P1826" s="1"/>
      <c r="Q1826" s="3"/>
      <c r="R1826" s="4"/>
      <c r="S1826" s="4"/>
      <c r="T1826" s="1"/>
      <c r="U1826" s="6"/>
      <c r="V1826" s="1"/>
      <c r="W1826" s="1"/>
      <c r="X1826" s="1"/>
      <c r="Y1826" s="1"/>
      <c r="Z1826" s="1"/>
      <c r="AA1826" s="1"/>
      <c r="AB1826" s="1"/>
      <c r="AC1826" s="1"/>
    </row>
    <row r="1827" spans="1:29">
      <c r="A1827" s="1"/>
      <c r="B1827" s="1"/>
      <c r="C1827" s="73"/>
      <c r="D1827" s="1"/>
      <c r="E1827" s="1"/>
      <c r="F1827" s="1"/>
      <c r="G1827" s="145"/>
      <c r="H1827" s="1"/>
      <c r="I1827" s="1"/>
      <c r="J1827" s="1"/>
      <c r="K1827" s="1"/>
      <c r="L1827" s="1"/>
      <c r="M1827" s="1"/>
      <c r="N1827" s="1"/>
      <c r="O1827" s="1"/>
      <c r="P1827" s="1"/>
      <c r="Q1827" s="3"/>
      <c r="R1827" s="4"/>
      <c r="S1827" s="4"/>
      <c r="T1827" s="1"/>
      <c r="U1827" s="6"/>
      <c r="V1827" s="1"/>
      <c r="W1827" s="1"/>
      <c r="X1827" s="1"/>
      <c r="Y1827" s="1"/>
      <c r="Z1827" s="1"/>
      <c r="AA1827" s="1"/>
      <c r="AB1827" s="1"/>
      <c r="AC1827" s="1"/>
    </row>
    <row r="1828" spans="1:29">
      <c r="A1828" s="1"/>
      <c r="B1828" s="1"/>
      <c r="C1828" s="73"/>
      <c r="D1828" s="1"/>
      <c r="E1828" s="1"/>
      <c r="F1828" s="1"/>
      <c r="G1828" s="145"/>
      <c r="H1828" s="1"/>
      <c r="I1828" s="1"/>
      <c r="J1828" s="1"/>
      <c r="K1828" s="1"/>
      <c r="L1828" s="1"/>
      <c r="M1828" s="1"/>
      <c r="N1828" s="1"/>
      <c r="O1828" s="1"/>
      <c r="P1828" s="1"/>
      <c r="Q1828" s="3"/>
      <c r="R1828" s="4"/>
      <c r="S1828" s="4"/>
      <c r="T1828" s="1"/>
      <c r="U1828" s="6"/>
      <c r="V1828" s="1"/>
      <c r="W1828" s="1"/>
      <c r="X1828" s="1"/>
      <c r="Y1828" s="1"/>
      <c r="Z1828" s="1"/>
      <c r="AA1828" s="1"/>
      <c r="AB1828" s="1"/>
      <c r="AC1828" s="1"/>
    </row>
    <row r="1829" spans="1:29">
      <c r="A1829" s="1"/>
      <c r="B1829" s="1"/>
      <c r="C1829" s="73"/>
      <c r="D1829" s="1"/>
      <c r="E1829" s="1"/>
      <c r="F1829" s="1"/>
      <c r="G1829" s="145"/>
      <c r="H1829" s="1"/>
      <c r="I1829" s="1"/>
      <c r="J1829" s="1"/>
      <c r="K1829" s="1"/>
      <c r="L1829" s="1"/>
      <c r="M1829" s="1"/>
      <c r="N1829" s="1"/>
      <c r="O1829" s="1"/>
      <c r="P1829" s="1"/>
      <c r="Q1829" s="3"/>
      <c r="R1829" s="4"/>
      <c r="S1829" s="4"/>
      <c r="T1829" s="1"/>
      <c r="U1829" s="6"/>
      <c r="V1829" s="1"/>
      <c r="W1829" s="1"/>
      <c r="X1829" s="1"/>
      <c r="Y1829" s="1"/>
      <c r="Z1829" s="1"/>
      <c r="AA1829" s="1"/>
      <c r="AB1829" s="1"/>
      <c r="AC1829" s="1"/>
    </row>
    <row r="1830" spans="1:29">
      <c r="A1830" s="1"/>
      <c r="B1830" s="1"/>
      <c r="C1830" s="73"/>
      <c r="D1830" s="1"/>
      <c r="E1830" s="1"/>
      <c r="F1830" s="1"/>
      <c r="G1830" s="145"/>
      <c r="H1830" s="1"/>
      <c r="I1830" s="1"/>
      <c r="J1830" s="1"/>
      <c r="K1830" s="1"/>
      <c r="L1830" s="1"/>
      <c r="M1830" s="1"/>
      <c r="N1830" s="1"/>
      <c r="O1830" s="1"/>
      <c r="P1830" s="1"/>
      <c r="Q1830" s="3"/>
      <c r="R1830" s="4"/>
      <c r="S1830" s="4"/>
      <c r="T1830" s="1"/>
      <c r="U1830" s="6"/>
      <c r="V1830" s="1"/>
      <c r="W1830" s="1"/>
      <c r="X1830" s="1"/>
      <c r="Y1830" s="1"/>
      <c r="Z1830" s="1"/>
      <c r="AA1830" s="1"/>
      <c r="AB1830" s="1"/>
      <c r="AC1830" s="1"/>
    </row>
    <row r="1831" spans="1:29">
      <c r="A1831" s="1"/>
      <c r="B1831" s="1"/>
      <c r="C1831" s="73"/>
      <c r="D1831" s="1"/>
      <c r="E1831" s="1"/>
      <c r="F1831" s="1"/>
      <c r="G1831" s="145"/>
      <c r="H1831" s="1"/>
      <c r="I1831" s="1"/>
      <c r="J1831" s="1"/>
      <c r="K1831" s="1"/>
      <c r="L1831" s="1"/>
      <c r="M1831" s="1"/>
      <c r="N1831" s="1"/>
      <c r="O1831" s="1"/>
      <c r="P1831" s="1"/>
      <c r="Q1831" s="3"/>
      <c r="R1831" s="4"/>
      <c r="S1831" s="4"/>
      <c r="T1831" s="1"/>
      <c r="U1831" s="6"/>
      <c r="V1831" s="1"/>
      <c r="W1831" s="1"/>
      <c r="X1831" s="1"/>
      <c r="Y1831" s="1"/>
      <c r="Z1831" s="1"/>
      <c r="AA1831" s="1"/>
      <c r="AB1831" s="1"/>
      <c r="AC1831" s="1"/>
    </row>
    <row r="1832" spans="1:29">
      <c r="A1832" s="1"/>
      <c r="B1832" s="1"/>
      <c r="C1832" s="73"/>
      <c r="D1832" s="1"/>
      <c r="E1832" s="1"/>
      <c r="F1832" s="1"/>
      <c r="G1832" s="145"/>
      <c r="H1832" s="1"/>
      <c r="I1832" s="1"/>
      <c r="J1832" s="1"/>
      <c r="K1832" s="1"/>
      <c r="L1832" s="1"/>
      <c r="M1832" s="1"/>
      <c r="N1832" s="1"/>
      <c r="O1832" s="1"/>
      <c r="P1832" s="1"/>
      <c r="Q1832" s="3"/>
      <c r="R1832" s="4"/>
      <c r="S1832" s="4"/>
      <c r="T1832" s="1"/>
      <c r="U1832" s="6"/>
      <c r="V1832" s="1"/>
      <c r="W1832" s="1"/>
      <c r="X1832" s="1"/>
      <c r="Y1832" s="1"/>
      <c r="Z1832" s="1"/>
      <c r="AA1832" s="1"/>
      <c r="AB1832" s="1"/>
      <c r="AC1832" s="1"/>
    </row>
    <row r="1833" spans="1:29">
      <c r="A1833" s="1"/>
      <c r="B1833" s="1"/>
      <c r="C1833" s="73"/>
      <c r="D1833" s="1"/>
      <c r="E1833" s="1"/>
      <c r="F1833" s="1"/>
      <c r="G1833" s="145"/>
      <c r="H1833" s="1"/>
      <c r="I1833" s="1"/>
      <c r="J1833" s="1"/>
      <c r="K1833" s="1"/>
      <c r="L1833" s="1"/>
      <c r="M1833" s="1"/>
      <c r="N1833" s="1"/>
      <c r="O1833" s="1"/>
      <c r="P1833" s="1"/>
      <c r="Q1833" s="3"/>
      <c r="R1833" s="4"/>
      <c r="S1833" s="4"/>
      <c r="T1833" s="1"/>
      <c r="U1833" s="6"/>
      <c r="V1833" s="1"/>
      <c r="W1833" s="1"/>
      <c r="X1833" s="1"/>
      <c r="Y1833" s="1"/>
      <c r="Z1833" s="1"/>
      <c r="AA1833" s="1"/>
      <c r="AB1833" s="1"/>
      <c r="AC1833" s="1"/>
    </row>
    <row r="1834" spans="1:29">
      <c r="A1834" s="1"/>
      <c r="B1834" s="1"/>
      <c r="C1834" s="73"/>
      <c r="D1834" s="1"/>
      <c r="E1834" s="1"/>
      <c r="F1834" s="1"/>
      <c r="G1834" s="145"/>
      <c r="H1834" s="1"/>
      <c r="I1834" s="1"/>
      <c r="J1834" s="1"/>
      <c r="K1834" s="1"/>
      <c r="L1834" s="1"/>
      <c r="M1834" s="1"/>
      <c r="N1834" s="1"/>
      <c r="O1834" s="1"/>
      <c r="P1834" s="1"/>
      <c r="Q1834" s="3"/>
      <c r="R1834" s="4"/>
      <c r="S1834" s="4"/>
      <c r="T1834" s="1"/>
      <c r="U1834" s="6"/>
      <c r="V1834" s="1"/>
      <c r="W1834" s="1"/>
      <c r="X1834" s="1"/>
      <c r="Y1834" s="1"/>
      <c r="Z1834" s="1"/>
      <c r="AA1834" s="1"/>
      <c r="AB1834" s="1"/>
      <c r="AC1834" s="1"/>
    </row>
    <row r="1835" spans="1:29">
      <c r="A1835" s="1"/>
      <c r="B1835" s="1"/>
      <c r="C1835" s="73"/>
      <c r="D1835" s="1"/>
      <c r="E1835" s="1"/>
      <c r="F1835" s="1"/>
      <c r="G1835" s="145"/>
      <c r="H1835" s="1"/>
      <c r="I1835" s="1"/>
      <c r="J1835" s="1"/>
      <c r="K1835" s="1"/>
      <c r="L1835" s="1"/>
      <c r="M1835" s="1"/>
      <c r="N1835" s="1"/>
      <c r="O1835" s="1"/>
      <c r="P1835" s="1"/>
      <c r="Q1835" s="3"/>
      <c r="R1835" s="4"/>
      <c r="S1835" s="4"/>
      <c r="T1835" s="1"/>
      <c r="U1835" s="6"/>
      <c r="V1835" s="1"/>
      <c r="W1835" s="1"/>
      <c r="X1835" s="1"/>
      <c r="Y1835" s="1"/>
      <c r="Z1835" s="1"/>
      <c r="AA1835" s="1"/>
      <c r="AB1835" s="1"/>
      <c r="AC1835" s="1"/>
    </row>
    <row r="1836" spans="1:29">
      <c r="A1836" s="1"/>
      <c r="B1836" s="1"/>
      <c r="C1836" s="73"/>
      <c r="D1836" s="1"/>
      <c r="E1836" s="1"/>
      <c r="F1836" s="1"/>
      <c r="G1836" s="145"/>
      <c r="H1836" s="1"/>
      <c r="I1836" s="1"/>
      <c r="J1836" s="1"/>
      <c r="K1836" s="1"/>
      <c r="L1836" s="1"/>
      <c r="M1836" s="1"/>
      <c r="N1836" s="1"/>
      <c r="O1836" s="1"/>
      <c r="P1836" s="1"/>
      <c r="Q1836" s="3"/>
      <c r="R1836" s="4"/>
      <c r="S1836" s="4"/>
      <c r="T1836" s="1"/>
      <c r="U1836" s="6"/>
      <c r="V1836" s="1"/>
      <c r="W1836" s="1"/>
      <c r="X1836" s="1"/>
      <c r="Y1836" s="1"/>
      <c r="Z1836" s="1"/>
      <c r="AA1836" s="1"/>
      <c r="AB1836" s="1"/>
      <c r="AC1836" s="1"/>
    </row>
    <row r="1837" spans="1:29">
      <c r="A1837" s="1"/>
      <c r="B1837" s="1"/>
      <c r="C1837" s="73"/>
      <c r="D1837" s="1"/>
      <c r="E1837" s="1"/>
      <c r="F1837" s="1"/>
      <c r="G1837" s="145"/>
      <c r="H1837" s="1"/>
      <c r="I1837" s="1"/>
      <c r="J1837" s="1"/>
      <c r="K1837" s="1"/>
      <c r="L1837" s="1"/>
      <c r="M1837" s="1"/>
      <c r="N1837" s="1"/>
      <c r="O1837" s="1"/>
      <c r="P1837" s="1"/>
      <c r="Q1837" s="3"/>
      <c r="R1837" s="4"/>
      <c r="S1837" s="4"/>
      <c r="T1837" s="1"/>
      <c r="U1837" s="6"/>
      <c r="V1837" s="1"/>
      <c r="W1837" s="1"/>
      <c r="X1837" s="1"/>
      <c r="Y1837" s="1"/>
      <c r="Z1837" s="1"/>
      <c r="AA1837" s="1"/>
      <c r="AB1837" s="1"/>
      <c r="AC1837" s="1"/>
    </row>
    <row r="1838" spans="1:29">
      <c r="A1838" s="1"/>
      <c r="B1838" s="1"/>
      <c r="C1838" s="73"/>
      <c r="D1838" s="1"/>
      <c r="E1838" s="1"/>
      <c r="F1838" s="1"/>
      <c r="G1838" s="145"/>
      <c r="H1838" s="1"/>
      <c r="I1838" s="1"/>
      <c r="J1838" s="1"/>
      <c r="K1838" s="1"/>
      <c r="L1838" s="1"/>
      <c r="M1838" s="1"/>
      <c r="N1838" s="1"/>
      <c r="O1838" s="1"/>
      <c r="P1838" s="1"/>
      <c r="Q1838" s="3"/>
      <c r="R1838" s="4"/>
      <c r="S1838" s="4"/>
      <c r="T1838" s="1"/>
      <c r="U1838" s="6"/>
      <c r="V1838" s="1"/>
      <c r="W1838" s="1"/>
      <c r="X1838" s="1"/>
      <c r="Y1838" s="1"/>
      <c r="Z1838" s="1"/>
      <c r="AA1838" s="1"/>
      <c r="AB1838" s="1"/>
      <c r="AC1838" s="1"/>
    </row>
    <row r="1839" spans="1:29">
      <c r="A1839" s="1"/>
      <c r="B1839" s="1"/>
      <c r="C1839" s="73"/>
      <c r="D1839" s="1"/>
      <c r="E1839" s="1"/>
      <c r="F1839" s="1"/>
      <c r="G1839" s="145"/>
      <c r="H1839" s="1"/>
      <c r="I1839" s="1"/>
      <c r="J1839" s="1"/>
      <c r="K1839" s="1"/>
      <c r="L1839" s="1"/>
      <c r="M1839" s="1"/>
      <c r="N1839" s="1"/>
      <c r="O1839" s="1"/>
      <c r="P1839" s="1"/>
      <c r="Q1839" s="3"/>
      <c r="R1839" s="4"/>
      <c r="S1839" s="4"/>
      <c r="T1839" s="1"/>
      <c r="U1839" s="6"/>
      <c r="V1839" s="1"/>
      <c r="W1839" s="1"/>
      <c r="X1839" s="1"/>
      <c r="Y1839" s="1"/>
      <c r="Z1839" s="1"/>
      <c r="AA1839" s="1"/>
      <c r="AB1839" s="1"/>
      <c r="AC1839" s="1"/>
    </row>
    <row r="1840" spans="1:29">
      <c r="A1840" s="1"/>
      <c r="B1840" s="1"/>
      <c r="C1840" s="73"/>
      <c r="D1840" s="1"/>
      <c r="E1840" s="1"/>
      <c r="F1840" s="1"/>
      <c r="G1840" s="145"/>
      <c r="H1840" s="1"/>
      <c r="I1840" s="1"/>
      <c r="J1840" s="1"/>
      <c r="K1840" s="1"/>
      <c r="L1840" s="1"/>
      <c r="M1840" s="1"/>
      <c r="N1840" s="1"/>
      <c r="O1840" s="1"/>
      <c r="P1840" s="1"/>
      <c r="Q1840" s="3"/>
      <c r="R1840" s="4"/>
      <c r="S1840" s="4"/>
      <c r="T1840" s="1"/>
      <c r="U1840" s="6"/>
      <c r="V1840" s="1"/>
      <c r="W1840" s="1"/>
      <c r="X1840" s="1"/>
      <c r="Y1840" s="1"/>
      <c r="Z1840" s="1"/>
      <c r="AA1840" s="1"/>
      <c r="AB1840" s="1"/>
      <c r="AC1840" s="1"/>
    </row>
    <row r="1841" spans="1:29">
      <c r="A1841" s="1"/>
      <c r="B1841" s="1"/>
      <c r="C1841" s="73"/>
      <c r="D1841" s="1"/>
      <c r="E1841" s="1"/>
      <c r="F1841" s="1"/>
      <c r="G1841" s="145"/>
      <c r="H1841" s="1"/>
      <c r="I1841" s="1"/>
      <c r="J1841" s="1"/>
      <c r="K1841" s="1"/>
      <c r="L1841" s="1"/>
      <c r="M1841" s="1"/>
      <c r="N1841" s="1"/>
      <c r="O1841" s="1"/>
      <c r="P1841" s="1"/>
      <c r="Q1841" s="3"/>
      <c r="R1841" s="4"/>
      <c r="S1841" s="4"/>
      <c r="T1841" s="1"/>
      <c r="U1841" s="6"/>
      <c r="V1841" s="1"/>
      <c r="W1841" s="1"/>
      <c r="X1841" s="1"/>
      <c r="Y1841" s="1"/>
      <c r="Z1841" s="1"/>
      <c r="AA1841" s="1"/>
      <c r="AB1841" s="1"/>
      <c r="AC1841" s="1"/>
    </row>
    <row r="1842" spans="1:29">
      <c r="A1842" s="1"/>
      <c r="B1842" s="1"/>
      <c r="C1842" s="73"/>
      <c r="D1842" s="1"/>
      <c r="E1842" s="1"/>
      <c r="F1842" s="1"/>
      <c r="G1842" s="145"/>
      <c r="H1842" s="1"/>
      <c r="I1842" s="1"/>
      <c r="J1842" s="1"/>
      <c r="K1842" s="1"/>
      <c r="L1842" s="1"/>
      <c r="M1842" s="1"/>
      <c r="N1842" s="1"/>
      <c r="O1842" s="1"/>
      <c r="P1842" s="1"/>
      <c r="Q1842" s="3"/>
      <c r="R1842" s="4"/>
      <c r="S1842" s="4"/>
      <c r="T1842" s="1"/>
      <c r="U1842" s="6"/>
      <c r="V1842" s="1"/>
      <c r="W1842" s="1"/>
      <c r="X1842" s="1"/>
      <c r="Y1842" s="1"/>
      <c r="Z1842" s="1"/>
      <c r="AA1842" s="1"/>
      <c r="AB1842" s="1"/>
      <c r="AC1842" s="1"/>
    </row>
    <row r="1843" spans="1:29">
      <c r="A1843" s="1"/>
      <c r="B1843" s="1"/>
      <c r="C1843" s="73"/>
      <c r="D1843" s="1"/>
      <c r="E1843" s="1"/>
      <c r="F1843" s="1"/>
      <c r="G1843" s="145"/>
      <c r="H1843" s="1"/>
      <c r="I1843" s="1"/>
      <c r="J1843" s="1"/>
      <c r="K1843" s="1"/>
      <c r="L1843" s="1"/>
      <c r="M1843" s="1"/>
      <c r="N1843" s="1"/>
      <c r="O1843" s="1"/>
      <c r="P1843" s="1"/>
      <c r="Q1843" s="3"/>
      <c r="R1843" s="4"/>
      <c r="S1843" s="4"/>
      <c r="T1843" s="1"/>
      <c r="U1843" s="6"/>
      <c r="V1843" s="1"/>
      <c r="W1843" s="1"/>
      <c r="X1843" s="1"/>
      <c r="Y1843" s="1"/>
      <c r="Z1843" s="1"/>
      <c r="AA1843" s="1"/>
      <c r="AB1843" s="1"/>
      <c r="AC1843" s="1"/>
    </row>
    <row r="1844" spans="1:29">
      <c r="A1844" s="1"/>
      <c r="B1844" s="1"/>
      <c r="C1844" s="73"/>
      <c r="D1844" s="1"/>
      <c r="E1844" s="1"/>
      <c r="F1844" s="1"/>
      <c r="G1844" s="145"/>
      <c r="H1844" s="1"/>
      <c r="I1844" s="1"/>
      <c r="J1844" s="1"/>
      <c r="K1844" s="1"/>
      <c r="L1844" s="1"/>
      <c r="M1844" s="1"/>
      <c r="N1844" s="1"/>
      <c r="O1844" s="1"/>
      <c r="P1844" s="1"/>
      <c r="Q1844" s="3"/>
      <c r="R1844" s="4"/>
      <c r="S1844" s="4"/>
      <c r="T1844" s="1"/>
      <c r="U1844" s="6"/>
      <c r="V1844" s="1"/>
      <c r="W1844" s="1"/>
      <c r="X1844" s="1"/>
      <c r="Y1844" s="1"/>
      <c r="Z1844" s="1"/>
      <c r="AA1844" s="1"/>
      <c r="AB1844" s="1"/>
      <c r="AC1844" s="1"/>
    </row>
    <row r="1845" spans="1:29">
      <c r="A1845" s="1"/>
      <c r="B1845" s="1"/>
      <c r="C1845" s="73"/>
      <c r="D1845" s="1"/>
      <c r="E1845" s="1"/>
      <c r="F1845" s="1"/>
      <c r="G1845" s="145"/>
      <c r="H1845" s="1"/>
      <c r="I1845" s="1"/>
      <c r="J1845" s="1"/>
      <c r="K1845" s="1"/>
      <c r="L1845" s="1"/>
      <c r="M1845" s="1"/>
      <c r="N1845" s="1"/>
      <c r="O1845" s="1"/>
      <c r="P1845" s="1"/>
      <c r="Q1845" s="3"/>
      <c r="R1845" s="4"/>
      <c r="S1845" s="4"/>
      <c r="T1845" s="1"/>
      <c r="U1845" s="6"/>
      <c r="V1845" s="1"/>
      <c r="W1845" s="1"/>
      <c r="X1845" s="1"/>
      <c r="Y1845" s="1"/>
      <c r="Z1845" s="1"/>
      <c r="AA1845" s="1"/>
      <c r="AB1845" s="1"/>
      <c r="AC1845" s="1"/>
    </row>
    <row r="1846" spans="1:29">
      <c r="A1846" s="1"/>
      <c r="B1846" s="1"/>
      <c r="C1846" s="73"/>
      <c r="D1846" s="1"/>
      <c r="E1846" s="1"/>
      <c r="F1846" s="1"/>
      <c r="G1846" s="145"/>
      <c r="H1846" s="1"/>
      <c r="I1846" s="1"/>
      <c r="J1846" s="1"/>
      <c r="K1846" s="1"/>
      <c r="L1846" s="1"/>
      <c r="M1846" s="1"/>
      <c r="N1846" s="1"/>
      <c r="O1846" s="1"/>
      <c r="P1846" s="1"/>
      <c r="Q1846" s="3"/>
      <c r="R1846" s="4"/>
      <c r="S1846" s="4"/>
      <c r="T1846" s="1"/>
      <c r="U1846" s="6"/>
      <c r="V1846" s="1"/>
      <c r="W1846" s="1"/>
      <c r="X1846" s="1"/>
      <c r="Y1846" s="1"/>
      <c r="Z1846" s="1"/>
      <c r="AA1846" s="1"/>
      <c r="AB1846" s="1"/>
      <c r="AC1846" s="1"/>
    </row>
    <row r="1847" spans="1:29">
      <c r="A1847" s="1"/>
      <c r="B1847" s="1"/>
      <c r="C1847" s="73"/>
      <c r="D1847" s="1"/>
      <c r="E1847" s="1"/>
      <c r="F1847" s="1"/>
      <c r="G1847" s="145"/>
      <c r="H1847" s="1"/>
      <c r="I1847" s="1"/>
      <c r="J1847" s="1"/>
      <c r="K1847" s="1"/>
      <c r="L1847" s="1"/>
      <c r="M1847" s="1"/>
      <c r="N1847" s="1"/>
      <c r="O1847" s="1"/>
      <c r="P1847" s="1"/>
      <c r="Q1847" s="3"/>
      <c r="R1847" s="4"/>
      <c r="S1847" s="4"/>
      <c r="T1847" s="1"/>
      <c r="U1847" s="6"/>
      <c r="V1847" s="1"/>
      <c r="W1847" s="1"/>
      <c r="X1847" s="1"/>
      <c r="Y1847" s="1"/>
      <c r="Z1847" s="1"/>
      <c r="AA1847" s="1"/>
      <c r="AB1847" s="1"/>
      <c r="AC1847" s="1"/>
    </row>
    <row r="1848" spans="1:29">
      <c r="A1848" s="1"/>
      <c r="B1848" s="1"/>
      <c r="C1848" s="73"/>
      <c r="D1848" s="1"/>
      <c r="E1848" s="1"/>
      <c r="F1848" s="1"/>
      <c r="G1848" s="145"/>
      <c r="H1848" s="1"/>
      <c r="I1848" s="1"/>
      <c r="J1848" s="1"/>
      <c r="K1848" s="1"/>
      <c r="L1848" s="1"/>
      <c r="M1848" s="1"/>
      <c r="N1848" s="1"/>
      <c r="O1848" s="1"/>
      <c r="P1848" s="1"/>
      <c r="Q1848" s="3"/>
      <c r="R1848" s="4"/>
      <c r="S1848" s="4"/>
      <c r="T1848" s="1"/>
      <c r="U1848" s="6"/>
      <c r="V1848" s="1"/>
      <c r="W1848" s="1"/>
      <c r="X1848" s="1"/>
      <c r="Y1848" s="1"/>
      <c r="Z1848" s="1"/>
      <c r="AA1848" s="1"/>
      <c r="AB1848" s="1"/>
      <c r="AC1848" s="1"/>
    </row>
    <row r="1849" spans="1:29">
      <c r="A1849" s="1"/>
      <c r="B1849" s="1"/>
      <c r="C1849" s="73"/>
      <c r="D1849" s="1"/>
      <c r="E1849" s="1"/>
      <c r="F1849" s="1"/>
      <c r="G1849" s="145"/>
      <c r="H1849" s="1"/>
      <c r="I1849" s="1"/>
      <c r="J1849" s="1"/>
      <c r="K1849" s="1"/>
      <c r="L1849" s="1"/>
      <c r="M1849" s="1"/>
      <c r="N1849" s="1"/>
      <c r="O1849" s="1"/>
      <c r="P1849" s="1"/>
      <c r="Q1849" s="3"/>
      <c r="R1849" s="4"/>
      <c r="S1849" s="4"/>
      <c r="T1849" s="1"/>
      <c r="U1849" s="6"/>
      <c r="V1849" s="1"/>
      <c r="W1849" s="1"/>
      <c r="X1849" s="1"/>
      <c r="Y1849" s="1"/>
      <c r="Z1849" s="1"/>
      <c r="AA1849" s="1"/>
      <c r="AB1849" s="1"/>
      <c r="AC1849" s="1"/>
    </row>
    <row r="1850" spans="1:29">
      <c r="A1850" s="1"/>
      <c r="B1850" s="1"/>
      <c r="C1850" s="73"/>
      <c r="D1850" s="1"/>
      <c r="E1850" s="1"/>
      <c r="F1850" s="1"/>
      <c r="G1850" s="145"/>
      <c r="H1850" s="1"/>
      <c r="I1850" s="1"/>
      <c r="J1850" s="1"/>
      <c r="K1850" s="1"/>
      <c r="L1850" s="1"/>
      <c r="M1850" s="1"/>
      <c r="N1850" s="1"/>
      <c r="O1850" s="1"/>
      <c r="P1850" s="1"/>
      <c r="Q1850" s="3"/>
      <c r="R1850" s="4"/>
      <c r="S1850" s="4"/>
      <c r="T1850" s="1"/>
      <c r="U1850" s="6"/>
      <c r="V1850" s="1"/>
      <c r="W1850" s="1"/>
      <c r="X1850" s="1"/>
      <c r="Y1850" s="1"/>
      <c r="Z1850" s="1"/>
      <c r="AA1850" s="1"/>
      <c r="AB1850" s="1"/>
      <c r="AC1850" s="1"/>
    </row>
    <row r="1851" spans="1:29">
      <c r="A1851" s="1"/>
      <c r="B1851" s="1"/>
      <c r="C1851" s="73"/>
      <c r="D1851" s="1"/>
      <c r="E1851" s="1"/>
      <c r="F1851" s="1"/>
      <c r="G1851" s="145"/>
      <c r="H1851" s="1"/>
      <c r="I1851" s="1"/>
      <c r="J1851" s="1"/>
      <c r="K1851" s="1"/>
      <c r="L1851" s="1"/>
      <c r="M1851" s="1"/>
      <c r="N1851" s="1"/>
      <c r="O1851" s="1"/>
      <c r="P1851" s="1"/>
      <c r="Q1851" s="3"/>
      <c r="R1851" s="4"/>
      <c r="S1851" s="4"/>
      <c r="T1851" s="1"/>
      <c r="U1851" s="6"/>
      <c r="V1851" s="1"/>
      <c r="W1851" s="1"/>
      <c r="X1851" s="1"/>
      <c r="Y1851" s="1"/>
      <c r="Z1851" s="1"/>
      <c r="AA1851" s="1"/>
      <c r="AB1851" s="1"/>
      <c r="AC1851" s="1"/>
    </row>
    <row r="1852" spans="1:29">
      <c r="A1852" s="1"/>
      <c r="B1852" s="1"/>
      <c r="C1852" s="73"/>
      <c r="D1852" s="1"/>
      <c r="E1852" s="1"/>
      <c r="F1852" s="1"/>
      <c r="G1852" s="145"/>
      <c r="H1852" s="1"/>
      <c r="I1852" s="1"/>
      <c r="J1852" s="1"/>
      <c r="K1852" s="1"/>
      <c r="L1852" s="1"/>
      <c r="M1852" s="1"/>
      <c r="N1852" s="1"/>
      <c r="O1852" s="1"/>
      <c r="P1852" s="1"/>
      <c r="Q1852" s="3"/>
      <c r="R1852" s="4"/>
      <c r="S1852" s="4"/>
      <c r="T1852" s="1"/>
      <c r="U1852" s="6"/>
      <c r="V1852" s="1"/>
      <c r="W1852" s="1"/>
      <c r="X1852" s="1"/>
      <c r="Y1852" s="1"/>
      <c r="Z1852" s="1"/>
      <c r="AA1852" s="1"/>
      <c r="AB1852" s="1"/>
      <c r="AC1852" s="1"/>
    </row>
    <row r="1853" spans="1:29">
      <c r="A1853" s="1"/>
      <c r="B1853" s="1"/>
      <c r="C1853" s="73"/>
      <c r="D1853" s="1"/>
      <c r="E1853" s="1"/>
      <c r="F1853" s="1"/>
      <c r="G1853" s="145"/>
      <c r="H1853" s="1"/>
      <c r="I1853" s="1"/>
      <c r="J1853" s="1"/>
      <c r="K1853" s="1"/>
      <c r="L1853" s="1"/>
      <c r="M1853" s="1"/>
      <c r="N1853" s="1"/>
      <c r="O1853" s="1"/>
      <c r="P1853" s="1"/>
      <c r="Q1853" s="3"/>
      <c r="R1853" s="4"/>
      <c r="S1853" s="4"/>
      <c r="T1853" s="1"/>
      <c r="U1853" s="6"/>
      <c r="V1853" s="1"/>
      <c r="W1853" s="1"/>
      <c r="X1853" s="1"/>
      <c r="Y1853" s="1"/>
      <c r="Z1853" s="1"/>
      <c r="AA1853" s="1"/>
      <c r="AB1853" s="1"/>
      <c r="AC1853" s="1"/>
    </row>
    <row r="1854" spans="1:29">
      <c r="A1854" s="1"/>
      <c r="B1854" s="1"/>
      <c r="C1854" s="73"/>
      <c r="D1854" s="1"/>
      <c r="E1854" s="1"/>
      <c r="F1854" s="1"/>
      <c r="G1854" s="145"/>
      <c r="H1854" s="1"/>
      <c r="I1854" s="1"/>
      <c r="J1854" s="1"/>
      <c r="K1854" s="1"/>
      <c r="L1854" s="1"/>
      <c r="M1854" s="1"/>
      <c r="N1854" s="1"/>
      <c r="O1854" s="1"/>
      <c r="P1854" s="1"/>
      <c r="Q1854" s="3"/>
      <c r="R1854" s="4"/>
      <c r="S1854" s="4"/>
      <c r="T1854" s="1"/>
      <c r="U1854" s="6"/>
      <c r="V1854" s="1"/>
      <c r="W1854" s="1"/>
      <c r="X1854" s="1"/>
      <c r="Y1854" s="1"/>
      <c r="Z1854" s="1"/>
      <c r="AA1854" s="1"/>
      <c r="AB1854" s="1"/>
      <c r="AC1854" s="1"/>
    </row>
    <row r="1855" spans="1:29">
      <c r="A1855" s="1"/>
      <c r="B1855" s="1"/>
      <c r="C1855" s="73"/>
      <c r="D1855" s="1"/>
      <c r="E1855" s="1"/>
      <c r="F1855" s="1"/>
      <c r="G1855" s="145"/>
      <c r="H1855" s="1"/>
      <c r="I1855" s="1"/>
      <c r="J1855" s="1"/>
      <c r="K1855" s="1"/>
      <c r="L1855" s="1"/>
      <c r="M1855" s="1"/>
      <c r="N1855" s="1"/>
      <c r="O1855" s="1"/>
      <c r="P1855" s="1"/>
      <c r="Q1855" s="3"/>
      <c r="R1855" s="4"/>
      <c r="S1855" s="4"/>
      <c r="T1855" s="1"/>
      <c r="U1855" s="6"/>
      <c r="V1855" s="1"/>
      <c r="W1855" s="1"/>
      <c r="X1855" s="1"/>
      <c r="Y1855" s="1"/>
      <c r="Z1855" s="1"/>
      <c r="AA1855" s="1"/>
      <c r="AB1855" s="1"/>
      <c r="AC1855" s="1"/>
    </row>
    <row r="1856" spans="1:29">
      <c r="A1856" s="1"/>
      <c r="B1856" s="1"/>
      <c r="C1856" s="73"/>
      <c r="D1856" s="1"/>
      <c r="E1856" s="1"/>
      <c r="F1856" s="1"/>
      <c r="G1856" s="145"/>
      <c r="H1856" s="1"/>
      <c r="I1856" s="1"/>
      <c r="J1856" s="1"/>
      <c r="K1856" s="1"/>
      <c r="L1856" s="1"/>
      <c r="M1856" s="1"/>
      <c r="N1856" s="1"/>
      <c r="O1856" s="1"/>
      <c r="P1856" s="1"/>
      <c r="Q1856" s="3"/>
      <c r="R1856" s="4"/>
      <c r="S1856" s="4"/>
      <c r="T1856" s="1"/>
      <c r="U1856" s="6"/>
      <c r="V1856" s="1"/>
      <c r="W1856" s="1"/>
      <c r="X1856" s="1"/>
      <c r="Y1856" s="1"/>
      <c r="Z1856" s="1"/>
      <c r="AA1856" s="1"/>
      <c r="AB1856" s="1"/>
      <c r="AC1856" s="1"/>
    </row>
    <row r="1857" spans="1:29">
      <c r="A1857" s="1"/>
      <c r="B1857" s="1"/>
      <c r="C1857" s="73"/>
      <c r="D1857" s="1"/>
      <c r="E1857" s="1"/>
      <c r="F1857" s="1"/>
      <c r="G1857" s="145"/>
      <c r="H1857" s="1"/>
      <c r="I1857" s="1"/>
      <c r="J1857" s="1"/>
      <c r="K1857" s="1"/>
      <c r="L1857" s="1"/>
      <c r="M1857" s="1"/>
      <c r="N1857" s="1"/>
      <c r="O1857" s="1"/>
      <c r="P1857" s="1"/>
      <c r="Q1857" s="3"/>
      <c r="R1857" s="4"/>
      <c r="S1857" s="4"/>
      <c r="T1857" s="1"/>
      <c r="U1857" s="6"/>
      <c r="V1857" s="1"/>
      <c r="W1857" s="1"/>
      <c r="X1857" s="1"/>
      <c r="Y1857" s="1"/>
      <c r="Z1857" s="1"/>
      <c r="AA1857" s="1"/>
      <c r="AB1857" s="1"/>
      <c r="AC1857" s="1"/>
    </row>
    <row r="1858" spans="1:29">
      <c r="A1858" s="1"/>
      <c r="B1858" s="1"/>
      <c r="C1858" s="73"/>
      <c r="D1858" s="1"/>
      <c r="E1858" s="1"/>
      <c r="F1858" s="1"/>
      <c r="G1858" s="145"/>
      <c r="H1858" s="1"/>
      <c r="I1858" s="1"/>
      <c r="J1858" s="1"/>
      <c r="K1858" s="1"/>
      <c r="L1858" s="1"/>
      <c r="M1858" s="1"/>
      <c r="N1858" s="1"/>
      <c r="O1858" s="1"/>
      <c r="P1858" s="1"/>
      <c r="Q1858" s="3"/>
      <c r="R1858" s="4"/>
      <c r="S1858" s="4"/>
      <c r="T1858" s="1"/>
      <c r="U1858" s="6"/>
      <c r="V1858" s="1"/>
      <c r="W1858" s="1"/>
      <c r="X1858" s="1"/>
      <c r="Y1858" s="1"/>
      <c r="Z1858" s="1"/>
      <c r="AA1858" s="1"/>
      <c r="AB1858" s="1"/>
      <c r="AC1858" s="1"/>
    </row>
    <row r="1859" spans="1:29">
      <c r="A1859" s="1"/>
      <c r="B1859" s="1"/>
      <c r="C1859" s="73"/>
      <c r="D1859" s="1"/>
      <c r="E1859" s="1"/>
      <c r="F1859" s="1"/>
      <c r="G1859" s="145"/>
      <c r="H1859" s="1"/>
      <c r="I1859" s="1"/>
      <c r="J1859" s="1"/>
      <c r="K1859" s="1"/>
      <c r="L1859" s="1"/>
      <c r="M1859" s="1"/>
      <c r="N1859" s="1"/>
      <c r="O1859" s="1"/>
      <c r="P1859" s="1"/>
      <c r="Q1859" s="3"/>
      <c r="R1859" s="4"/>
      <c r="S1859" s="4"/>
      <c r="T1859" s="1"/>
      <c r="U1859" s="6"/>
      <c r="V1859" s="1"/>
      <c r="W1859" s="1"/>
      <c r="X1859" s="1"/>
      <c r="Y1859" s="1"/>
      <c r="Z1859" s="1"/>
      <c r="AA1859" s="1"/>
      <c r="AB1859" s="1"/>
      <c r="AC1859" s="1"/>
    </row>
    <row r="1860" spans="1:29">
      <c r="A1860" s="1"/>
      <c r="B1860" s="1"/>
      <c r="C1860" s="73"/>
      <c r="D1860" s="1"/>
      <c r="E1860" s="1"/>
      <c r="F1860" s="1"/>
      <c r="G1860" s="145"/>
      <c r="H1860" s="1"/>
      <c r="I1860" s="1"/>
      <c r="J1860" s="1"/>
      <c r="K1860" s="1"/>
      <c r="L1860" s="1"/>
      <c r="M1860" s="1"/>
      <c r="N1860" s="1"/>
      <c r="O1860" s="1"/>
      <c r="P1860" s="1"/>
      <c r="Q1860" s="3"/>
      <c r="R1860" s="4"/>
      <c r="S1860" s="4"/>
      <c r="T1860" s="1"/>
      <c r="U1860" s="6"/>
      <c r="V1860" s="1"/>
      <c r="W1860" s="1"/>
      <c r="X1860" s="1"/>
      <c r="Y1860" s="1"/>
      <c r="Z1860" s="1"/>
      <c r="AA1860" s="1"/>
      <c r="AB1860" s="1"/>
      <c r="AC1860" s="1"/>
    </row>
    <row r="1861" spans="1:29">
      <c r="A1861" s="1"/>
      <c r="B1861" s="1"/>
      <c r="C1861" s="73"/>
      <c r="D1861" s="1"/>
      <c r="E1861" s="1"/>
      <c r="F1861" s="1"/>
      <c r="G1861" s="145"/>
      <c r="H1861" s="1"/>
      <c r="I1861" s="1"/>
      <c r="J1861" s="1"/>
      <c r="K1861" s="1"/>
      <c r="L1861" s="1"/>
      <c r="M1861" s="1"/>
      <c r="N1861" s="1"/>
      <c r="O1861" s="1"/>
      <c r="P1861" s="1"/>
      <c r="Q1861" s="3"/>
      <c r="R1861" s="4"/>
      <c r="S1861" s="4"/>
      <c r="T1861" s="1"/>
      <c r="U1861" s="6"/>
      <c r="V1861" s="1"/>
      <c r="W1861" s="1"/>
      <c r="X1861" s="1"/>
      <c r="Y1861" s="1"/>
      <c r="Z1861" s="1"/>
      <c r="AA1861" s="1"/>
      <c r="AB1861" s="1"/>
      <c r="AC1861" s="1"/>
    </row>
    <row r="1862" spans="1:29">
      <c r="A1862" s="1"/>
      <c r="B1862" s="1"/>
      <c r="C1862" s="73"/>
      <c r="D1862" s="1"/>
      <c r="E1862" s="1"/>
      <c r="F1862" s="1"/>
      <c r="G1862" s="145"/>
      <c r="H1862" s="1"/>
      <c r="I1862" s="1"/>
      <c r="J1862" s="1"/>
      <c r="K1862" s="1"/>
      <c r="L1862" s="1"/>
      <c r="M1862" s="1"/>
      <c r="N1862" s="1"/>
      <c r="O1862" s="1"/>
      <c r="P1862" s="1"/>
      <c r="Q1862" s="3"/>
      <c r="R1862" s="4"/>
      <c r="S1862" s="4"/>
      <c r="T1862" s="1"/>
      <c r="U1862" s="6"/>
      <c r="V1862" s="1"/>
      <c r="W1862" s="1"/>
      <c r="X1862" s="1"/>
      <c r="Y1862" s="1"/>
      <c r="Z1862" s="1"/>
      <c r="AA1862" s="1"/>
      <c r="AB1862" s="1"/>
      <c r="AC1862" s="1"/>
    </row>
    <row r="1863" spans="1:29">
      <c r="A1863" s="1"/>
      <c r="B1863" s="1"/>
      <c r="C1863" s="73"/>
      <c r="D1863" s="1"/>
      <c r="E1863" s="1"/>
      <c r="F1863" s="1"/>
      <c r="G1863" s="145"/>
      <c r="H1863" s="1"/>
      <c r="I1863" s="1"/>
      <c r="J1863" s="1"/>
      <c r="K1863" s="1"/>
      <c r="L1863" s="1"/>
      <c r="M1863" s="1"/>
      <c r="N1863" s="1"/>
      <c r="O1863" s="1"/>
      <c r="P1863" s="1"/>
      <c r="Q1863" s="3"/>
      <c r="R1863" s="4"/>
      <c r="S1863" s="4"/>
      <c r="T1863" s="1"/>
      <c r="U1863" s="6"/>
      <c r="V1863" s="1"/>
      <c r="W1863" s="1"/>
      <c r="X1863" s="1"/>
      <c r="Y1863" s="1"/>
      <c r="Z1863" s="1"/>
      <c r="AA1863" s="1"/>
      <c r="AB1863" s="1"/>
      <c r="AC1863" s="1"/>
    </row>
    <row r="1864" spans="1:29">
      <c r="A1864" s="1"/>
      <c r="B1864" s="1"/>
      <c r="C1864" s="73"/>
      <c r="D1864" s="1"/>
      <c r="E1864" s="1"/>
      <c r="F1864" s="1"/>
      <c r="G1864" s="145"/>
      <c r="H1864" s="1"/>
      <c r="I1864" s="1"/>
      <c r="J1864" s="1"/>
      <c r="K1864" s="1"/>
      <c r="L1864" s="1"/>
      <c r="M1864" s="1"/>
      <c r="N1864" s="1"/>
      <c r="O1864" s="1"/>
      <c r="P1864" s="1"/>
      <c r="Q1864" s="3"/>
      <c r="R1864" s="4"/>
      <c r="S1864" s="4"/>
      <c r="T1864" s="1"/>
      <c r="U1864" s="6"/>
      <c r="V1864" s="1"/>
      <c r="W1864" s="1"/>
      <c r="X1864" s="1"/>
      <c r="Y1864" s="1"/>
      <c r="Z1864" s="1"/>
      <c r="AA1864" s="1"/>
      <c r="AB1864" s="1"/>
      <c r="AC1864" s="1"/>
    </row>
    <row r="1865" spans="1:29">
      <c r="A1865" s="1"/>
      <c r="B1865" s="1"/>
      <c r="C1865" s="73"/>
      <c r="D1865" s="1"/>
      <c r="E1865" s="1"/>
      <c r="F1865" s="1"/>
      <c r="G1865" s="145"/>
      <c r="H1865" s="1"/>
      <c r="I1865" s="1"/>
      <c r="J1865" s="1"/>
      <c r="K1865" s="1"/>
      <c r="L1865" s="1"/>
      <c r="M1865" s="1"/>
      <c r="N1865" s="1"/>
      <c r="O1865" s="1"/>
      <c r="P1865" s="1"/>
      <c r="Q1865" s="3"/>
      <c r="R1865" s="4"/>
      <c r="S1865" s="4"/>
      <c r="T1865" s="1"/>
      <c r="U1865" s="6"/>
      <c r="V1865" s="1"/>
      <c r="W1865" s="1"/>
      <c r="X1865" s="1"/>
      <c r="Y1865" s="1"/>
      <c r="Z1865" s="1"/>
      <c r="AA1865" s="1"/>
      <c r="AB1865" s="1"/>
      <c r="AC1865" s="1"/>
    </row>
    <row r="1866" spans="1:29">
      <c r="A1866" s="1"/>
      <c r="B1866" s="1"/>
      <c r="C1866" s="73"/>
      <c r="D1866" s="1"/>
      <c r="E1866" s="1"/>
      <c r="F1866" s="1"/>
      <c r="G1866" s="145"/>
      <c r="H1866" s="1"/>
      <c r="I1866" s="1"/>
      <c r="J1866" s="1"/>
      <c r="K1866" s="1"/>
      <c r="L1866" s="1"/>
      <c r="M1866" s="1"/>
      <c r="N1866" s="1"/>
      <c r="O1866" s="1"/>
      <c r="P1866" s="1"/>
      <c r="Q1866" s="3"/>
      <c r="R1866" s="4"/>
      <c r="S1866" s="4"/>
      <c r="T1866" s="1"/>
      <c r="U1866" s="6"/>
      <c r="V1866" s="1"/>
      <c r="W1866" s="1"/>
      <c r="X1866" s="1"/>
      <c r="Y1866" s="1"/>
      <c r="Z1866" s="1"/>
      <c r="AA1866" s="1"/>
      <c r="AB1866" s="1"/>
      <c r="AC1866" s="1"/>
    </row>
    <row r="1867" spans="1:29">
      <c r="A1867" s="1"/>
      <c r="B1867" s="1"/>
      <c r="C1867" s="73"/>
      <c r="D1867" s="1"/>
      <c r="E1867" s="1"/>
      <c r="F1867" s="1"/>
      <c r="G1867" s="145"/>
      <c r="H1867" s="1"/>
      <c r="I1867" s="1"/>
      <c r="J1867" s="1"/>
      <c r="K1867" s="1"/>
      <c r="L1867" s="1"/>
      <c r="M1867" s="1"/>
      <c r="N1867" s="1"/>
      <c r="O1867" s="1"/>
      <c r="P1867" s="1"/>
      <c r="Q1867" s="3"/>
      <c r="R1867" s="4"/>
      <c r="S1867" s="4"/>
      <c r="T1867" s="1"/>
      <c r="U1867" s="6"/>
      <c r="V1867" s="1"/>
      <c r="W1867" s="1"/>
      <c r="X1867" s="1"/>
      <c r="Y1867" s="1"/>
      <c r="Z1867" s="1"/>
      <c r="AA1867" s="1"/>
      <c r="AB1867" s="1"/>
      <c r="AC1867" s="1"/>
    </row>
    <row r="1868" spans="1:29">
      <c r="A1868" s="1"/>
      <c r="B1868" s="1"/>
      <c r="C1868" s="73"/>
      <c r="D1868" s="1"/>
      <c r="E1868" s="1"/>
      <c r="F1868" s="1"/>
      <c r="G1868" s="145"/>
      <c r="H1868" s="1"/>
      <c r="I1868" s="1"/>
      <c r="J1868" s="1"/>
      <c r="K1868" s="1"/>
      <c r="L1868" s="1"/>
      <c r="M1868" s="1"/>
      <c r="N1868" s="1"/>
      <c r="O1868" s="1"/>
      <c r="P1868" s="1"/>
      <c r="Q1868" s="3"/>
      <c r="R1868" s="4"/>
      <c r="S1868" s="4"/>
      <c r="T1868" s="1"/>
      <c r="U1868" s="6"/>
      <c r="V1868" s="1"/>
      <c r="W1868" s="1"/>
      <c r="X1868" s="1"/>
      <c r="Y1868" s="1"/>
      <c r="Z1868" s="1"/>
      <c r="AA1868" s="1"/>
      <c r="AB1868" s="1"/>
      <c r="AC1868" s="1"/>
    </row>
    <row r="1869" spans="1:29">
      <c r="A1869" s="1"/>
      <c r="B1869" s="1"/>
      <c r="C1869" s="73"/>
      <c r="D1869" s="1"/>
      <c r="E1869" s="1"/>
      <c r="F1869" s="1"/>
      <c r="G1869" s="145"/>
      <c r="H1869" s="1"/>
      <c r="I1869" s="1"/>
      <c r="J1869" s="1"/>
      <c r="K1869" s="1"/>
      <c r="L1869" s="1"/>
      <c r="M1869" s="1"/>
      <c r="N1869" s="1"/>
      <c r="O1869" s="1"/>
      <c r="P1869" s="1"/>
      <c r="Q1869" s="3"/>
      <c r="R1869" s="4"/>
      <c r="S1869" s="4"/>
      <c r="T1869" s="1"/>
      <c r="U1869" s="6"/>
      <c r="V1869" s="1"/>
      <c r="W1869" s="1"/>
      <c r="X1869" s="1"/>
      <c r="Y1869" s="1"/>
      <c r="Z1869" s="1"/>
      <c r="AA1869" s="1"/>
      <c r="AB1869" s="1"/>
      <c r="AC1869" s="1"/>
    </row>
    <row r="1870" spans="1:29">
      <c r="A1870" s="1"/>
      <c r="B1870" s="1"/>
      <c r="C1870" s="73"/>
      <c r="D1870" s="1"/>
      <c r="E1870" s="1"/>
      <c r="F1870" s="1"/>
      <c r="G1870" s="145"/>
      <c r="H1870" s="1"/>
      <c r="I1870" s="1"/>
      <c r="J1870" s="1"/>
      <c r="K1870" s="1"/>
      <c r="L1870" s="1"/>
      <c r="M1870" s="1"/>
      <c r="N1870" s="1"/>
      <c r="O1870" s="1"/>
      <c r="P1870" s="1"/>
      <c r="Q1870" s="3"/>
      <c r="R1870" s="4"/>
      <c r="S1870" s="4"/>
      <c r="T1870" s="1"/>
      <c r="U1870" s="6"/>
      <c r="V1870" s="1"/>
      <c r="W1870" s="1"/>
      <c r="X1870" s="1"/>
      <c r="Y1870" s="1"/>
      <c r="Z1870" s="1"/>
      <c r="AA1870" s="1"/>
      <c r="AB1870" s="1"/>
      <c r="AC1870" s="1"/>
    </row>
    <row r="1871" spans="1:29">
      <c r="A1871" s="1"/>
      <c r="B1871" s="1"/>
      <c r="C1871" s="73"/>
      <c r="D1871" s="1"/>
      <c r="E1871" s="1"/>
      <c r="F1871" s="1"/>
      <c r="G1871" s="145"/>
      <c r="H1871" s="1"/>
      <c r="I1871" s="1"/>
      <c r="J1871" s="1"/>
      <c r="K1871" s="1"/>
      <c r="L1871" s="1"/>
      <c r="M1871" s="1"/>
      <c r="N1871" s="1"/>
      <c r="O1871" s="1"/>
      <c r="P1871" s="1"/>
      <c r="Q1871" s="3"/>
      <c r="R1871" s="4"/>
      <c r="S1871" s="4"/>
      <c r="T1871" s="1"/>
      <c r="U1871" s="6"/>
      <c r="V1871" s="1"/>
      <c r="W1871" s="1"/>
      <c r="X1871" s="1"/>
      <c r="Y1871" s="1"/>
      <c r="Z1871" s="1"/>
      <c r="AA1871" s="1"/>
      <c r="AB1871" s="1"/>
      <c r="AC1871" s="1"/>
    </row>
    <row r="1872" spans="1:29">
      <c r="A1872" s="1"/>
      <c r="B1872" s="1"/>
      <c r="C1872" s="73"/>
      <c r="D1872" s="1"/>
      <c r="E1872" s="1"/>
      <c r="F1872" s="1"/>
      <c r="G1872" s="145"/>
      <c r="H1872" s="1"/>
      <c r="I1872" s="1"/>
      <c r="J1872" s="1"/>
      <c r="K1872" s="1"/>
      <c r="L1872" s="1"/>
      <c r="M1872" s="1"/>
      <c r="N1872" s="1"/>
      <c r="O1872" s="1"/>
      <c r="P1872" s="1"/>
      <c r="Q1872" s="3"/>
      <c r="R1872" s="4"/>
      <c r="S1872" s="4"/>
      <c r="T1872" s="1"/>
      <c r="U1872" s="6"/>
      <c r="V1872" s="1"/>
      <c r="W1872" s="1"/>
      <c r="X1872" s="1"/>
      <c r="Y1872" s="1"/>
      <c r="Z1872" s="1"/>
      <c r="AA1872" s="1"/>
      <c r="AB1872" s="1"/>
      <c r="AC1872" s="1"/>
    </row>
    <row r="1873" spans="1:29">
      <c r="A1873" s="1"/>
      <c r="B1873" s="1"/>
      <c r="C1873" s="73"/>
      <c r="D1873" s="1"/>
      <c r="E1873" s="1"/>
      <c r="F1873" s="1"/>
      <c r="G1873" s="145"/>
      <c r="H1873" s="1"/>
      <c r="I1873" s="1"/>
      <c r="J1873" s="1"/>
      <c r="K1873" s="1"/>
      <c r="L1873" s="1"/>
      <c r="M1873" s="1"/>
      <c r="N1873" s="1"/>
      <c r="O1873" s="1"/>
      <c r="P1873" s="1"/>
      <c r="Q1873" s="3"/>
      <c r="R1873" s="4"/>
      <c r="S1873" s="4"/>
      <c r="T1873" s="1"/>
      <c r="U1873" s="6"/>
      <c r="V1873" s="1"/>
      <c r="W1873" s="1"/>
      <c r="X1873" s="1"/>
      <c r="Y1873" s="1"/>
      <c r="Z1873" s="1"/>
      <c r="AA1873" s="1"/>
      <c r="AB1873" s="1"/>
      <c r="AC1873" s="1"/>
    </row>
    <row r="1874" spans="1:29">
      <c r="A1874" s="1"/>
      <c r="B1874" s="1"/>
      <c r="C1874" s="73"/>
      <c r="D1874" s="1"/>
      <c r="E1874" s="1"/>
      <c r="F1874" s="1"/>
      <c r="G1874" s="145"/>
      <c r="H1874" s="1"/>
      <c r="I1874" s="1"/>
      <c r="J1874" s="1"/>
      <c r="K1874" s="1"/>
      <c r="L1874" s="1"/>
      <c r="M1874" s="1"/>
      <c r="N1874" s="1"/>
      <c r="O1874" s="1"/>
      <c r="P1874" s="1"/>
      <c r="Q1874" s="3"/>
      <c r="R1874" s="4"/>
      <c r="S1874" s="4"/>
      <c r="T1874" s="1"/>
      <c r="U1874" s="6"/>
      <c r="V1874" s="1"/>
      <c r="W1874" s="1"/>
      <c r="X1874" s="1"/>
      <c r="Y1874" s="1"/>
      <c r="Z1874" s="1"/>
      <c r="AA1874" s="1"/>
      <c r="AB1874" s="1"/>
      <c r="AC1874" s="1"/>
    </row>
    <row r="1875" spans="1:29">
      <c r="A1875" s="1"/>
      <c r="B1875" s="1"/>
      <c r="C1875" s="73"/>
      <c r="D1875" s="1"/>
      <c r="E1875" s="1"/>
      <c r="F1875" s="1"/>
      <c r="G1875" s="145"/>
      <c r="H1875" s="1"/>
      <c r="I1875" s="1"/>
      <c r="J1875" s="1"/>
      <c r="K1875" s="1"/>
      <c r="L1875" s="1"/>
      <c r="M1875" s="1"/>
      <c r="N1875" s="1"/>
      <c r="O1875" s="1"/>
      <c r="P1875" s="1"/>
      <c r="Q1875" s="3"/>
      <c r="R1875" s="4"/>
      <c r="S1875" s="4"/>
      <c r="T1875" s="1"/>
      <c r="U1875" s="6"/>
      <c r="V1875" s="1"/>
      <c r="W1875" s="1"/>
      <c r="X1875" s="1"/>
      <c r="Y1875" s="1"/>
      <c r="Z1875" s="1"/>
      <c r="AA1875" s="1"/>
      <c r="AB1875" s="1"/>
      <c r="AC1875" s="1"/>
    </row>
    <row r="1876" spans="1:29">
      <c r="A1876" s="1"/>
      <c r="B1876" s="1"/>
      <c r="C1876" s="73"/>
      <c r="D1876" s="1"/>
      <c r="E1876" s="1"/>
      <c r="F1876" s="1"/>
      <c r="G1876" s="145"/>
      <c r="H1876" s="1"/>
      <c r="I1876" s="1"/>
      <c r="J1876" s="1"/>
      <c r="K1876" s="1"/>
      <c r="L1876" s="1"/>
      <c r="M1876" s="1"/>
      <c r="N1876" s="1"/>
      <c r="O1876" s="1"/>
      <c r="P1876" s="1"/>
      <c r="Q1876" s="3"/>
      <c r="R1876" s="4"/>
      <c r="S1876" s="4"/>
      <c r="T1876" s="1"/>
      <c r="U1876" s="6"/>
      <c r="V1876" s="1"/>
      <c r="W1876" s="1"/>
      <c r="X1876" s="1"/>
      <c r="Y1876" s="1"/>
      <c r="Z1876" s="1"/>
      <c r="AA1876" s="1"/>
      <c r="AB1876" s="1"/>
      <c r="AC1876" s="1"/>
    </row>
    <row r="1877" spans="1:29">
      <c r="A1877" s="1"/>
      <c r="B1877" s="1"/>
      <c r="C1877" s="73"/>
      <c r="D1877" s="1"/>
      <c r="E1877" s="1"/>
      <c r="F1877" s="1"/>
      <c r="G1877" s="145"/>
      <c r="H1877" s="1"/>
      <c r="I1877" s="1"/>
      <c r="J1877" s="1"/>
      <c r="K1877" s="1"/>
      <c r="L1877" s="1"/>
      <c r="M1877" s="1"/>
      <c r="N1877" s="1"/>
      <c r="O1877" s="1"/>
      <c r="P1877" s="1"/>
      <c r="Q1877" s="3"/>
      <c r="R1877" s="4"/>
      <c r="S1877" s="4"/>
      <c r="T1877" s="1"/>
      <c r="U1877" s="6"/>
      <c r="V1877" s="1"/>
      <c r="W1877" s="1"/>
      <c r="X1877" s="1"/>
      <c r="Y1877" s="1"/>
      <c r="Z1877" s="1"/>
      <c r="AA1877" s="1"/>
      <c r="AB1877" s="1"/>
      <c r="AC1877" s="1"/>
    </row>
    <row r="1878" spans="1:29">
      <c r="A1878" s="1"/>
      <c r="B1878" s="1"/>
      <c r="C1878" s="73"/>
      <c r="D1878" s="1"/>
      <c r="E1878" s="1"/>
      <c r="F1878" s="1"/>
      <c r="G1878" s="145"/>
      <c r="H1878" s="1"/>
      <c r="I1878" s="1"/>
      <c r="J1878" s="1"/>
      <c r="K1878" s="1"/>
      <c r="L1878" s="1"/>
      <c r="M1878" s="1"/>
      <c r="N1878" s="1"/>
      <c r="O1878" s="1"/>
      <c r="P1878" s="1"/>
      <c r="Q1878" s="3"/>
      <c r="R1878" s="4"/>
      <c r="S1878" s="4"/>
      <c r="T1878" s="1"/>
      <c r="U1878" s="6"/>
      <c r="V1878" s="1"/>
      <c r="W1878" s="1"/>
      <c r="X1878" s="1"/>
      <c r="Y1878" s="1"/>
      <c r="Z1878" s="1"/>
      <c r="AA1878" s="1"/>
      <c r="AB1878" s="1"/>
      <c r="AC1878" s="1"/>
    </row>
    <row r="1879" spans="1:29">
      <c r="A1879" s="1"/>
      <c r="B1879" s="1"/>
      <c r="C1879" s="73"/>
      <c r="D1879" s="1"/>
      <c r="E1879" s="1"/>
      <c r="F1879" s="1"/>
      <c r="G1879" s="145"/>
      <c r="H1879" s="1"/>
      <c r="I1879" s="1"/>
      <c r="J1879" s="1"/>
      <c r="K1879" s="1"/>
      <c r="L1879" s="1"/>
      <c r="M1879" s="1"/>
      <c r="N1879" s="1"/>
      <c r="O1879" s="1"/>
      <c r="P1879" s="1"/>
      <c r="Q1879" s="3"/>
      <c r="R1879" s="4"/>
      <c r="S1879" s="4"/>
      <c r="T1879" s="1"/>
      <c r="U1879" s="6"/>
      <c r="V1879" s="1"/>
      <c r="W1879" s="1"/>
      <c r="X1879" s="1"/>
      <c r="Y1879" s="1"/>
      <c r="Z1879" s="1"/>
      <c r="AA1879" s="1"/>
      <c r="AB1879" s="1"/>
      <c r="AC1879" s="1"/>
    </row>
    <row r="1880" spans="1:29">
      <c r="A1880" s="1"/>
      <c r="B1880" s="1"/>
      <c r="C1880" s="73"/>
      <c r="D1880" s="1"/>
      <c r="E1880" s="1"/>
      <c r="F1880" s="1"/>
      <c r="G1880" s="145"/>
      <c r="H1880" s="1"/>
      <c r="I1880" s="1"/>
      <c r="J1880" s="1"/>
      <c r="K1880" s="1"/>
      <c r="L1880" s="1"/>
      <c r="M1880" s="1"/>
      <c r="N1880" s="1"/>
      <c r="O1880" s="1"/>
      <c r="P1880" s="1"/>
      <c r="Q1880" s="3"/>
      <c r="R1880" s="4"/>
      <c r="S1880" s="4"/>
      <c r="T1880" s="1"/>
      <c r="U1880" s="6"/>
      <c r="V1880" s="1"/>
      <c r="W1880" s="1"/>
      <c r="X1880" s="1"/>
      <c r="Y1880" s="1"/>
      <c r="Z1880" s="1"/>
      <c r="AA1880" s="1"/>
      <c r="AB1880" s="1"/>
      <c r="AC1880" s="1"/>
    </row>
    <row r="1881" spans="1:29">
      <c r="A1881" s="1"/>
      <c r="B1881" s="1"/>
      <c r="C1881" s="73"/>
      <c r="D1881" s="1"/>
      <c r="E1881" s="1"/>
      <c r="F1881" s="1"/>
      <c r="G1881" s="145"/>
      <c r="H1881" s="1"/>
      <c r="I1881" s="1"/>
      <c r="J1881" s="1"/>
      <c r="K1881" s="1"/>
      <c r="L1881" s="1"/>
      <c r="M1881" s="1"/>
      <c r="N1881" s="1"/>
      <c r="O1881" s="1"/>
      <c r="P1881" s="1"/>
      <c r="Q1881" s="3"/>
      <c r="R1881" s="4"/>
      <c r="S1881" s="4"/>
      <c r="T1881" s="1"/>
      <c r="U1881" s="6"/>
      <c r="V1881" s="1"/>
      <c r="W1881" s="1"/>
      <c r="X1881" s="1"/>
      <c r="Y1881" s="1"/>
      <c r="Z1881" s="1"/>
      <c r="AA1881" s="1"/>
      <c r="AB1881" s="1"/>
      <c r="AC1881" s="1"/>
    </row>
    <row r="1882" spans="1:29">
      <c r="A1882" s="1"/>
      <c r="B1882" s="1"/>
      <c r="C1882" s="73"/>
      <c r="D1882" s="1"/>
      <c r="E1882" s="1"/>
      <c r="F1882" s="1"/>
      <c r="G1882" s="145"/>
      <c r="H1882" s="1"/>
      <c r="I1882" s="1"/>
      <c r="J1882" s="1"/>
      <c r="K1882" s="1"/>
      <c r="L1882" s="1"/>
      <c r="M1882" s="1"/>
      <c r="N1882" s="1"/>
      <c r="O1882" s="1"/>
      <c r="P1882" s="1"/>
      <c r="Q1882" s="3"/>
      <c r="R1882" s="4"/>
      <c r="S1882" s="4"/>
      <c r="T1882" s="1"/>
      <c r="U1882" s="6"/>
      <c r="V1882" s="1"/>
      <c r="W1882" s="1"/>
      <c r="X1882" s="1"/>
      <c r="Y1882" s="1"/>
      <c r="Z1882" s="1"/>
      <c r="AA1882" s="1"/>
      <c r="AB1882" s="1"/>
      <c r="AC1882" s="1"/>
    </row>
    <row r="1883" spans="1:29">
      <c r="A1883" s="1"/>
      <c r="B1883" s="1"/>
      <c r="C1883" s="73"/>
      <c r="D1883" s="1"/>
      <c r="E1883" s="1"/>
      <c r="F1883" s="1"/>
      <c r="G1883" s="145"/>
      <c r="H1883" s="1"/>
      <c r="I1883" s="1"/>
      <c r="J1883" s="1"/>
      <c r="K1883" s="1"/>
      <c r="L1883" s="1"/>
      <c r="M1883" s="1"/>
      <c r="N1883" s="1"/>
      <c r="O1883" s="1"/>
      <c r="P1883" s="1"/>
      <c r="Q1883" s="3"/>
      <c r="R1883" s="4"/>
      <c r="S1883" s="4"/>
      <c r="T1883" s="1"/>
      <c r="U1883" s="6"/>
      <c r="V1883" s="1"/>
      <c r="W1883" s="1"/>
      <c r="X1883" s="1"/>
      <c r="Y1883" s="1"/>
      <c r="Z1883" s="1"/>
      <c r="AA1883" s="1"/>
      <c r="AB1883" s="1"/>
      <c r="AC1883" s="1"/>
    </row>
    <row r="1884" spans="1:29">
      <c r="A1884" s="1"/>
      <c r="B1884" s="1"/>
      <c r="C1884" s="73"/>
      <c r="D1884" s="1"/>
      <c r="E1884" s="1"/>
      <c r="F1884" s="1"/>
      <c r="G1884" s="145"/>
      <c r="H1884" s="1"/>
      <c r="I1884" s="1"/>
      <c r="J1884" s="1"/>
      <c r="K1884" s="1"/>
      <c r="L1884" s="1"/>
      <c r="M1884" s="1"/>
      <c r="N1884" s="1"/>
      <c r="O1884" s="1"/>
      <c r="P1884" s="1"/>
      <c r="Q1884" s="3"/>
      <c r="R1884" s="4"/>
      <c r="S1884" s="4"/>
      <c r="T1884" s="1"/>
      <c r="U1884" s="6"/>
      <c r="V1884" s="1"/>
      <c r="W1884" s="1"/>
      <c r="X1884" s="1"/>
      <c r="Y1884" s="1"/>
      <c r="Z1884" s="1"/>
      <c r="AA1884" s="1"/>
      <c r="AB1884" s="1"/>
      <c r="AC1884" s="1"/>
    </row>
    <row r="1885" spans="1:29">
      <c r="A1885" s="1"/>
      <c r="B1885" s="1"/>
      <c r="C1885" s="73"/>
      <c r="D1885" s="1"/>
      <c r="E1885" s="1"/>
      <c r="F1885" s="1"/>
      <c r="G1885" s="145"/>
      <c r="H1885" s="1"/>
      <c r="I1885" s="1"/>
      <c r="J1885" s="1"/>
      <c r="K1885" s="1"/>
      <c r="L1885" s="1"/>
      <c r="M1885" s="1"/>
      <c r="N1885" s="1"/>
      <c r="O1885" s="1"/>
      <c r="P1885" s="1"/>
      <c r="Q1885" s="3"/>
      <c r="R1885" s="4"/>
      <c r="S1885" s="4"/>
      <c r="T1885" s="1"/>
      <c r="U1885" s="6"/>
      <c r="V1885" s="1"/>
      <c r="W1885" s="1"/>
      <c r="X1885" s="1"/>
      <c r="Y1885" s="1"/>
      <c r="Z1885" s="1"/>
      <c r="AA1885" s="1"/>
      <c r="AB1885" s="1"/>
      <c r="AC1885" s="1"/>
    </row>
    <row r="1886" spans="1:29">
      <c r="A1886" s="1"/>
      <c r="B1886" s="1"/>
      <c r="C1886" s="73"/>
      <c r="D1886" s="1"/>
      <c r="E1886" s="1"/>
      <c r="F1886" s="1"/>
      <c r="G1886" s="145"/>
      <c r="H1886" s="1"/>
      <c r="I1886" s="1"/>
      <c r="J1886" s="1"/>
      <c r="K1886" s="1"/>
      <c r="L1886" s="1"/>
      <c r="M1886" s="1"/>
      <c r="N1886" s="1"/>
      <c r="O1886" s="1"/>
      <c r="P1886" s="1"/>
      <c r="Q1886" s="3"/>
      <c r="R1886" s="4"/>
      <c r="S1886" s="4"/>
      <c r="T1886" s="1"/>
      <c r="U1886" s="6"/>
      <c r="V1886" s="1"/>
      <c r="W1886" s="1"/>
      <c r="X1886" s="1"/>
      <c r="Y1886" s="1"/>
      <c r="Z1886" s="1"/>
      <c r="AA1886" s="1"/>
      <c r="AB1886" s="1"/>
      <c r="AC1886" s="1"/>
    </row>
    <row r="1887" spans="1:29">
      <c r="A1887" s="1"/>
      <c r="B1887" s="1"/>
      <c r="C1887" s="73"/>
      <c r="D1887" s="1"/>
      <c r="E1887" s="1"/>
      <c r="F1887" s="1"/>
      <c r="G1887" s="145"/>
      <c r="H1887" s="1"/>
      <c r="I1887" s="1"/>
      <c r="J1887" s="1"/>
      <c r="K1887" s="1"/>
      <c r="L1887" s="1"/>
      <c r="M1887" s="1"/>
      <c r="N1887" s="1"/>
      <c r="O1887" s="1"/>
      <c r="P1887" s="1"/>
      <c r="Q1887" s="3"/>
      <c r="R1887" s="4"/>
      <c r="S1887" s="4"/>
      <c r="T1887" s="1"/>
      <c r="U1887" s="6"/>
      <c r="V1887" s="1"/>
      <c r="W1887" s="1"/>
      <c r="X1887" s="1"/>
      <c r="Y1887" s="1"/>
      <c r="Z1887" s="1"/>
      <c r="AA1887" s="1"/>
      <c r="AB1887" s="1"/>
      <c r="AC1887" s="1"/>
    </row>
    <row r="1888" spans="1:29">
      <c r="A1888" s="1"/>
      <c r="B1888" s="1"/>
      <c r="C1888" s="73"/>
      <c r="D1888" s="1"/>
      <c r="E1888" s="1"/>
      <c r="F1888" s="1"/>
      <c r="G1888" s="145"/>
      <c r="H1888" s="1"/>
      <c r="I1888" s="1"/>
      <c r="J1888" s="1"/>
      <c r="K1888" s="1"/>
      <c r="L1888" s="1"/>
      <c r="M1888" s="1"/>
      <c r="N1888" s="1"/>
      <c r="O1888" s="1"/>
      <c r="P1888" s="1"/>
      <c r="Q1888" s="3"/>
      <c r="R1888" s="4"/>
      <c r="S1888" s="4"/>
      <c r="T1888" s="1"/>
      <c r="U1888" s="6"/>
      <c r="V1888" s="1"/>
      <c r="W1888" s="1"/>
      <c r="X1888" s="1"/>
      <c r="Y1888" s="1"/>
      <c r="Z1888" s="1"/>
      <c r="AA1888" s="1"/>
      <c r="AB1888" s="1"/>
      <c r="AC1888" s="1"/>
    </row>
    <row r="1889" spans="1:29">
      <c r="A1889" s="1"/>
      <c r="B1889" s="1"/>
      <c r="C1889" s="73"/>
      <c r="D1889" s="1"/>
      <c r="E1889" s="1"/>
      <c r="F1889" s="1"/>
      <c r="G1889" s="145"/>
      <c r="H1889" s="1"/>
      <c r="I1889" s="1"/>
      <c r="J1889" s="1"/>
      <c r="K1889" s="1"/>
      <c r="L1889" s="1"/>
      <c r="M1889" s="1"/>
      <c r="N1889" s="1"/>
      <c r="O1889" s="1"/>
      <c r="P1889" s="1"/>
      <c r="Q1889" s="3"/>
      <c r="R1889" s="4"/>
      <c r="S1889" s="4"/>
      <c r="T1889" s="1"/>
      <c r="U1889" s="6"/>
      <c r="V1889" s="1"/>
      <c r="W1889" s="1"/>
      <c r="X1889" s="1"/>
      <c r="Y1889" s="1"/>
      <c r="Z1889" s="1"/>
      <c r="AA1889" s="1"/>
      <c r="AB1889" s="1"/>
      <c r="AC1889" s="1"/>
    </row>
    <row r="1890" spans="1:29">
      <c r="A1890" s="1"/>
      <c r="B1890" s="1"/>
      <c r="C1890" s="73"/>
      <c r="D1890" s="1"/>
      <c r="E1890" s="1"/>
      <c r="F1890" s="1"/>
      <c r="G1890" s="145"/>
      <c r="H1890" s="1"/>
      <c r="I1890" s="1"/>
      <c r="J1890" s="1"/>
      <c r="K1890" s="1"/>
      <c r="L1890" s="1"/>
      <c r="M1890" s="1"/>
      <c r="N1890" s="1"/>
      <c r="O1890" s="1"/>
      <c r="P1890" s="1"/>
      <c r="Q1890" s="3"/>
      <c r="R1890" s="4"/>
      <c r="S1890" s="4"/>
      <c r="T1890" s="1"/>
      <c r="U1890" s="6"/>
      <c r="V1890" s="1"/>
      <c r="W1890" s="1"/>
      <c r="X1890" s="1"/>
      <c r="Y1890" s="1"/>
      <c r="Z1890" s="1"/>
      <c r="AA1890" s="1"/>
      <c r="AB1890" s="1"/>
      <c r="AC1890" s="1"/>
    </row>
    <row r="1891" spans="1:29">
      <c r="A1891" s="1"/>
      <c r="B1891" s="1"/>
      <c r="C1891" s="73"/>
      <c r="D1891" s="1"/>
      <c r="E1891" s="1"/>
      <c r="F1891" s="1"/>
      <c r="G1891" s="145"/>
      <c r="H1891" s="1"/>
      <c r="I1891" s="1"/>
      <c r="J1891" s="1"/>
      <c r="K1891" s="1"/>
      <c r="L1891" s="1"/>
      <c r="M1891" s="1"/>
      <c r="N1891" s="1"/>
      <c r="O1891" s="1"/>
      <c r="P1891" s="1"/>
      <c r="Q1891" s="3"/>
      <c r="R1891" s="4"/>
      <c r="S1891" s="4"/>
      <c r="T1891" s="1"/>
      <c r="U1891" s="6"/>
      <c r="V1891" s="1"/>
      <c r="W1891" s="1"/>
      <c r="X1891" s="1"/>
      <c r="Y1891" s="1"/>
      <c r="Z1891" s="1"/>
      <c r="AA1891" s="1"/>
      <c r="AB1891" s="1"/>
      <c r="AC1891" s="1"/>
    </row>
    <row r="1892" spans="1:29">
      <c r="A1892" s="1"/>
      <c r="B1892" s="1"/>
      <c r="C1892" s="73"/>
      <c r="D1892" s="1"/>
      <c r="E1892" s="1"/>
      <c r="F1892" s="1"/>
      <c r="G1892" s="145"/>
      <c r="H1892" s="1"/>
      <c r="I1892" s="1"/>
      <c r="J1892" s="1"/>
      <c r="K1892" s="1"/>
      <c r="L1892" s="1"/>
      <c r="M1892" s="1"/>
      <c r="N1892" s="1"/>
      <c r="O1892" s="1"/>
      <c r="P1892" s="1"/>
      <c r="Q1892" s="3"/>
      <c r="R1892" s="4"/>
      <c r="S1892" s="4"/>
      <c r="T1892" s="1"/>
      <c r="U1892" s="6"/>
      <c r="V1892" s="1"/>
      <c r="W1892" s="1"/>
      <c r="X1892" s="1"/>
      <c r="Y1892" s="1"/>
      <c r="Z1892" s="1"/>
      <c r="AA1892" s="1"/>
      <c r="AB1892" s="1"/>
      <c r="AC1892" s="1"/>
    </row>
    <row r="1893" spans="1:29">
      <c r="A1893" s="1"/>
      <c r="B1893" s="1"/>
      <c r="C1893" s="73"/>
      <c r="D1893" s="1"/>
      <c r="E1893" s="1"/>
      <c r="F1893" s="1"/>
      <c r="G1893" s="145"/>
      <c r="H1893" s="1"/>
      <c r="I1893" s="1"/>
      <c r="J1893" s="1"/>
      <c r="K1893" s="1"/>
      <c r="L1893" s="1"/>
      <c r="M1893" s="1"/>
      <c r="N1893" s="1"/>
      <c r="O1893" s="1"/>
      <c r="P1893" s="1"/>
      <c r="Q1893" s="3"/>
      <c r="R1893" s="4"/>
      <c r="S1893" s="4"/>
      <c r="T1893" s="1"/>
      <c r="U1893" s="6"/>
      <c r="V1893" s="1"/>
      <c r="W1893" s="1"/>
      <c r="X1893" s="1"/>
      <c r="Y1893" s="1"/>
      <c r="Z1893" s="1"/>
      <c r="AA1893" s="1"/>
      <c r="AB1893" s="1"/>
      <c r="AC1893" s="1"/>
    </row>
    <row r="1894" spans="1:29">
      <c r="A1894" s="1"/>
      <c r="B1894" s="1"/>
      <c r="C1894" s="73"/>
      <c r="D1894" s="1"/>
      <c r="E1894" s="1"/>
      <c r="F1894" s="1"/>
      <c r="G1894" s="145"/>
      <c r="H1894" s="1"/>
      <c r="I1894" s="1"/>
      <c r="J1894" s="1"/>
      <c r="K1894" s="1"/>
      <c r="L1894" s="1"/>
      <c r="M1894" s="1"/>
      <c r="N1894" s="1"/>
      <c r="O1894" s="1"/>
      <c r="P1894" s="1"/>
      <c r="Q1894" s="3"/>
      <c r="R1894" s="4"/>
      <c r="S1894" s="4"/>
      <c r="T1894" s="1"/>
      <c r="U1894" s="6"/>
      <c r="V1894" s="1"/>
      <c r="W1894" s="1"/>
      <c r="X1894" s="1"/>
      <c r="Y1894" s="1"/>
      <c r="Z1894" s="1"/>
      <c r="AA1894" s="1"/>
      <c r="AB1894" s="1"/>
      <c r="AC1894" s="1"/>
    </row>
    <row r="1895" spans="1:29">
      <c r="A1895" s="1"/>
      <c r="B1895" s="1"/>
      <c r="C1895" s="73"/>
      <c r="D1895" s="1"/>
      <c r="E1895" s="1"/>
      <c r="F1895" s="1"/>
      <c r="G1895" s="145"/>
      <c r="H1895" s="1"/>
      <c r="I1895" s="1"/>
      <c r="J1895" s="1"/>
      <c r="K1895" s="1"/>
      <c r="L1895" s="1"/>
      <c r="M1895" s="1"/>
      <c r="N1895" s="1"/>
      <c r="O1895" s="1"/>
      <c r="P1895" s="1"/>
      <c r="Q1895" s="3"/>
      <c r="R1895" s="4"/>
      <c r="S1895" s="4"/>
      <c r="T1895" s="1"/>
      <c r="U1895" s="6"/>
      <c r="V1895" s="1"/>
      <c r="W1895" s="1"/>
      <c r="X1895" s="1"/>
      <c r="Y1895" s="1"/>
      <c r="Z1895" s="1"/>
      <c r="AA1895" s="1"/>
      <c r="AB1895" s="1"/>
      <c r="AC1895" s="1"/>
    </row>
    <row r="1896" spans="1:29">
      <c r="A1896" s="1"/>
      <c r="B1896" s="1"/>
      <c r="C1896" s="73"/>
      <c r="D1896" s="1"/>
      <c r="E1896" s="1"/>
      <c r="F1896" s="1"/>
      <c r="G1896" s="145"/>
      <c r="H1896" s="1"/>
      <c r="I1896" s="1"/>
      <c r="J1896" s="1"/>
      <c r="K1896" s="1"/>
      <c r="L1896" s="1"/>
      <c r="M1896" s="1"/>
      <c r="N1896" s="1"/>
      <c r="O1896" s="1"/>
      <c r="P1896" s="1"/>
      <c r="Q1896" s="3"/>
      <c r="R1896" s="4"/>
      <c r="S1896" s="4"/>
      <c r="T1896" s="1"/>
      <c r="U1896" s="6"/>
      <c r="V1896" s="1"/>
      <c r="W1896" s="1"/>
      <c r="X1896" s="1"/>
      <c r="Y1896" s="1"/>
      <c r="Z1896" s="1"/>
      <c r="AA1896" s="1"/>
      <c r="AB1896" s="1"/>
      <c r="AC1896" s="1"/>
    </row>
    <row r="1897" spans="1:29">
      <c r="A1897" s="1"/>
      <c r="B1897" s="1"/>
      <c r="C1897" s="73"/>
      <c r="D1897" s="1"/>
      <c r="E1897" s="1"/>
      <c r="F1897" s="1"/>
      <c r="G1897" s="145"/>
      <c r="H1897" s="1"/>
      <c r="I1897" s="1"/>
      <c r="J1897" s="1"/>
      <c r="K1897" s="1"/>
      <c r="L1897" s="1"/>
      <c r="M1897" s="1"/>
      <c r="N1897" s="1"/>
      <c r="O1897" s="1"/>
      <c r="P1897" s="1"/>
      <c r="Q1897" s="3"/>
      <c r="R1897" s="4"/>
      <c r="S1897" s="4"/>
      <c r="T1897" s="1"/>
      <c r="U1897" s="6"/>
      <c r="V1897" s="1"/>
      <c r="W1897" s="1"/>
      <c r="X1897" s="1"/>
      <c r="Y1897" s="1"/>
      <c r="Z1897" s="1"/>
      <c r="AA1897" s="1"/>
      <c r="AB1897" s="1"/>
      <c r="AC1897" s="1"/>
    </row>
    <row r="1898" spans="1:29">
      <c r="A1898" s="1"/>
      <c r="B1898" s="1"/>
      <c r="C1898" s="73"/>
      <c r="D1898" s="1"/>
      <c r="E1898" s="1"/>
      <c r="F1898" s="1"/>
      <c r="G1898" s="145"/>
      <c r="H1898" s="1"/>
      <c r="I1898" s="1"/>
      <c r="J1898" s="1"/>
      <c r="K1898" s="1"/>
      <c r="L1898" s="1"/>
      <c r="M1898" s="1"/>
      <c r="N1898" s="1"/>
      <c r="O1898" s="1"/>
      <c r="P1898" s="1"/>
      <c r="Q1898" s="3"/>
      <c r="R1898" s="4"/>
      <c r="S1898" s="4"/>
      <c r="T1898" s="1"/>
      <c r="U1898" s="6"/>
      <c r="V1898" s="1"/>
      <c r="W1898" s="1"/>
      <c r="X1898" s="1"/>
      <c r="Y1898" s="1"/>
      <c r="Z1898" s="1"/>
      <c r="AA1898" s="1"/>
      <c r="AB1898" s="1"/>
      <c r="AC1898" s="1"/>
    </row>
    <row r="1899" spans="1:29">
      <c r="A1899" s="1"/>
      <c r="B1899" s="1"/>
      <c r="C1899" s="73"/>
      <c r="D1899" s="1"/>
      <c r="E1899" s="1"/>
      <c r="F1899" s="1"/>
      <c r="G1899" s="145"/>
      <c r="H1899" s="1"/>
      <c r="I1899" s="1"/>
      <c r="J1899" s="1"/>
      <c r="K1899" s="1"/>
      <c r="L1899" s="1"/>
      <c r="M1899" s="1"/>
      <c r="N1899" s="1"/>
      <c r="O1899" s="1"/>
      <c r="P1899" s="1"/>
      <c r="Q1899" s="3"/>
      <c r="R1899" s="4"/>
      <c r="S1899" s="4"/>
      <c r="T1899" s="1"/>
      <c r="U1899" s="6"/>
      <c r="V1899" s="1"/>
      <c r="W1899" s="1"/>
      <c r="X1899" s="1"/>
      <c r="Y1899" s="1"/>
      <c r="Z1899" s="1"/>
      <c r="AA1899" s="1"/>
      <c r="AB1899" s="1"/>
      <c r="AC1899" s="1"/>
    </row>
    <row r="1900" spans="1:29">
      <c r="A1900" s="1"/>
      <c r="B1900" s="1"/>
      <c r="C1900" s="73"/>
      <c r="D1900" s="1"/>
      <c r="E1900" s="1"/>
      <c r="F1900" s="1"/>
      <c r="G1900" s="145"/>
      <c r="H1900" s="1"/>
      <c r="I1900" s="1"/>
      <c r="J1900" s="1"/>
      <c r="K1900" s="1"/>
      <c r="L1900" s="1"/>
      <c r="M1900" s="1"/>
      <c r="N1900" s="1"/>
      <c r="O1900" s="1"/>
      <c r="P1900" s="1"/>
      <c r="Q1900" s="3"/>
      <c r="R1900" s="4"/>
      <c r="S1900" s="4"/>
      <c r="T1900" s="1"/>
      <c r="U1900" s="6"/>
      <c r="V1900" s="1"/>
      <c r="W1900" s="1"/>
      <c r="X1900" s="1"/>
      <c r="Y1900" s="1"/>
      <c r="Z1900" s="1"/>
      <c r="AA1900" s="1"/>
      <c r="AB1900" s="1"/>
      <c r="AC1900" s="1"/>
    </row>
    <row r="1901" spans="1:29">
      <c r="A1901" s="1"/>
      <c r="B1901" s="1"/>
      <c r="C1901" s="73"/>
      <c r="D1901" s="1"/>
      <c r="E1901" s="1"/>
      <c r="F1901" s="1"/>
      <c r="G1901" s="145"/>
      <c r="H1901" s="1"/>
      <c r="I1901" s="1"/>
      <c r="J1901" s="1"/>
      <c r="K1901" s="1"/>
      <c r="L1901" s="1"/>
      <c r="M1901" s="1"/>
      <c r="N1901" s="1"/>
      <c r="O1901" s="1"/>
      <c r="P1901" s="1"/>
      <c r="Q1901" s="3"/>
      <c r="R1901" s="4"/>
      <c r="S1901" s="4"/>
      <c r="T1901" s="1"/>
      <c r="U1901" s="6"/>
      <c r="V1901" s="1"/>
      <c r="W1901" s="1"/>
      <c r="X1901" s="1"/>
      <c r="Y1901" s="1"/>
      <c r="Z1901" s="1"/>
      <c r="AA1901" s="1"/>
      <c r="AB1901" s="1"/>
      <c r="AC1901" s="1"/>
    </row>
    <row r="1902" spans="1:29">
      <c r="A1902" s="1"/>
      <c r="B1902" s="1"/>
      <c r="C1902" s="73"/>
      <c r="D1902" s="1"/>
      <c r="E1902" s="1"/>
      <c r="F1902" s="1"/>
      <c r="G1902" s="145"/>
      <c r="H1902" s="1"/>
      <c r="I1902" s="1"/>
      <c r="J1902" s="1"/>
      <c r="K1902" s="1"/>
      <c r="L1902" s="1"/>
      <c r="M1902" s="1"/>
      <c r="N1902" s="1"/>
      <c r="O1902" s="1"/>
      <c r="P1902" s="1"/>
      <c r="Q1902" s="3"/>
      <c r="R1902" s="4"/>
      <c r="S1902" s="4"/>
      <c r="T1902" s="1"/>
      <c r="U1902" s="6"/>
      <c r="V1902" s="1"/>
      <c r="W1902" s="1"/>
      <c r="X1902" s="1"/>
      <c r="Y1902" s="1"/>
      <c r="Z1902" s="1"/>
      <c r="AA1902" s="1"/>
      <c r="AB1902" s="1"/>
      <c r="AC1902" s="1"/>
    </row>
    <row r="1903" spans="1:29">
      <c r="A1903" s="1"/>
      <c r="B1903" s="1"/>
      <c r="C1903" s="73"/>
      <c r="D1903" s="1"/>
      <c r="E1903" s="1"/>
      <c r="F1903" s="1"/>
      <c r="G1903" s="145"/>
      <c r="H1903" s="1"/>
      <c r="I1903" s="1"/>
      <c r="J1903" s="1"/>
      <c r="K1903" s="1"/>
      <c r="L1903" s="1"/>
      <c r="M1903" s="1"/>
      <c r="N1903" s="1"/>
      <c r="O1903" s="1"/>
      <c r="P1903" s="1"/>
      <c r="Q1903" s="3"/>
      <c r="R1903" s="4"/>
      <c r="S1903" s="4"/>
      <c r="T1903" s="1"/>
      <c r="U1903" s="6"/>
      <c r="V1903" s="1"/>
      <c r="W1903" s="1"/>
      <c r="X1903" s="1"/>
      <c r="Y1903" s="1"/>
      <c r="Z1903" s="1"/>
      <c r="AA1903" s="1"/>
      <c r="AB1903" s="1"/>
      <c r="AC1903" s="1"/>
    </row>
    <row r="1904" spans="1:29">
      <c r="A1904" s="1"/>
      <c r="B1904" s="1"/>
      <c r="C1904" s="73"/>
      <c r="D1904" s="1"/>
      <c r="E1904" s="1"/>
      <c r="F1904" s="1"/>
      <c r="G1904" s="145"/>
      <c r="H1904" s="1"/>
      <c r="I1904" s="1"/>
      <c r="J1904" s="1"/>
      <c r="K1904" s="1"/>
      <c r="L1904" s="1"/>
      <c r="M1904" s="1"/>
      <c r="N1904" s="1"/>
      <c r="O1904" s="1"/>
      <c r="P1904" s="1"/>
      <c r="Q1904" s="3"/>
      <c r="R1904" s="4"/>
      <c r="S1904" s="4"/>
      <c r="T1904" s="1"/>
      <c r="U1904" s="6"/>
      <c r="V1904" s="1"/>
      <c r="W1904" s="1"/>
      <c r="X1904" s="1"/>
      <c r="Y1904" s="1"/>
      <c r="Z1904" s="1"/>
      <c r="AA1904" s="1"/>
      <c r="AB1904" s="1"/>
      <c r="AC1904" s="1"/>
    </row>
    <row r="1905" spans="1:29">
      <c r="A1905" s="1"/>
      <c r="B1905" s="1"/>
      <c r="C1905" s="73"/>
      <c r="D1905" s="1"/>
      <c r="E1905" s="1"/>
      <c r="F1905" s="1"/>
      <c r="G1905" s="145"/>
      <c r="H1905" s="1"/>
      <c r="I1905" s="1"/>
      <c r="J1905" s="1"/>
      <c r="K1905" s="1"/>
      <c r="L1905" s="1"/>
      <c r="M1905" s="1"/>
      <c r="N1905" s="1"/>
      <c r="O1905" s="1"/>
      <c r="P1905" s="1"/>
      <c r="Q1905" s="3"/>
      <c r="R1905" s="4"/>
      <c r="S1905" s="4"/>
      <c r="T1905" s="1"/>
      <c r="U1905" s="6"/>
      <c r="V1905" s="1"/>
      <c r="W1905" s="1"/>
      <c r="X1905" s="1"/>
      <c r="Y1905" s="1"/>
      <c r="Z1905" s="1"/>
      <c r="AA1905" s="1"/>
      <c r="AB1905" s="1"/>
      <c r="AC1905" s="1"/>
    </row>
    <row r="1906" spans="1:29">
      <c r="A1906" s="1"/>
      <c r="B1906" s="1"/>
      <c r="C1906" s="73"/>
      <c r="D1906" s="1"/>
      <c r="E1906" s="1"/>
      <c r="F1906" s="1"/>
      <c r="G1906" s="145"/>
      <c r="H1906" s="1"/>
      <c r="I1906" s="1"/>
      <c r="J1906" s="1"/>
      <c r="K1906" s="1"/>
      <c r="L1906" s="1"/>
      <c r="M1906" s="1"/>
      <c r="N1906" s="1"/>
      <c r="O1906" s="1"/>
      <c r="P1906" s="1"/>
      <c r="Q1906" s="3"/>
      <c r="R1906" s="4"/>
      <c r="S1906" s="4"/>
      <c r="T1906" s="1"/>
      <c r="U1906" s="6"/>
      <c r="V1906" s="1"/>
      <c r="W1906" s="1"/>
      <c r="X1906" s="1"/>
      <c r="Y1906" s="1"/>
      <c r="Z1906" s="1"/>
      <c r="AA1906" s="1"/>
      <c r="AB1906" s="1"/>
      <c r="AC1906" s="1"/>
    </row>
    <row r="1907" spans="1:29">
      <c r="A1907" s="1"/>
      <c r="B1907" s="1"/>
      <c r="C1907" s="73"/>
      <c r="D1907" s="1"/>
      <c r="E1907" s="1"/>
      <c r="F1907" s="1"/>
      <c r="G1907" s="145"/>
      <c r="H1907" s="1"/>
      <c r="I1907" s="1"/>
      <c r="J1907" s="1"/>
      <c r="K1907" s="1"/>
      <c r="L1907" s="1"/>
      <c r="M1907" s="1"/>
      <c r="N1907" s="1"/>
      <c r="O1907" s="1"/>
      <c r="P1907" s="1"/>
      <c r="Q1907" s="3"/>
      <c r="R1907" s="4"/>
      <c r="S1907" s="4"/>
      <c r="T1907" s="1"/>
      <c r="U1907" s="6"/>
      <c r="V1907" s="1"/>
      <c r="W1907" s="1"/>
      <c r="X1907" s="1"/>
      <c r="Y1907" s="1"/>
      <c r="Z1907" s="1"/>
      <c r="AA1907" s="1"/>
      <c r="AB1907" s="1"/>
      <c r="AC1907" s="1"/>
    </row>
    <row r="1908" spans="1:29">
      <c r="A1908" s="1"/>
      <c r="B1908" s="1"/>
      <c r="C1908" s="73"/>
      <c r="D1908" s="1"/>
      <c r="E1908" s="1"/>
      <c r="F1908" s="1"/>
      <c r="G1908" s="145"/>
      <c r="H1908" s="1"/>
      <c r="I1908" s="1"/>
      <c r="J1908" s="1"/>
      <c r="K1908" s="1"/>
      <c r="L1908" s="1"/>
      <c r="M1908" s="1"/>
      <c r="N1908" s="1"/>
      <c r="O1908" s="1"/>
      <c r="P1908" s="1"/>
      <c r="Q1908" s="3"/>
      <c r="R1908" s="4"/>
      <c r="S1908" s="4"/>
      <c r="T1908" s="1"/>
      <c r="U1908" s="6"/>
      <c r="V1908" s="1"/>
      <c r="W1908" s="1"/>
      <c r="X1908" s="1"/>
      <c r="Y1908" s="1"/>
      <c r="Z1908" s="1"/>
      <c r="AA1908" s="1"/>
      <c r="AB1908" s="1"/>
      <c r="AC1908" s="1"/>
    </row>
    <row r="1909" spans="1:29">
      <c r="A1909" s="1"/>
      <c r="B1909" s="1"/>
      <c r="C1909" s="73"/>
      <c r="D1909" s="1"/>
      <c r="E1909" s="1"/>
      <c r="F1909" s="1"/>
      <c r="G1909" s="145"/>
      <c r="H1909" s="1"/>
      <c r="I1909" s="1"/>
      <c r="J1909" s="1"/>
      <c r="K1909" s="1"/>
      <c r="L1909" s="1"/>
      <c r="M1909" s="1"/>
      <c r="N1909" s="1"/>
      <c r="O1909" s="1"/>
      <c r="P1909" s="1"/>
      <c r="Q1909" s="3"/>
      <c r="R1909" s="4"/>
      <c r="S1909" s="4"/>
      <c r="T1909" s="1"/>
      <c r="U1909" s="6"/>
      <c r="V1909" s="1"/>
      <c r="W1909" s="1"/>
      <c r="X1909" s="1"/>
      <c r="Y1909" s="1"/>
      <c r="Z1909" s="1"/>
      <c r="AA1909" s="1"/>
      <c r="AB1909" s="1"/>
      <c r="AC1909" s="1"/>
    </row>
    <row r="1910" spans="1:29">
      <c r="A1910" s="1"/>
      <c r="B1910" s="1"/>
      <c r="C1910" s="73"/>
      <c r="D1910" s="1"/>
      <c r="E1910" s="1"/>
      <c r="F1910" s="1"/>
      <c r="G1910" s="145"/>
      <c r="H1910" s="1"/>
      <c r="I1910" s="1"/>
      <c r="J1910" s="1"/>
      <c r="K1910" s="1"/>
      <c r="L1910" s="1"/>
      <c r="M1910" s="1"/>
      <c r="N1910" s="1"/>
      <c r="O1910" s="1"/>
      <c r="P1910" s="1"/>
      <c r="Q1910" s="3"/>
      <c r="R1910" s="4"/>
      <c r="S1910" s="4"/>
      <c r="T1910" s="1"/>
      <c r="U1910" s="6"/>
      <c r="V1910" s="1"/>
      <c r="W1910" s="1"/>
      <c r="X1910" s="1"/>
      <c r="Y1910" s="1"/>
      <c r="Z1910" s="1"/>
      <c r="AA1910" s="1"/>
      <c r="AB1910" s="1"/>
      <c r="AC1910" s="1"/>
    </row>
    <row r="1911" spans="1:29">
      <c r="A1911" s="1"/>
      <c r="B1911" s="1"/>
      <c r="C1911" s="73"/>
      <c r="D1911" s="1"/>
      <c r="E1911" s="1"/>
      <c r="F1911" s="1"/>
      <c r="G1911" s="145"/>
      <c r="H1911" s="1"/>
      <c r="I1911" s="1"/>
      <c r="J1911" s="1"/>
      <c r="K1911" s="1"/>
      <c r="L1911" s="1"/>
      <c r="M1911" s="1"/>
      <c r="N1911" s="1"/>
      <c r="O1911" s="1"/>
      <c r="P1911" s="1"/>
      <c r="Q1911" s="3"/>
      <c r="R1911" s="4"/>
      <c r="S1911" s="4"/>
      <c r="T1911" s="1"/>
      <c r="U1911" s="6"/>
      <c r="V1911" s="1"/>
      <c r="W1911" s="1"/>
      <c r="X1911" s="1"/>
      <c r="Y1911" s="1"/>
      <c r="Z1911" s="1"/>
      <c r="AA1911" s="1"/>
      <c r="AB1911" s="1"/>
      <c r="AC1911" s="1"/>
    </row>
    <row r="1912" spans="1:29">
      <c r="A1912" s="1"/>
      <c r="B1912" s="1"/>
      <c r="C1912" s="73"/>
      <c r="D1912" s="1"/>
      <c r="E1912" s="1"/>
      <c r="F1912" s="1"/>
      <c r="G1912" s="145"/>
      <c r="H1912" s="1"/>
      <c r="I1912" s="1"/>
      <c r="J1912" s="1"/>
      <c r="K1912" s="1"/>
      <c r="L1912" s="1"/>
      <c r="M1912" s="1"/>
      <c r="N1912" s="1"/>
      <c r="O1912" s="1"/>
      <c r="P1912" s="1"/>
      <c r="Q1912" s="3"/>
      <c r="R1912" s="4"/>
      <c r="S1912" s="4"/>
      <c r="T1912" s="1"/>
      <c r="U1912" s="6"/>
      <c r="V1912" s="1"/>
      <c r="W1912" s="1"/>
      <c r="X1912" s="1"/>
      <c r="Y1912" s="1"/>
      <c r="Z1912" s="1"/>
      <c r="AA1912" s="1"/>
      <c r="AB1912" s="1"/>
      <c r="AC1912" s="1"/>
    </row>
    <row r="1913" spans="1:29">
      <c r="A1913" s="1"/>
      <c r="B1913" s="1"/>
      <c r="C1913" s="73"/>
      <c r="D1913" s="1"/>
      <c r="E1913" s="1"/>
      <c r="F1913" s="1"/>
      <c r="G1913" s="145"/>
      <c r="H1913" s="1"/>
      <c r="I1913" s="1"/>
      <c r="J1913" s="1"/>
      <c r="K1913" s="1"/>
      <c r="L1913" s="1"/>
      <c r="M1913" s="1"/>
      <c r="N1913" s="1"/>
      <c r="O1913" s="1"/>
      <c r="P1913" s="1"/>
      <c r="Q1913" s="3"/>
      <c r="R1913" s="4"/>
      <c r="S1913" s="4"/>
      <c r="T1913" s="1"/>
      <c r="U1913" s="6"/>
      <c r="V1913" s="1"/>
      <c r="W1913" s="1"/>
      <c r="X1913" s="1"/>
      <c r="Y1913" s="1"/>
      <c r="Z1913" s="1"/>
      <c r="AA1913" s="1"/>
      <c r="AB1913" s="1"/>
      <c r="AC1913" s="1"/>
    </row>
    <row r="1914" spans="1:29">
      <c r="A1914" s="1"/>
      <c r="B1914" s="1"/>
      <c r="C1914" s="73"/>
      <c r="D1914" s="1"/>
      <c r="E1914" s="1"/>
      <c r="F1914" s="1"/>
      <c r="G1914" s="145"/>
      <c r="H1914" s="1"/>
      <c r="I1914" s="1"/>
      <c r="J1914" s="1"/>
      <c r="K1914" s="1"/>
      <c r="L1914" s="1"/>
      <c r="M1914" s="1"/>
      <c r="N1914" s="1"/>
      <c r="O1914" s="1"/>
      <c r="P1914" s="1"/>
      <c r="Q1914" s="3"/>
      <c r="R1914" s="4"/>
      <c r="S1914" s="4"/>
      <c r="T1914" s="1"/>
      <c r="U1914" s="6"/>
      <c r="V1914" s="1"/>
      <c r="W1914" s="1"/>
      <c r="X1914" s="1"/>
      <c r="Y1914" s="1"/>
      <c r="Z1914" s="1"/>
      <c r="AA1914" s="1"/>
      <c r="AB1914" s="1"/>
      <c r="AC1914" s="1"/>
    </row>
    <row r="1915" spans="1:29">
      <c r="A1915" s="1"/>
      <c r="B1915" s="1"/>
      <c r="C1915" s="73"/>
      <c r="D1915" s="1"/>
      <c r="E1915" s="1"/>
      <c r="F1915" s="1"/>
      <c r="G1915" s="145"/>
      <c r="H1915" s="1"/>
      <c r="I1915" s="1"/>
      <c r="J1915" s="1"/>
      <c r="K1915" s="1"/>
      <c r="L1915" s="1"/>
      <c r="M1915" s="1"/>
      <c r="N1915" s="1"/>
      <c r="O1915" s="1"/>
      <c r="P1915" s="1"/>
      <c r="Q1915" s="3"/>
      <c r="R1915" s="4"/>
      <c r="S1915" s="4"/>
      <c r="T1915" s="1"/>
      <c r="U1915" s="6"/>
      <c r="V1915" s="1"/>
      <c r="W1915" s="1"/>
      <c r="X1915" s="1"/>
      <c r="Y1915" s="1"/>
      <c r="Z1915" s="1"/>
      <c r="AA1915" s="1"/>
      <c r="AB1915" s="1"/>
      <c r="AC1915" s="1"/>
    </row>
    <row r="1916" spans="1:29">
      <c r="A1916" s="1"/>
      <c r="B1916" s="1"/>
      <c r="C1916" s="73"/>
      <c r="D1916" s="1"/>
      <c r="E1916" s="1"/>
      <c r="F1916" s="1"/>
      <c r="G1916" s="145"/>
      <c r="H1916" s="1"/>
      <c r="I1916" s="1"/>
      <c r="J1916" s="1"/>
      <c r="K1916" s="1"/>
      <c r="L1916" s="1"/>
      <c r="M1916" s="1"/>
      <c r="N1916" s="1"/>
      <c r="O1916" s="1"/>
      <c r="P1916" s="1"/>
      <c r="Q1916" s="3"/>
      <c r="R1916" s="4"/>
      <c r="S1916" s="4"/>
      <c r="T1916" s="1"/>
      <c r="U1916" s="6"/>
      <c r="V1916" s="1"/>
      <c r="W1916" s="1"/>
      <c r="X1916" s="1"/>
      <c r="Y1916" s="1"/>
      <c r="Z1916" s="1"/>
      <c r="AA1916" s="1"/>
      <c r="AB1916" s="1"/>
      <c r="AC1916" s="1"/>
    </row>
    <row r="1917" spans="1:29">
      <c r="A1917" s="1"/>
      <c r="B1917" s="1"/>
      <c r="C1917" s="73"/>
      <c r="D1917" s="1"/>
      <c r="E1917" s="1"/>
      <c r="F1917" s="1"/>
      <c r="G1917" s="145"/>
      <c r="H1917" s="1"/>
      <c r="I1917" s="1"/>
      <c r="J1917" s="1"/>
      <c r="K1917" s="1"/>
      <c r="L1917" s="1"/>
      <c r="M1917" s="1"/>
      <c r="N1917" s="1"/>
      <c r="O1917" s="1"/>
      <c r="P1917" s="1"/>
      <c r="Q1917" s="3"/>
      <c r="R1917" s="4"/>
      <c r="S1917" s="4"/>
      <c r="T1917" s="1"/>
      <c r="U1917" s="6"/>
      <c r="V1917" s="1"/>
      <c r="W1917" s="1"/>
      <c r="X1917" s="1"/>
      <c r="Y1917" s="1"/>
      <c r="Z1917" s="1"/>
      <c r="AA1917" s="1"/>
      <c r="AB1917" s="1"/>
      <c r="AC1917" s="1"/>
    </row>
    <row r="1918" spans="1:29">
      <c r="A1918" s="1"/>
      <c r="B1918" s="1"/>
      <c r="C1918" s="73"/>
      <c r="D1918" s="1"/>
      <c r="E1918" s="1"/>
      <c r="F1918" s="1"/>
      <c r="G1918" s="145"/>
      <c r="H1918" s="1"/>
      <c r="I1918" s="1"/>
      <c r="J1918" s="1"/>
      <c r="K1918" s="1"/>
      <c r="L1918" s="1"/>
      <c r="M1918" s="1"/>
      <c r="N1918" s="1"/>
      <c r="O1918" s="1"/>
      <c r="P1918" s="1"/>
      <c r="Q1918" s="3"/>
      <c r="R1918" s="4"/>
      <c r="S1918" s="4"/>
      <c r="T1918" s="1"/>
      <c r="U1918" s="6"/>
      <c r="V1918" s="1"/>
      <c r="W1918" s="1"/>
      <c r="X1918" s="1"/>
      <c r="Y1918" s="1"/>
      <c r="Z1918" s="1"/>
      <c r="AA1918" s="1"/>
      <c r="AB1918" s="1"/>
      <c r="AC1918" s="1"/>
    </row>
    <row r="1919" spans="1:29">
      <c r="A1919" s="1"/>
      <c r="B1919" s="1"/>
      <c r="C1919" s="73"/>
      <c r="D1919" s="1"/>
      <c r="E1919" s="1"/>
      <c r="F1919" s="1"/>
      <c r="G1919" s="145"/>
      <c r="H1919" s="1"/>
      <c r="I1919" s="1"/>
      <c r="J1919" s="1"/>
      <c r="K1919" s="1"/>
      <c r="L1919" s="1"/>
      <c r="M1919" s="1"/>
      <c r="N1919" s="1"/>
      <c r="O1919" s="1"/>
      <c r="P1919" s="1"/>
      <c r="Q1919" s="3"/>
      <c r="R1919" s="4"/>
      <c r="S1919" s="4"/>
      <c r="T1919" s="1"/>
      <c r="U1919" s="6"/>
      <c r="V1919" s="1"/>
      <c r="W1919" s="1"/>
      <c r="X1919" s="1"/>
      <c r="Y1919" s="1"/>
      <c r="Z1919" s="1"/>
      <c r="AA1919" s="1"/>
      <c r="AB1919" s="1"/>
      <c r="AC1919" s="1"/>
    </row>
    <row r="1920" spans="1:29">
      <c r="A1920" s="1"/>
      <c r="B1920" s="1"/>
      <c r="C1920" s="73"/>
      <c r="D1920" s="1"/>
      <c r="E1920" s="1"/>
      <c r="F1920" s="1"/>
      <c r="G1920" s="145"/>
      <c r="H1920" s="1"/>
      <c r="I1920" s="1"/>
      <c r="J1920" s="1"/>
      <c r="K1920" s="1"/>
      <c r="L1920" s="1"/>
      <c r="M1920" s="1"/>
      <c r="N1920" s="1"/>
      <c r="O1920" s="1"/>
      <c r="P1920" s="1"/>
      <c r="Q1920" s="3"/>
      <c r="R1920" s="4"/>
      <c r="S1920" s="4"/>
      <c r="T1920" s="1"/>
      <c r="U1920" s="6"/>
      <c r="V1920" s="1"/>
      <c r="W1920" s="1"/>
      <c r="X1920" s="1"/>
      <c r="Y1920" s="1"/>
      <c r="Z1920" s="1"/>
      <c r="AA1920" s="1"/>
      <c r="AB1920" s="1"/>
      <c r="AC1920" s="1"/>
    </row>
    <row r="1921" spans="1:29">
      <c r="A1921" s="1"/>
      <c r="B1921" s="1"/>
      <c r="C1921" s="73"/>
      <c r="D1921" s="1"/>
      <c r="E1921" s="1"/>
      <c r="F1921" s="1"/>
      <c r="G1921" s="145"/>
      <c r="H1921" s="1"/>
      <c r="I1921" s="1"/>
      <c r="J1921" s="1"/>
      <c r="K1921" s="1"/>
      <c r="L1921" s="1"/>
      <c r="M1921" s="1"/>
      <c r="N1921" s="1"/>
      <c r="O1921" s="1"/>
      <c r="P1921" s="1"/>
      <c r="Q1921" s="3"/>
      <c r="R1921" s="4"/>
      <c r="S1921" s="4"/>
      <c r="T1921" s="1"/>
      <c r="U1921" s="6"/>
      <c r="V1921" s="1"/>
      <c r="W1921" s="1"/>
      <c r="X1921" s="1"/>
      <c r="Y1921" s="1"/>
      <c r="Z1921" s="1"/>
      <c r="AA1921" s="1"/>
      <c r="AB1921" s="1"/>
      <c r="AC1921" s="1"/>
    </row>
    <row r="1922" spans="1:29">
      <c r="A1922" s="1"/>
      <c r="B1922" s="1"/>
      <c r="C1922" s="73"/>
      <c r="D1922" s="1"/>
      <c r="E1922" s="1"/>
      <c r="F1922" s="1"/>
      <c r="G1922" s="145"/>
      <c r="H1922" s="1"/>
      <c r="I1922" s="1"/>
      <c r="J1922" s="1"/>
      <c r="K1922" s="1"/>
      <c r="L1922" s="1"/>
      <c r="M1922" s="1"/>
      <c r="N1922" s="1"/>
      <c r="O1922" s="1"/>
      <c r="P1922" s="1"/>
      <c r="Q1922" s="3"/>
      <c r="R1922" s="4"/>
      <c r="S1922" s="4"/>
      <c r="T1922" s="1"/>
      <c r="U1922" s="6"/>
      <c r="V1922" s="1"/>
      <c r="W1922" s="1"/>
      <c r="X1922" s="1"/>
      <c r="Y1922" s="1"/>
      <c r="Z1922" s="1"/>
      <c r="AA1922" s="1"/>
      <c r="AB1922" s="1"/>
      <c r="AC1922" s="1"/>
    </row>
    <row r="1923" spans="1:29">
      <c r="A1923" s="1"/>
      <c r="B1923" s="1"/>
      <c r="C1923" s="73"/>
      <c r="D1923" s="1"/>
      <c r="E1923" s="1"/>
      <c r="F1923" s="1"/>
      <c r="G1923" s="145"/>
      <c r="H1923" s="1"/>
      <c r="I1923" s="1"/>
      <c r="J1923" s="1"/>
      <c r="K1923" s="1"/>
      <c r="L1923" s="1"/>
      <c r="M1923" s="1"/>
      <c r="N1923" s="1"/>
      <c r="O1923" s="1"/>
      <c r="P1923" s="1"/>
      <c r="Q1923" s="3"/>
      <c r="R1923" s="4"/>
      <c r="S1923" s="4"/>
      <c r="T1923" s="1"/>
      <c r="U1923" s="6"/>
      <c r="V1923" s="1"/>
      <c r="W1923" s="1"/>
      <c r="X1923" s="1"/>
      <c r="Y1923" s="1"/>
      <c r="Z1923" s="1"/>
      <c r="AA1923" s="1"/>
      <c r="AB1923" s="1"/>
      <c r="AC1923" s="1"/>
    </row>
    <row r="1924" spans="1:29">
      <c r="A1924" s="1"/>
      <c r="B1924" s="1"/>
      <c r="C1924" s="73"/>
      <c r="D1924" s="1"/>
      <c r="E1924" s="1"/>
      <c r="F1924" s="1"/>
      <c r="G1924" s="145"/>
      <c r="H1924" s="1"/>
      <c r="I1924" s="1"/>
      <c r="J1924" s="1"/>
      <c r="K1924" s="1"/>
      <c r="L1924" s="1"/>
      <c r="M1924" s="1"/>
      <c r="N1924" s="1"/>
      <c r="O1924" s="1"/>
      <c r="P1924" s="1"/>
      <c r="Q1924" s="3"/>
      <c r="R1924" s="4"/>
      <c r="S1924" s="4"/>
      <c r="T1924" s="1"/>
      <c r="U1924" s="6"/>
      <c r="V1924" s="1"/>
      <c r="W1924" s="1"/>
      <c r="X1924" s="1"/>
      <c r="Y1924" s="1"/>
      <c r="Z1924" s="1"/>
      <c r="AA1924" s="1"/>
      <c r="AB1924" s="1"/>
      <c r="AC1924" s="1"/>
    </row>
    <row r="1925" spans="1:29">
      <c r="A1925" s="1"/>
      <c r="B1925" s="1"/>
      <c r="C1925" s="73"/>
      <c r="D1925" s="1"/>
      <c r="E1925" s="1"/>
      <c r="F1925" s="1"/>
      <c r="G1925" s="145"/>
      <c r="H1925" s="1"/>
      <c r="I1925" s="1"/>
      <c r="J1925" s="1"/>
      <c r="K1925" s="1"/>
      <c r="L1925" s="1"/>
      <c r="M1925" s="1"/>
      <c r="N1925" s="1"/>
      <c r="O1925" s="1"/>
      <c r="P1925" s="1"/>
      <c r="Q1925" s="3"/>
      <c r="R1925" s="4"/>
      <c r="S1925" s="4"/>
      <c r="T1925" s="1"/>
      <c r="U1925" s="6"/>
      <c r="V1925" s="1"/>
      <c r="W1925" s="1"/>
      <c r="X1925" s="1"/>
      <c r="Y1925" s="1"/>
      <c r="Z1925" s="1"/>
      <c r="AA1925" s="1"/>
      <c r="AB1925" s="1"/>
      <c r="AC1925" s="1"/>
    </row>
    <row r="1926" spans="1:29">
      <c r="A1926" s="1"/>
      <c r="B1926" s="1"/>
      <c r="C1926" s="73"/>
      <c r="D1926" s="1"/>
      <c r="E1926" s="1"/>
      <c r="F1926" s="1"/>
      <c r="G1926" s="145"/>
      <c r="H1926" s="1"/>
      <c r="I1926" s="1"/>
      <c r="J1926" s="1"/>
      <c r="K1926" s="1"/>
      <c r="L1926" s="1"/>
      <c r="M1926" s="1"/>
      <c r="N1926" s="1"/>
      <c r="O1926" s="1"/>
      <c r="P1926" s="1"/>
      <c r="Q1926" s="3"/>
      <c r="R1926" s="4"/>
      <c r="S1926" s="4"/>
      <c r="T1926" s="1"/>
      <c r="U1926" s="6"/>
      <c r="V1926" s="1"/>
      <c r="W1926" s="1"/>
      <c r="X1926" s="1"/>
      <c r="Y1926" s="1"/>
      <c r="Z1926" s="1"/>
      <c r="AA1926" s="1"/>
      <c r="AB1926" s="1"/>
      <c r="AC1926" s="1"/>
    </row>
    <row r="1927" spans="1:29">
      <c r="A1927" s="1"/>
      <c r="B1927" s="1"/>
      <c r="C1927" s="73"/>
      <c r="D1927" s="1"/>
      <c r="E1927" s="1"/>
      <c r="F1927" s="1"/>
      <c r="G1927" s="145"/>
      <c r="H1927" s="1"/>
      <c r="I1927" s="1"/>
      <c r="J1927" s="1"/>
      <c r="K1927" s="1"/>
      <c r="L1927" s="1"/>
      <c r="M1927" s="1"/>
      <c r="N1927" s="1"/>
      <c r="O1927" s="1"/>
      <c r="P1927" s="1"/>
      <c r="Q1927" s="3"/>
      <c r="R1927" s="4"/>
      <c r="S1927" s="4"/>
      <c r="T1927" s="1"/>
      <c r="U1927" s="6"/>
      <c r="V1927" s="1"/>
      <c r="W1927" s="1"/>
      <c r="X1927" s="1"/>
      <c r="Y1927" s="1"/>
      <c r="Z1927" s="1"/>
      <c r="AA1927" s="1"/>
      <c r="AB1927" s="1"/>
      <c r="AC1927" s="1"/>
    </row>
    <row r="1928" spans="1:29">
      <c r="A1928" s="1"/>
      <c r="B1928" s="1"/>
      <c r="C1928" s="73"/>
      <c r="D1928" s="1"/>
      <c r="E1928" s="1"/>
      <c r="F1928" s="1"/>
      <c r="G1928" s="145"/>
      <c r="H1928" s="1"/>
      <c r="I1928" s="1"/>
      <c r="J1928" s="1"/>
      <c r="K1928" s="1"/>
      <c r="L1928" s="1"/>
      <c r="M1928" s="1"/>
      <c r="N1928" s="1"/>
      <c r="O1928" s="1"/>
      <c r="P1928" s="1"/>
      <c r="Q1928" s="3"/>
      <c r="R1928" s="4"/>
      <c r="S1928" s="4"/>
      <c r="T1928" s="1"/>
      <c r="U1928" s="6"/>
      <c r="V1928" s="1"/>
      <c r="W1928" s="1"/>
      <c r="X1928" s="1"/>
      <c r="Y1928" s="1"/>
      <c r="Z1928" s="1"/>
      <c r="AA1928" s="1"/>
      <c r="AB1928" s="1"/>
      <c r="AC1928" s="1"/>
    </row>
    <row r="1929" spans="1:29">
      <c r="A1929" s="1"/>
      <c r="B1929" s="1"/>
      <c r="C1929" s="73"/>
      <c r="D1929" s="1"/>
      <c r="E1929" s="1"/>
      <c r="F1929" s="1"/>
      <c r="G1929" s="145"/>
      <c r="H1929" s="1"/>
      <c r="I1929" s="1"/>
      <c r="J1929" s="1"/>
      <c r="K1929" s="1"/>
      <c r="L1929" s="1"/>
      <c r="M1929" s="1"/>
      <c r="N1929" s="1"/>
      <c r="O1929" s="1"/>
      <c r="P1929" s="1"/>
      <c r="Q1929" s="3"/>
      <c r="R1929" s="4"/>
      <c r="S1929" s="4"/>
      <c r="T1929" s="1"/>
      <c r="U1929" s="6"/>
      <c r="V1929" s="1"/>
      <c r="W1929" s="1"/>
      <c r="X1929" s="1"/>
      <c r="Y1929" s="1"/>
      <c r="Z1929" s="1"/>
      <c r="AA1929" s="1"/>
      <c r="AB1929" s="1"/>
      <c r="AC1929" s="1"/>
    </row>
    <row r="1930" spans="1:29">
      <c r="A1930" s="1"/>
      <c r="B1930" s="1"/>
      <c r="C1930" s="73"/>
      <c r="D1930" s="1"/>
      <c r="E1930" s="1"/>
      <c r="F1930" s="1"/>
      <c r="G1930" s="145"/>
      <c r="H1930" s="1"/>
      <c r="I1930" s="1"/>
      <c r="J1930" s="1"/>
      <c r="K1930" s="1"/>
      <c r="L1930" s="1"/>
      <c r="M1930" s="1"/>
      <c r="N1930" s="1"/>
      <c r="O1930" s="1"/>
      <c r="P1930" s="1"/>
      <c r="Q1930" s="3"/>
      <c r="R1930" s="4"/>
      <c r="S1930" s="4"/>
      <c r="T1930" s="1"/>
      <c r="U1930" s="6"/>
      <c r="V1930" s="1"/>
      <c r="W1930" s="1"/>
      <c r="X1930" s="1"/>
      <c r="Y1930" s="1"/>
      <c r="Z1930" s="1"/>
      <c r="AA1930" s="1"/>
      <c r="AB1930" s="1"/>
      <c r="AC1930" s="1"/>
    </row>
    <row r="1931" spans="1:29">
      <c r="A1931" s="1"/>
      <c r="B1931" s="1"/>
      <c r="C1931" s="73"/>
      <c r="D1931" s="1"/>
      <c r="E1931" s="1"/>
      <c r="F1931" s="1"/>
      <c r="G1931" s="145"/>
      <c r="H1931" s="1"/>
      <c r="I1931" s="1"/>
      <c r="J1931" s="1"/>
      <c r="K1931" s="1"/>
      <c r="L1931" s="1"/>
      <c r="M1931" s="1"/>
      <c r="N1931" s="1"/>
      <c r="O1931" s="1"/>
      <c r="P1931" s="1"/>
      <c r="Q1931" s="3"/>
      <c r="R1931" s="4"/>
      <c r="S1931" s="4"/>
      <c r="T1931" s="1"/>
      <c r="U1931" s="6"/>
      <c r="V1931" s="1"/>
      <c r="W1931" s="1"/>
      <c r="X1931" s="1"/>
      <c r="Y1931" s="1"/>
      <c r="Z1931" s="1"/>
      <c r="AA1931" s="1"/>
      <c r="AB1931" s="1"/>
      <c r="AC1931" s="1"/>
    </row>
    <row r="1932" spans="1:29">
      <c r="A1932" s="1"/>
      <c r="B1932" s="1"/>
      <c r="C1932" s="73"/>
      <c r="D1932" s="1"/>
      <c r="E1932" s="1"/>
      <c r="F1932" s="1"/>
      <c r="G1932" s="145"/>
      <c r="H1932" s="1"/>
      <c r="I1932" s="1"/>
      <c r="J1932" s="1"/>
      <c r="K1932" s="1"/>
      <c r="L1932" s="1"/>
      <c r="M1932" s="1"/>
      <c r="N1932" s="1"/>
      <c r="O1932" s="1"/>
      <c r="P1932" s="1"/>
      <c r="Q1932" s="3"/>
      <c r="R1932" s="4"/>
      <c r="S1932" s="4"/>
      <c r="T1932" s="1"/>
      <c r="U1932" s="6"/>
      <c r="V1932" s="1"/>
      <c r="W1932" s="1"/>
      <c r="X1932" s="1"/>
      <c r="Y1932" s="1"/>
      <c r="Z1932" s="1"/>
      <c r="AA1932" s="1"/>
      <c r="AB1932" s="1"/>
      <c r="AC1932" s="1"/>
    </row>
    <row r="1933" spans="1:29">
      <c r="A1933" s="1"/>
      <c r="B1933" s="1"/>
      <c r="C1933" s="73"/>
      <c r="D1933" s="1"/>
      <c r="E1933" s="1"/>
      <c r="F1933" s="1"/>
      <c r="G1933" s="145"/>
      <c r="H1933" s="1"/>
      <c r="I1933" s="1"/>
      <c r="J1933" s="1"/>
      <c r="K1933" s="1"/>
      <c r="L1933" s="1"/>
      <c r="M1933" s="1"/>
      <c r="N1933" s="1"/>
      <c r="O1933" s="1"/>
      <c r="P1933" s="1"/>
      <c r="Q1933" s="3"/>
      <c r="R1933" s="4"/>
      <c r="S1933" s="4"/>
      <c r="T1933" s="1"/>
      <c r="U1933" s="6"/>
      <c r="V1933" s="1"/>
      <c r="W1933" s="1"/>
      <c r="X1933" s="1"/>
      <c r="Y1933" s="1"/>
      <c r="Z1933" s="1"/>
      <c r="AA1933" s="1"/>
      <c r="AB1933" s="1"/>
      <c r="AC1933" s="1"/>
    </row>
    <row r="1934" spans="1:29">
      <c r="A1934" s="1"/>
      <c r="B1934" s="1"/>
      <c r="C1934" s="73"/>
      <c r="D1934" s="1"/>
      <c r="E1934" s="1"/>
      <c r="F1934" s="1"/>
      <c r="G1934" s="145"/>
      <c r="H1934" s="1"/>
      <c r="I1934" s="1"/>
      <c r="J1934" s="1"/>
      <c r="K1934" s="1"/>
      <c r="L1934" s="1"/>
      <c r="M1934" s="1"/>
      <c r="N1934" s="1"/>
      <c r="O1934" s="1"/>
      <c r="P1934" s="1"/>
      <c r="Q1934" s="3"/>
      <c r="R1934" s="4"/>
      <c r="S1934" s="4"/>
      <c r="T1934" s="1"/>
      <c r="U1934" s="6"/>
      <c r="V1934" s="1"/>
      <c r="W1934" s="1"/>
      <c r="X1934" s="1"/>
      <c r="Y1934" s="1"/>
      <c r="Z1934" s="1"/>
      <c r="AA1934" s="1"/>
      <c r="AB1934" s="1"/>
      <c r="AC1934" s="1"/>
    </row>
    <row r="1935" spans="1:29">
      <c r="A1935" s="1"/>
      <c r="B1935" s="1"/>
      <c r="C1935" s="73"/>
      <c r="D1935" s="1"/>
      <c r="E1935" s="1"/>
      <c r="F1935" s="1"/>
      <c r="G1935" s="145"/>
      <c r="H1935" s="1"/>
      <c r="I1935" s="1"/>
      <c r="J1935" s="1"/>
      <c r="K1935" s="1"/>
      <c r="L1935" s="1"/>
      <c r="M1935" s="1"/>
      <c r="N1935" s="1"/>
      <c r="O1935" s="1"/>
      <c r="P1935" s="1"/>
      <c r="Q1935" s="3"/>
      <c r="R1935" s="4"/>
      <c r="S1935" s="4"/>
      <c r="T1935" s="1"/>
      <c r="U1935" s="6"/>
      <c r="V1935" s="1"/>
      <c r="W1935" s="1"/>
      <c r="X1935" s="1"/>
      <c r="Y1935" s="1"/>
      <c r="Z1935" s="1"/>
      <c r="AA1935" s="1"/>
      <c r="AB1935" s="1"/>
      <c r="AC1935" s="1"/>
    </row>
    <row r="1936" spans="1:29">
      <c r="A1936" s="1"/>
      <c r="B1936" s="1"/>
      <c r="C1936" s="73"/>
      <c r="D1936" s="1"/>
      <c r="E1936" s="1"/>
      <c r="F1936" s="1"/>
      <c r="G1936" s="145"/>
      <c r="H1936" s="1"/>
      <c r="I1936" s="1"/>
      <c r="J1936" s="1"/>
      <c r="K1936" s="1"/>
      <c r="L1936" s="1"/>
      <c r="M1936" s="1"/>
      <c r="N1936" s="1"/>
      <c r="O1936" s="1"/>
      <c r="P1936" s="1"/>
      <c r="Q1936" s="3"/>
      <c r="R1936" s="4"/>
      <c r="S1936" s="4"/>
      <c r="T1936" s="1"/>
      <c r="U1936" s="6"/>
      <c r="V1936" s="1"/>
      <c r="W1936" s="1"/>
      <c r="X1936" s="1"/>
      <c r="Y1936" s="1"/>
      <c r="Z1936" s="1"/>
      <c r="AA1936" s="1"/>
      <c r="AB1936" s="1"/>
      <c r="AC1936" s="1"/>
    </row>
    <row r="1937" spans="1:29">
      <c r="A1937" s="1"/>
      <c r="B1937" s="1"/>
      <c r="C1937" s="73"/>
      <c r="D1937" s="1"/>
      <c r="E1937" s="1"/>
      <c r="F1937" s="1"/>
      <c r="G1937" s="145"/>
      <c r="H1937" s="1"/>
      <c r="I1937" s="1"/>
      <c r="J1937" s="1"/>
      <c r="K1937" s="1"/>
      <c r="L1937" s="1"/>
      <c r="M1937" s="1"/>
      <c r="N1937" s="1"/>
      <c r="O1937" s="1"/>
      <c r="P1937" s="1"/>
      <c r="Q1937" s="3"/>
      <c r="R1937" s="4"/>
      <c r="S1937" s="4"/>
      <c r="T1937" s="1"/>
      <c r="U1937" s="6"/>
      <c r="V1937" s="1"/>
      <c r="W1937" s="1"/>
      <c r="X1937" s="1"/>
      <c r="Y1937" s="1"/>
      <c r="Z1937" s="1"/>
      <c r="AA1937" s="1"/>
      <c r="AB1937" s="1"/>
      <c r="AC1937" s="1"/>
    </row>
    <row r="1938" spans="1:29">
      <c r="A1938" s="1"/>
      <c r="B1938" s="1"/>
      <c r="C1938" s="73"/>
      <c r="D1938" s="1"/>
      <c r="E1938" s="1"/>
      <c r="F1938" s="1"/>
      <c r="G1938" s="145"/>
      <c r="H1938" s="1"/>
      <c r="I1938" s="1"/>
      <c r="J1938" s="1"/>
      <c r="K1938" s="1"/>
      <c r="L1938" s="1"/>
      <c r="M1938" s="1"/>
      <c r="N1938" s="1"/>
      <c r="O1938" s="1"/>
      <c r="P1938" s="1"/>
      <c r="Q1938" s="3"/>
      <c r="R1938" s="4"/>
      <c r="S1938" s="4"/>
      <c r="T1938" s="1"/>
      <c r="U1938" s="6"/>
      <c r="V1938" s="1"/>
      <c r="W1938" s="1"/>
      <c r="X1938" s="1"/>
      <c r="Y1938" s="1"/>
      <c r="Z1938" s="1"/>
      <c r="AA1938" s="1"/>
      <c r="AB1938" s="1"/>
      <c r="AC1938" s="1"/>
    </row>
    <row r="1939" spans="1:29">
      <c r="A1939" s="1"/>
      <c r="B1939" s="1"/>
      <c r="C1939" s="73"/>
      <c r="D1939" s="1"/>
      <c r="E1939" s="1"/>
      <c r="F1939" s="1"/>
      <c r="G1939" s="145"/>
      <c r="H1939" s="1"/>
      <c r="I1939" s="1"/>
      <c r="J1939" s="1"/>
      <c r="K1939" s="1"/>
      <c r="L1939" s="1"/>
      <c r="M1939" s="1"/>
      <c r="N1939" s="1"/>
      <c r="O1939" s="1"/>
      <c r="P1939" s="1"/>
      <c r="Q1939" s="3"/>
      <c r="R1939" s="4"/>
      <c r="S1939" s="4"/>
      <c r="T1939" s="1"/>
      <c r="U1939" s="6"/>
      <c r="V1939" s="1"/>
      <c r="W1939" s="1"/>
      <c r="X1939" s="1"/>
      <c r="Y1939" s="1"/>
      <c r="Z1939" s="1"/>
      <c r="AA1939" s="1"/>
      <c r="AB1939" s="1"/>
      <c r="AC1939" s="1"/>
    </row>
    <row r="1940" spans="1:29">
      <c r="A1940" s="1"/>
      <c r="B1940" s="1"/>
      <c r="C1940" s="73"/>
      <c r="D1940" s="1"/>
      <c r="E1940" s="1"/>
      <c r="F1940" s="1"/>
      <c r="G1940" s="145"/>
      <c r="H1940" s="1"/>
      <c r="I1940" s="1"/>
      <c r="J1940" s="1"/>
      <c r="K1940" s="1"/>
      <c r="L1940" s="1"/>
      <c r="M1940" s="1"/>
      <c r="N1940" s="1"/>
      <c r="O1940" s="1"/>
      <c r="P1940" s="1"/>
      <c r="Q1940" s="3"/>
      <c r="R1940" s="4"/>
      <c r="S1940" s="4"/>
      <c r="T1940" s="1"/>
      <c r="U1940" s="6"/>
      <c r="V1940" s="1"/>
      <c r="W1940" s="1"/>
      <c r="X1940" s="1"/>
      <c r="Y1940" s="1"/>
      <c r="Z1940" s="1"/>
      <c r="AA1940" s="1"/>
      <c r="AB1940" s="1"/>
      <c r="AC1940" s="1"/>
    </row>
    <row r="1941" spans="1:29">
      <c r="A1941" s="1"/>
      <c r="B1941" s="1"/>
      <c r="C1941" s="73"/>
      <c r="D1941" s="1"/>
      <c r="E1941" s="1"/>
      <c r="F1941" s="1"/>
      <c r="G1941" s="145"/>
      <c r="H1941" s="1"/>
      <c r="I1941" s="1"/>
      <c r="J1941" s="1"/>
      <c r="K1941" s="1"/>
      <c r="L1941" s="1"/>
      <c r="M1941" s="1"/>
      <c r="N1941" s="1"/>
      <c r="O1941" s="1"/>
      <c r="P1941" s="1"/>
      <c r="Q1941" s="3"/>
      <c r="R1941" s="4"/>
      <c r="S1941" s="4"/>
      <c r="T1941" s="1"/>
      <c r="U1941" s="6"/>
      <c r="V1941" s="1"/>
      <c r="W1941" s="1"/>
      <c r="X1941" s="1"/>
      <c r="Y1941" s="1"/>
      <c r="Z1941" s="1"/>
      <c r="AA1941" s="1"/>
      <c r="AB1941" s="1"/>
      <c r="AC1941" s="1"/>
    </row>
    <row r="1942" spans="1:29">
      <c r="A1942" s="1"/>
      <c r="B1942" s="1"/>
      <c r="C1942" s="73"/>
      <c r="D1942" s="1"/>
      <c r="E1942" s="1"/>
      <c r="F1942" s="1"/>
      <c r="G1942" s="145"/>
      <c r="H1942" s="1"/>
      <c r="I1942" s="1"/>
      <c r="J1942" s="1"/>
      <c r="K1942" s="1"/>
      <c r="L1942" s="1"/>
      <c r="M1942" s="1"/>
      <c r="N1942" s="1"/>
      <c r="O1942" s="1"/>
      <c r="P1942" s="1"/>
      <c r="Q1942" s="3"/>
      <c r="R1942" s="4"/>
      <c r="S1942" s="4"/>
      <c r="T1942" s="1"/>
      <c r="U1942" s="6"/>
      <c r="V1942" s="1"/>
      <c r="W1942" s="1"/>
      <c r="X1942" s="1"/>
      <c r="Y1942" s="1"/>
      <c r="Z1942" s="1"/>
      <c r="AA1942" s="1"/>
      <c r="AB1942" s="1"/>
      <c r="AC1942" s="1"/>
    </row>
    <row r="1943" spans="1:29">
      <c r="A1943" s="1"/>
      <c r="B1943" s="1"/>
      <c r="C1943" s="73"/>
      <c r="D1943" s="1"/>
      <c r="E1943" s="1"/>
      <c r="F1943" s="1"/>
      <c r="G1943" s="145"/>
      <c r="H1943" s="1"/>
      <c r="I1943" s="1"/>
      <c r="J1943" s="1"/>
      <c r="K1943" s="1"/>
      <c r="L1943" s="1"/>
      <c r="M1943" s="1"/>
      <c r="N1943" s="1"/>
      <c r="O1943" s="1"/>
      <c r="P1943" s="1"/>
      <c r="Q1943" s="3"/>
      <c r="R1943" s="4"/>
      <c r="S1943" s="4"/>
      <c r="T1943" s="1"/>
      <c r="U1943" s="6"/>
      <c r="V1943" s="1"/>
      <c r="W1943" s="1"/>
      <c r="X1943" s="1"/>
      <c r="Y1943" s="1"/>
      <c r="Z1943" s="1"/>
      <c r="AA1943" s="1"/>
      <c r="AB1943" s="1"/>
      <c r="AC1943" s="1"/>
    </row>
    <row r="1944" spans="1:29">
      <c r="A1944" s="1"/>
      <c r="B1944" s="1"/>
      <c r="C1944" s="73"/>
      <c r="D1944" s="1"/>
      <c r="E1944" s="1"/>
      <c r="F1944" s="1"/>
      <c r="G1944" s="145"/>
      <c r="H1944" s="1"/>
      <c r="I1944" s="1"/>
      <c r="J1944" s="1"/>
      <c r="K1944" s="1"/>
      <c r="L1944" s="1"/>
      <c r="M1944" s="1"/>
      <c r="N1944" s="1"/>
      <c r="O1944" s="1"/>
      <c r="P1944" s="1"/>
      <c r="Q1944" s="3"/>
      <c r="R1944" s="4"/>
      <c r="S1944" s="4"/>
      <c r="T1944" s="1"/>
      <c r="U1944" s="6"/>
      <c r="V1944" s="1"/>
      <c r="W1944" s="1"/>
      <c r="X1944" s="1"/>
      <c r="Y1944" s="1"/>
      <c r="Z1944" s="1"/>
      <c r="AA1944" s="1"/>
      <c r="AB1944" s="1"/>
      <c r="AC1944" s="1"/>
    </row>
    <row r="1945" spans="1:29">
      <c r="A1945" s="1"/>
      <c r="B1945" s="1"/>
      <c r="C1945" s="73"/>
      <c r="D1945" s="1"/>
      <c r="E1945" s="1"/>
      <c r="F1945" s="1"/>
      <c r="G1945" s="145"/>
      <c r="H1945" s="1"/>
      <c r="I1945" s="1"/>
      <c r="J1945" s="1"/>
      <c r="K1945" s="1"/>
      <c r="L1945" s="1"/>
      <c r="M1945" s="1"/>
      <c r="N1945" s="1"/>
      <c r="O1945" s="1"/>
      <c r="P1945" s="1"/>
      <c r="Q1945" s="3"/>
      <c r="R1945" s="4"/>
      <c r="S1945" s="4"/>
      <c r="T1945" s="1"/>
      <c r="U1945" s="6"/>
      <c r="V1945" s="1"/>
      <c r="W1945" s="1"/>
      <c r="X1945" s="1"/>
      <c r="Y1945" s="1"/>
      <c r="Z1945" s="1"/>
      <c r="AA1945" s="1"/>
      <c r="AB1945" s="1"/>
      <c r="AC1945" s="1"/>
    </row>
    <row r="1946" spans="1:29">
      <c r="A1946" s="1"/>
      <c r="B1946" s="1"/>
      <c r="C1946" s="73"/>
      <c r="D1946" s="1"/>
      <c r="E1946" s="1"/>
      <c r="F1946" s="1"/>
      <c r="G1946" s="145"/>
      <c r="H1946" s="1"/>
      <c r="I1946" s="1"/>
      <c r="J1946" s="1"/>
      <c r="K1946" s="1"/>
      <c r="L1946" s="1"/>
      <c r="M1946" s="1"/>
      <c r="N1946" s="1"/>
      <c r="O1946" s="1"/>
      <c r="P1946" s="1"/>
      <c r="Q1946" s="3"/>
      <c r="R1946" s="4"/>
      <c r="S1946" s="4"/>
      <c r="T1946" s="1"/>
      <c r="U1946" s="6"/>
      <c r="V1946" s="1"/>
      <c r="W1946" s="1"/>
      <c r="X1946" s="1"/>
      <c r="Y1946" s="1"/>
      <c r="Z1946" s="1"/>
      <c r="AA1946" s="1"/>
      <c r="AB1946" s="1"/>
      <c r="AC1946" s="1"/>
    </row>
    <row r="1947" spans="1:29">
      <c r="A1947" s="1"/>
      <c r="B1947" s="1"/>
      <c r="C1947" s="73"/>
      <c r="D1947" s="1"/>
      <c r="E1947" s="1"/>
      <c r="F1947" s="1"/>
      <c r="G1947" s="145"/>
      <c r="H1947" s="1"/>
      <c r="I1947" s="1"/>
      <c r="J1947" s="1"/>
      <c r="K1947" s="1"/>
      <c r="L1947" s="1"/>
      <c r="M1947" s="1"/>
      <c r="N1947" s="1"/>
      <c r="O1947" s="1"/>
      <c r="P1947" s="1"/>
      <c r="Q1947" s="3"/>
      <c r="R1947" s="4"/>
      <c r="S1947" s="4"/>
      <c r="T1947" s="1"/>
      <c r="U1947" s="6"/>
      <c r="V1947" s="1"/>
      <c r="W1947" s="1"/>
      <c r="X1947" s="1"/>
      <c r="Y1947" s="1"/>
      <c r="Z1947" s="1"/>
      <c r="AA1947" s="1"/>
      <c r="AB1947" s="1"/>
      <c r="AC1947" s="1"/>
    </row>
    <row r="1948" spans="1:29">
      <c r="A1948" s="1"/>
      <c r="B1948" s="1"/>
      <c r="C1948" s="73"/>
      <c r="D1948" s="1"/>
      <c r="E1948" s="1"/>
      <c r="F1948" s="1"/>
      <c r="G1948" s="145"/>
      <c r="H1948" s="1"/>
      <c r="I1948" s="1"/>
      <c r="J1948" s="1"/>
      <c r="K1948" s="1"/>
      <c r="L1948" s="1"/>
      <c r="M1948" s="1"/>
      <c r="N1948" s="1"/>
      <c r="O1948" s="1"/>
      <c r="P1948" s="1"/>
      <c r="Q1948" s="3"/>
      <c r="R1948" s="4"/>
      <c r="S1948" s="4"/>
      <c r="T1948" s="1"/>
      <c r="U1948" s="6"/>
      <c r="V1948" s="1"/>
      <c r="W1948" s="1"/>
      <c r="X1948" s="1"/>
      <c r="Y1948" s="1"/>
      <c r="Z1948" s="1"/>
      <c r="AA1948" s="1"/>
      <c r="AB1948" s="1"/>
      <c r="AC1948" s="1"/>
    </row>
    <row r="1949" spans="1:29">
      <c r="A1949" s="1"/>
      <c r="B1949" s="1"/>
      <c r="C1949" s="73"/>
      <c r="D1949" s="1"/>
      <c r="E1949" s="1"/>
      <c r="F1949" s="1"/>
      <c r="G1949" s="145"/>
      <c r="H1949" s="1"/>
      <c r="I1949" s="1"/>
      <c r="J1949" s="1"/>
      <c r="K1949" s="1"/>
      <c r="L1949" s="1"/>
      <c r="M1949" s="1"/>
      <c r="N1949" s="1"/>
      <c r="O1949" s="1"/>
      <c r="P1949" s="1"/>
      <c r="Q1949" s="3"/>
      <c r="R1949" s="4"/>
      <c r="S1949" s="4"/>
      <c r="T1949" s="1"/>
      <c r="U1949" s="6"/>
      <c r="V1949" s="1"/>
      <c r="W1949" s="1"/>
      <c r="X1949" s="1"/>
      <c r="Y1949" s="1"/>
      <c r="Z1949" s="1"/>
      <c r="AA1949" s="1"/>
      <c r="AB1949" s="1"/>
      <c r="AC1949" s="1"/>
    </row>
    <row r="1950" spans="1:29">
      <c r="A1950" s="1"/>
      <c r="B1950" s="1"/>
      <c r="C1950" s="73"/>
      <c r="D1950" s="1"/>
      <c r="E1950" s="1"/>
      <c r="F1950" s="1"/>
      <c r="G1950" s="145"/>
      <c r="H1950" s="1"/>
      <c r="I1950" s="1"/>
      <c r="J1950" s="1"/>
      <c r="K1950" s="1"/>
      <c r="L1950" s="1"/>
      <c r="M1950" s="1"/>
      <c r="N1950" s="1"/>
      <c r="O1950" s="1"/>
      <c r="P1950" s="1"/>
      <c r="Q1950" s="3"/>
      <c r="R1950" s="4"/>
      <c r="S1950" s="4"/>
      <c r="T1950" s="1"/>
      <c r="U1950" s="6"/>
      <c r="V1950" s="1"/>
      <c r="W1950" s="1"/>
      <c r="X1950" s="1"/>
      <c r="Y1950" s="1"/>
      <c r="Z1950" s="1"/>
      <c r="AA1950" s="1"/>
      <c r="AB1950" s="1"/>
      <c r="AC1950" s="1"/>
    </row>
    <row r="1951" spans="1:29">
      <c r="A1951" s="1"/>
      <c r="B1951" s="1"/>
      <c r="C1951" s="73"/>
      <c r="D1951" s="1"/>
      <c r="E1951" s="1"/>
      <c r="F1951" s="1"/>
      <c r="G1951" s="145"/>
      <c r="H1951" s="1"/>
      <c r="I1951" s="1"/>
      <c r="J1951" s="1"/>
      <c r="K1951" s="1"/>
      <c r="L1951" s="1"/>
      <c r="M1951" s="1"/>
      <c r="N1951" s="1"/>
      <c r="O1951" s="1"/>
      <c r="P1951" s="1"/>
      <c r="Q1951" s="3"/>
      <c r="R1951" s="4"/>
      <c r="S1951" s="4"/>
      <c r="T1951" s="1"/>
      <c r="U1951" s="6"/>
      <c r="V1951" s="1"/>
      <c r="W1951" s="1"/>
      <c r="X1951" s="1"/>
      <c r="Y1951" s="1"/>
      <c r="Z1951" s="1"/>
      <c r="AA1951" s="1"/>
      <c r="AB1951" s="1"/>
      <c r="AC1951" s="1"/>
    </row>
    <row r="1952" spans="1:29">
      <c r="A1952" s="1"/>
      <c r="B1952" s="1"/>
      <c r="C1952" s="73"/>
      <c r="D1952" s="1"/>
      <c r="E1952" s="1"/>
      <c r="F1952" s="1"/>
      <c r="G1952" s="145"/>
      <c r="H1952" s="1"/>
      <c r="I1952" s="1"/>
      <c r="J1952" s="1"/>
      <c r="K1952" s="1"/>
      <c r="L1952" s="1"/>
      <c r="M1952" s="1"/>
      <c r="N1952" s="1"/>
      <c r="O1952" s="1"/>
      <c r="P1952" s="1"/>
      <c r="Q1952" s="3"/>
      <c r="R1952" s="4"/>
      <c r="S1952" s="4"/>
      <c r="T1952" s="1"/>
      <c r="U1952" s="6"/>
      <c r="V1952" s="1"/>
      <c r="W1952" s="1"/>
      <c r="X1952" s="1"/>
      <c r="Y1952" s="1"/>
      <c r="Z1952" s="1"/>
      <c r="AA1952" s="1"/>
      <c r="AB1952" s="1"/>
      <c r="AC1952" s="1"/>
    </row>
    <row r="1953" spans="1:29">
      <c r="A1953" s="1"/>
      <c r="B1953" s="1"/>
      <c r="C1953" s="73"/>
      <c r="D1953" s="1"/>
      <c r="E1953" s="1"/>
      <c r="F1953" s="1"/>
      <c r="G1953" s="145"/>
      <c r="H1953" s="1"/>
      <c r="I1953" s="1"/>
      <c r="J1953" s="1"/>
      <c r="K1953" s="1"/>
      <c r="L1953" s="1"/>
      <c r="M1953" s="1"/>
      <c r="N1953" s="1"/>
      <c r="O1953" s="1"/>
      <c r="P1953" s="1"/>
      <c r="Q1953" s="3"/>
      <c r="R1953" s="4"/>
      <c r="S1953" s="4"/>
      <c r="T1953" s="1"/>
      <c r="U1953" s="6"/>
      <c r="V1953" s="1"/>
      <c r="W1953" s="1"/>
      <c r="X1953" s="1"/>
      <c r="Y1953" s="1"/>
      <c r="Z1953" s="1"/>
      <c r="AA1953" s="1"/>
      <c r="AB1953" s="1"/>
      <c r="AC1953" s="1"/>
    </row>
    <row r="1954" spans="1:29">
      <c r="A1954" s="1"/>
      <c r="B1954" s="1"/>
      <c r="C1954" s="73"/>
      <c r="D1954" s="1"/>
      <c r="E1954" s="1"/>
      <c r="F1954" s="1"/>
      <c r="G1954" s="145"/>
      <c r="H1954" s="1"/>
      <c r="I1954" s="1"/>
      <c r="J1954" s="1"/>
      <c r="K1954" s="1"/>
      <c r="L1954" s="1"/>
      <c r="M1954" s="1"/>
      <c r="N1954" s="1"/>
      <c r="O1954" s="1"/>
      <c r="P1954" s="1"/>
      <c r="Q1954" s="3"/>
      <c r="R1954" s="4"/>
      <c r="S1954" s="4"/>
      <c r="T1954" s="1"/>
      <c r="U1954" s="6"/>
      <c r="V1954" s="1"/>
      <c r="W1954" s="1"/>
      <c r="X1954" s="1"/>
      <c r="Y1954" s="1"/>
      <c r="Z1954" s="1"/>
      <c r="AA1954" s="1"/>
      <c r="AB1954" s="1"/>
      <c r="AC1954" s="1"/>
    </row>
    <row r="1955" spans="1:29">
      <c r="A1955" s="1"/>
      <c r="B1955" s="1"/>
      <c r="C1955" s="73"/>
      <c r="D1955" s="1"/>
      <c r="E1955" s="1"/>
      <c r="F1955" s="1"/>
      <c r="G1955" s="145"/>
      <c r="H1955" s="1"/>
      <c r="I1955" s="1"/>
      <c r="J1955" s="1"/>
      <c r="K1955" s="1"/>
      <c r="L1955" s="1"/>
      <c r="M1955" s="1"/>
      <c r="N1955" s="1"/>
      <c r="O1955" s="1"/>
      <c r="P1955" s="1"/>
      <c r="Q1955" s="3"/>
      <c r="R1955" s="4"/>
      <c r="S1955" s="4"/>
      <c r="T1955" s="1"/>
      <c r="U1955" s="6"/>
      <c r="V1955" s="1"/>
      <c r="W1955" s="1"/>
      <c r="X1955" s="1"/>
      <c r="Y1955" s="1"/>
      <c r="Z1955" s="1"/>
      <c r="AA1955" s="1"/>
      <c r="AB1955" s="1"/>
      <c r="AC1955" s="1"/>
    </row>
    <row r="1956" spans="1:29">
      <c r="A1956" s="1"/>
      <c r="B1956" s="1"/>
      <c r="C1956" s="73"/>
      <c r="D1956" s="1"/>
      <c r="E1956" s="1"/>
      <c r="F1956" s="1"/>
      <c r="G1956" s="145"/>
      <c r="H1956" s="1"/>
      <c r="I1956" s="1"/>
      <c r="J1956" s="1"/>
      <c r="K1956" s="1"/>
      <c r="L1956" s="1"/>
      <c r="M1956" s="1"/>
      <c r="N1956" s="1"/>
      <c r="O1956" s="1"/>
      <c r="P1956" s="1"/>
      <c r="Q1956" s="3"/>
      <c r="R1956" s="4"/>
      <c r="S1956" s="4"/>
      <c r="T1956" s="1"/>
      <c r="U1956" s="6"/>
      <c r="V1956" s="1"/>
      <c r="W1956" s="1"/>
      <c r="X1956" s="1"/>
      <c r="Y1956" s="1"/>
      <c r="Z1956" s="1"/>
      <c r="AA1956" s="1"/>
      <c r="AB1956" s="1"/>
      <c r="AC1956" s="1"/>
    </row>
    <row r="1957" spans="1:29">
      <c r="A1957" s="1"/>
      <c r="B1957" s="1"/>
      <c r="C1957" s="73"/>
      <c r="D1957" s="1"/>
      <c r="E1957" s="1"/>
      <c r="F1957" s="1"/>
      <c r="G1957" s="145"/>
      <c r="H1957" s="1"/>
      <c r="I1957" s="1"/>
      <c r="J1957" s="1"/>
      <c r="K1957" s="1"/>
      <c r="L1957" s="1"/>
      <c r="M1957" s="1"/>
      <c r="N1957" s="1"/>
      <c r="O1957" s="1"/>
      <c r="P1957" s="1"/>
      <c r="Q1957" s="3"/>
      <c r="R1957" s="4"/>
      <c r="S1957" s="4"/>
      <c r="T1957" s="1"/>
      <c r="U1957" s="6"/>
      <c r="V1957" s="1"/>
      <c r="W1957" s="1"/>
      <c r="X1957" s="1"/>
      <c r="Y1957" s="1"/>
      <c r="Z1957" s="1"/>
      <c r="AA1957" s="1"/>
      <c r="AB1957" s="1"/>
      <c r="AC1957" s="1"/>
    </row>
    <row r="1958" spans="1:29">
      <c r="A1958" s="1"/>
      <c r="B1958" s="1"/>
      <c r="C1958" s="73"/>
      <c r="D1958" s="1"/>
      <c r="E1958" s="1"/>
      <c r="F1958" s="1"/>
      <c r="G1958" s="145"/>
      <c r="H1958" s="1"/>
      <c r="I1958" s="1"/>
      <c r="J1958" s="1"/>
      <c r="K1958" s="1"/>
      <c r="L1958" s="1"/>
      <c r="M1958" s="1"/>
      <c r="N1958" s="1"/>
      <c r="O1958" s="1"/>
      <c r="P1958" s="1"/>
      <c r="Q1958" s="3"/>
      <c r="R1958" s="4"/>
      <c r="S1958" s="4"/>
      <c r="T1958" s="1"/>
      <c r="U1958" s="6"/>
      <c r="V1958" s="1"/>
      <c r="W1958" s="1"/>
      <c r="X1958" s="1"/>
      <c r="Y1958" s="1"/>
      <c r="Z1958" s="1"/>
      <c r="AA1958" s="1"/>
      <c r="AB1958" s="1"/>
      <c r="AC1958" s="1"/>
    </row>
    <row r="1959" spans="1:29">
      <c r="A1959" s="1"/>
      <c r="B1959" s="1"/>
      <c r="C1959" s="73"/>
      <c r="D1959" s="1"/>
      <c r="E1959" s="1"/>
      <c r="F1959" s="1"/>
      <c r="G1959" s="145"/>
      <c r="H1959" s="1"/>
      <c r="I1959" s="1"/>
      <c r="J1959" s="1"/>
      <c r="K1959" s="1"/>
      <c r="L1959" s="1"/>
      <c r="M1959" s="1"/>
      <c r="N1959" s="1"/>
      <c r="O1959" s="1"/>
      <c r="P1959" s="1"/>
      <c r="Q1959" s="3"/>
      <c r="R1959" s="4"/>
      <c r="S1959" s="4"/>
      <c r="T1959" s="1"/>
      <c r="U1959" s="6"/>
      <c r="V1959" s="1"/>
      <c r="W1959" s="1"/>
      <c r="X1959" s="1"/>
      <c r="Y1959" s="1"/>
      <c r="Z1959" s="1"/>
      <c r="AA1959" s="1"/>
      <c r="AB1959" s="1"/>
      <c r="AC1959" s="1"/>
    </row>
    <row r="1960" spans="1:29">
      <c r="A1960" s="1"/>
      <c r="B1960" s="1"/>
      <c r="C1960" s="73"/>
      <c r="D1960" s="1"/>
      <c r="E1960" s="1"/>
      <c r="F1960" s="1"/>
      <c r="G1960" s="145"/>
      <c r="H1960" s="1"/>
      <c r="I1960" s="1"/>
      <c r="J1960" s="1"/>
      <c r="K1960" s="1"/>
      <c r="L1960" s="1"/>
      <c r="M1960" s="1"/>
      <c r="N1960" s="1"/>
      <c r="O1960" s="1"/>
      <c r="P1960" s="1"/>
      <c r="Q1960" s="3"/>
      <c r="R1960" s="4"/>
      <c r="S1960" s="4"/>
      <c r="T1960" s="1"/>
      <c r="U1960" s="6"/>
      <c r="V1960" s="1"/>
      <c r="W1960" s="1"/>
      <c r="X1960" s="1"/>
      <c r="Y1960" s="1"/>
      <c r="Z1960" s="1"/>
      <c r="AA1960" s="1"/>
      <c r="AB1960" s="1"/>
      <c r="AC1960" s="1"/>
    </row>
    <row r="1961" spans="1:29">
      <c r="A1961" s="1"/>
      <c r="B1961" s="1"/>
      <c r="C1961" s="73"/>
      <c r="D1961" s="1"/>
      <c r="E1961" s="1"/>
      <c r="F1961" s="1"/>
      <c r="G1961" s="145"/>
      <c r="H1961" s="1"/>
      <c r="I1961" s="1"/>
      <c r="J1961" s="1"/>
      <c r="K1961" s="1"/>
      <c r="L1961" s="1"/>
      <c r="M1961" s="1"/>
      <c r="N1961" s="1"/>
      <c r="O1961" s="1"/>
      <c r="P1961" s="1"/>
      <c r="Q1961" s="3"/>
      <c r="R1961" s="4"/>
      <c r="S1961" s="4"/>
      <c r="T1961" s="1"/>
      <c r="U1961" s="6"/>
      <c r="V1961" s="1"/>
      <c r="W1961" s="1"/>
      <c r="X1961" s="1"/>
      <c r="Y1961" s="1"/>
      <c r="Z1961" s="1"/>
      <c r="AA1961" s="1"/>
      <c r="AB1961" s="1"/>
      <c r="AC1961" s="1"/>
    </row>
    <row r="1962" spans="1:29">
      <c r="A1962" s="1"/>
      <c r="B1962" s="1"/>
      <c r="C1962" s="73"/>
      <c r="D1962" s="1"/>
      <c r="E1962" s="1"/>
      <c r="F1962" s="1"/>
      <c r="G1962" s="145"/>
      <c r="H1962" s="1"/>
      <c r="I1962" s="1"/>
      <c r="J1962" s="1"/>
      <c r="K1962" s="1"/>
      <c r="L1962" s="1"/>
      <c r="M1962" s="1"/>
      <c r="N1962" s="1"/>
      <c r="O1962" s="1"/>
      <c r="P1962" s="1"/>
      <c r="Q1962" s="3"/>
      <c r="R1962" s="4"/>
      <c r="S1962" s="4"/>
      <c r="T1962" s="1"/>
      <c r="U1962" s="6"/>
      <c r="V1962" s="1"/>
      <c r="W1962" s="1"/>
      <c r="X1962" s="1"/>
      <c r="Y1962" s="1"/>
      <c r="Z1962" s="1"/>
      <c r="AA1962" s="1"/>
      <c r="AB1962" s="1"/>
      <c r="AC1962" s="1"/>
    </row>
    <row r="1963" spans="1:29">
      <c r="A1963" s="1"/>
      <c r="B1963" s="1"/>
      <c r="C1963" s="73"/>
      <c r="D1963" s="1"/>
      <c r="E1963" s="1"/>
      <c r="F1963" s="1"/>
      <c r="G1963" s="145"/>
      <c r="H1963" s="1"/>
      <c r="I1963" s="1"/>
      <c r="J1963" s="1"/>
      <c r="K1963" s="1"/>
      <c r="L1963" s="1"/>
      <c r="M1963" s="1"/>
      <c r="N1963" s="1"/>
      <c r="O1963" s="1"/>
      <c r="P1963" s="1"/>
      <c r="Q1963" s="3"/>
      <c r="R1963" s="4"/>
      <c r="S1963" s="4"/>
      <c r="T1963" s="1"/>
      <c r="U1963" s="6"/>
      <c r="V1963" s="1"/>
      <c r="W1963" s="1"/>
      <c r="X1963" s="1"/>
      <c r="Y1963" s="1"/>
      <c r="Z1963" s="1"/>
      <c r="AA1963" s="1"/>
      <c r="AB1963" s="1"/>
      <c r="AC1963" s="1"/>
    </row>
    <row r="1964" spans="1:29">
      <c r="A1964" s="1"/>
      <c r="B1964" s="1"/>
      <c r="C1964" s="73"/>
      <c r="D1964" s="1"/>
      <c r="E1964" s="1"/>
      <c r="F1964" s="1"/>
      <c r="G1964" s="145"/>
      <c r="H1964" s="1"/>
      <c r="I1964" s="1"/>
      <c r="J1964" s="1"/>
      <c r="K1964" s="1"/>
      <c r="L1964" s="1"/>
      <c r="M1964" s="1"/>
      <c r="N1964" s="1"/>
      <c r="O1964" s="1"/>
      <c r="P1964" s="1"/>
      <c r="Q1964" s="3"/>
      <c r="R1964" s="4"/>
      <c r="S1964" s="4"/>
      <c r="T1964" s="1"/>
      <c r="U1964" s="6"/>
      <c r="V1964" s="1"/>
      <c r="W1964" s="1"/>
      <c r="X1964" s="1"/>
      <c r="Y1964" s="1"/>
      <c r="Z1964" s="1"/>
      <c r="AA1964" s="1"/>
      <c r="AB1964" s="1"/>
      <c r="AC1964" s="1"/>
    </row>
    <row r="1965" spans="1:29">
      <c r="A1965" s="1"/>
      <c r="B1965" s="1"/>
      <c r="C1965" s="73"/>
      <c r="D1965" s="1"/>
      <c r="E1965" s="1"/>
      <c r="F1965" s="1"/>
      <c r="G1965" s="145"/>
      <c r="H1965" s="1"/>
      <c r="I1965" s="1"/>
      <c r="J1965" s="1"/>
      <c r="K1965" s="1"/>
      <c r="L1965" s="1"/>
      <c r="M1965" s="1"/>
      <c r="N1965" s="1"/>
      <c r="O1965" s="1"/>
      <c r="P1965" s="1"/>
      <c r="Q1965" s="3"/>
      <c r="R1965" s="4"/>
      <c r="S1965" s="4"/>
      <c r="T1965" s="1"/>
      <c r="U1965" s="6"/>
      <c r="V1965" s="1"/>
      <c r="W1965" s="1"/>
      <c r="X1965" s="1"/>
      <c r="Y1965" s="1"/>
      <c r="Z1965" s="1"/>
      <c r="AA1965" s="1"/>
      <c r="AB1965" s="1"/>
      <c r="AC1965" s="1"/>
    </row>
    <row r="1966" spans="1:29">
      <c r="A1966" s="1"/>
      <c r="B1966" s="1"/>
      <c r="C1966" s="73"/>
      <c r="D1966" s="1"/>
      <c r="E1966" s="1"/>
      <c r="F1966" s="1"/>
      <c r="G1966" s="145"/>
      <c r="H1966" s="1"/>
      <c r="I1966" s="1"/>
      <c r="J1966" s="1"/>
      <c r="K1966" s="1"/>
      <c r="L1966" s="1"/>
      <c r="M1966" s="1"/>
      <c r="N1966" s="1"/>
      <c r="O1966" s="1"/>
      <c r="P1966" s="1"/>
      <c r="Q1966" s="3"/>
      <c r="R1966" s="4"/>
      <c r="S1966" s="4"/>
      <c r="T1966" s="1"/>
      <c r="U1966" s="6"/>
      <c r="V1966" s="1"/>
      <c r="W1966" s="1"/>
      <c r="X1966" s="1"/>
      <c r="Y1966" s="1"/>
      <c r="Z1966" s="1"/>
      <c r="AA1966" s="1"/>
      <c r="AB1966" s="1"/>
      <c r="AC1966" s="1"/>
    </row>
    <row r="1967" spans="1:29">
      <c r="A1967" s="1"/>
      <c r="B1967" s="1"/>
      <c r="C1967" s="73"/>
      <c r="D1967" s="1"/>
      <c r="E1967" s="1"/>
      <c r="F1967" s="1"/>
      <c r="G1967" s="145"/>
      <c r="H1967" s="1"/>
      <c r="I1967" s="1"/>
      <c r="J1967" s="1"/>
      <c r="K1967" s="1"/>
      <c r="L1967" s="1"/>
      <c r="M1967" s="1"/>
      <c r="N1967" s="1"/>
      <c r="O1967" s="1"/>
      <c r="P1967" s="1"/>
      <c r="Q1967" s="3"/>
      <c r="R1967" s="4"/>
      <c r="S1967" s="4"/>
      <c r="T1967" s="1"/>
      <c r="U1967" s="6"/>
      <c r="V1967" s="1"/>
      <c r="W1967" s="1"/>
      <c r="X1967" s="1"/>
      <c r="Y1967" s="1"/>
      <c r="Z1967" s="1"/>
      <c r="AA1967" s="1"/>
      <c r="AB1967" s="1"/>
      <c r="AC1967" s="1"/>
    </row>
    <row r="1968" spans="1:29">
      <c r="A1968" s="1"/>
      <c r="B1968" s="1"/>
      <c r="C1968" s="73"/>
      <c r="D1968" s="1"/>
      <c r="E1968" s="1"/>
      <c r="F1968" s="1"/>
      <c r="G1968" s="145"/>
      <c r="H1968" s="1"/>
      <c r="I1968" s="1"/>
      <c r="J1968" s="1"/>
      <c r="K1968" s="1"/>
      <c r="L1968" s="1"/>
      <c r="M1968" s="1"/>
      <c r="N1968" s="1"/>
      <c r="O1968" s="1"/>
      <c r="P1968" s="1"/>
      <c r="Q1968" s="3"/>
      <c r="R1968" s="4"/>
      <c r="S1968" s="4"/>
      <c r="T1968" s="1"/>
      <c r="U1968" s="6"/>
      <c r="V1968" s="1"/>
      <c r="W1968" s="1"/>
      <c r="X1968" s="1"/>
      <c r="Y1968" s="1"/>
      <c r="Z1968" s="1"/>
      <c r="AA1968" s="1"/>
      <c r="AB1968" s="1"/>
      <c r="AC1968" s="1"/>
    </row>
    <row r="1969" spans="1:29">
      <c r="A1969" s="1"/>
      <c r="B1969" s="1"/>
      <c r="C1969" s="73"/>
      <c r="D1969" s="1"/>
      <c r="E1969" s="1"/>
      <c r="F1969" s="1"/>
      <c r="G1969" s="145"/>
      <c r="H1969" s="1"/>
      <c r="I1969" s="1"/>
      <c r="J1969" s="1"/>
      <c r="K1969" s="1"/>
      <c r="L1969" s="1"/>
      <c r="M1969" s="1"/>
      <c r="N1969" s="1"/>
      <c r="O1969" s="1"/>
      <c r="P1969" s="1"/>
      <c r="Q1969" s="3"/>
      <c r="R1969" s="4"/>
      <c r="S1969" s="4"/>
      <c r="T1969" s="1"/>
      <c r="U1969" s="6"/>
      <c r="V1969" s="1"/>
      <c r="W1969" s="1"/>
      <c r="X1969" s="1"/>
      <c r="Y1969" s="1"/>
      <c r="Z1969" s="1"/>
      <c r="AA1969" s="1"/>
      <c r="AB1969" s="1"/>
      <c r="AC1969" s="1"/>
    </row>
    <row r="1970" spans="1:29">
      <c r="A1970" s="1"/>
      <c r="B1970" s="1"/>
      <c r="C1970" s="73"/>
      <c r="D1970" s="1"/>
      <c r="E1970" s="1"/>
      <c r="F1970" s="1"/>
      <c r="G1970" s="145"/>
      <c r="H1970" s="1"/>
      <c r="I1970" s="1"/>
      <c r="J1970" s="1"/>
      <c r="K1970" s="1"/>
      <c r="L1970" s="1"/>
      <c r="M1970" s="1"/>
      <c r="N1970" s="1"/>
      <c r="O1970" s="1"/>
      <c r="P1970" s="1"/>
      <c r="Q1970" s="3"/>
      <c r="R1970" s="4"/>
      <c r="S1970" s="4"/>
      <c r="T1970" s="1"/>
      <c r="U1970" s="6"/>
      <c r="V1970" s="1"/>
      <c r="W1970" s="1"/>
      <c r="X1970" s="1"/>
      <c r="Y1970" s="1"/>
      <c r="Z1970" s="1"/>
      <c r="AA1970" s="1"/>
      <c r="AB1970" s="1"/>
      <c r="AC1970" s="1"/>
    </row>
    <row r="1971" spans="1:29">
      <c r="A1971" s="1"/>
      <c r="B1971" s="1"/>
      <c r="C1971" s="73"/>
      <c r="D1971" s="1"/>
      <c r="E1971" s="1"/>
      <c r="F1971" s="1"/>
      <c r="G1971" s="145"/>
      <c r="H1971" s="1"/>
      <c r="I1971" s="1"/>
      <c r="J1971" s="1"/>
      <c r="K1971" s="1"/>
      <c r="L1971" s="1"/>
      <c r="M1971" s="1"/>
      <c r="N1971" s="1"/>
      <c r="O1971" s="1"/>
      <c r="P1971" s="1"/>
      <c r="Q1971" s="3"/>
      <c r="R1971" s="4"/>
      <c r="S1971" s="4"/>
      <c r="T1971" s="1"/>
      <c r="U1971" s="6"/>
      <c r="V1971" s="1"/>
      <c r="W1971" s="1"/>
      <c r="X1971" s="1"/>
      <c r="Y1971" s="1"/>
      <c r="Z1971" s="1"/>
      <c r="AA1971" s="1"/>
      <c r="AB1971" s="1"/>
      <c r="AC1971" s="1"/>
    </row>
    <row r="1972" spans="1:29">
      <c r="A1972" s="1"/>
      <c r="B1972" s="1"/>
      <c r="C1972" s="73"/>
      <c r="D1972" s="1"/>
      <c r="E1972" s="1"/>
      <c r="F1972" s="1"/>
      <c r="G1972" s="145"/>
      <c r="H1972" s="1"/>
      <c r="I1972" s="1"/>
      <c r="J1972" s="1"/>
      <c r="K1972" s="1"/>
      <c r="L1972" s="1"/>
      <c r="M1972" s="1"/>
      <c r="N1972" s="1"/>
      <c r="O1972" s="1"/>
      <c r="P1972" s="1"/>
      <c r="Q1972" s="3"/>
      <c r="R1972" s="4"/>
      <c r="S1972" s="4"/>
      <c r="T1972" s="1"/>
      <c r="U1972" s="6"/>
      <c r="V1972" s="1"/>
      <c r="W1972" s="1"/>
      <c r="X1972" s="1"/>
      <c r="Y1972" s="1"/>
      <c r="Z1972" s="1"/>
      <c r="AA1972" s="1"/>
      <c r="AB1972" s="1"/>
      <c r="AC1972" s="1"/>
    </row>
    <row r="1973" spans="1:29">
      <c r="A1973" s="1"/>
      <c r="B1973" s="1"/>
      <c r="C1973" s="73"/>
      <c r="D1973" s="1"/>
      <c r="E1973" s="1"/>
      <c r="F1973" s="1"/>
      <c r="G1973" s="145"/>
      <c r="H1973" s="1"/>
      <c r="I1973" s="1"/>
      <c r="J1973" s="1"/>
      <c r="K1973" s="1"/>
      <c r="L1973" s="1"/>
      <c r="M1973" s="1"/>
      <c r="N1973" s="1"/>
      <c r="O1973" s="1"/>
      <c r="P1973" s="1"/>
      <c r="Q1973" s="3"/>
      <c r="R1973" s="4"/>
      <c r="S1973" s="4"/>
      <c r="T1973" s="1"/>
      <c r="U1973" s="6"/>
      <c r="V1973" s="1"/>
      <c r="W1973" s="1"/>
      <c r="X1973" s="1"/>
      <c r="Y1973" s="1"/>
      <c r="Z1973" s="1"/>
      <c r="AA1973" s="1"/>
      <c r="AB1973" s="1"/>
      <c r="AC1973" s="1"/>
    </row>
    <row r="1974" spans="1:29">
      <c r="A1974" s="1"/>
      <c r="B1974" s="1"/>
      <c r="C1974" s="73"/>
      <c r="D1974" s="1"/>
      <c r="E1974" s="1"/>
      <c r="F1974" s="1"/>
      <c r="G1974" s="145"/>
      <c r="H1974" s="1"/>
      <c r="I1974" s="1"/>
      <c r="J1974" s="1"/>
      <c r="K1974" s="1"/>
      <c r="L1974" s="1"/>
      <c r="M1974" s="1"/>
      <c r="N1974" s="1"/>
      <c r="O1974" s="1"/>
      <c r="P1974" s="1"/>
      <c r="Q1974" s="3"/>
      <c r="R1974" s="4"/>
      <c r="S1974" s="4"/>
      <c r="T1974" s="1"/>
      <c r="U1974" s="6"/>
      <c r="V1974" s="1"/>
      <c r="W1974" s="1"/>
      <c r="X1974" s="1"/>
      <c r="Y1974" s="1"/>
      <c r="Z1974" s="1"/>
      <c r="AA1974" s="1"/>
      <c r="AB1974" s="1"/>
      <c r="AC1974" s="1"/>
    </row>
    <row r="1975" spans="1:29">
      <c r="A1975" s="1"/>
      <c r="B1975" s="1"/>
      <c r="C1975" s="73"/>
      <c r="D1975" s="1"/>
      <c r="E1975" s="1"/>
      <c r="F1975" s="1"/>
      <c r="G1975" s="145"/>
      <c r="H1975" s="1"/>
      <c r="I1975" s="1"/>
      <c r="J1975" s="1"/>
      <c r="K1975" s="1"/>
      <c r="L1975" s="1"/>
      <c r="M1975" s="1"/>
      <c r="N1975" s="1"/>
      <c r="O1975" s="1"/>
      <c r="P1975" s="1"/>
      <c r="Q1975" s="3"/>
      <c r="R1975" s="4"/>
      <c r="S1975" s="4"/>
      <c r="T1975" s="1"/>
      <c r="U1975" s="6"/>
      <c r="V1975" s="1"/>
      <c r="W1975" s="1"/>
      <c r="X1975" s="1"/>
      <c r="Y1975" s="1"/>
      <c r="Z1975" s="1"/>
      <c r="AA1975" s="1"/>
      <c r="AB1975" s="1"/>
      <c r="AC1975" s="1"/>
    </row>
    <row r="1976" spans="1:29">
      <c r="A1976" s="1"/>
      <c r="B1976" s="1"/>
      <c r="C1976" s="73"/>
      <c r="D1976" s="1"/>
      <c r="E1976" s="1"/>
      <c r="F1976" s="1"/>
      <c r="G1976" s="145"/>
      <c r="H1976" s="1"/>
      <c r="I1976" s="1"/>
      <c r="J1976" s="1"/>
      <c r="K1976" s="1"/>
      <c r="L1976" s="1"/>
      <c r="M1976" s="1"/>
      <c r="N1976" s="1"/>
      <c r="O1976" s="1"/>
      <c r="P1976" s="1"/>
      <c r="Q1976" s="3"/>
      <c r="R1976" s="4"/>
      <c r="S1976" s="4"/>
      <c r="T1976" s="1"/>
      <c r="U1976" s="6"/>
      <c r="V1976" s="1"/>
      <c r="W1976" s="1"/>
      <c r="X1976" s="1"/>
      <c r="Y1976" s="1"/>
      <c r="Z1976" s="1"/>
      <c r="AA1976" s="1"/>
      <c r="AB1976" s="1"/>
      <c r="AC1976" s="1"/>
    </row>
    <row r="1977" spans="1:29">
      <c r="A1977" s="1"/>
      <c r="B1977" s="1"/>
      <c r="C1977" s="73"/>
      <c r="D1977" s="1"/>
      <c r="E1977" s="1"/>
      <c r="F1977" s="1"/>
      <c r="G1977" s="145"/>
      <c r="H1977" s="1"/>
      <c r="I1977" s="1"/>
      <c r="J1977" s="1"/>
      <c r="K1977" s="1"/>
      <c r="L1977" s="1"/>
      <c r="M1977" s="1"/>
      <c r="N1977" s="1"/>
      <c r="O1977" s="1"/>
      <c r="P1977" s="1"/>
      <c r="Q1977" s="3"/>
      <c r="R1977" s="4"/>
      <c r="S1977" s="4"/>
      <c r="T1977" s="1"/>
      <c r="U1977" s="6"/>
      <c r="V1977" s="1"/>
      <c r="W1977" s="1"/>
      <c r="X1977" s="1"/>
      <c r="Y1977" s="1"/>
      <c r="Z1977" s="1"/>
      <c r="AA1977" s="1"/>
      <c r="AB1977" s="1"/>
      <c r="AC1977" s="1"/>
    </row>
    <row r="1978" spans="1:29">
      <c r="A1978" s="1"/>
      <c r="B1978" s="1"/>
      <c r="C1978" s="73"/>
      <c r="D1978" s="1"/>
      <c r="E1978" s="1"/>
      <c r="F1978" s="1"/>
      <c r="G1978" s="145"/>
      <c r="H1978" s="1"/>
      <c r="I1978" s="1"/>
      <c r="J1978" s="1"/>
      <c r="K1978" s="1"/>
      <c r="L1978" s="1"/>
      <c r="M1978" s="1"/>
      <c r="N1978" s="1"/>
      <c r="O1978" s="1"/>
      <c r="P1978" s="1"/>
      <c r="Q1978" s="3"/>
      <c r="R1978" s="4"/>
      <c r="S1978" s="4"/>
      <c r="T1978" s="1"/>
      <c r="U1978" s="6"/>
      <c r="V1978" s="1"/>
      <c r="W1978" s="1"/>
      <c r="X1978" s="1"/>
      <c r="Y1978" s="1"/>
      <c r="Z1978" s="1"/>
      <c r="AA1978" s="1"/>
      <c r="AB1978" s="1"/>
      <c r="AC1978" s="1"/>
    </row>
    <row r="1979" spans="1:29">
      <c r="A1979" s="1"/>
      <c r="B1979" s="1"/>
      <c r="C1979" s="73"/>
      <c r="D1979" s="1"/>
      <c r="E1979" s="1"/>
      <c r="F1979" s="1"/>
      <c r="G1979" s="145"/>
      <c r="H1979" s="1"/>
      <c r="I1979" s="1"/>
      <c r="J1979" s="1"/>
      <c r="K1979" s="1"/>
      <c r="L1979" s="1"/>
      <c r="M1979" s="1"/>
      <c r="N1979" s="1"/>
      <c r="O1979" s="1"/>
      <c r="P1979" s="1"/>
      <c r="Q1979" s="3"/>
      <c r="R1979" s="4"/>
      <c r="S1979" s="4"/>
      <c r="T1979" s="1"/>
      <c r="U1979" s="6"/>
      <c r="V1979" s="1"/>
      <c r="W1979" s="1"/>
      <c r="X1979" s="1"/>
      <c r="Y1979" s="1"/>
      <c r="Z1979" s="1"/>
      <c r="AA1979" s="1"/>
      <c r="AB1979" s="1"/>
      <c r="AC1979" s="1"/>
    </row>
    <row r="1980" spans="1:29">
      <c r="A1980" s="1"/>
      <c r="B1980" s="1"/>
      <c r="C1980" s="73"/>
      <c r="D1980" s="1"/>
      <c r="E1980" s="1"/>
      <c r="F1980" s="1"/>
      <c r="G1980" s="145"/>
      <c r="H1980" s="1"/>
      <c r="I1980" s="1"/>
      <c r="J1980" s="1"/>
      <c r="K1980" s="1"/>
      <c r="L1980" s="1"/>
      <c r="M1980" s="1"/>
      <c r="N1980" s="1"/>
      <c r="O1980" s="1"/>
      <c r="P1980" s="1"/>
      <c r="Q1980" s="3"/>
      <c r="R1980" s="4"/>
      <c r="S1980" s="4"/>
      <c r="T1980" s="1"/>
      <c r="U1980" s="6"/>
      <c r="V1980" s="1"/>
      <c r="W1980" s="1"/>
      <c r="X1980" s="1"/>
      <c r="Y1980" s="1"/>
      <c r="Z1980" s="1"/>
      <c r="AA1980" s="1"/>
      <c r="AB1980" s="1"/>
      <c r="AC1980" s="1"/>
    </row>
    <row r="1981" spans="1:29">
      <c r="A1981" s="1"/>
      <c r="B1981" s="1"/>
      <c r="C1981" s="73"/>
      <c r="D1981" s="1"/>
      <c r="E1981" s="1"/>
      <c r="F1981" s="1"/>
      <c r="G1981" s="145"/>
      <c r="H1981" s="1"/>
      <c r="I1981" s="1"/>
      <c r="J1981" s="1"/>
      <c r="K1981" s="1"/>
      <c r="L1981" s="1"/>
      <c r="M1981" s="1"/>
      <c r="N1981" s="1"/>
      <c r="O1981" s="1"/>
      <c r="P1981" s="1"/>
      <c r="Q1981" s="3"/>
      <c r="R1981" s="4"/>
      <c r="S1981" s="4"/>
      <c r="T1981" s="1"/>
      <c r="U1981" s="6"/>
      <c r="V1981" s="1"/>
      <c r="W1981" s="1"/>
      <c r="X1981" s="1"/>
      <c r="Y1981" s="1"/>
      <c r="Z1981" s="1"/>
      <c r="AA1981" s="1"/>
      <c r="AB1981" s="1"/>
      <c r="AC1981" s="1"/>
    </row>
    <row r="1982" spans="1:29">
      <c r="A1982" s="1"/>
      <c r="B1982" s="1"/>
      <c r="C1982" s="73"/>
      <c r="D1982" s="1"/>
      <c r="E1982" s="1"/>
      <c r="F1982" s="1"/>
      <c r="G1982" s="145"/>
      <c r="H1982" s="1"/>
      <c r="I1982" s="1"/>
      <c r="J1982" s="1"/>
      <c r="K1982" s="1"/>
      <c r="L1982" s="1"/>
      <c r="M1982" s="1"/>
      <c r="N1982" s="1"/>
      <c r="O1982" s="1"/>
      <c r="P1982" s="1"/>
      <c r="Q1982" s="3"/>
      <c r="R1982" s="4"/>
      <c r="S1982" s="4"/>
      <c r="T1982" s="1"/>
      <c r="U1982" s="6"/>
      <c r="V1982" s="1"/>
      <c r="W1982" s="1"/>
      <c r="X1982" s="1"/>
      <c r="Y1982" s="1"/>
      <c r="Z1982" s="1"/>
      <c r="AA1982" s="1"/>
      <c r="AB1982" s="1"/>
      <c r="AC1982" s="1"/>
    </row>
    <row r="1983" spans="1:29">
      <c r="A1983" s="1"/>
      <c r="B1983" s="1"/>
      <c r="C1983" s="73"/>
      <c r="D1983" s="1"/>
      <c r="E1983" s="1"/>
      <c r="F1983" s="1"/>
      <c r="G1983" s="145"/>
      <c r="H1983" s="1"/>
      <c r="I1983" s="1"/>
      <c r="J1983" s="1"/>
      <c r="K1983" s="1"/>
      <c r="L1983" s="1"/>
      <c r="M1983" s="1"/>
      <c r="N1983" s="1"/>
      <c r="O1983" s="1"/>
      <c r="P1983" s="1"/>
      <c r="Q1983" s="3"/>
      <c r="R1983" s="4"/>
      <c r="S1983" s="4"/>
      <c r="T1983" s="1"/>
      <c r="U1983" s="6"/>
      <c r="V1983" s="1"/>
      <c r="W1983" s="1"/>
      <c r="X1983" s="1"/>
      <c r="Y1983" s="1"/>
      <c r="Z1983" s="1"/>
      <c r="AA1983" s="1"/>
      <c r="AB1983" s="1"/>
      <c r="AC1983" s="1"/>
    </row>
    <row r="1984" spans="1:29">
      <c r="A1984" s="1"/>
      <c r="B1984" s="1"/>
      <c r="C1984" s="73"/>
      <c r="D1984" s="1"/>
      <c r="E1984" s="1"/>
      <c r="F1984" s="1"/>
      <c r="G1984" s="145"/>
      <c r="H1984" s="1"/>
      <c r="I1984" s="1"/>
      <c r="J1984" s="1"/>
      <c r="K1984" s="1"/>
      <c r="L1984" s="1"/>
      <c r="M1984" s="1"/>
      <c r="N1984" s="1"/>
      <c r="O1984" s="1"/>
      <c r="P1984" s="1"/>
      <c r="Q1984" s="3"/>
      <c r="R1984" s="4"/>
      <c r="S1984" s="4"/>
      <c r="T1984" s="1"/>
      <c r="U1984" s="6"/>
      <c r="V1984" s="1"/>
      <c r="W1984" s="1"/>
      <c r="X1984" s="1"/>
      <c r="Y1984" s="1"/>
      <c r="Z1984" s="1"/>
      <c r="AA1984" s="1"/>
      <c r="AB1984" s="1"/>
      <c r="AC1984" s="1"/>
    </row>
    <row r="1985" spans="1:29">
      <c r="A1985" s="1"/>
      <c r="B1985" s="1"/>
      <c r="C1985" s="73"/>
      <c r="D1985" s="1"/>
      <c r="E1985" s="1"/>
      <c r="F1985" s="1"/>
      <c r="G1985" s="145"/>
      <c r="H1985" s="1"/>
      <c r="I1985" s="1"/>
      <c r="J1985" s="1"/>
      <c r="K1985" s="1"/>
      <c r="L1985" s="1"/>
      <c r="M1985" s="1"/>
      <c r="N1985" s="1"/>
      <c r="O1985" s="1"/>
      <c r="P1985" s="1"/>
      <c r="Q1985" s="3"/>
      <c r="R1985" s="4"/>
      <c r="S1985" s="4"/>
      <c r="T1985" s="1"/>
      <c r="U1985" s="6"/>
      <c r="V1985" s="1"/>
      <c r="W1985" s="1"/>
      <c r="X1985" s="1"/>
      <c r="Y1985" s="1"/>
      <c r="Z1985" s="1"/>
      <c r="AA1985" s="1"/>
      <c r="AB1985" s="1"/>
      <c r="AC1985" s="1"/>
    </row>
    <row r="1986" spans="1:29">
      <c r="A1986" s="1"/>
      <c r="B1986" s="1"/>
      <c r="C1986" s="73"/>
      <c r="D1986" s="1"/>
      <c r="E1986" s="1"/>
      <c r="F1986" s="1"/>
      <c r="G1986" s="145"/>
      <c r="H1986" s="1"/>
      <c r="I1986" s="1"/>
      <c r="J1986" s="1"/>
      <c r="K1986" s="1"/>
      <c r="L1986" s="1"/>
      <c r="M1986" s="1"/>
      <c r="N1986" s="1"/>
      <c r="O1986" s="1"/>
      <c r="P1986" s="1"/>
      <c r="Q1986" s="3"/>
      <c r="R1986" s="4"/>
      <c r="S1986" s="4"/>
      <c r="T1986" s="1"/>
      <c r="U1986" s="6"/>
      <c r="V1986" s="1"/>
      <c r="W1986" s="1"/>
      <c r="X1986" s="1"/>
      <c r="Y1986" s="1"/>
      <c r="Z1986" s="1"/>
      <c r="AA1986" s="1"/>
      <c r="AB1986" s="1"/>
      <c r="AC1986" s="1"/>
    </row>
    <row r="1987" spans="1:29">
      <c r="A1987" s="1"/>
      <c r="B1987" s="1"/>
      <c r="C1987" s="73"/>
      <c r="D1987" s="1"/>
      <c r="E1987" s="1"/>
      <c r="F1987" s="1"/>
      <c r="G1987" s="145"/>
      <c r="H1987" s="1"/>
      <c r="I1987" s="1"/>
      <c r="J1987" s="1"/>
      <c r="K1987" s="1"/>
      <c r="L1987" s="1"/>
      <c r="M1987" s="1"/>
      <c r="N1987" s="1"/>
      <c r="O1987" s="1"/>
      <c r="P1987" s="1"/>
      <c r="Q1987" s="3"/>
      <c r="R1987" s="4"/>
      <c r="S1987" s="4"/>
      <c r="T1987" s="1"/>
      <c r="U1987" s="6"/>
      <c r="V1987" s="1"/>
      <c r="W1987" s="1"/>
      <c r="X1987" s="1"/>
      <c r="Y1987" s="1"/>
      <c r="Z1987" s="1"/>
      <c r="AA1987" s="1"/>
      <c r="AB1987" s="1"/>
      <c r="AC1987" s="1"/>
    </row>
    <row r="1988" spans="1:29">
      <c r="A1988" s="1"/>
      <c r="B1988" s="1"/>
      <c r="C1988" s="73"/>
      <c r="D1988" s="1"/>
      <c r="E1988" s="1"/>
      <c r="F1988" s="1"/>
      <c r="G1988" s="145"/>
      <c r="H1988" s="1"/>
      <c r="I1988" s="1"/>
      <c r="J1988" s="1"/>
      <c r="K1988" s="1"/>
      <c r="L1988" s="1"/>
      <c r="M1988" s="1"/>
      <c r="N1988" s="1"/>
      <c r="O1988" s="1"/>
      <c r="P1988" s="1"/>
      <c r="Q1988" s="3"/>
      <c r="R1988" s="4"/>
      <c r="S1988" s="4"/>
      <c r="T1988" s="1"/>
      <c r="U1988" s="6"/>
      <c r="V1988" s="1"/>
      <c r="W1988" s="1"/>
      <c r="X1988" s="1"/>
      <c r="Y1988" s="1"/>
      <c r="Z1988" s="1"/>
      <c r="AA1988" s="1"/>
      <c r="AB1988" s="1"/>
      <c r="AC1988" s="1"/>
    </row>
    <row r="1989" spans="1:29">
      <c r="A1989" s="1"/>
      <c r="B1989" s="1"/>
      <c r="C1989" s="73"/>
      <c r="D1989" s="1"/>
      <c r="E1989" s="1"/>
      <c r="F1989" s="1"/>
      <c r="G1989" s="145"/>
      <c r="H1989" s="1"/>
      <c r="I1989" s="1"/>
      <c r="J1989" s="1"/>
      <c r="K1989" s="1"/>
      <c r="L1989" s="1"/>
      <c r="M1989" s="1"/>
      <c r="N1989" s="1"/>
      <c r="O1989" s="1"/>
      <c r="P1989" s="1"/>
      <c r="Q1989" s="3"/>
      <c r="R1989" s="4"/>
      <c r="S1989" s="4"/>
      <c r="T1989" s="1"/>
      <c r="U1989" s="6"/>
      <c r="V1989" s="1"/>
      <c r="W1989" s="1"/>
      <c r="X1989" s="1"/>
      <c r="Y1989" s="1"/>
      <c r="Z1989" s="1"/>
      <c r="AA1989" s="1"/>
      <c r="AB1989" s="1"/>
      <c r="AC1989" s="1"/>
    </row>
    <row r="1990" spans="1:29">
      <c r="A1990" s="1"/>
      <c r="B1990" s="1"/>
      <c r="C1990" s="73"/>
      <c r="D1990" s="1"/>
      <c r="E1990" s="1"/>
      <c r="F1990" s="1"/>
      <c r="G1990" s="145"/>
      <c r="H1990" s="1"/>
      <c r="I1990" s="1"/>
      <c r="J1990" s="1"/>
      <c r="K1990" s="1"/>
      <c r="L1990" s="1"/>
      <c r="M1990" s="1"/>
      <c r="N1990" s="1"/>
      <c r="O1990" s="1"/>
      <c r="P1990" s="1"/>
      <c r="Q1990" s="3"/>
      <c r="R1990" s="4"/>
      <c r="S1990" s="4"/>
      <c r="T1990" s="1"/>
      <c r="U1990" s="6"/>
      <c r="V1990" s="1"/>
      <c r="W1990" s="1"/>
      <c r="X1990" s="1"/>
      <c r="Y1990" s="1"/>
      <c r="Z1990" s="1"/>
      <c r="AA1990" s="1"/>
      <c r="AB1990" s="1"/>
      <c r="AC1990" s="1"/>
    </row>
    <row r="1991" spans="1:29">
      <c r="A1991" s="1"/>
      <c r="B1991" s="1"/>
      <c r="C1991" s="73"/>
      <c r="D1991" s="1"/>
      <c r="E1991" s="1"/>
      <c r="F1991" s="1"/>
      <c r="G1991" s="145"/>
      <c r="H1991" s="1"/>
      <c r="I1991" s="1"/>
      <c r="J1991" s="1"/>
      <c r="K1991" s="1"/>
      <c r="L1991" s="1"/>
      <c r="M1991" s="1"/>
      <c r="N1991" s="1"/>
      <c r="O1991" s="1"/>
      <c r="P1991" s="1"/>
      <c r="Q1991" s="3"/>
      <c r="R1991" s="4"/>
      <c r="S1991" s="4"/>
      <c r="T1991" s="1"/>
      <c r="U1991" s="6"/>
      <c r="V1991" s="1"/>
      <c r="W1991" s="1"/>
      <c r="X1991" s="1"/>
      <c r="Y1991" s="1"/>
      <c r="Z1991" s="1"/>
      <c r="AA1991" s="1"/>
      <c r="AB1991" s="1"/>
      <c r="AC1991" s="1"/>
    </row>
    <row r="1992" spans="1:29">
      <c r="A1992" s="1"/>
      <c r="B1992" s="1"/>
      <c r="C1992" s="73"/>
      <c r="D1992" s="1"/>
      <c r="E1992" s="1"/>
      <c r="F1992" s="1"/>
      <c r="G1992" s="145"/>
      <c r="H1992" s="1"/>
      <c r="I1992" s="1"/>
      <c r="J1992" s="1"/>
      <c r="K1992" s="1"/>
      <c r="L1992" s="1"/>
      <c r="M1992" s="1"/>
      <c r="N1992" s="1"/>
      <c r="O1992" s="1"/>
      <c r="P1992" s="1"/>
      <c r="Q1992" s="3"/>
      <c r="R1992" s="4"/>
      <c r="S1992" s="4"/>
      <c r="T1992" s="1"/>
      <c r="U1992" s="6"/>
      <c r="V1992" s="1"/>
      <c r="W1992" s="1"/>
      <c r="X1992" s="1"/>
      <c r="Y1992" s="1"/>
      <c r="Z1992" s="1"/>
      <c r="AA1992" s="1"/>
      <c r="AB1992" s="1"/>
      <c r="AC1992" s="1"/>
    </row>
    <row r="1993" spans="1:29">
      <c r="A1993" s="1"/>
      <c r="B1993" s="1"/>
      <c r="C1993" s="73"/>
      <c r="D1993" s="1"/>
      <c r="E1993" s="1"/>
      <c r="F1993" s="1"/>
      <c r="G1993" s="145"/>
      <c r="H1993" s="1"/>
      <c r="I1993" s="1"/>
      <c r="J1993" s="1"/>
      <c r="K1993" s="1"/>
      <c r="L1993" s="1"/>
      <c r="M1993" s="1"/>
      <c r="N1993" s="1"/>
      <c r="O1993" s="1"/>
      <c r="P1993" s="1"/>
      <c r="Q1993" s="3"/>
      <c r="R1993" s="4"/>
      <c r="S1993" s="4"/>
      <c r="T1993" s="1"/>
      <c r="U1993" s="6"/>
      <c r="V1993" s="1"/>
      <c r="W1993" s="1"/>
      <c r="X1993" s="1"/>
      <c r="Y1993" s="1"/>
      <c r="Z1993" s="1"/>
      <c r="AA1993" s="1"/>
      <c r="AB1993" s="1"/>
      <c r="AC1993" s="1"/>
    </row>
    <row r="1994" spans="1:29">
      <c r="A1994" s="1"/>
      <c r="B1994" s="1"/>
      <c r="C1994" s="73"/>
      <c r="D1994" s="1"/>
      <c r="E1994" s="1"/>
      <c r="F1994" s="1"/>
      <c r="G1994" s="145"/>
      <c r="H1994" s="1"/>
      <c r="I1994" s="1"/>
      <c r="J1994" s="1"/>
      <c r="K1994" s="1"/>
      <c r="L1994" s="1"/>
      <c r="M1994" s="1"/>
      <c r="N1994" s="1"/>
      <c r="O1994" s="1"/>
      <c r="P1994" s="1"/>
      <c r="Q1994" s="3"/>
      <c r="R1994" s="4"/>
      <c r="S1994" s="4"/>
      <c r="T1994" s="1"/>
      <c r="U1994" s="6"/>
      <c r="V1994" s="1"/>
      <c r="W1994" s="1"/>
      <c r="X1994" s="1"/>
      <c r="Y1994" s="1"/>
      <c r="Z1994" s="1"/>
      <c r="AA1994" s="1"/>
      <c r="AB1994" s="1"/>
      <c r="AC1994" s="1"/>
    </row>
    <row r="1995" spans="1:29">
      <c r="A1995" s="1"/>
      <c r="B1995" s="1"/>
      <c r="C1995" s="73"/>
      <c r="D1995" s="1"/>
      <c r="E1995" s="1"/>
      <c r="F1995" s="1"/>
      <c r="G1995" s="145"/>
      <c r="H1995" s="1"/>
      <c r="I1995" s="1"/>
      <c r="J1995" s="1"/>
      <c r="K1995" s="1"/>
      <c r="L1995" s="1"/>
      <c r="M1995" s="1"/>
      <c r="N1995" s="1"/>
      <c r="O1995" s="1"/>
      <c r="P1995" s="1"/>
      <c r="Q1995" s="3"/>
      <c r="R1995" s="4"/>
      <c r="S1995" s="4"/>
      <c r="T1995" s="1"/>
      <c r="U1995" s="6"/>
      <c r="V1995" s="1"/>
      <c r="W1995" s="1"/>
      <c r="X1995" s="1"/>
      <c r="Y1995" s="1"/>
      <c r="Z1995" s="1"/>
      <c r="AA1995" s="1"/>
      <c r="AB1995" s="1"/>
      <c r="AC1995" s="1"/>
    </row>
    <row r="1996" spans="1:29">
      <c r="A1996" s="1"/>
      <c r="B1996" s="1"/>
      <c r="C1996" s="73"/>
      <c r="D1996" s="1"/>
      <c r="E1996" s="1"/>
      <c r="F1996" s="1"/>
      <c r="G1996" s="145"/>
      <c r="H1996" s="1"/>
      <c r="I1996" s="1"/>
      <c r="J1996" s="1"/>
      <c r="K1996" s="1"/>
      <c r="L1996" s="1"/>
      <c r="M1996" s="1"/>
      <c r="N1996" s="1"/>
      <c r="O1996" s="1"/>
      <c r="P1996" s="1"/>
      <c r="Q1996" s="3"/>
      <c r="R1996" s="4"/>
      <c r="S1996" s="4"/>
      <c r="T1996" s="1"/>
      <c r="U1996" s="6"/>
      <c r="V1996" s="1"/>
      <c r="W1996" s="1"/>
      <c r="X1996" s="1"/>
      <c r="Y1996" s="1"/>
      <c r="Z1996" s="1"/>
      <c r="AA1996" s="1"/>
      <c r="AB1996" s="1"/>
      <c r="AC1996" s="1"/>
    </row>
    <row r="1997" spans="1:29">
      <c r="A1997" s="1"/>
      <c r="B1997" s="1"/>
      <c r="C1997" s="73"/>
      <c r="D1997" s="1"/>
      <c r="E1997" s="1"/>
      <c r="F1997" s="1"/>
      <c r="G1997" s="145"/>
      <c r="H1997" s="1"/>
      <c r="I1997" s="1"/>
      <c r="J1997" s="1"/>
      <c r="K1997" s="1"/>
      <c r="L1997" s="1"/>
      <c r="M1997" s="1"/>
      <c r="N1997" s="1"/>
      <c r="O1997" s="1"/>
      <c r="P1997" s="1"/>
      <c r="Q1997" s="3"/>
      <c r="R1997" s="4"/>
      <c r="S1997" s="4"/>
      <c r="T1997" s="1"/>
      <c r="U1997" s="6"/>
      <c r="V1997" s="1"/>
      <c r="W1997" s="1"/>
      <c r="X1997" s="1"/>
      <c r="Y1997" s="1"/>
      <c r="Z1997" s="1"/>
      <c r="AA1997" s="1"/>
      <c r="AB1997" s="1"/>
      <c r="AC1997" s="1"/>
    </row>
    <row r="1998" spans="1:29">
      <c r="A1998" s="1"/>
      <c r="B1998" s="1"/>
      <c r="C1998" s="73"/>
      <c r="D1998" s="1"/>
      <c r="E1998" s="1"/>
      <c r="F1998" s="1"/>
      <c r="G1998" s="145"/>
      <c r="H1998" s="1"/>
      <c r="I1998" s="1"/>
      <c r="J1998" s="1"/>
      <c r="K1998" s="1"/>
      <c r="L1998" s="1"/>
      <c r="M1998" s="1"/>
      <c r="N1998" s="1"/>
      <c r="O1998" s="1"/>
      <c r="P1998" s="1"/>
      <c r="Q1998" s="3"/>
      <c r="R1998" s="4"/>
      <c r="S1998" s="4"/>
      <c r="T1998" s="1"/>
      <c r="U1998" s="6"/>
      <c r="V1998" s="1"/>
      <c r="W1998" s="1"/>
      <c r="X1998" s="1"/>
      <c r="Y1998" s="1"/>
      <c r="Z1998" s="1"/>
      <c r="AA1998" s="1"/>
      <c r="AB1998" s="1"/>
      <c r="AC1998" s="1"/>
    </row>
    <row r="1999" spans="1:29">
      <c r="A1999" s="1"/>
      <c r="B1999" s="1"/>
      <c r="C1999" s="73"/>
      <c r="D1999" s="1"/>
      <c r="E1999" s="1"/>
      <c r="F1999" s="1"/>
      <c r="G1999" s="145"/>
      <c r="H1999" s="1"/>
      <c r="I1999" s="1"/>
      <c r="J1999" s="1"/>
      <c r="K1999" s="1"/>
      <c r="L1999" s="1"/>
      <c r="M1999" s="1"/>
      <c r="N1999" s="1"/>
      <c r="O1999" s="1"/>
      <c r="P1999" s="1"/>
      <c r="Q1999" s="3"/>
      <c r="R1999" s="4"/>
      <c r="S1999" s="4"/>
      <c r="T1999" s="1"/>
      <c r="U1999" s="6"/>
      <c r="V1999" s="1"/>
      <c r="W1999" s="1"/>
      <c r="X1999" s="1"/>
      <c r="Y1999" s="1"/>
      <c r="Z1999" s="1"/>
      <c r="AA1999" s="1"/>
      <c r="AB1999" s="1"/>
      <c r="AC1999" s="1"/>
    </row>
    <row r="2000" spans="1:29">
      <c r="A2000" s="1"/>
      <c r="B2000" s="1"/>
      <c r="C2000" s="73"/>
      <c r="D2000" s="1"/>
      <c r="E2000" s="1"/>
      <c r="F2000" s="1"/>
      <c r="G2000" s="145"/>
      <c r="H2000" s="1"/>
      <c r="I2000" s="1"/>
      <c r="J2000" s="1"/>
      <c r="K2000" s="1"/>
      <c r="L2000" s="1"/>
      <c r="M2000" s="1"/>
      <c r="N2000" s="1"/>
      <c r="O2000" s="1"/>
      <c r="P2000" s="1"/>
      <c r="Q2000" s="3"/>
      <c r="R2000" s="4"/>
      <c r="S2000" s="4"/>
      <c r="T2000" s="1"/>
      <c r="U2000" s="6"/>
      <c r="V2000" s="1"/>
      <c r="W2000" s="1"/>
      <c r="X2000" s="1"/>
      <c r="Y2000" s="1"/>
      <c r="Z2000" s="1"/>
      <c r="AA2000" s="1"/>
      <c r="AB2000" s="1"/>
      <c r="AC2000" s="1"/>
    </row>
    <row r="2001" spans="1:29">
      <c r="A2001" s="1"/>
      <c r="B2001" s="1"/>
      <c r="C2001" s="73"/>
      <c r="D2001" s="1"/>
      <c r="E2001" s="1"/>
      <c r="F2001" s="1"/>
      <c r="G2001" s="145"/>
      <c r="H2001" s="1"/>
      <c r="I2001" s="1"/>
      <c r="J2001" s="1"/>
      <c r="K2001" s="1"/>
      <c r="L2001" s="1"/>
      <c r="M2001" s="1"/>
      <c r="N2001" s="1"/>
      <c r="O2001" s="1"/>
      <c r="P2001" s="1"/>
      <c r="Q2001" s="3"/>
      <c r="R2001" s="4"/>
      <c r="S2001" s="4"/>
      <c r="T2001" s="1"/>
      <c r="U2001" s="6"/>
      <c r="V2001" s="1"/>
      <c r="W2001" s="1"/>
      <c r="X2001" s="1"/>
      <c r="Y2001" s="1"/>
      <c r="Z2001" s="1"/>
      <c r="AA2001" s="1"/>
      <c r="AB2001" s="1"/>
      <c r="AC2001" s="1"/>
    </row>
    <row r="2002" spans="1:29">
      <c r="A2002" s="1"/>
      <c r="B2002" s="1"/>
      <c r="C2002" s="73"/>
      <c r="D2002" s="1"/>
      <c r="E2002" s="1"/>
      <c r="F2002" s="1"/>
      <c r="G2002" s="145"/>
      <c r="H2002" s="1"/>
      <c r="I2002" s="1"/>
      <c r="J2002" s="1"/>
      <c r="K2002" s="1"/>
      <c r="L2002" s="1"/>
      <c r="M2002" s="1"/>
      <c r="N2002" s="1"/>
      <c r="O2002" s="1"/>
      <c r="P2002" s="1"/>
      <c r="Q2002" s="3"/>
      <c r="R2002" s="4"/>
      <c r="S2002" s="4"/>
      <c r="T2002" s="1"/>
      <c r="U2002" s="6"/>
      <c r="V2002" s="1"/>
      <c r="W2002" s="1"/>
      <c r="X2002" s="1"/>
      <c r="Y2002" s="1"/>
      <c r="Z2002" s="1"/>
      <c r="AA2002" s="1"/>
      <c r="AB2002" s="1"/>
      <c r="AC2002" s="1"/>
    </row>
    <row r="2003" spans="1:29">
      <c r="A2003" s="1"/>
      <c r="B2003" s="1"/>
      <c r="C2003" s="73"/>
      <c r="D2003" s="1"/>
      <c r="E2003" s="1"/>
      <c r="F2003" s="1"/>
      <c r="G2003" s="145"/>
      <c r="H2003" s="1"/>
      <c r="I2003" s="1"/>
      <c r="J2003" s="1"/>
      <c r="K2003" s="1"/>
      <c r="L2003" s="1"/>
      <c r="M2003" s="1"/>
      <c r="N2003" s="1"/>
      <c r="O2003" s="1"/>
      <c r="P2003" s="1"/>
      <c r="Q2003" s="3"/>
      <c r="R2003" s="4"/>
      <c r="S2003" s="4"/>
      <c r="T2003" s="1"/>
      <c r="U2003" s="6"/>
      <c r="V2003" s="1"/>
      <c r="W2003" s="1"/>
      <c r="X2003" s="1"/>
      <c r="Y2003" s="1"/>
      <c r="Z2003" s="1"/>
      <c r="AA2003" s="1"/>
      <c r="AB2003" s="1"/>
      <c r="AC2003" s="1"/>
    </row>
    <row r="2004" spans="1:29">
      <c r="A2004" s="1"/>
      <c r="B2004" s="1"/>
      <c r="C2004" s="73"/>
      <c r="D2004" s="1"/>
      <c r="E2004" s="1"/>
      <c r="F2004" s="1"/>
      <c r="G2004" s="145"/>
      <c r="H2004" s="1"/>
      <c r="I2004" s="1"/>
      <c r="J2004" s="1"/>
      <c r="K2004" s="1"/>
      <c r="L2004" s="1"/>
      <c r="M2004" s="1"/>
      <c r="N2004" s="1"/>
      <c r="O2004" s="1"/>
      <c r="P2004" s="1"/>
      <c r="Q2004" s="3"/>
      <c r="R2004" s="4"/>
      <c r="S2004" s="4"/>
      <c r="T2004" s="1"/>
      <c r="U2004" s="6"/>
      <c r="V2004" s="1"/>
      <c r="W2004" s="1"/>
      <c r="X2004" s="1"/>
      <c r="Y2004" s="1"/>
      <c r="Z2004" s="1"/>
      <c r="AA2004" s="1"/>
      <c r="AB2004" s="1"/>
      <c r="AC2004" s="1"/>
    </row>
    <row r="2005" spans="1:29">
      <c r="A2005" s="1"/>
      <c r="B2005" s="1"/>
      <c r="C2005" s="73"/>
      <c r="D2005" s="1"/>
      <c r="E2005" s="1"/>
      <c r="F2005" s="1"/>
      <c r="G2005" s="145"/>
      <c r="H2005" s="1"/>
      <c r="I2005" s="1"/>
      <c r="J2005" s="1"/>
      <c r="K2005" s="1"/>
      <c r="L2005" s="1"/>
      <c r="M2005" s="1"/>
      <c r="N2005" s="1"/>
      <c r="O2005" s="1"/>
      <c r="P2005" s="1"/>
      <c r="Q2005" s="3"/>
      <c r="R2005" s="4"/>
      <c r="S2005" s="4"/>
      <c r="T2005" s="1"/>
      <c r="U2005" s="6"/>
      <c r="V2005" s="1"/>
      <c r="W2005" s="1"/>
      <c r="X2005" s="1"/>
      <c r="Y2005" s="1"/>
      <c r="Z2005" s="1"/>
      <c r="AA2005" s="1"/>
      <c r="AB2005" s="1"/>
      <c r="AC2005" s="1"/>
    </row>
    <row r="2006" spans="1:29">
      <c r="A2006" s="1"/>
      <c r="B2006" s="1"/>
      <c r="C2006" s="73"/>
      <c r="D2006" s="1"/>
      <c r="E2006" s="1"/>
      <c r="F2006" s="1"/>
      <c r="G2006" s="145"/>
      <c r="H2006" s="1"/>
      <c r="I2006" s="1"/>
      <c r="J2006" s="1"/>
      <c r="K2006" s="1"/>
      <c r="L2006" s="1"/>
      <c r="M2006" s="1"/>
      <c r="N2006" s="1"/>
      <c r="O2006" s="1"/>
      <c r="P2006" s="1"/>
      <c r="Q2006" s="3"/>
      <c r="R2006" s="4"/>
      <c r="S2006" s="4"/>
      <c r="T2006" s="1"/>
      <c r="U2006" s="6"/>
      <c r="V2006" s="1"/>
      <c r="W2006" s="1"/>
      <c r="X2006" s="1"/>
      <c r="Y2006" s="1"/>
      <c r="Z2006" s="1"/>
      <c r="AA2006" s="1"/>
      <c r="AB2006" s="1"/>
      <c r="AC2006" s="1"/>
    </row>
    <row r="2007" spans="1:29">
      <c r="A2007" s="1"/>
      <c r="B2007" s="1"/>
      <c r="C2007" s="73"/>
      <c r="D2007" s="1"/>
      <c r="E2007" s="1"/>
      <c r="F2007" s="1"/>
      <c r="G2007" s="145"/>
      <c r="H2007" s="1"/>
      <c r="I2007" s="1"/>
      <c r="J2007" s="1"/>
      <c r="K2007" s="1"/>
      <c r="L2007" s="1"/>
      <c r="M2007" s="1"/>
      <c r="N2007" s="1"/>
      <c r="O2007" s="1"/>
      <c r="P2007" s="1"/>
      <c r="Q2007" s="3"/>
      <c r="R2007" s="4"/>
      <c r="S2007" s="4"/>
      <c r="T2007" s="1"/>
      <c r="U2007" s="6"/>
      <c r="V2007" s="1"/>
      <c r="W2007" s="1"/>
      <c r="X2007" s="1"/>
      <c r="Y2007" s="1"/>
      <c r="Z2007" s="1"/>
      <c r="AA2007" s="1"/>
      <c r="AB2007" s="1"/>
      <c r="AC2007" s="1"/>
    </row>
    <row r="2008" spans="1:29">
      <c r="A2008" s="1"/>
      <c r="B2008" s="1"/>
      <c r="C2008" s="73"/>
      <c r="D2008" s="1"/>
      <c r="E2008" s="1"/>
      <c r="F2008" s="1"/>
      <c r="G2008" s="145"/>
      <c r="H2008" s="1"/>
      <c r="I2008" s="1"/>
      <c r="J2008" s="1"/>
      <c r="K2008" s="1"/>
      <c r="L2008" s="1"/>
      <c r="M2008" s="1"/>
      <c r="N2008" s="1"/>
      <c r="O2008" s="1"/>
      <c r="P2008" s="1"/>
      <c r="Q2008" s="3"/>
      <c r="R2008" s="4"/>
      <c r="S2008" s="4"/>
      <c r="T2008" s="1"/>
      <c r="U2008" s="6"/>
      <c r="V2008" s="1"/>
      <c r="W2008" s="1"/>
      <c r="X2008" s="1"/>
      <c r="Y2008" s="1"/>
      <c r="Z2008" s="1"/>
      <c r="AA2008" s="1"/>
      <c r="AB2008" s="1"/>
      <c r="AC2008" s="1"/>
    </row>
    <row r="2009" spans="1:29">
      <c r="A2009" s="1"/>
      <c r="B2009" s="1"/>
      <c r="C2009" s="73"/>
      <c r="D2009" s="1"/>
      <c r="E2009" s="1"/>
      <c r="F2009" s="1"/>
      <c r="G2009" s="145"/>
      <c r="H2009" s="1"/>
      <c r="I2009" s="1"/>
      <c r="J2009" s="1"/>
      <c r="K2009" s="1"/>
      <c r="L2009" s="1"/>
      <c r="M2009" s="1"/>
      <c r="N2009" s="1"/>
      <c r="O2009" s="1"/>
      <c r="P2009" s="1"/>
      <c r="Q2009" s="3"/>
      <c r="R2009" s="4"/>
      <c r="S2009" s="4"/>
      <c r="T2009" s="1"/>
      <c r="U2009" s="6"/>
      <c r="V2009" s="1"/>
      <c r="W2009" s="1"/>
      <c r="X2009" s="1"/>
      <c r="Y2009" s="1"/>
      <c r="Z2009" s="1"/>
      <c r="AA2009" s="1"/>
      <c r="AB2009" s="1"/>
      <c r="AC2009" s="1"/>
    </row>
    <row r="2010" spans="1:29">
      <c r="A2010" s="1"/>
      <c r="B2010" s="1"/>
      <c r="C2010" s="73"/>
      <c r="D2010" s="1"/>
      <c r="E2010" s="1"/>
      <c r="F2010" s="1"/>
      <c r="G2010" s="145"/>
      <c r="H2010" s="1"/>
      <c r="I2010" s="1"/>
      <c r="J2010" s="1"/>
      <c r="K2010" s="1"/>
      <c r="L2010" s="1"/>
      <c r="M2010" s="1"/>
      <c r="N2010" s="1"/>
      <c r="O2010" s="1"/>
      <c r="P2010" s="1"/>
      <c r="Q2010" s="3"/>
      <c r="R2010" s="4"/>
      <c r="S2010" s="4"/>
      <c r="T2010" s="1"/>
      <c r="U2010" s="6"/>
      <c r="V2010" s="1"/>
      <c r="W2010" s="1"/>
      <c r="X2010" s="1"/>
      <c r="Y2010" s="1"/>
      <c r="Z2010" s="1"/>
      <c r="AA2010" s="1"/>
      <c r="AB2010" s="1"/>
      <c r="AC2010" s="1"/>
    </row>
    <row r="2011" spans="1:29">
      <c r="A2011" s="1"/>
      <c r="B2011" s="1"/>
      <c r="C2011" s="73"/>
      <c r="D2011" s="1"/>
      <c r="E2011" s="1"/>
      <c r="F2011" s="1"/>
      <c r="G2011" s="145"/>
      <c r="H2011" s="1"/>
      <c r="I2011" s="1"/>
      <c r="J2011" s="1"/>
      <c r="K2011" s="1"/>
      <c r="L2011" s="1"/>
      <c r="M2011" s="1"/>
      <c r="N2011" s="1"/>
      <c r="O2011" s="1"/>
      <c r="P2011" s="1"/>
      <c r="Q2011" s="3"/>
      <c r="R2011" s="4"/>
      <c r="S2011" s="4"/>
      <c r="T2011" s="1"/>
      <c r="U2011" s="6"/>
      <c r="V2011" s="1"/>
      <c r="W2011" s="1"/>
      <c r="X2011" s="1"/>
      <c r="Y2011" s="1"/>
      <c r="Z2011" s="1"/>
      <c r="AA2011" s="1"/>
      <c r="AB2011" s="1"/>
      <c r="AC2011" s="1"/>
    </row>
    <row r="2012" spans="1:29">
      <c r="A2012" s="1"/>
      <c r="B2012" s="1"/>
      <c r="C2012" s="73"/>
      <c r="D2012" s="1"/>
      <c r="E2012" s="1"/>
      <c r="F2012" s="1"/>
      <c r="G2012" s="145"/>
      <c r="H2012" s="1"/>
      <c r="I2012" s="1"/>
      <c r="J2012" s="1"/>
      <c r="K2012" s="1"/>
      <c r="L2012" s="1"/>
      <c r="M2012" s="1"/>
      <c r="N2012" s="1"/>
      <c r="O2012" s="1"/>
      <c r="P2012" s="1"/>
      <c r="Q2012" s="3"/>
      <c r="R2012" s="4"/>
      <c r="S2012" s="4"/>
      <c r="T2012" s="1"/>
      <c r="U2012" s="6"/>
      <c r="V2012" s="1"/>
      <c r="W2012" s="1"/>
      <c r="X2012" s="1"/>
      <c r="Y2012" s="1"/>
      <c r="Z2012" s="1"/>
      <c r="AA2012" s="1"/>
      <c r="AB2012" s="1"/>
      <c r="AC2012" s="1"/>
    </row>
    <row r="2013" spans="1:29">
      <c r="A2013" s="1"/>
      <c r="B2013" s="1"/>
      <c r="C2013" s="73"/>
      <c r="D2013" s="1"/>
      <c r="E2013" s="1"/>
      <c r="F2013" s="1"/>
      <c r="G2013" s="145"/>
      <c r="H2013" s="1"/>
      <c r="I2013" s="1"/>
      <c r="J2013" s="1"/>
      <c r="K2013" s="1"/>
      <c r="L2013" s="1"/>
      <c r="M2013" s="1"/>
      <c r="N2013" s="1"/>
      <c r="O2013" s="1"/>
      <c r="P2013" s="1"/>
      <c r="Q2013" s="3"/>
      <c r="R2013" s="4"/>
      <c r="S2013" s="4"/>
      <c r="T2013" s="1"/>
      <c r="U2013" s="6"/>
      <c r="V2013" s="1"/>
      <c r="W2013" s="1"/>
      <c r="X2013" s="1"/>
      <c r="Y2013" s="1"/>
      <c r="Z2013" s="1"/>
      <c r="AA2013" s="1"/>
      <c r="AB2013" s="1"/>
      <c r="AC2013" s="1"/>
    </row>
    <row r="2014" spans="1:29">
      <c r="A2014" s="1"/>
      <c r="B2014" s="1"/>
      <c r="C2014" s="73"/>
      <c r="D2014" s="1"/>
      <c r="E2014" s="1"/>
      <c r="F2014" s="1"/>
      <c r="G2014" s="145"/>
      <c r="H2014" s="1"/>
      <c r="I2014" s="1"/>
      <c r="J2014" s="1"/>
      <c r="K2014" s="1"/>
      <c r="L2014" s="1"/>
      <c r="M2014" s="1"/>
      <c r="N2014" s="1"/>
      <c r="O2014" s="1"/>
      <c r="P2014" s="1"/>
      <c r="Q2014" s="3"/>
      <c r="R2014" s="4"/>
      <c r="S2014" s="4"/>
      <c r="T2014" s="1"/>
      <c r="U2014" s="6"/>
      <c r="V2014" s="1"/>
      <c r="W2014" s="1"/>
      <c r="X2014" s="1"/>
      <c r="Y2014" s="1"/>
      <c r="Z2014" s="1"/>
      <c r="AA2014" s="1"/>
      <c r="AB2014" s="1"/>
      <c r="AC2014" s="1"/>
    </row>
    <row r="2015" spans="1:29">
      <c r="A2015" s="1"/>
      <c r="B2015" s="1"/>
      <c r="C2015" s="73"/>
      <c r="D2015" s="1"/>
      <c r="E2015" s="1"/>
      <c r="F2015" s="1"/>
      <c r="G2015" s="145"/>
      <c r="H2015" s="1"/>
      <c r="I2015" s="1"/>
      <c r="J2015" s="1"/>
      <c r="K2015" s="1"/>
      <c r="L2015" s="1"/>
      <c r="M2015" s="1"/>
      <c r="N2015" s="1"/>
      <c r="O2015" s="1"/>
      <c r="P2015" s="1"/>
      <c r="Q2015" s="3"/>
      <c r="R2015" s="4"/>
      <c r="S2015" s="4"/>
      <c r="T2015" s="1"/>
      <c r="U2015" s="6"/>
      <c r="V2015" s="1"/>
      <c r="W2015" s="1"/>
      <c r="X2015" s="1"/>
      <c r="Y2015" s="1"/>
      <c r="Z2015" s="1"/>
      <c r="AA2015" s="1"/>
      <c r="AB2015" s="1"/>
      <c r="AC2015" s="1"/>
    </row>
    <row r="2016" spans="1:29">
      <c r="A2016" s="1"/>
      <c r="B2016" s="1"/>
      <c r="C2016" s="73"/>
      <c r="D2016" s="1"/>
      <c r="E2016" s="1"/>
      <c r="F2016" s="1"/>
      <c r="G2016" s="145"/>
      <c r="H2016" s="1"/>
      <c r="I2016" s="1"/>
      <c r="J2016" s="1"/>
      <c r="K2016" s="1"/>
      <c r="L2016" s="1"/>
      <c r="M2016" s="1"/>
      <c r="N2016" s="1"/>
      <c r="O2016" s="1"/>
      <c r="P2016" s="1"/>
      <c r="Q2016" s="3"/>
      <c r="R2016" s="4"/>
      <c r="S2016" s="4"/>
      <c r="T2016" s="1"/>
      <c r="U2016" s="6"/>
      <c r="V2016" s="1"/>
      <c r="W2016" s="1"/>
      <c r="X2016" s="1"/>
      <c r="Y2016" s="1"/>
      <c r="Z2016" s="1"/>
      <c r="AA2016" s="1"/>
      <c r="AB2016" s="1"/>
      <c r="AC2016" s="1"/>
    </row>
    <row r="2017" spans="1:29">
      <c r="A2017" s="1"/>
      <c r="B2017" s="1"/>
      <c r="C2017" s="73"/>
      <c r="D2017" s="1"/>
      <c r="E2017" s="1"/>
      <c r="F2017" s="1"/>
      <c r="G2017" s="145"/>
      <c r="H2017" s="1"/>
      <c r="I2017" s="1"/>
      <c r="J2017" s="1"/>
      <c r="K2017" s="1"/>
      <c r="L2017" s="1"/>
      <c r="M2017" s="1"/>
      <c r="N2017" s="1"/>
      <c r="O2017" s="1"/>
      <c r="P2017" s="1"/>
      <c r="Q2017" s="3"/>
      <c r="R2017" s="4"/>
      <c r="S2017" s="4"/>
      <c r="T2017" s="1"/>
      <c r="U2017" s="6"/>
      <c r="V2017" s="1"/>
      <c r="W2017" s="1"/>
      <c r="X2017" s="1"/>
      <c r="Y2017" s="1"/>
      <c r="Z2017" s="1"/>
      <c r="AA2017" s="1"/>
      <c r="AB2017" s="1"/>
      <c r="AC2017" s="1"/>
    </row>
    <row r="2018" spans="1:29">
      <c r="A2018" s="1"/>
      <c r="B2018" s="1"/>
      <c r="C2018" s="73"/>
      <c r="D2018" s="1"/>
      <c r="E2018" s="1"/>
      <c r="F2018" s="1"/>
      <c r="G2018" s="145"/>
      <c r="H2018" s="1"/>
      <c r="I2018" s="1"/>
      <c r="J2018" s="1"/>
      <c r="K2018" s="1"/>
      <c r="L2018" s="1"/>
      <c r="M2018" s="1"/>
      <c r="N2018" s="1"/>
      <c r="O2018" s="1"/>
      <c r="P2018" s="1"/>
      <c r="Q2018" s="3"/>
      <c r="R2018" s="4"/>
      <c r="S2018" s="4"/>
      <c r="T2018" s="1"/>
      <c r="U2018" s="6"/>
      <c r="V2018" s="1"/>
      <c r="W2018" s="1"/>
      <c r="X2018" s="1"/>
      <c r="Y2018" s="1"/>
      <c r="Z2018" s="1"/>
      <c r="AA2018" s="1"/>
      <c r="AB2018" s="1"/>
      <c r="AC2018" s="1"/>
    </row>
    <row r="2019" spans="1:29">
      <c r="A2019" s="1"/>
      <c r="B2019" s="1"/>
      <c r="C2019" s="73"/>
      <c r="D2019" s="1"/>
      <c r="E2019" s="1"/>
      <c r="F2019" s="1"/>
      <c r="G2019" s="145"/>
      <c r="H2019" s="1"/>
      <c r="I2019" s="1"/>
      <c r="J2019" s="1"/>
      <c r="K2019" s="1"/>
      <c r="L2019" s="1"/>
      <c r="M2019" s="1"/>
      <c r="N2019" s="1"/>
      <c r="O2019" s="1"/>
      <c r="P2019" s="1"/>
      <c r="Q2019" s="3"/>
      <c r="R2019" s="4"/>
      <c r="S2019" s="4"/>
      <c r="T2019" s="1"/>
      <c r="U2019" s="6"/>
      <c r="V2019" s="1"/>
      <c r="W2019" s="1"/>
      <c r="X2019" s="1"/>
      <c r="Y2019" s="1"/>
      <c r="Z2019" s="1"/>
      <c r="AA2019" s="1"/>
      <c r="AB2019" s="1"/>
      <c r="AC2019" s="1"/>
    </row>
    <row r="2020" spans="1:29">
      <c r="A2020" s="1"/>
      <c r="B2020" s="1"/>
      <c r="C2020" s="73"/>
      <c r="D2020" s="1"/>
      <c r="E2020" s="1"/>
      <c r="F2020" s="1"/>
      <c r="G2020" s="145"/>
      <c r="H2020" s="1"/>
      <c r="I2020" s="1"/>
      <c r="J2020" s="1"/>
      <c r="K2020" s="1"/>
      <c r="L2020" s="1"/>
      <c r="M2020" s="1"/>
      <c r="N2020" s="1"/>
      <c r="O2020" s="1"/>
      <c r="P2020" s="1"/>
      <c r="Q2020" s="3"/>
      <c r="R2020" s="4"/>
      <c r="S2020" s="4"/>
      <c r="T2020" s="1"/>
      <c r="U2020" s="6"/>
      <c r="V2020" s="1"/>
      <c r="W2020" s="1"/>
      <c r="X2020" s="1"/>
      <c r="Y2020" s="1"/>
      <c r="Z2020" s="1"/>
      <c r="AA2020" s="1"/>
      <c r="AB2020" s="1"/>
      <c r="AC2020" s="1"/>
    </row>
    <row r="2021" spans="1:29">
      <c r="A2021" s="1"/>
      <c r="B2021" s="1"/>
      <c r="C2021" s="73"/>
      <c r="D2021" s="1"/>
      <c r="E2021" s="1"/>
      <c r="F2021" s="1"/>
      <c r="G2021" s="145"/>
      <c r="H2021" s="1"/>
      <c r="I2021" s="1"/>
      <c r="J2021" s="1"/>
      <c r="K2021" s="1"/>
      <c r="L2021" s="1"/>
      <c r="M2021" s="1"/>
      <c r="N2021" s="1"/>
      <c r="O2021" s="1"/>
      <c r="P2021" s="1"/>
      <c r="Q2021" s="3"/>
      <c r="R2021" s="4"/>
      <c r="S2021" s="4"/>
      <c r="T2021" s="1"/>
      <c r="U2021" s="6"/>
      <c r="V2021" s="1"/>
      <c r="W2021" s="1"/>
      <c r="X2021" s="1"/>
      <c r="Y2021" s="1"/>
      <c r="Z2021" s="1"/>
      <c r="AA2021" s="1"/>
      <c r="AB2021" s="1"/>
      <c r="AC2021" s="1"/>
    </row>
    <row r="2022" spans="1:29">
      <c r="A2022" s="1"/>
      <c r="B2022" s="1"/>
      <c r="C2022" s="73"/>
      <c r="D2022" s="1"/>
      <c r="E2022" s="1"/>
      <c r="F2022" s="1"/>
      <c r="G2022" s="145"/>
      <c r="H2022" s="1"/>
      <c r="I2022" s="1"/>
      <c r="J2022" s="1"/>
      <c r="K2022" s="1"/>
      <c r="L2022" s="1"/>
      <c r="M2022" s="1"/>
      <c r="N2022" s="1"/>
      <c r="O2022" s="1"/>
      <c r="P2022" s="1"/>
      <c r="Q2022" s="3"/>
      <c r="R2022" s="4"/>
      <c r="S2022" s="4"/>
      <c r="T2022" s="1"/>
      <c r="U2022" s="6"/>
      <c r="V2022" s="1"/>
      <c r="W2022" s="1"/>
      <c r="X2022" s="1"/>
      <c r="Y2022" s="1"/>
      <c r="Z2022" s="1"/>
      <c r="AA2022" s="1"/>
      <c r="AB2022" s="1"/>
      <c r="AC2022" s="1"/>
    </row>
    <row r="2023" spans="1:29">
      <c r="A2023" s="1"/>
      <c r="B2023" s="1"/>
      <c r="C2023" s="73"/>
      <c r="D2023" s="1"/>
      <c r="E2023" s="1"/>
      <c r="F2023" s="1"/>
      <c r="G2023" s="145"/>
      <c r="H2023" s="1"/>
      <c r="I2023" s="1"/>
      <c r="J2023" s="1"/>
      <c r="K2023" s="1"/>
      <c r="L2023" s="1"/>
      <c r="M2023" s="1"/>
      <c r="N2023" s="1"/>
      <c r="O2023" s="1"/>
      <c r="P2023" s="1"/>
      <c r="Q2023" s="3"/>
      <c r="R2023" s="4"/>
      <c r="S2023" s="4"/>
      <c r="T2023" s="1"/>
      <c r="U2023" s="6"/>
      <c r="V2023" s="1"/>
      <c r="W2023" s="1"/>
      <c r="X2023" s="1"/>
      <c r="Y2023" s="1"/>
      <c r="Z2023" s="1"/>
      <c r="AA2023" s="1"/>
      <c r="AB2023" s="1"/>
      <c r="AC2023" s="1"/>
    </row>
    <row r="2024" spans="1:29">
      <c r="A2024" s="1"/>
      <c r="B2024" s="1"/>
      <c r="C2024" s="73"/>
      <c r="D2024" s="1"/>
      <c r="E2024" s="1"/>
      <c r="F2024" s="1"/>
      <c r="G2024" s="145"/>
      <c r="H2024" s="1"/>
      <c r="I2024" s="1"/>
      <c r="J2024" s="1"/>
      <c r="K2024" s="1"/>
      <c r="L2024" s="1"/>
      <c r="M2024" s="1"/>
      <c r="N2024" s="1"/>
      <c r="O2024" s="1"/>
      <c r="P2024" s="1"/>
      <c r="Q2024" s="3"/>
      <c r="R2024" s="4"/>
      <c r="S2024" s="4"/>
      <c r="T2024" s="1"/>
      <c r="U2024" s="6"/>
      <c r="V2024" s="1"/>
      <c r="W2024" s="1"/>
      <c r="X2024" s="1"/>
      <c r="Y2024" s="1"/>
      <c r="Z2024" s="1"/>
      <c r="AA2024" s="1"/>
      <c r="AB2024" s="1"/>
      <c r="AC2024" s="1"/>
    </row>
    <row r="2025" spans="1:29">
      <c r="A2025" s="1"/>
      <c r="B2025" s="1"/>
      <c r="C2025" s="73"/>
      <c r="D2025" s="1"/>
      <c r="E2025" s="1"/>
      <c r="F2025" s="1"/>
      <c r="G2025" s="145"/>
      <c r="H2025" s="1"/>
      <c r="I2025" s="1"/>
      <c r="J2025" s="1"/>
      <c r="K2025" s="1"/>
      <c r="L2025" s="1"/>
      <c r="M2025" s="1"/>
      <c r="N2025" s="1"/>
      <c r="O2025" s="1"/>
      <c r="P2025" s="1"/>
      <c r="Q2025" s="3"/>
      <c r="R2025" s="4"/>
      <c r="S2025" s="4"/>
      <c r="T2025" s="1"/>
      <c r="U2025" s="6"/>
      <c r="V2025" s="1"/>
      <c r="W2025" s="1"/>
      <c r="X2025" s="1"/>
      <c r="Y2025" s="1"/>
      <c r="Z2025" s="1"/>
      <c r="AA2025" s="1"/>
      <c r="AB2025" s="1"/>
      <c r="AC2025" s="1"/>
    </row>
    <row r="2026" spans="1:29">
      <c r="A2026" s="1"/>
      <c r="B2026" s="1"/>
      <c r="C2026" s="73"/>
      <c r="D2026" s="1"/>
      <c r="E2026" s="1"/>
      <c r="F2026" s="1"/>
      <c r="G2026" s="145"/>
      <c r="H2026" s="1"/>
      <c r="I2026" s="1"/>
      <c r="J2026" s="1"/>
      <c r="K2026" s="1"/>
      <c r="L2026" s="1"/>
      <c r="M2026" s="1"/>
      <c r="N2026" s="1"/>
      <c r="O2026" s="1"/>
      <c r="P2026" s="1"/>
      <c r="Q2026" s="3"/>
      <c r="R2026" s="4"/>
      <c r="S2026" s="4"/>
      <c r="T2026" s="1"/>
      <c r="U2026" s="6"/>
      <c r="V2026" s="1"/>
      <c r="W2026" s="1"/>
      <c r="X2026" s="1"/>
      <c r="Y2026" s="1"/>
      <c r="Z2026" s="1"/>
      <c r="AA2026" s="1"/>
      <c r="AB2026" s="1"/>
      <c r="AC2026" s="1"/>
    </row>
    <row r="2027" spans="1:29">
      <c r="A2027" s="1"/>
      <c r="B2027" s="1"/>
      <c r="C2027" s="73"/>
      <c r="D2027" s="1"/>
      <c r="E2027" s="1"/>
      <c r="F2027" s="1"/>
      <c r="G2027" s="145"/>
      <c r="H2027" s="1"/>
      <c r="I2027" s="1"/>
      <c r="J2027" s="1"/>
      <c r="K2027" s="1"/>
      <c r="L2027" s="1"/>
      <c r="M2027" s="1"/>
      <c r="N2027" s="1"/>
      <c r="O2027" s="1"/>
      <c r="P2027" s="1"/>
      <c r="Q2027" s="3"/>
      <c r="R2027" s="4"/>
      <c r="S2027" s="4"/>
      <c r="T2027" s="1"/>
      <c r="U2027" s="6"/>
      <c r="V2027" s="1"/>
      <c r="W2027" s="1"/>
      <c r="X2027" s="1"/>
      <c r="Y2027" s="1"/>
      <c r="Z2027" s="1"/>
      <c r="AA2027" s="1"/>
      <c r="AB2027" s="1"/>
      <c r="AC2027" s="1"/>
    </row>
    <row r="2028" spans="1:29">
      <c r="A2028" s="1"/>
      <c r="B2028" s="1"/>
      <c r="C2028" s="73"/>
      <c r="D2028" s="1"/>
      <c r="E2028" s="1"/>
      <c r="F2028" s="1"/>
      <c r="G2028" s="145"/>
      <c r="H2028" s="1"/>
      <c r="I2028" s="1"/>
      <c r="J2028" s="1"/>
      <c r="K2028" s="1"/>
      <c r="L2028" s="1"/>
      <c r="M2028" s="1"/>
      <c r="N2028" s="1"/>
      <c r="O2028" s="1"/>
      <c r="P2028" s="1"/>
      <c r="Q2028" s="3"/>
      <c r="R2028" s="4"/>
      <c r="S2028" s="4"/>
      <c r="T2028" s="1"/>
      <c r="U2028" s="6"/>
      <c r="V2028" s="1"/>
      <c r="W2028" s="1"/>
      <c r="X2028" s="1"/>
      <c r="Y2028" s="1"/>
      <c r="Z2028" s="1"/>
      <c r="AA2028" s="1"/>
      <c r="AB2028" s="1"/>
      <c r="AC2028" s="1"/>
    </row>
    <row r="2029" spans="1:29">
      <c r="A2029" s="1"/>
      <c r="B2029" s="1"/>
      <c r="C2029" s="73"/>
      <c r="D2029" s="1"/>
      <c r="E2029" s="1"/>
      <c r="F2029" s="1"/>
      <c r="G2029" s="145"/>
      <c r="H2029" s="1"/>
      <c r="I2029" s="1"/>
      <c r="J2029" s="1"/>
      <c r="K2029" s="1"/>
      <c r="L2029" s="1"/>
      <c r="M2029" s="1"/>
      <c r="N2029" s="1"/>
      <c r="O2029" s="1"/>
      <c r="P2029" s="1"/>
      <c r="Q2029" s="3"/>
      <c r="R2029" s="4"/>
      <c r="S2029" s="4"/>
      <c r="T2029" s="1"/>
      <c r="U2029" s="6"/>
      <c r="V2029" s="1"/>
      <c r="W2029" s="1"/>
      <c r="X2029" s="1"/>
      <c r="Y2029" s="1"/>
      <c r="Z2029" s="1"/>
      <c r="AA2029" s="1"/>
      <c r="AB2029" s="1"/>
      <c r="AC2029" s="1"/>
    </row>
    <row r="2030" spans="1:29">
      <c r="A2030" s="1"/>
      <c r="B2030" s="1"/>
      <c r="C2030" s="73"/>
      <c r="D2030" s="1"/>
      <c r="E2030" s="1"/>
      <c r="F2030" s="1"/>
      <c r="G2030" s="145"/>
      <c r="H2030" s="1"/>
      <c r="I2030" s="1"/>
      <c r="J2030" s="1"/>
      <c r="K2030" s="1"/>
      <c r="L2030" s="1"/>
      <c r="M2030" s="1"/>
      <c r="N2030" s="1"/>
      <c r="O2030" s="1"/>
      <c r="P2030" s="1"/>
      <c r="Q2030" s="3"/>
      <c r="R2030" s="4"/>
      <c r="S2030" s="4"/>
      <c r="T2030" s="1"/>
      <c r="U2030" s="6"/>
      <c r="V2030" s="1"/>
      <c r="W2030" s="1"/>
      <c r="X2030" s="1"/>
      <c r="Y2030" s="1"/>
      <c r="Z2030" s="1"/>
      <c r="AA2030" s="1"/>
      <c r="AB2030" s="1"/>
      <c r="AC2030" s="1"/>
    </row>
    <row r="2031" spans="1:29">
      <c r="A2031" s="1"/>
      <c r="B2031" s="1"/>
      <c r="C2031" s="73"/>
      <c r="D2031" s="1"/>
      <c r="E2031" s="1"/>
      <c r="F2031" s="1"/>
      <c r="G2031" s="145"/>
      <c r="H2031" s="1"/>
      <c r="I2031" s="1"/>
      <c r="J2031" s="1"/>
      <c r="K2031" s="1"/>
      <c r="L2031" s="1"/>
      <c r="M2031" s="1"/>
      <c r="N2031" s="1"/>
      <c r="O2031" s="1"/>
      <c r="P2031" s="1"/>
      <c r="Q2031" s="3"/>
      <c r="R2031" s="4"/>
      <c r="S2031" s="4"/>
      <c r="T2031" s="1"/>
      <c r="U2031" s="6"/>
      <c r="V2031" s="1"/>
      <c r="W2031" s="1"/>
      <c r="X2031" s="1"/>
      <c r="Y2031" s="1"/>
      <c r="Z2031" s="1"/>
      <c r="AA2031" s="1"/>
      <c r="AB2031" s="1"/>
      <c r="AC2031" s="1"/>
    </row>
    <row r="2032" spans="1:29">
      <c r="A2032" s="1"/>
      <c r="B2032" s="1"/>
      <c r="C2032" s="73"/>
      <c r="D2032" s="1"/>
      <c r="E2032" s="1"/>
      <c r="F2032" s="1"/>
      <c r="G2032" s="145"/>
      <c r="H2032" s="1"/>
      <c r="I2032" s="1"/>
      <c r="J2032" s="1"/>
      <c r="K2032" s="1"/>
      <c r="L2032" s="1"/>
      <c r="M2032" s="1"/>
      <c r="N2032" s="1"/>
      <c r="O2032" s="1"/>
      <c r="P2032" s="1"/>
      <c r="Q2032" s="3"/>
      <c r="R2032" s="4"/>
      <c r="S2032" s="4"/>
      <c r="T2032" s="1"/>
      <c r="U2032" s="6"/>
      <c r="V2032" s="1"/>
      <c r="W2032" s="1"/>
      <c r="X2032" s="1"/>
      <c r="Y2032" s="1"/>
      <c r="Z2032" s="1"/>
      <c r="AA2032" s="1"/>
      <c r="AB2032" s="1"/>
      <c r="AC2032" s="1"/>
    </row>
    <row r="2033" spans="1:29">
      <c r="A2033" s="1"/>
      <c r="B2033" s="1"/>
      <c r="C2033" s="73"/>
      <c r="D2033" s="1"/>
      <c r="E2033" s="1"/>
      <c r="F2033" s="1"/>
      <c r="G2033" s="145"/>
      <c r="H2033" s="1"/>
      <c r="I2033" s="1"/>
      <c r="J2033" s="1"/>
      <c r="K2033" s="1"/>
      <c r="L2033" s="1"/>
      <c r="M2033" s="1"/>
      <c r="N2033" s="1"/>
      <c r="O2033" s="1"/>
      <c r="P2033" s="1"/>
      <c r="Q2033" s="3"/>
      <c r="R2033" s="4"/>
      <c r="S2033" s="4"/>
      <c r="T2033" s="1"/>
      <c r="U2033" s="6"/>
      <c r="V2033" s="1"/>
      <c r="W2033" s="1"/>
      <c r="X2033" s="1"/>
      <c r="Y2033" s="1"/>
      <c r="Z2033" s="1"/>
      <c r="AA2033" s="1"/>
      <c r="AB2033" s="1"/>
      <c r="AC2033" s="1"/>
    </row>
    <row r="2034" spans="1:29">
      <c r="A2034" s="1"/>
      <c r="B2034" s="1"/>
      <c r="C2034" s="73"/>
      <c r="D2034" s="1"/>
      <c r="E2034" s="1"/>
      <c r="F2034" s="1"/>
      <c r="G2034" s="145"/>
      <c r="H2034" s="1"/>
      <c r="I2034" s="1"/>
      <c r="J2034" s="1"/>
      <c r="K2034" s="1"/>
      <c r="L2034" s="1"/>
      <c r="M2034" s="1"/>
      <c r="N2034" s="1"/>
      <c r="O2034" s="1"/>
      <c r="P2034" s="1"/>
      <c r="Q2034" s="3"/>
      <c r="R2034" s="4"/>
      <c r="S2034" s="4"/>
      <c r="T2034" s="1"/>
      <c r="U2034" s="6"/>
      <c r="V2034" s="1"/>
      <c r="W2034" s="1"/>
      <c r="X2034" s="1"/>
      <c r="Y2034" s="1"/>
      <c r="Z2034" s="1"/>
      <c r="AA2034" s="1"/>
      <c r="AB2034" s="1"/>
      <c r="AC2034" s="1"/>
    </row>
    <row r="2035" spans="1:29">
      <c r="A2035" s="1"/>
      <c r="B2035" s="1"/>
      <c r="C2035" s="73"/>
      <c r="D2035" s="1"/>
      <c r="E2035" s="1"/>
      <c r="F2035" s="1"/>
      <c r="G2035" s="145"/>
      <c r="H2035" s="1"/>
      <c r="I2035" s="1"/>
      <c r="J2035" s="1"/>
      <c r="K2035" s="1"/>
      <c r="L2035" s="1"/>
      <c r="M2035" s="1"/>
      <c r="N2035" s="1"/>
      <c r="O2035" s="1"/>
      <c r="P2035" s="1"/>
      <c r="Q2035" s="3"/>
      <c r="R2035" s="4"/>
      <c r="S2035" s="4"/>
      <c r="T2035" s="1"/>
      <c r="U2035" s="6"/>
      <c r="V2035" s="1"/>
      <c r="W2035" s="1"/>
      <c r="X2035" s="1"/>
      <c r="Y2035" s="1"/>
      <c r="Z2035" s="1"/>
      <c r="AA2035" s="1"/>
      <c r="AB2035" s="1"/>
      <c r="AC2035" s="1"/>
    </row>
    <row r="2036" spans="1:29">
      <c r="A2036" s="1"/>
      <c r="B2036" s="1"/>
      <c r="C2036" s="73"/>
      <c r="D2036" s="1"/>
      <c r="E2036" s="1"/>
      <c r="F2036" s="1"/>
      <c r="G2036" s="145"/>
      <c r="H2036" s="1"/>
      <c r="I2036" s="1"/>
      <c r="J2036" s="1"/>
      <c r="K2036" s="1"/>
      <c r="L2036" s="1"/>
      <c r="M2036" s="1"/>
      <c r="N2036" s="1"/>
      <c r="O2036" s="1"/>
      <c r="P2036" s="1"/>
      <c r="Q2036" s="3"/>
      <c r="R2036" s="4"/>
      <c r="S2036" s="4"/>
      <c r="T2036" s="1"/>
      <c r="U2036" s="6"/>
      <c r="V2036" s="1"/>
      <c r="W2036" s="1"/>
      <c r="X2036" s="1"/>
      <c r="Y2036" s="1"/>
      <c r="Z2036" s="1"/>
      <c r="AA2036" s="1"/>
      <c r="AB2036" s="1"/>
      <c r="AC2036" s="1"/>
    </row>
    <row r="2037" spans="1:29">
      <c r="A2037" s="1"/>
      <c r="B2037" s="1"/>
      <c r="C2037" s="73"/>
      <c r="D2037" s="1"/>
      <c r="E2037" s="1"/>
      <c r="F2037" s="1"/>
      <c r="G2037" s="145"/>
      <c r="H2037" s="1"/>
      <c r="I2037" s="1"/>
      <c r="J2037" s="1"/>
      <c r="K2037" s="1"/>
      <c r="L2037" s="1"/>
      <c r="M2037" s="1"/>
      <c r="N2037" s="1"/>
      <c r="O2037" s="1"/>
      <c r="P2037" s="1"/>
      <c r="Q2037" s="3"/>
      <c r="R2037" s="4"/>
      <c r="S2037" s="4"/>
      <c r="T2037" s="1"/>
      <c r="U2037" s="6"/>
      <c r="V2037" s="1"/>
      <c r="W2037" s="1"/>
      <c r="X2037" s="1"/>
      <c r="Y2037" s="1"/>
      <c r="Z2037" s="1"/>
      <c r="AA2037" s="1"/>
      <c r="AB2037" s="1"/>
      <c r="AC2037" s="1"/>
    </row>
    <row r="2038" spans="1:29">
      <c r="A2038" s="1"/>
      <c r="B2038" s="1"/>
      <c r="C2038" s="73"/>
      <c r="D2038" s="1"/>
      <c r="E2038" s="1"/>
      <c r="F2038" s="1"/>
      <c r="G2038" s="145"/>
      <c r="H2038" s="1"/>
      <c r="I2038" s="1"/>
      <c r="J2038" s="1"/>
      <c r="K2038" s="1"/>
      <c r="L2038" s="1"/>
      <c r="M2038" s="1"/>
      <c r="N2038" s="1"/>
      <c r="O2038" s="1"/>
      <c r="P2038" s="1"/>
      <c r="Q2038" s="3"/>
      <c r="R2038" s="4"/>
      <c r="S2038" s="4"/>
      <c r="T2038" s="1"/>
      <c r="U2038" s="6"/>
      <c r="V2038" s="1"/>
      <c r="W2038" s="1"/>
      <c r="X2038" s="1"/>
      <c r="Y2038" s="1"/>
      <c r="Z2038" s="1"/>
      <c r="AA2038" s="1"/>
      <c r="AB2038" s="1"/>
      <c r="AC2038" s="1"/>
    </row>
    <row r="2039" spans="1:29">
      <c r="A2039" s="1"/>
      <c r="B2039" s="1"/>
      <c r="C2039" s="73"/>
      <c r="D2039" s="1"/>
      <c r="E2039" s="1"/>
      <c r="F2039" s="1"/>
      <c r="G2039" s="145"/>
      <c r="H2039" s="1"/>
      <c r="I2039" s="1"/>
      <c r="J2039" s="1"/>
      <c r="K2039" s="1"/>
      <c r="L2039" s="1"/>
      <c r="M2039" s="1"/>
      <c r="N2039" s="1"/>
      <c r="O2039" s="1"/>
      <c r="P2039" s="1"/>
      <c r="Q2039" s="3"/>
      <c r="R2039" s="4"/>
      <c r="S2039" s="4"/>
      <c r="T2039" s="1"/>
      <c r="U2039" s="6"/>
      <c r="V2039" s="1"/>
      <c r="W2039" s="1"/>
      <c r="X2039" s="1"/>
      <c r="Y2039" s="1"/>
      <c r="Z2039" s="1"/>
      <c r="AA2039" s="1"/>
      <c r="AB2039" s="1"/>
      <c r="AC2039" s="1"/>
    </row>
    <row r="2040" spans="1:29">
      <c r="A2040" s="1"/>
      <c r="B2040" s="1"/>
      <c r="C2040" s="73"/>
      <c r="D2040" s="1"/>
      <c r="E2040" s="1"/>
      <c r="F2040" s="1"/>
      <c r="G2040" s="145"/>
      <c r="H2040" s="1"/>
      <c r="I2040" s="1"/>
      <c r="J2040" s="1"/>
      <c r="K2040" s="1"/>
      <c r="L2040" s="1"/>
      <c r="M2040" s="1"/>
      <c r="N2040" s="1"/>
      <c r="O2040" s="1"/>
      <c r="P2040" s="1"/>
      <c r="Q2040" s="3"/>
      <c r="R2040" s="4"/>
      <c r="S2040" s="4"/>
      <c r="T2040" s="1"/>
      <c r="U2040" s="6"/>
      <c r="V2040" s="1"/>
      <c r="W2040" s="1"/>
      <c r="X2040" s="1"/>
      <c r="Y2040" s="1"/>
      <c r="Z2040" s="1"/>
      <c r="AA2040" s="1"/>
      <c r="AB2040" s="1"/>
      <c r="AC2040" s="1"/>
    </row>
    <row r="2041" spans="1:29">
      <c r="A2041" s="1"/>
      <c r="B2041" s="1"/>
      <c r="C2041" s="73"/>
      <c r="D2041" s="1"/>
      <c r="E2041" s="1"/>
      <c r="F2041" s="1"/>
      <c r="G2041" s="145"/>
      <c r="H2041" s="1"/>
      <c r="I2041" s="1"/>
      <c r="J2041" s="1"/>
      <c r="K2041" s="1"/>
      <c r="L2041" s="1"/>
      <c r="M2041" s="1"/>
      <c r="N2041" s="1"/>
      <c r="O2041" s="1"/>
      <c r="P2041" s="1"/>
      <c r="Q2041" s="3"/>
      <c r="R2041" s="4"/>
      <c r="S2041" s="4"/>
      <c r="T2041" s="1"/>
      <c r="U2041" s="6"/>
      <c r="V2041" s="1"/>
      <c r="W2041" s="1"/>
      <c r="X2041" s="1"/>
      <c r="Y2041" s="1"/>
      <c r="Z2041" s="1"/>
      <c r="AA2041" s="1"/>
      <c r="AB2041" s="1"/>
      <c r="AC2041" s="1"/>
    </row>
    <row r="2042" spans="1:29">
      <c r="A2042" s="1"/>
      <c r="B2042" s="1"/>
      <c r="C2042" s="73"/>
      <c r="D2042" s="1"/>
      <c r="E2042" s="1"/>
      <c r="F2042" s="1"/>
      <c r="G2042" s="145"/>
      <c r="H2042" s="1"/>
      <c r="I2042" s="1"/>
      <c r="J2042" s="1"/>
      <c r="K2042" s="1"/>
      <c r="L2042" s="1"/>
      <c r="M2042" s="1"/>
      <c r="N2042" s="1"/>
      <c r="O2042" s="1"/>
      <c r="P2042" s="1"/>
      <c r="Q2042" s="3"/>
      <c r="R2042" s="4"/>
      <c r="S2042" s="4"/>
      <c r="T2042" s="1"/>
      <c r="U2042" s="6"/>
      <c r="V2042" s="1"/>
      <c r="W2042" s="1"/>
      <c r="X2042" s="1"/>
      <c r="Y2042" s="1"/>
      <c r="Z2042" s="1"/>
      <c r="AA2042" s="1"/>
      <c r="AB2042" s="1"/>
      <c r="AC2042" s="1"/>
    </row>
    <row r="2043" spans="1:29">
      <c r="A2043" s="1"/>
      <c r="B2043" s="1"/>
      <c r="C2043" s="73"/>
      <c r="D2043" s="1"/>
      <c r="E2043" s="1"/>
      <c r="F2043" s="1"/>
      <c r="G2043" s="145"/>
      <c r="H2043" s="1"/>
      <c r="I2043" s="1"/>
      <c r="J2043" s="1"/>
      <c r="K2043" s="1"/>
      <c r="L2043" s="1"/>
      <c r="M2043" s="1"/>
      <c r="N2043" s="1"/>
      <c r="O2043" s="1"/>
      <c r="P2043" s="1"/>
      <c r="Q2043" s="3"/>
      <c r="R2043" s="4"/>
      <c r="S2043" s="4"/>
      <c r="T2043" s="1"/>
      <c r="U2043" s="6"/>
      <c r="V2043" s="1"/>
      <c r="W2043" s="1"/>
      <c r="X2043" s="1"/>
      <c r="Y2043" s="1"/>
      <c r="Z2043" s="1"/>
      <c r="AA2043" s="1"/>
      <c r="AB2043" s="1"/>
      <c r="AC2043" s="1"/>
    </row>
    <row r="2044" spans="1:29">
      <c r="A2044" s="1"/>
      <c r="B2044" s="1"/>
      <c r="C2044" s="73"/>
      <c r="D2044" s="1"/>
      <c r="E2044" s="1"/>
      <c r="F2044" s="1"/>
      <c r="G2044" s="145"/>
      <c r="H2044" s="1"/>
      <c r="I2044" s="1"/>
      <c r="J2044" s="1"/>
      <c r="K2044" s="1"/>
      <c r="L2044" s="1"/>
      <c r="M2044" s="1"/>
      <c r="N2044" s="1"/>
      <c r="O2044" s="1"/>
      <c r="P2044" s="1"/>
      <c r="Q2044" s="3"/>
      <c r="R2044" s="4"/>
      <c r="S2044" s="4"/>
      <c r="T2044" s="1"/>
      <c r="U2044" s="6"/>
      <c r="V2044" s="1"/>
      <c r="W2044" s="1"/>
      <c r="X2044" s="1"/>
      <c r="Y2044" s="1"/>
      <c r="Z2044" s="1"/>
      <c r="AA2044" s="1"/>
      <c r="AB2044" s="1"/>
      <c r="AC2044" s="1"/>
    </row>
    <row r="2045" spans="1:29">
      <c r="A2045" s="1"/>
      <c r="B2045" s="1"/>
      <c r="C2045" s="73"/>
      <c r="D2045" s="1"/>
      <c r="E2045" s="1"/>
      <c r="F2045" s="1"/>
      <c r="G2045" s="145"/>
      <c r="H2045" s="1"/>
      <c r="I2045" s="1"/>
      <c r="J2045" s="1"/>
      <c r="K2045" s="1"/>
      <c r="L2045" s="1"/>
      <c r="M2045" s="1"/>
      <c r="N2045" s="1"/>
      <c r="O2045" s="1"/>
      <c r="P2045" s="1"/>
      <c r="Q2045" s="3"/>
      <c r="R2045" s="4"/>
      <c r="S2045" s="4"/>
      <c r="T2045" s="1"/>
      <c r="U2045" s="6"/>
      <c r="V2045" s="1"/>
      <c r="W2045" s="1"/>
      <c r="X2045" s="1"/>
      <c r="Y2045" s="1"/>
      <c r="Z2045" s="1"/>
      <c r="AA2045" s="1"/>
      <c r="AB2045" s="1"/>
      <c r="AC2045" s="1"/>
    </row>
    <row r="2046" spans="1:29">
      <c r="A2046" s="1"/>
      <c r="B2046" s="1"/>
      <c r="C2046" s="73"/>
      <c r="D2046" s="1"/>
      <c r="E2046" s="1"/>
      <c r="F2046" s="1"/>
      <c r="G2046" s="145"/>
      <c r="H2046" s="1"/>
      <c r="I2046" s="1"/>
      <c r="J2046" s="1"/>
      <c r="K2046" s="1"/>
      <c r="L2046" s="1"/>
      <c r="M2046" s="1"/>
      <c r="N2046" s="1"/>
      <c r="O2046" s="1"/>
      <c r="P2046" s="1"/>
      <c r="Q2046" s="3"/>
      <c r="R2046" s="4"/>
      <c r="S2046" s="4"/>
      <c r="T2046" s="1"/>
      <c r="U2046" s="6"/>
      <c r="V2046" s="1"/>
      <c r="W2046" s="1"/>
      <c r="X2046" s="1"/>
      <c r="Y2046" s="1"/>
      <c r="Z2046" s="1"/>
      <c r="AA2046" s="1"/>
      <c r="AB2046" s="1"/>
      <c r="AC2046" s="1"/>
    </row>
    <row r="2047" spans="1:29">
      <c r="A2047" s="1"/>
      <c r="B2047" s="1"/>
      <c r="C2047" s="73"/>
      <c r="D2047" s="1"/>
      <c r="E2047" s="1"/>
      <c r="F2047" s="1"/>
      <c r="G2047" s="145"/>
      <c r="H2047" s="1"/>
      <c r="I2047" s="1"/>
      <c r="J2047" s="1"/>
      <c r="K2047" s="1"/>
      <c r="L2047" s="1"/>
      <c r="M2047" s="1"/>
      <c r="N2047" s="1"/>
      <c r="O2047" s="1"/>
      <c r="P2047" s="1"/>
      <c r="Q2047" s="3"/>
      <c r="R2047" s="4"/>
      <c r="S2047" s="4"/>
      <c r="T2047" s="1"/>
      <c r="U2047" s="6"/>
      <c r="V2047" s="1"/>
      <c r="W2047" s="1"/>
      <c r="X2047" s="1"/>
      <c r="Y2047" s="1"/>
      <c r="Z2047" s="1"/>
      <c r="AA2047" s="1"/>
      <c r="AB2047" s="1"/>
      <c r="AC2047" s="1"/>
    </row>
    <row r="2048" spans="1:29">
      <c r="A2048" s="1"/>
      <c r="B2048" s="1"/>
      <c r="C2048" s="73"/>
      <c r="D2048" s="1"/>
      <c r="E2048" s="1"/>
      <c r="F2048" s="1"/>
      <c r="G2048" s="145"/>
      <c r="H2048" s="1"/>
      <c r="I2048" s="1"/>
      <c r="J2048" s="1"/>
      <c r="K2048" s="1"/>
      <c r="L2048" s="1"/>
      <c r="M2048" s="1"/>
      <c r="N2048" s="1"/>
      <c r="O2048" s="1"/>
      <c r="P2048" s="1"/>
      <c r="Q2048" s="3"/>
      <c r="R2048" s="4"/>
      <c r="S2048" s="4"/>
      <c r="T2048" s="1"/>
      <c r="U2048" s="6"/>
      <c r="V2048" s="1"/>
      <c r="W2048" s="1"/>
      <c r="X2048" s="1"/>
      <c r="Y2048" s="1"/>
      <c r="Z2048" s="1"/>
      <c r="AA2048" s="1"/>
      <c r="AB2048" s="1"/>
      <c r="AC2048" s="1"/>
    </row>
    <row r="2049" spans="1:29">
      <c r="A2049" s="1"/>
      <c r="B2049" s="1"/>
      <c r="C2049" s="73"/>
      <c r="D2049" s="1"/>
      <c r="E2049" s="1"/>
      <c r="F2049" s="1"/>
      <c r="G2049" s="145"/>
      <c r="H2049" s="1"/>
      <c r="I2049" s="1"/>
      <c r="J2049" s="1"/>
      <c r="K2049" s="1"/>
      <c r="L2049" s="1"/>
      <c r="M2049" s="1"/>
      <c r="N2049" s="1"/>
      <c r="O2049" s="1"/>
      <c r="P2049" s="1"/>
      <c r="Q2049" s="3"/>
      <c r="R2049" s="4"/>
      <c r="S2049" s="4"/>
      <c r="T2049" s="1"/>
      <c r="U2049" s="6"/>
      <c r="V2049" s="1"/>
      <c r="W2049" s="1"/>
      <c r="X2049" s="1"/>
      <c r="Y2049" s="1"/>
      <c r="Z2049" s="1"/>
      <c r="AA2049" s="1"/>
      <c r="AB2049" s="1"/>
      <c r="AC2049" s="1"/>
    </row>
    <row r="2050" spans="1:29">
      <c r="A2050" s="1"/>
      <c r="B2050" s="1"/>
      <c r="C2050" s="73"/>
      <c r="D2050" s="1"/>
      <c r="E2050" s="1"/>
      <c r="F2050" s="1"/>
      <c r="G2050" s="145"/>
      <c r="H2050" s="1"/>
      <c r="I2050" s="1"/>
      <c r="J2050" s="1"/>
      <c r="K2050" s="1"/>
      <c r="L2050" s="1"/>
      <c r="M2050" s="1"/>
      <c r="N2050" s="1"/>
      <c r="O2050" s="1"/>
      <c r="P2050" s="1"/>
      <c r="Q2050" s="3"/>
      <c r="R2050" s="4"/>
      <c r="S2050" s="4"/>
      <c r="T2050" s="1"/>
      <c r="U2050" s="6"/>
      <c r="V2050" s="1"/>
      <c r="W2050" s="1"/>
      <c r="X2050" s="1"/>
      <c r="Y2050" s="1"/>
      <c r="Z2050" s="1"/>
      <c r="AA2050" s="1"/>
      <c r="AB2050" s="1"/>
      <c r="AC2050" s="1"/>
    </row>
    <row r="2051" spans="1:29">
      <c r="A2051" s="1"/>
      <c r="B2051" s="1"/>
      <c r="C2051" s="73"/>
      <c r="D2051" s="1"/>
      <c r="E2051" s="1"/>
      <c r="F2051" s="1"/>
      <c r="G2051" s="145"/>
      <c r="H2051" s="1"/>
      <c r="I2051" s="1"/>
      <c r="J2051" s="1"/>
      <c r="K2051" s="1"/>
      <c r="L2051" s="1"/>
      <c r="M2051" s="1"/>
      <c r="N2051" s="1"/>
      <c r="O2051" s="1"/>
      <c r="P2051" s="1"/>
      <c r="Q2051" s="3"/>
      <c r="R2051" s="4"/>
      <c r="S2051" s="4"/>
      <c r="T2051" s="1"/>
      <c r="U2051" s="6"/>
      <c r="V2051" s="1"/>
      <c r="W2051" s="1"/>
      <c r="X2051" s="1"/>
      <c r="Y2051" s="1"/>
      <c r="Z2051" s="1"/>
      <c r="AA2051" s="1"/>
      <c r="AB2051" s="1"/>
      <c r="AC2051" s="1"/>
    </row>
    <row r="2052" spans="1:29">
      <c r="A2052" s="1"/>
      <c r="B2052" s="1"/>
      <c r="C2052" s="73"/>
      <c r="D2052" s="1"/>
      <c r="E2052" s="1"/>
      <c r="F2052" s="1"/>
      <c r="G2052" s="145"/>
      <c r="H2052" s="1"/>
      <c r="I2052" s="1"/>
      <c r="J2052" s="1"/>
      <c r="K2052" s="1"/>
      <c r="L2052" s="1"/>
      <c r="M2052" s="1"/>
      <c r="N2052" s="1"/>
      <c r="O2052" s="1"/>
      <c r="P2052" s="1"/>
      <c r="Q2052" s="3"/>
      <c r="R2052" s="4"/>
      <c r="S2052" s="4"/>
      <c r="T2052" s="1"/>
      <c r="U2052" s="6"/>
      <c r="V2052" s="1"/>
      <c r="W2052" s="1"/>
      <c r="X2052" s="1"/>
      <c r="Y2052" s="1"/>
      <c r="Z2052" s="1"/>
      <c r="AA2052" s="1"/>
      <c r="AB2052" s="1"/>
      <c r="AC2052" s="1"/>
    </row>
    <row r="2053" spans="1:29">
      <c r="A2053" s="1"/>
      <c r="B2053" s="1"/>
      <c r="C2053" s="73"/>
      <c r="D2053" s="1"/>
      <c r="E2053" s="1"/>
      <c r="F2053" s="1"/>
      <c r="G2053" s="145"/>
      <c r="H2053" s="1"/>
      <c r="I2053" s="1"/>
      <c r="J2053" s="1"/>
      <c r="K2053" s="1"/>
      <c r="L2053" s="1"/>
      <c r="M2053" s="1"/>
      <c r="N2053" s="1"/>
      <c r="O2053" s="1"/>
      <c r="P2053" s="1"/>
      <c r="Q2053" s="3"/>
      <c r="R2053" s="4"/>
      <c r="S2053" s="4"/>
      <c r="T2053" s="1"/>
      <c r="U2053" s="6"/>
      <c r="V2053" s="1"/>
      <c r="W2053" s="1"/>
      <c r="X2053" s="1"/>
      <c r="Y2053" s="1"/>
      <c r="Z2053" s="1"/>
      <c r="AA2053" s="1"/>
      <c r="AB2053" s="1"/>
      <c r="AC2053" s="1"/>
    </row>
    <row r="2054" spans="1:29">
      <c r="A2054" s="1"/>
      <c r="B2054" s="1"/>
      <c r="C2054" s="73"/>
      <c r="D2054" s="1"/>
      <c r="E2054" s="1"/>
      <c r="F2054" s="1"/>
      <c r="G2054" s="145"/>
      <c r="H2054" s="1"/>
      <c r="I2054" s="1"/>
      <c r="J2054" s="1"/>
      <c r="K2054" s="1"/>
      <c r="L2054" s="1"/>
      <c r="M2054" s="1"/>
      <c r="N2054" s="1"/>
      <c r="O2054" s="1"/>
      <c r="P2054" s="1"/>
      <c r="Q2054" s="3"/>
      <c r="R2054" s="4"/>
      <c r="S2054" s="4"/>
      <c r="T2054" s="1"/>
      <c r="U2054" s="6"/>
      <c r="V2054" s="1"/>
      <c r="W2054" s="1"/>
      <c r="X2054" s="1"/>
      <c r="Y2054" s="1"/>
      <c r="Z2054" s="1"/>
      <c r="AA2054" s="1"/>
      <c r="AB2054" s="1"/>
      <c r="AC2054" s="1"/>
    </row>
    <row r="2055" spans="1:29">
      <c r="A2055" s="1"/>
      <c r="B2055" s="1"/>
      <c r="C2055" s="73"/>
      <c r="D2055" s="1"/>
      <c r="E2055" s="1"/>
      <c r="F2055" s="1"/>
      <c r="G2055" s="145"/>
      <c r="H2055" s="1"/>
      <c r="I2055" s="1"/>
      <c r="J2055" s="1"/>
      <c r="K2055" s="1"/>
      <c r="L2055" s="1"/>
      <c r="M2055" s="1"/>
      <c r="N2055" s="1"/>
      <c r="O2055" s="1"/>
      <c r="P2055" s="1"/>
      <c r="Q2055" s="3"/>
      <c r="R2055" s="4"/>
      <c r="S2055" s="4"/>
      <c r="T2055" s="1"/>
      <c r="U2055" s="6"/>
      <c r="V2055" s="1"/>
      <c r="W2055" s="1"/>
      <c r="X2055" s="1"/>
      <c r="Y2055" s="1"/>
      <c r="Z2055" s="1"/>
      <c r="AA2055" s="1"/>
      <c r="AB2055" s="1"/>
      <c r="AC2055" s="1"/>
    </row>
    <row r="2056" spans="1:29">
      <c r="A2056" s="1"/>
      <c r="B2056" s="1"/>
      <c r="C2056" s="73"/>
      <c r="D2056" s="1"/>
      <c r="E2056" s="1"/>
      <c r="F2056" s="1"/>
      <c r="G2056" s="145"/>
      <c r="H2056" s="1"/>
      <c r="I2056" s="1"/>
      <c r="J2056" s="1"/>
      <c r="K2056" s="1"/>
      <c r="L2056" s="1"/>
      <c r="M2056" s="1"/>
      <c r="N2056" s="1"/>
      <c r="O2056" s="1"/>
      <c r="P2056" s="1"/>
      <c r="Q2056" s="3"/>
      <c r="R2056" s="4"/>
      <c r="S2056" s="4"/>
      <c r="T2056" s="1"/>
      <c r="U2056" s="6"/>
      <c r="V2056" s="1"/>
      <c r="W2056" s="1"/>
      <c r="X2056" s="1"/>
      <c r="Y2056" s="1"/>
      <c r="Z2056" s="1"/>
      <c r="AA2056" s="1"/>
      <c r="AB2056" s="1"/>
      <c r="AC2056" s="1"/>
    </row>
    <row r="2057" spans="1:29">
      <c r="A2057" s="1"/>
      <c r="B2057" s="1"/>
      <c r="C2057" s="73"/>
      <c r="D2057" s="1"/>
      <c r="E2057" s="1"/>
      <c r="F2057" s="1"/>
      <c r="G2057" s="145"/>
      <c r="H2057" s="1"/>
      <c r="I2057" s="1"/>
      <c r="J2057" s="1"/>
      <c r="K2057" s="1"/>
      <c r="L2057" s="1"/>
      <c r="M2057" s="1"/>
      <c r="N2057" s="1"/>
      <c r="O2057" s="1"/>
      <c r="P2057" s="1"/>
      <c r="Q2057" s="3"/>
      <c r="R2057" s="4"/>
      <c r="S2057" s="4"/>
      <c r="T2057" s="1"/>
      <c r="U2057" s="6"/>
      <c r="V2057" s="1"/>
      <c r="W2057" s="1"/>
      <c r="X2057" s="1"/>
      <c r="Y2057" s="1"/>
      <c r="Z2057" s="1"/>
      <c r="AA2057" s="1"/>
      <c r="AB2057" s="1"/>
      <c r="AC2057" s="1"/>
    </row>
    <row r="2058" spans="1:29">
      <c r="A2058" s="1"/>
      <c r="B2058" s="1"/>
      <c r="C2058" s="73"/>
      <c r="D2058" s="1"/>
      <c r="E2058" s="1"/>
      <c r="F2058" s="1"/>
      <c r="G2058" s="145"/>
      <c r="H2058" s="1"/>
      <c r="I2058" s="1"/>
      <c r="J2058" s="1"/>
      <c r="K2058" s="1"/>
      <c r="L2058" s="1"/>
      <c r="M2058" s="1"/>
      <c r="N2058" s="1"/>
      <c r="O2058" s="1"/>
      <c r="P2058" s="1"/>
      <c r="Q2058" s="3"/>
      <c r="R2058" s="4"/>
      <c r="S2058" s="4"/>
      <c r="T2058" s="1"/>
      <c r="U2058" s="6"/>
      <c r="V2058" s="1"/>
      <c r="W2058" s="1"/>
      <c r="X2058" s="1"/>
      <c r="Y2058" s="1"/>
      <c r="Z2058" s="1"/>
      <c r="AA2058" s="1"/>
      <c r="AB2058" s="1"/>
      <c r="AC2058" s="1"/>
    </row>
    <row r="2059" spans="1:29">
      <c r="A2059" s="1"/>
      <c r="B2059" s="1"/>
      <c r="C2059" s="73"/>
      <c r="D2059" s="1"/>
      <c r="E2059" s="1"/>
      <c r="F2059" s="1"/>
      <c r="G2059" s="145"/>
      <c r="H2059" s="1"/>
      <c r="I2059" s="1"/>
      <c r="J2059" s="1"/>
      <c r="K2059" s="1"/>
      <c r="L2059" s="1"/>
      <c r="M2059" s="1"/>
      <c r="N2059" s="1"/>
      <c r="O2059" s="1"/>
      <c r="P2059" s="1"/>
      <c r="Q2059" s="3"/>
      <c r="R2059" s="4"/>
      <c r="S2059" s="4"/>
      <c r="T2059" s="1"/>
      <c r="U2059" s="6"/>
      <c r="V2059" s="1"/>
      <c r="W2059" s="1"/>
      <c r="X2059" s="1"/>
      <c r="Y2059" s="1"/>
      <c r="Z2059" s="1"/>
      <c r="AA2059" s="1"/>
      <c r="AB2059" s="1"/>
      <c r="AC2059" s="1"/>
    </row>
    <row r="2060" spans="1:29">
      <c r="A2060" s="1"/>
      <c r="B2060" s="1"/>
      <c r="C2060" s="73"/>
      <c r="D2060" s="1"/>
      <c r="E2060" s="1"/>
      <c r="F2060" s="1"/>
      <c r="G2060" s="145"/>
      <c r="H2060" s="1"/>
      <c r="I2060" s="1"/>
      <c r="J2060" s="1"/>
      <c r="K2060" s="1"/>
      <c r="L2060" s="1"/>
      <c r="M2060" s="1"/>
      <c r="N2060" s="1"/>
      <c r="O2060" s="1"/>
      <c r="P2060" s="1"/>
      <c r="Q2060" s="3"/>
      <c r="R2060" s="4"/>
      <c r="S2060" s="4"/>
      <c r="T2060" s="1"/>
      <c r="U2060" s="6"/>
      <c r="V2060" s="1"/>
      <c r="W2060" s="1"/>
      <c r="X2060" s="1"/>
      <c r="Y2060" s="1"/>
      <c r="Z2060" s="1"/>
      <c r="AA2060" s="1"/>
      <c r="AB2060" s="1"/>
      <c r="AC2060" s="1"/>
    </row>
    <row r="2061" spans="1:29">
      <c r="A2061" s="1"/>
      <c r="B2061" s="1"/>
      <c r="C2061" s="73"/>
      <c r="D2061" s="1"/>
      <c r="E2061" s="1"/>
      <c r="F2061" s="1"/>
      <c r="G2061" s="145"/>
      <c r="H2061" s="1"/>
      <c r="I2061" s="1"/>
      <c r="J2061" s="1"/>
      <c r="K2061" s="1"/>
      <c r="L2061" s="1"/>
      <c r="M2061" s="1"/>
      <c r="N2061" s="1"/>
      <c r="O2061" s="1"/>
      <c r="P2061" s="1"/>
      <c r="Q2061" s="3"/>
      <c r="R2061" s="4"/>
      <c r="S2061" s="4"/>
      <c r="T2061" s="1"/>
      <c r="U2061" s="6"/>
      <c r="V2061" s="1"/>
      <c r="W2061" s="1"/>
      <c r="X2061" s="1"/>
      <c r="Y2061" s="1"/>
      <c r="Z2061" s="1"/>
      <c r="AA2061" s="1"/>
      <c r="AB2061" s="1"/>
      <c r="AC2061" s="1"/>
    </row>
    <row r="2062" spans="1:29">
      <c r="A2062" s="1"/>
      <c r="B2062" s="1"/>
      <c r="C2062" s="73"/>
      <c r="D2062" s="1"/>
      <c r="E2062" s="1"/>
      <c r="F2062" s="1"/>
      <c r="G2062" s="145"/>
      <c r="H2062" s="1"/>
      <c r="I2062" s="1"/>
      <c r="J2062" s="1"/>
      <c r="K2062" s="1"/>
      <c r="L2062" s="1"/>
      <c r="M2062" s="1"/>
      <c r="N2062" s="1"/>
      <c r="O2062" s="1"/>
      <c r="P2062" s="1"/>
      <c r="Q2062" s="3"/>
      <c r="R2062" s="4"/>
      <c r="S2062" s="4"/>
      <c r="T2062" s="1"/>
      <c r="U2062" s="6"/>
      <c r="V2062" s="1"/>
      <c r="W2062" s="1"/>
      <c r="X2062" s="1"/>
      <c r="Y2062" s="1"/>
      <c r="Z2062" s="1"/>
      <c r="AA2062" s="1"/>
      <c r="AB2062" s="1"/>
      <c r="AC2062" s="1"/>
    </row>
    <row r="2063" spans="1:29">
      <c r="A2063" s="1"/>
      <c r="B2063" s="1"/>
      <c r="C2063" s="73"/>
      <c r="D2063" s="1"/>
      <c r="E2063" s="1"/>
      <c r="F2063" s="1"/>
      <c r="G2063" s="145"/>
      <c r="H2063" s="1"/>
      <c r="I2063" s="1"/>
      <c r="J2063" s="1"/>
      <c r="K2063" s="1"/>
      <c r="L2063" s="1"/>
      <c r="M2063" s="1"/>
      <c r="N2063" s="1"/>
      <c r="O2063" s="1"/>
      <c r="P2063" s="1"/>
      <c r="Q2063" s="3"/>
      <c r="R2063" s="4"/>
      <c r="S2063" s="4"/>
      <c r="T2063" s="1"/>
      <c r="U2063" s="6"/>
      <c r="V2063" s="1"/>
      <c r="W2063" s="1"/>
      <c r="X2063" s="1"/>
      <c r="Y2063" s="1"/>
      <c r="Z2063" s="1"/>
      <c r="AA2063" s="1"/>
      <c r="AB2063" s="1"/>
      <c r="AC2063" s="1"/>
    </row>
    <row r="2064" spans="1:29">
      <c r="A2064" s="1"/>
      <c r="B2064" s="1"/>
      <c r="C2064" s="73"/>
      <c r="D2064" s="1"/>
      <c r="E2064" s="1"/>
      <c r="F2064" s="1"/>
      <c r="G2064" s="145"/>
      <c r="H2064" s="1"/>
      <c r="I2064" s="1"/>
      <c r="J2064" s="1"/>
      <c r="K2064" s="1"/>
      <c r="L2064" s="1"/>
      <c r="M2064" s="1"/>
      <c r="N2064" s="1"/>
      <c r="O2064" s="1"/>
      <c r="P2064" s="1"/>
      <c r="Q2064" s="3"/>
      <c r="R2064" s="4"/>
      <c r="S2064" s="4"/>
      <c r="T2064" s="1"/>
      <c r="U2064" s="6"/>
      <c r="V2064" s="1"/>
      <c r="W2064" s="1"/>
      <c r="X2064" s="1"/>
      <c r="Y2064" s="1"/>
      <c r="Z2064" s="1"/>
      <c r="AA2064" s="1"/>
      <c r="AB2064" s="1"/>
      <c r="AC2064" s="1"/>
    </row>
    <row r="2065" spans="1:29">
      <c r="A2065" s="1"/>
      <c r="B2065" s="1"/>
      <c r="C2065" s="73"/>
      <c r="D2065" s="1"/>
      <c r="E2065" s="1"/>
      <c r="F2065" s="1"/>
      <c r="G2065" s="145"/>
      <c r="H2065" s="1"/>
      <c r="I2065" s="1"/>
      <c r="J2065" s="1"/>
      <c r="K2065" s="1"/>
      <c r="L2065" s="1"/>
      <c r="M2065" s="1"/>
      <c r="N2065" s="1"/>
      <c r="O2065" s="1"/>
      <c r="P2065" s="1"/>
      <c r="Q2065" s="3"/>
      <c r="R2065" s="4"/>
      <c r="S2065" s="4"/>
      <c r="T2065" s="1"/>
      <c r="U2065" s="6"/>
      <c r="V2065" s="1"/>
      <c r="W2065" s="1"/>
      <c r="X2065" s="1"/>
      <c r="Y2065" s="1"/>
      <c r="Z2065" s="1"/>
      <c r="AA2065" s="1"/>
      <c r="AB2065" s="1"/>
      <c r="AC2065" s="1"/>
    </row>
    <row r="2066" spans="1:29">
      <c r="A2066" s="1"/>
      <c r="B2066" s="1"/>
      <c r="C2066" s="73"/>
      <c r="D2066" s="1"/>
      <c r="E2066" s="1"/>
      <c r="F2066" s="1"/>
      <c r="G2066" s="145"/>
      <c r="H2066" s="1"/>
      <c r="I2066" s="1"/>
      <c r="J2066" s="1"/>
      <c r="K2066" s="1"/>
      <c r="L2066" s="1"/>
      <c r="M2066" s="1"/>
      <c r="N2066" s="1"/>
      <c r="O2066" s="1"/>
      <c r="P2066" s="1"/>
      <c r="Q2066" s="3"/>
      <c r="R2066" s="4"/>
      <c r="S2066" s="4"/>
      <c r="T2066" s="1"/>
      <c r="U2066" s="6"/>
      <c r="V2066" s="1"/>
      <c r="W2066" s="1"/>
      <c r="X2066" s="1"/>
      <c r="Y2066" s="1"/>
      <c r="Z2066" s="1"/>
      <c r="AA2066" s="1"/>
      <c r="AB2066" s="1"/>
      <c r="AC2066" s="1"/>
    </row>
    <row r="2067" spans="1:29">
      <c r="A2067" s="1"/>
      <c r="B2067" s="1"/>
      <c r="C2067" s="73"/>
      <c r="D2067" s="1"/>
      <c r="E2067" s="1"/>
      <c r="F2067" s="1"/>
      <c r="G2067" s="145"/>
      <c r="H2067" s="1"/>
      <c r="I2067" s="1"/>
      <c r="J2067" s="1"/>
      <c r="K2067" s="1"/>
      <c r="L2067" s="1"/>
      <c r="M2067" s="1"/>
      <c r="N2067" s="1"/>
      <c r="O2067" s="1"/>
      <c r="P2067" s="1"/>
      <c r="Q2067" s="3"/>
      <c r="R2067" s="4"/>
      <c r="S2067" s="4"/>
      <c r="T2067" s="1"/>
      <c r="U2067" s="6"/>
      <c r="V2067" s="1"/>
      <c r="W2067" s="1"/>
      <c r="X2067" s="1"/>
      <c r="Y2067" s="1"/>
      <c r="Z2067" s="1"/>
      <c r="AA2067" s="1"/>
      <c r="AB2067" s="1"/>
      <c r="AC2067" s="1"/>
    </row>
    <row r="2068" spans="1:29">
      <c r="A2068" s="1"/>
      <c r="B2068" s="1"/>
      <c r="C2068" s="73"/>
      <c r="D2068" s="1"/>
      <c r="E2068" s="1"/>
      <c r="F2068" s="1"/>
      <c r="G2068" s="145"/>
      <c r="H2068" s="1"/>
      <c r="I2068" s="1"/>
      <c r="J2068" s="1"/>
      <c r="K2068" s="1"/>
      <c r="L2068" s="1"/>
      <c r="M2068" s="1"/>
      <c r="N2068" s="1"/>
      <c r="O2068" s="1"/>
      <c r="P2068" s="1"/>
      <c r="Q2068" s="3"/>
      <c r="R2068" s="4"/>
      <c r="S2068" s="4"/>
      <c r="T2068" s="1"/>
      <c r="U2068" s="6"/>
      <c r="V2068" s="1"/>
      <c r="W2068" s="1"/>
      <c r="X2068" s="1"/>
      <c r="Y2068" s="1"/>
      <c r="Z2068" s="1"/>
      <c r="AA2068" s="1"/>
      <c r="AB2068" s="1"/>
      <c r="AC2068" s="1"/>
    </row>
    <row r="2069" spans="1:29">
      <c r="A2069" s="1"/>
      <c r="B2069" s="1"/>
      <c r="C2069" s="73"/>
      <c r="D2069" s="1"/>
      <c r="E2069" s="1"/>
      <c r="F2069" s="1"/>
      <c r="G2069" s="145"/>
      <c r="H2069" s="1"/>
      <c r="I2069" s="1"/>
      <c r="J2069" s="1"/>
      <c r="K2069" s="1"/>
      <c r="L2069" s="1"/>
      <c r="M2069" s="1"/>
      <c r="N2069" s="1"/>
      <c r="O2069" s="1"/>
      <c r="P2069" s="1"/>
      <c r="Q2069" s="3"/>
      <c r="R2069" s="4"/>
      <c r="S2069" s="4"/>
      <c r="T2069" s="1"/>
      <c r="U2069" s="6"/>
      <c r="V2069" s="1"/>
      <c r="W2069" s="1"/>
      <c r="X2069" s="1"/>
      <c r="Y2069" s="1"/>
      <c r="Z2069" s="1"/>
      <c r="AA2069" s="1"/>
      <c r="AB2069" s="1"/>
      <c r="AC2069" s="1"/>
    </row>
    <row r="2070" spans="1:29">
      <c r="A2070" s="1"/>
      <c r="B2070" s="1"/>
      <c r="C2070" s="73"/>
      <c r="D2070" s="1"/>
      <c r="E2070" s="1"/>
      <c r="F2070" s="1"/>
      <c r="G2070" s="145"/>
      <c r="H2070" s="1"/>
      <c r="I2070" s="1"/>
      <c r="J2070" s="1"/>
      <c r="K2070" s="1"/>
      <c r="L2070" s="1"/>
      <c r="M2070" s="1"/>
      <c r="N2070" s="1"/>
      <c r="O2070" s="1"/>
      <c r="P2070" s="1"/>
      <c r="Q2070" s="3"/>
      <c r="R2070" s="4"/>
      <c r="S2070" s="4"/>
      <c r="T2070" s="1"/>
      <c r="U2070" s="6"/>
      <c r="V2070" s="1"/>
      <c r="W2070" s="1"/>
      <c r="X2070" s="1"/>
      <c r="Y2070" s="1"/>
      <c r="Z2070" s="1"/>
      <c r="AA2070" s="1"/>
      <c r="AB2070" s="1"/>
      <c r="AC2070" s="1"/>
    </row>
    <row r="2071" spans="1:29">
      <c r="A2071" s="1"/>
      <c r="B2071" s="1"/>
      <c r="C2071" s="73"/>
      <c r="D2071" s="1"/>
      <c r="E2071" s="1"/>
      <c r="F2071" s="1"/>
      <c r="G2071" s="145"/>
      <c r="H2071" s="1"/>
      <c r="I2071" s="1"/>
      <c r="J2071" s="1"/>
      <c r="K2071" s="1"/>
      <c r="L2071" s="1"/>
      <c r="M2071" s="1"/>
      <c r="N2071" s="1"/>
      <c r="O2071" s="1"/>
      <c r="P2071" s="1"/>
      <c r="Q2071" s="3"/>
      <c r="R2071" s="4"/>
      <c r="S2071" s="4"/>
      <c r="T2071" s="1"/>
      <c r="U2071" s="6"/>
      <c r="V2071" s="1"/>
      <c r="W2071" s="1"/>
      <c r="X2071" s="1"/>
      <c r="Y2071" s="1"/>
      <c r="Z2071" s="1"/>
      <c r="AA2071" s="1"/>
      <c r="AB2071" s="1"/>
      <c r="AC2071" s="1"/>
    </row>
    <row r="2072" spans="1:29">
      <c r="A2072" s="1"/>
      <c r="B2072" s="1"/>
      <c r="C2072" s="73"/>
      <c r="D2072" s="1"/>
      <c r="E2072" s="1"/>
      <c r="F2072" s="1"/>
      <c r="G2072" s="145"/>
      <c r="H2072" s="1"/>
      <c r="I2072" s="1"/>
      <c r="J2072" s="1"/>
      <c r="K2072" s="1"/>
      <c r="L2072" s="1"/>
      <c r="M2072" s="1"/>
      <c r="N2072" s="1"/>
      <c r="O2072" s="1"/>
      <c r="P2072" s="1"/>
      <c r="Q2072" s="3"/>
      <c r="R2072" s="4"/>
      <c r="S2072" s="4"/>
      <c r="T2072" s="1"/>
      <c r="U2072" s="6"/>
      <c r="V2072" s="1"/>
      <c r="W2072" s="1"/>
      <c r="X2072" s="1"/>
      <c r="Y2072" s="1"/>
      <c r="Z2072" s="1"/>
      <c r="AA2072" s="1"/>
      <c r="AB2072" s="1"/>
      <c r="AC2072" s="1"/>
    </row>
    <row r="2073" spans="1:29">
      <c r="A2073" s="1"/>
      <c r="B2073" s="1"/>
      <c r="C2073" s="73"/>
      <c r="D2073" s="1"/>
      <c r="E2073" s="1"/>
      <c r="F2073" s="1"/>
      <c r="G2073" s="145"/>
      <c r="H2073" s="1"/>
      <c r="I2073" s="1"/>
      <c r="J2073" s="1"/>
      <c r="K2073" s="1"/>
      <c r="L2073" s="1"/>
      <c r="M2073" s="1"/>
      <c r="N2073" s="1"/>
      <c r="O2073" s="1"/>
      <c r="P2073" s="1"/>
      <c r="Q2073" s="3"/>
      <c r="R2073" s="4"/>
      <c r="S2073" s="4"/>
      <c r="T2073" s="1"/>
      <c r="U2073" s="6"/>
      <c r="V2073" s="1"/>
      <c r="W2073" s="1"/>
      <c r="X2073" s="1"/>
      <c r="Y2073" s="1"/>
      <c r="Z2073" s="1"/>
      <c r="AA2073" s="1"/>
      <c r="AB2073" s="1"/>
      <c r="AC2073" s="1"/>
    </row>
    <row r="2074" spans="1:29">
      <c r="A2074" s="1"/>
      <c r="B2074" s="1"/>
      <c r="C2074" s="73"/>
      <c r="D2074" s="1"/>
      <c r="E2074" s="1"/>
      <c r="F2074" s="1"/>
      <c r="G2074" s="145"/>
      <c r="H2074" s="1"/>
      <c r="I2074" s="1"/>
      <c r="J2074" s="1"/>
      <c r="K2074" s="1"/>
      <c r="L2074" s="1"/>
      <c r="M2074" s="1"/>
      <c r="N2074" s="1"/>
      <c r="O2074" s="1"/>
      <c r="P2074" s="1"/>
      <c r="Q2074" s="3"/>
      <c r="R2074" s="4"/>
      <c r="S2074" s="4"/>
      <c r="T2074" s="1"/>
      <c r="U2074" s="6"/>
      <c r="V2074" s="1"/>
      <c r="W2074" s="1"/>
      <c r="X2074" s="1"/>
      <c r="Y2074" s="1"/>
      <c r="Z2074" s="1"/>
      <c r="AA2074" s="1"/>
      <c r="AB2074" s="1"/>
      <c r="AC2074" s="1"/>
    </row>
    <row r="2075" spans="1:29">
      <c r="A2075" s="1"/>
      <c r="B2075" s="1"/>
      <c r="C2075" s="73"/>
      <c r="D2075" s="1"/>
      <c r="E2075" s="1"/>
      <c r="F2075" s="1"/>
      <c r="G2075" s="145"/>
      <c r="H2075" s="1"/>
      <c r="I2075" s="1"/>
      <c r="J2075" s="1"/>
      <c r="K2075" s="1"/>
      <c r="L2075" s="1"/>
      <c r="M2075" s="1"/>
      <c r="N2075" s="1"/>
      <c r="O2075" s="1"/>
      <c r="P2075" s="1"/>
      <c r="Q2075" s="3"/>
      <c r="R2075" s="4"/>
      <c r="S2075" s="4"/>
      <c r="T2075" s="1"/>
      <c r="U2075" s="6"/>
      <c r="V2075" s="1"/>
      <c r="W2075" s="1"/>
      <c r="X2075" s="1"/>
      <c r="Y2075" s="1"/>
      <c r="Z2075" s="1"/>
      <c r="AA2075" s="1"/>
      <c r="AB2075" s="1"/>
      <c r="AC2075" s="1"/>
    </row>
    <row r="2076" spans="1:29">
      <c r="A2076" s="1"/>
      <c r="B2076" s="1"/>
      <c r="C2076" s="73"/>
      <c r="D2076" s="1"/>
      <c r="E2076" s="1"/>
      <c r="F2076" s="1"/>
      <c r="G2076" s="145"/>
      <c r="H2076" s="1"/>
      <c r="I2076" s="1"/>
      <c r="J2076" s="1"/>
      <c r="K2076" s="1"/>
      <c r="L2076" s="1"/>
      <c r="M2076" s="1"/>
      <c r="N2076" s="1"/>
      <c r="O2076" s="1"/>
      <c r="P2076" s="1"/>
      <c r="Q2076" s="3"/>
      <c r="R2076" s="4"/>
      <c r="S2076" s="4"/>
      <c r="T2076" s="1"/>
      <c r="U2076" s="6"/>
      <c r="V2076" s="1"/>
      <c r="W2076" s="1"/>
      <c r="X2076" s="1"/>
      <c r="Y2076" s="1"/>
      <c r="Z2076" s="1"/>
      <c r="AA2076" s="1"/>
      <c r="AB2076" s="1"/>
      <c r="AC2076" s="1"/>
    </row>
    <row r="2077" spans="1:29">
      <c r="A2077" s="1"/>
      <c r="B2077" s="1"/>
      <c r="C2077" s="73"/>
      <c r="D2077" s="1"/>
      <c r="E2077" s="1"/>
      <c r="F2077" s="1"/>
      <c r="G2077" s="145"/>
      <c r="H2077" s="1"/>
      <c r="I2077" s="1"/>
      <c r="J2077" s="1"/>
      <c r="K2077" s="1"/>
      <c r="L2077" s="1"/>
      <c r="M2077" s="1"/>
      <c r="N2077" s="1"/>
      <c r="O2077" s="1"/>
      <c r="P2077" s="1"/>
      <c r="Q2077" s="3"/>
      <c r="R2077" s="4"/>
      <c r="S2077" s="4"/>
      <c r="T2077" s="1"/>
      <c r="U2077" s="6"/>
      <c r="V2077" s="1"/>
      <c r="W2077" s="1"/>
      <c r="X2077" s="1"/>
      <c r="Y2077" s="1"/>
      <c r="Z2077" s="1"/>
      <c r="AA2077" s="1"/>
      <c r="AB2077" s="1"/>
      <c r="AC2077" s="1"/>
    </row>
    <row r="2078" spans="1:29">
      <c r="A2078" s="1"/>
      <c r="B2078" s="1"/>
      <c r="C2078" s="73"/>
      <c r="D2078" s="1"/>
      <c r="E2078" s="1"/>
      <c r="F2078" s="1"/>
      <c r="G2078" s="145"/>
      <c r="H2078" s="1"/>
      <c r="I2078" s="1"/>
      <c r="J2078" s="1"/>
      <c r="K2078" s="1"/>
      <c r="L2078" s="1"/>
      <c r="M2078" s="1"/>
      <c r="N2078" s="1"/>
      <c r="O2078" s="1"/>
      <c r="P2078" s="1"/>
      <c r="Q2078" s="3"/>
      <c r="R2078" s="4"/>
      <c r="S2078" s="4"/>
      <c r="T2078" s="1"/>
      <c r="U2078" s="6"/>
      <c r="V2078" s="1"/>
      <c r="W2078" s="1"/>
      <c r="X2078" s="1"/>
      <c r="Y2078" s="1"/>
      <c r="Z2078" s="1"/>
      <c r="AA2078" s="1"/>
      <c r="AB2078" s="1"/>
      <c r="AC2078" s="1"/>
    </row>
    <row r="2079" spans="1:29">
      <c r="A2079" s="1"/>
      <c r="B2079" s="1"/>
      <c r="C2079" s="73"/>
      <c r="D2079" s="1"/>
      <c r="E2079" s="1"/>
      <c r="F2079" s="1"/>
      <c r="G2079" s="145"/>
      <c r="H2079" s="1"/>
      <c r="I2079" s="1"/>
      <c r="J2079" s="1"/>
      <c r="K2079" s="1"/>
      <c r="L2079" s="1"/>
      <c r="M2079" s="1"/>
      <c r="N2079" s="1"/>
      <c r="O2079" s="1"/>
      <c r="P2079" s="1"/>
      <c r="Q2079" s="3"/>
      <c r="R2079" s="4"/>
      <c r="S2079" s="4"/>
      <c r="T2079" s="1"/>
      <c r="U2079" s="6"/>
      <c r="V2079" s="1"/>
      <c r="W2079" s="1"/>
      <c r="X2079" s="1"/>
      <c r="Y2079" s="1"/>
      <c r="Z2079" s="1"/>
      <c r="AA2079" s="1"/>
      <c r="AB2079" s="1"/>
      <c r="AC2079" s="1"/>
    </row>
    <row r="2080" spans="1:29">
      <c r="A2080" s="1"/>
      <c r="B2080" s="1"/>
      <c r="C2080" s="73"/>
      <c r="D2080" s="1"/>
      <c r="E2080" s="1"/>
      <c r="F2080" s="1"/>
      <c r="G2080" s="145"/>
      <c r="H2080" s="1"/>
      <c r="I2080" s="1"/>
      <c r="J2080" s="1"/>
      <c r="K2080" s="1"/>
      <c r="L2080" s="1"/>
      <c r="M2080" s="1"/>
      <c r="N2080" s="1"/>
      <c r="O2080" s="1"/>
      <c r="P2080" s="1"/>
      <c r="Q2080" s="3"/>
      <c r="R2080" s="4"/>
      <c r="S2080" s="4"/>
      <c r="T2080" s="1"/>
      <c r="U2080" s="6"/>
      <c r="V2080" s="1"/>
      <c r="W2080" s="1"/>
      <c r="X2080" s="1"/>
      <c r="Y2080" s="1"/>
      <c r="Z2080" s="1"/>
      <c r="AA2080" s="1"/>
      <c r="AB2080" s="1"/>
      <c r="AC2080" s="1"/>
    </row>
    <row r="2081" spans="1:29">
      <c r="A2081" s="1"/>
      <c r="B2081" s="1"/>
      <c r="C2081" s="73"/>
      <c r="D2081" s="1"/>
      <c r="E2081" s="1"/>
      <c r="F2081" s="1"/>
      <c r="G2081" s="145"/>
      <c r="H2081" s="1"/>
      <c r="I2081" s="1"/>
      <c r="J2081" s="1"/>
      <c r="K2081" s="1"/>
      <c r="L2081" s="1"/>
      <c r="M2081" s="1"/>
      <c r="N2081" s="1"/>
      <c r="O2081" s="1"/>
      <c r="P2081" s="1"/>
      <c r="Q2081" s="3"/>
      <c r="R2081" s="4"/>
      <c r="S2081" s="4"/>
      <c r="T2081" s="1"/>
      <c r="U2081" s="6"/>
      <c r="V2081" s="1"/>
      <c r="W2081" s="1"/>
      <c r="X2081" s="1"/>
      <c r="Y2081" s="1"/>
      <c r="Z2081" s="1"/>
      <c r="AA2081" s="1"/>
      <c r="AB2081" s="1"/>
      <c r="AC2081" s="1"/>
    </row>
    <row r="2082" spans="1:29">
      <c r="A2082" s="1"/>
      <c r="B2082" s="1"/>
      <c r="C2082" s="73"/>
      <c r="D2082" s="1"/>
      <c r="E2082" s="1"/>
      <c r="F2082" s="1"/>
      <c r="G2082" s="145"/>
      <c r="H2082" s="1"/>
      <c r="I2082" s="1"/>
      <c r="J2082" s="1"/>
      <c r="K2082" s="1"/>
      <c r="L2082" s="1"/>
      <c r="M2082" s="1"/>
      <c r="N2082" s="1"/>
      <c r="O2082" s="1"/>
      <c r="P2082" s="1"/>
      <c r="Q2082" s="3"/>
      <c r="R2082" s="4"/>
      <c r="S2082" s="4"/>
      <c r="T2082" s="1"/>
      <c r="U2082" s="6"/>
      <c r="V2082" s="1"/>
      <c r="W2082" s="1"/>
      <c r="X2082" s="1"/>
      <c r="Y2082" s="1"/>
      <c r="Z2082" s="1"/>
      <c r="AA2082" s="1"/>
      <c r="AB2082" s="1"/>
      <c r="AC2082" s="1"/>
    </row>
    <row r="2083" spans="1:29">
      <c r="A2083" s="1"/>
      <c r="B2083" s="1"/>
      <c r="C2083" s="73"/>
      <c r="D2083" s="1"/>
      <c r="E2083" s="1"/>
      <c r="F2083" s="1"/>
      <c r="G2083" s="145"/>
      <c r="H2083" s="1"/>
      <c r="I2083" s="1"/>
      <c r="J2083" s="1"/>
      <c r="K2083" s="1"/>
      <c r="L2083" s="1"/>
      <c r="M2083" s="1"/>
      <c r="N2083" s="1"/>
      <c r="O2083" s="1"/>
      <c r="P2083" s="1"/>
      <c r="Q2083" s="3"/>
      <c r="R2083" s="4"/>
      <c r="S2083" s="4"/>
      <c r="T2083" s="1"/>
      <c r="U2083" s="6"/>
      <c r="V2083" s="1"/>
      <c r="W2083" s="1"/>
      <c r="X2083" s="1"/>
      <c r="Y2083" s="1"/>
      <c r="Z2083" s="1"/>
      <c r="AA2083" s="1"/>
      <c r="AB2083" s="1"/>
      <c r="AC2083" s="1"/>
    </row>
    <row r="2084" spans="1:29">
      <c r="A2084" s="1"/>
      <c r="B2084" s="1"/>
      <c r="C2084" s="73"/>
      <c r="D2084" s="1"/>
      <c r="E2084" s="1"/>
      <c r="F2084" s="1"/>
      <c r="G2084" s="145"/>
      <c r="H2084" s="1"/>
      <c r="I2084" s="1"/>
      <c r="J2084" s="1"/>
      <c r="K2084" s="1"/>
      <c r="L2084" s="1"/>
      <c r="M2084" s="1"/>
      <c r="N2084" s="1"/>
      <c r="O2084" s="1"/>
      <c r="P2084" s="1"/>
      <c r="Q2084" s="3"/>
      <c r="R2084" s="4"/>
      <c r="S2084" s="4"/>
      <c r="T2084" s="1"/>
      <c r="U2084" s="6"/>
      <c r="V2084" s="1"/>
      <c r="W2084" s="1"/>
      <c r="X2084" s="1"/>
      <c r="Y2084" s="1"/>
      <c r="Z2084" s="1"/>
      <c r="AA2084" s="1"/>
      <c r="AB2084" s="1"/>
      <c r="AC2084" s="1"/>
    </row>
    <row r="2085" spans="1:29">
      <c r="A2085" s="1"/>
      <c r="B2085" s="1"/>
      <c r="C2085" s="73"/>
      <c r="D2085" s="1"/>
      <c r="E2085" s="1"/>
      <c r="F2085" s="1"/>
      <c r="G2085" s="145"/>
      <c r="H2085" s="1"/>
      <c r="I2085" s="1"/>
      <c r="J2085" s="1"/>
      <c r="K2085" s="1"/>
      <c r="L2085" s="1"/>
      <c r="M2085" s="1"/>
      <c r="N2085" s="1"/>
      <c r="O2085" s="1"/>
      <c r="P2085" s="1"/>
      <c r="Q2085" s="3"/>
      <c r="R2085" s="4"/>
      <c r="S2085" s="4"/>
      <c r="T2085" s="1"/>
      <c r="U2085" s="6"/>
      <c r="V2085" s="1"/>
      <c r="W2085" s="1"/>
      <c r="X2085" s="1"/>
      <c r="Y2085" s="1"/>
      <c r="Z2085" s="1"/>
      <c r="AA2085" s="1"/>
      <c r="AB2085" s="1"/>
      <c r="AC2085" s="1"/>
    </row>
    <row r="2086" spans="1:29">
      <c r="A2086" s="1"/>
      <c r="B2086" s="1"/>
      <c r="C2086" s="73"/>
      <c r="D2086" s="1"/>
      <c r="E2086" s="1"/>
      <c r="F2086" s="1"/>
      <c r="G2086" s="145"/>
      <c r="H2086" s="1"/>
      <c r="I2086" s="1"/>
      <c r="J2086" s="1"/>
      <c r="K2086" s="1"/>
      <c r="L2086" s="1"/>
      <c r="M2086" s="1"/>
      <c r="N2086" s="1"/>
      <c r="O2086" s="1"/>
      <c r="P2086" s="1"/>
      <c r="Q2086" s="3"/>
      <c r="R2086" s="4"/>
      <c r="S2086" s="4"/>
      <c r="T2086" s="1"/>
      <c r="U2086" s="6"/>
      <c r="V2086" s="1"/>
      <c r="W2086" s="1"/>
      <c r="X2086" s="1"/>
      <c r="Y2086" s="1"/>
      <c r="Z2086" s="1"/>
      <c r="AA2086" s="1"/>
      <c r="AB2086" s="1"/>
      <c r="AC2086" s="1"/>
    </row>
    <row r="2087" spans="1:29">
      <c r="A2087" s="1"/>
      <c r="B2087" s="1"/>
      <c r="C2087" s="73"/>
      <c r="D2087" s="1"/>
      <c r="E2087" s="1"/>
      <c r="F2087" s="1"/>
      <c r="G2087" s="145"/>
      <c r="H2087" s="1"/>
      <c r="I2087" s="1"/>
      <c r="J2087" s="1"/>
      <c r="K2087" s="1"/>
      <c r="L2087" s="1"/>
      <c r="M2087" s="1"/>
      <c r="N2087" s="1"/>
      <c r="O2087" s="1"/>
      <c r="P2087" s="1"/>
      <c r="Q2087" s="3"/>
      <c r="R2087" s="4"/>
      <c r="S2087" s="4"/>
      <c r="T2087" s="1"/>
      <c r="U2087" s="6"/>
      <c r="V2087" s="1"/>
      <c r="W2087" s="1"/>
      <c r="X2087" s="1"/>
      <c r="Y2087" s="1"/>
      <c r="Z2087" s="1"/>
      <c r="AA2087" s="1"/>
      <c r="AB2087" s="1"/>
      <c r="AC2087" s="1"/>
    </row>
    <row r="2088" spans="1:29">
      <c r="A2088" s="1"/>
      <c r="B2088" s="1"/>
      <c r="C2088" s="73"/>
      <c r="D2088" s="1"/>
      <c r="E2088" s="1"/>
      <c r="F2088" s="1"/>
      <c r="G2088" s="145"/>
      <c r="H2088" s="1"/>
      <c r="I2088" s="1"/>
      <c r="J2088" s="1"/>
      <c r="K2088" s="1"/>
      <c r="L2088" s="1"/>
      <c r="M2088" s="1"/>
      <c r="N2088" s="1"/>
      <c r="O2088" s="1"/>
      <c r="P2088" s="1"/>
      <c r="Q2088" s="3"/>
      <c r="R2088" s="4"/>
      <c r="S2088" s="4"/>
      <c r="T2088" s="1"/>
      <c r="U2088" s="6"/>
      <c r="V2088" s="1"/>
      <c r="W2088" s="1"/>
      <c r="X2088" s="1"/>
      <c r="Y2088" s="1"/>
      <c r="Z2088" s="1"/>
      <c r="AA2088" s="1"/>
      <c r="AB2088" s="1"/>
      <c r="AC2088" s="1"/>
    </row>
    <row r="2089" spans="1:29">
      <c r="A2089" s="1"/>
      <c r="B2089" s="1"/>
      <c r="C2089" s="73"/>
      <c r="D2089" s="1"/>
      <c r="E2089" s="1"/>
      <c r="F2089" s="1"/>
      <c r="G2089" s="145"/>
      <c r="H2089" s="1"/>
      <c r="I2089" s="1"/>
      <c r="J2089" s="1"/>
      <c r="K2089" s="1"/>
      <c r="L2089" s="1"/>
      <c r="M2089" s="1"/>
      <c r="N2089" s="1"/>
      <c r="O2089" s="1"/>
      <c r="P2089" s="1"/>
      <c r="Q2089" s="3"/>
      <c r="R2089" s="4"/>
      <c r="S2089" s="4"/>
      <c r="T2089" s="1"/>
      <c r="U2089" s="6"/>
      <c r="V2089" s="1"/>
      <c r="W2089" s="1"/>
      <c r="X2089" s="1"/>
      <c r="Y2089" s="1"/>
      <c r="Z2089" s="1"/>
      <c r="AA2089" s="1"/>
      <c r="AB2089" s="1"/>
      <c r="AC2089" s="1"/>
    </row>
    <row r="2090" spans="1:29">
      <c r="A2090" s="1"/>
      <c r="B2090" s="1"/>
      <c r="C2090" s="73"/>
      <c r="D2090" s="1"/>
      <c r="E2090" s="1"/>
      <c r="F2090" s="1"/>
      <c r="G2090" s="145"/>
      <c r="H2090" s="1"/>
      <c r="I2090" s="1"/>
      <c r="J2090" s="1"/>
      <c r="K2090" s="1"/>
      <c r="L2090" s="1"/>
      <c r="M2090" s="1"/>
      <c r="N2090" s="1"/>
      <c r="O2090" s="1"/>
      <c r="P2090" s="1"/>
      <c r="Q2090" s="3"/>
      <c r="R2090" s="4"/>
      <c r="S2090" s="4"/>
      <c r="T2090" s="1"/>
      <c r="U2090" s="6"/>
      <c r="V2090" s="1"/>
      <c r="W2090" s="1"/>
      <c r="X2090" s="1"/>
      <c r="Y2090" s="1"/>
      <c r="Z2090" s="1"/>
      <c r="AA2090" s="1"/>
      <c r="AB2090" s="1"/>
      <c r="AC2090" s="1"/>
    </row>
    <row r="2091" spans="1:29">
      <c r="A2091" s="1"/>
      <c r="B2091" s="1"/>
      <c r="C2091" s="73"/>
      <c r="D2091" s="1"/>
      <c r="E2091" s="1"/>
      <c r="F2091" s="1"/>
      <c r="G2091" s="145"/>
      <c r="H2091" s="1"/>
      <c r="I2091" s="1"/>
      <c r="J2091" s="1"/>
      <c r="K2091" s="1"/>
      <c r="L2091" s="1"/>
      <c r="M2091" s="1"/>
      <c r="N2091" s="1"/>
      <c r="O2091" s="1"/>
      <c r="P2091" s="1"/>
      <c r="Q2091" s="3"/>
      <c r="R2091" s="4"/>
      <c r="S2091" s="4"/>
      <c r="T2091" s="1"/>
      <c r="U2091" s="6"/>
      <c r="V2091" s="1"/>
      <c r="W2091" s="1"/>
      <c r="X2091" s="1"/>
      <c r="Y2091" s="1"/>
      <c r="Z2091" s="1"/>
      <c r="AA2091" s="1"/>
      <c r="AB2091" s="1"/>
      <c r="AC2091" s="1"/>
    </row>
    <row r="2092" spans="1:29">
      <c r="A2092" s="1"/>
      <c r="B2092" s="1"/>
      <c r="C2092" s="73"/>
      <c r="D2092" s="1"/>
      <c r="E2092" s="1"/>
      <c r="F2092" s="1"/>
      <c r="G2092" s="145"/>
      <c r="H2092" s="1"/>
      <c r="I2092" s="1"/>
      <c r="J2092" s="1"/>
      <c r="K2092" s="1"/>
      <c r="L2092" s="1"/>
      <c r="M2092" s="1"/>
      <c r="N2092" s="1"/>
      <c r="O2092" s="1"/>
      <c r="P2092" s="1"/>
      <c r="Q2092" s="3"/>
      <c r="R2092" s="4"/>
      <c r="S2092" s="4"/>
      <c r="T2092" s="1"/>
      <c r="U2092" s="6"/>
      <c r="V2092" s="1"/>
      <c r="W2092" s="1"/>
      <c r="X2092" s="1"/>
      <c r="Y2092" s="1"/>
      <c r="Z2092" s="1"/>
      <c r="AA2092" s="1"/>
      <c r="AB2092" s="1"/>
      <c r="AC2092" s="1"/>
    </row>
    <row r="2093" spans="1:29">
      <c r="A2093" s="1"/>
      <c r="B2093" s="1"/>
      <c r="C2093" s="73"/>
      <c r="D2093" s="1"/>
      <c r="E2093" s="1"/>
      <c r="F2093" s="1"/>
      <c r="G2093" s="145"/>
      <c r="H2093" s="1"/>
      <c r="I2093" s="1"/>
      <c r="J2093" s="1"/>
      <c r="K2093" s="1"/>
      <c r="L2093" s="1"/>
      <c r="M2093" s="1"/>
      <c r="N2093" s="1"/>
      <c r="O2093" s="1"/>
      <c r="P2093" s="1"/>
      <c r="Q2093" s="3"/>
      <c r="R2093" s="4"/>
      <c r="S2093" s="4"/>
      <c r="T2093" s="1"/>
      <c r="U2093" s="6"/>
      <c r="V2093" s="1"/>
      <c r="W2093" s="1"/>
      <c r="X2093" s="1"/>
      <c r="Y2093" s="1"/>
      <c r="Z2093" s="1"/>
      <c r="AA2093" s="1"/>
      <c r="AB2093" s="1"/>
      <c r="AC2093" s="1"/>
    </row>
    <row r="2094" spans="1:29">
      <c r="A2094" s="1"/>
      <c r="B2094" s="1"/>
      <c r="C2094" s="73"/>
      <c r="D2094" s="1"/>
      <c r="E2094" s="1"/>
      <c r="F2094" s="1"/>
      <c r="G2094" s="145"/>
      <c r="H2094" s="1"/>
      <c r="I2094" s="1"/>
      <c r="J2094" s="1"/>
      <c r="K2094" s="1"/>
      <c r="L2094" s="1"/>
      <c r="M2094" s="1"/>
      <c r="N2094" s="1"/>
      <c r="O2094" s="1"/>
      <c r="P2094" s="1"/>
      <c r="Q2094" s="3"/>
      <c r="R2094" s="4"/>
      <c r="S2094" s="4"/>
      <c r="T2094" s="1"/>
      <c r="U2094" s="6"/>
      <c r="V2094" s="1"/>
      <c r="W2094" s="1"/>
      <c r="X2094" s="1"/>
      <c r="Y2094" s="1"/>
      <c r="Z2094" s="1"/>
      <c r="AA2094" s="1"/>
      <c r="AB2094" s="1"/>
      <c r="AC2094" s="1"/>
    </row>
    <row r="2095" spans="1:29">
      <c r="A2095" s="1"/>
      <c r="B2095" s="1"/>
      <c r="C2095" s="73"/>
      <c r="D2095" s="1"/>
      <c r="E2095" s="1"/>
      <c r="F2095" s="1"/>
      <c r="G2095" s="145"/>
      <c r="H2095" s="1"/>
      <c r="I2095" s="1"/>
      <c r="J2095" s="1"/>
      <c r="K2095" s="1"/>
      <c r="L2095" s="1"/>
      <c r="M2095" s="1"/>
      <c r="N2095" s="1"/>
      <c r="O2095" s="1"/>
      <c r="P2095" s="1"/>
      <c r="Q2095" s="3"/>
      <c r="R2095" s="4"/>
      <c r="S2095" s="4"/>
      <c r="T2095" s="1"/>
      <c r="U2095" s="6"/>
      <c r="V2095" s="1"/>
      <c r="W2095" s="1"/>
      <c r="X2095" s="1"/>
      <c r="Y2095" s="1"/>
      <c r="Z2095" s="1"/>
      <c r="AA2095" s="1"/>
      <c r="AB2095" s="1"/>
      <c r="AC2095" s="1"/>
    </row>
    <row r="2096" spans="1:29">
      <c r="A2096" s="1"/>
      <c r="B2096" s="1"/>
      <c r="C2096" s="73"/>
      <c r="D2096" s="1"/>
      <c r="E2096" s="1"/>
      <c r="F2096" s="1"/>
      <c r="G2096" s="145"/>
      <c r="H2096" s="1"/>
      <c r="I2096" s="1"/>
      <c r="J2096" s="1"/>
      <c r="K2096" s="1"/>
      <c r="L2096" s="1"/>
      <c r="M2096" s="1"/>
      <c r="N2096" s="1"/>
      <c r="O2096" s="1"/>
      <c r="P2096" s="1"/>
      <c r="Q2096" s="3"/>
      <c r="R2096" s="4"/>
      <c r="S2096" s="4"/>
      <c r="T2096" s="1"/>
      <c r="U2096" s="6"/>
      <c r="V2096" s="1"/>
      <c r="W2096" s="1"/>
      <c r="X2096" s="1"/>
      <c r="Y2096" s="1"/>
      <c r="Z2096" s="1"/>
      <c r="AA2096" s="1"/>
      <c r="AB2096" s="1"/>
      <c r="AC2096" s="1"/>
    </row>
    <row r="2097" spans="1:29">
      <c r="A2097" s="1"/>
      <c r="B2097" s="1"/>
      <c r="C2097" s="73"/>
      <c r="D2097" s="1"/>
      <c r="E2097" s="1"/>
      <c r="F2097" s="1"/>
      <c r="G2097" s="145"/>
      <c r="H2097" s="1"/>
      <c r="I2097" s="1"/>
      <c r="J2097" s="1"/>
      <c r="K2097" s="1"/>
      <c r="L2097" s="1"/>
      <c r="M2097" s="1"/>
      <c r="N2097" s="1"/>
      <c r="O2097" s="1"/>
      <c r="P2097" s="1"/>
      <c r="Q2097" s="3"/>
      <c r="R2097" s="4"/>
      <c r="S2097" s="4"/>
      <c r="T2097" s="1"/>
      <c r="U2097" s="6"/>
      <c r="V2097" s="1"/>
      <c r="W2097" s="1"/>
      <c r="X2097" s="1"/>
      <c r="Y2097" s="1"/>
      <c r="Z2097" s="1"/>
      <c r="AA2097" s="1"/>
      <c r="AB2097" s="1"/>
      <c r="AC2097" s="1"/>
    </row>
    <row r="2098" spans="1:29">
      <c r="A2098" s="1"/>
      <c r="B2098" s="1"/>
      <c r="C2098" s="73"/>
      <c r="D2098" s="1"/>
      <c r="E2098" s="1"/>
      <c r="F2098" s="1"/>
      <c r="G2098" s="145"/>
      <c r="H2098" s="1"/>
      <c r="I2098" s="1"/>
      <c r="J2098" s="1"/>
      <c r="K2098" s="1"/>
      <c r="L2098" s="1"/>
      <c r="M2098" s="1"/>
      <c r="N2098" s="1"/>
      <c r="O2098" s="1"/>
      <c r="P2098" s="1"/>
      <c r="Q2098" s="3"/>
      <c r="R2098" s="4"/>
      <c r="S2098" s="4"/>
      <c r="T2098" s="1"/>
      <c r="U2098" s="6"/>
      <c r="V2098" s="1"/>
      <c r="W2098" s="1"/>
      <c r="X2098" s="1"/>
      <c r="Y2098" s="1"/>
      <c r="Z2098" s="1"/>
      <c r="AA2098" s="1"/>
      <c r="AB2098" s="1"/>
      <c r="AC2098" s="1"/>
    </row>
    <row r="2099" spans="1:29">
      <c r="A2099" s="1"/>
      <c r="B2099" s="1"/>
      <c r="C2099" s="73"/>
      <c r="D2099" s="1"/>
      <c r="E2099" s="1"/>
      <c r="F2099" s="1"/>
      <c r="G2099" s="145"/>
      <c r="H2099" s="1"/>
      <c r="I2099" s="1"/>
      <c r="J2099" s="1"/>
      <c r="K2099" s="1"/>
      <c r="L2099" s="1"/>
      <c r="M2099" s="1"/>
      <c r="N2099" s="1"/>
      <c r="O2099" s="1"/>
      <c r="P2099" s="1"/>
      <c r="Q2099" s="3"/>
      <c r="R2099" s="4"/>
      <c r="S2099" s="4"/>
      <c r="T2099" s="1"/>
      <c r="U2099" s="6"/>
      <c r="V2099" s="1"/>
      <c r="W2099" s="1"/>
      <c r="X2099" s="1"/>
      <c r="Y2099" s="1"/>
      <c r="Z2099" s="1"/>
      <c r="AA2099" s="1"/>
      <c r="AB2099" s="1"/>
      <c r="AC2099" s="1"/>
    </row>
    <row r="2100" spans="1:29">
      <c r="A2100" s="1"/>
      <c r="B2100" s="1"/>
      <c r="C2100" s="73"/>
      <c r="D2100" s="1"/>
      <c r="E2100" s="1"/>
      <c r="F2100" s="1"/>
      <c r="G2100" s="145"/>
      <c r="H2100" s="1"/>
      <c r="I2100" s="1"/>
      <c r="J2100" s="1"/>
      <c r="K2100" s="1"/>
      <c r="L2100" s="1"/>
      <c r="M2100" s="1"/>
      <c r="N2100" s="1"/>
      <c r="O2100" s="1"/>
      <c r="P2100" s="1"/>
      <c r="Q2100" s="3"/>
      <c r="R2100" s="4"/>
      <c r="S2100" s="4"/>
      <c r="T2100" s="1"/>
      <c r="U2100" s="6"/>
      <c r="V2100" s="1"/>
      <c r="W2100" s="1"/>
      <c r="X2100" s="1"/>
      <c r="Y2100" s="1"/>
      <c r="Z2100" s="1"/>
      <c r="AA2100" s="1"/>
      <c r="AB2100" s="1"/>
      <c r="AC2100" s="1"/>
    </row>
    <row r="2101" spans="1:29">
      <c r="A2101" s="1"/>
      <c r="B2101" s="1"/>
      <c r="C2101" s="73"/>
      <c r="D2101" s="1"/>
      <c r="E2101" s="1"/>
      <c r="F2101" s="1"/>
      <c r="G2101" s="145"/>
      <c r="H2101" s="1"/>
      <c r="I2101" s="1"/>
      <c r="J2101" s="1"/>
      <c r="K2101" s="1"/>
      <c r="L2101" s="1"/>
      <c r="M2101" s="1"/>
      <c r="N2101" s="1"/>
      <c r="O2101" s="1"/>
      <c r="P2101" s="1"/>
      <c r="Q2101" s="3"/>
      <c r="R2101" s="4"/>
      <c r="S2101" s="4"/>
      <c r="T2101" s="1"/>
      <c r="U2101" s="6"/>
      <c r="V2101" s="1"/>
      <c r="W2101" s="1"/>
      <c r="X2101" s="1"/>
      <c r="Y2101" s="1"/>
      <c r="Z2101" s="1"/>
      <c r="AA2101" s="1"/>
      <c r="AB2101" s="1"/>
      <c r="AC2101" s="1"/>
    </row>
    <row r="2102" spans="1:29">
      <c r="A2102" s="1"/>
      <c r="B2102" s="1"/>
      <c r="C2102" s="73"/>
      <c r="D2102" s="1"/>
      <c r="E2102" s="1"/>
      <c r="F2102" s="1"/>
      <c r="G2102" s="145"/>
      <c r="H2102" s="1"/>
      <c r="I2102" s="1"/>
      <c r="J2102" s="1"/>
      <c r="K2102" s="1"/>
      <c r="L2102" s="1"/>
      <c r="M2102" s="1"/>
      <c r="N2102" s="1"/>
      <c r="O2102" s="1"/>
      <c r="P2102" s="1"/>
      <c r="Q2102" s="3"/>
      <c r="R2102" s="4"/>
      <c r="S2102" s="4"/>
      <c r="T2102" s="1"/>
      <c r="U2102" s="6"/>
      <c r="V2102" s="1"/>
      <c r="W2102" s="1"/>
      <c r="X2102" s="1"/>
      <c r="Y2102" s="1"/>
      <c r="Z2102" s="1"/>
      <c r="AA2102" s="1"/>
      <c r="AB2102" s="1"/>
      <c r="AC2102" s="1"/>
    </row>
    <row r="2103" spans="1:29">
      <c r="A2103" s="1"/>
      <c r="B2103" s="1"/>
      <c r="C2103" s="73"/>
      <c r="D2103" s="1"/>
      <c r="E2103" s="1"/>
      <c r="F2103" s="1"/>
      <c r="G2103" s="145"/>
      <c r="H2103" s="1"/>
      <c r="I2103" s="1"/>
      <c r="J2103" s="1"/>
      <c r="K2103" s="1"/>
      <c r="L2103" s="1"/>
      <c r="M2103" s="1"/>
      <c r="N2103" s="1"/>
      <c r="O2103" s="1"/>
      <c r="P2103" s="1"/>
      <c r="Q2103" s="3"/>
      <c r="R2103" s="4"/>
      <c r="S2103" s="4"/>
      <c r="T2103" s="1"/>
      <c r="U2103" s="6"/>
      <c r="V2103" s="1"/>
      <c r="W2103" s="1"/>
      <c r="X2103" s="1"/>
      <c r="Y2103" s="1"/>
      <c r="Z2103" s="1"/>
      <c r="AA2103" s="1"/>
      <c r="AB2103" s="1"/>
      <c r="AC2103" s="1"/>
    </row>
    <row r="2104" spans="1:29">
      <c r="A2104" s="1"/>
      <c r="B2104" s="1"/>
      <c r="C2104" s="73"/>
      <c r="D2104" s="1"/>
      <c r="E2104" s="1"/>
      <c r="F2104" s="1"/>
      <c r="G2104" s="145"/>
      <c r="H2104" s="1"/>
      <c r="I2104" s="1"/>
      <c r="J2104" s="1"/>
      <c r="K2104" s="1"/>
      <c r="L2104" s="1"/>
      <c r="M2104" s="1"/>
      <c r="N2104" s="1"/>
      <c r="O2104" s="1"/>
      <c r="P2104" s="1"/>
      <c r="Q2104" s="3"/>
      <c r="R2104" s="4"/>
      <c r="S2104" s="4"/>
      <c r="T2104" s="1"/>
      <c r="U2104" s="6"/>
      <c r="V2104" s="1"/>
      <c r="W2104" s="1"/>
      <c r="X2104" s="1"/>
      <c r="Y2104" s="1"/>
      <c r="Z2104" s="1"/>
      <c r="AA2104" s="1"/>
      <c r="AB2104" s="1"/>
      <c r="AC2104" s="1"/>
    </row>
    <row r="2105" spans="1:29">
      <c r="A2105" s="1"/>
      <c r="B2105" s="1"/>
      <c r="C2105" s="73"/>
      <c r="D2105" s="1"/>
      <c r="E2105" s="1"/>
      <c r="F2105" s="1"/>
      <c r="G2105" s="145"/>
      <c r="H2105" s="1"/>
      <c r="I2105" s="1"/>
      <c r="J2105" s="1"/>
      <c r="K2105" s="1"/>
      <c r="L2105" s="1"/>
      <c r="M2105" s="1"/>
      <c r="N2105" s="1"/>
      <c r="O2105" s="1"/>
      <c r="P2105" s="1"/>
      <c r="Q2105" s="3"/>
      <c r="R2105" s="4"/>
      <c r="S2105" s="4"/>
      <c r="T2105" s="1"/>
      <c r="U2105" s="6"/>
      <c r="V2105" s="1"/>
      <c r="W2105" s="1"/>
      <c r="X2105" s="1"/>
      <c r="Y2105" s="1"/>
      <c r="Z2105" s="1"/>
      <c r="AA2105" s="1"/>
      <c r="AB2105" s="1"/>
      <c r="AC2105" s="1"/>
    </row>
    <row r="2106" spans="1:29">
      <c r="A2106" s="1"/>
      <c r="B2106" s="1"/>
      <c r="C2106" s="73"/>
      <c r="D2106" s="1"/>
      <c r="E2106" s="1"/>
      <c r="F2106" s="1"/>
      <c r="G2106" s="145"/>
      <c r="H2106" s="1"/>
      <c r="I2106" s="1"/>
      <c r="J2106" s="1"/>
      <c r="K2106" s="1"/>
      <c r="L2106" s="1"/>
      <c r="M2106" s="1"/>
      <c r="N2106" s="1"/>
      <c r="O2106" s="1"/>
      <c r="P2106" s="1"/>
      <c r="Q2106" s="3"/>
      <c r="R2106" s="4"/>
      <c r="S2106" s="4"/>
      <c r="T2106" s="1"/>
      <c r="U2106" s="6"/>
      <c r="V2106" s="1"/>
      <c r="W2106" s="1"/>
      <c r="X2106" s="1"/>
      <c r="Y2106" s="1"/>
      <c r="Z2106" s="1"/>
      <c r="AA2106" s="1"/>
      <c r="AB2106" s="1"/>
      <c r="AC2106" s="1"/>
    </row>
    <row r="2107" spans="1:29">
      <c r="A2107" s="1"/>
      <c r="B2107" s="1"/>
      <c r="C2107" s="73"/>
      <c r="D2107" s="1"/>
      <c r="E2107" s="1"/>
      <c r="F2107" s="1"/>
      <c r="G2107" s="145"/>
      <c r="H2107" s="1"/>
      <c r="I2107" s="1"/>
      <c r="J2107" s="1"/>
      <c r="K2107" s="1"/>
      <c r="L2107" s="1"/>
      <c r="M2107" s="1"/>
      <c r="N2107" s="1"/>
      <c r="O2107" s="1"/>
      <c r="P2107" s="1"/>
      <c r="Q2107" s="3"/>
      <c r="R2107" s="4"/>
      <c r="S2107" s="4"/>
      <c r="T2107" s="1"/>
      <c r="U2107" s="6"/>
      <c r="V2107" s="1"/>
      <c r="W2107" s="1"/>
      <c r="X2107" s="1"/>
      <c r="Y2107" s="1"/>
      <c r="Z2107" s="1"/>
      <c r="AA2107" s="1"/>
      <c r="AB2107" s="1"/>
      <c r="AC2107" s="1"/>
    </row>
    <row r="2108" spans="1:29">
      <c r="A2108" s="1"/>
      <c r="B2108" s="1"/>
      <c r="C2108" s="73"/>
      <c r="D2108" s="1"/>
      <c r="E2108" s="1"/>
      <c r="F2108" s="1"/>
      <c r="G2108" s="145"/>
      <c r="H2108" s="1"/>
      <c r="I2108" s="1"/>
      <c r="J2108" s="1"/>
      <c r="K2108" s="1"/>
      <c r="L2108" s="1"/>
      <c r="M2108" s="1"/>
      <c r="N2108" s="1"/>
      <c r="O2108" s="1"/>
      <c r="P2108" s="1"/>
      <c r="Q2108" s="3"/>
      <c r="R2108" s="4"/>
      <c r="S2108" s="4"/>
      <c r="T2108" s="1"/>
      <c r="U2108" s="6"/>
      <c r="V2108" s="1"/>
      <c r="W2108" s="1"/>
      <c r="X2108" s="1"/>
      <c r="Y2108" s="1"/>
      <c r="Z2108" s="1"/>
      <c r="AA2108" s="1"/>
      <c r="AB2108" s="1"/>
      <c r="AC2108" s="1"/>
    </row>
    <row r="2109" spans="1:29">
      <c r="A2109" s="1"/>
      <c r="B2109" s="1"/>
      <c r="C2109" s="73"/>
      <c r="D2109" s="1"/>
      <c r="E2109" s="1"/>
      <c r="F2109" s="1"/>
      <c r="G2109" s="145"/>
      <c r="H2109" s="1"/>
      <c r="I2109" s="1"/>
      <c r="J2109" s="1"/>
      <c r="K2109" s="1"/>
      <c r="L2109" s="1"/>
      <c r="M2109" s="1"/>
      <c r="N2109" s="1"/>
      <c r="O2109" s="1"/>
      <c r="P2109" s="1"/>
      <c r="Q2109" s="3"/>
      <c r="R2109" s="4"/>
      <c r="S2109" s="4"/>
      <c r="T2109" s="1"/>
      <c r="U2109" s="6"/>
      <c r="V2109" s="1"/>
      <c r="W2109" s="1"/>
      <c r="X2109" s="1"/>
      <c r="Y2109" s="1"/>
      <c r="Z2109" s="1"/>
      <c r="AA2109" s="1"/>
      <c r="AB2109" s="1"/>
      <c r="AC2109" s="1"/>
    </row>
    <row r="2110" spans="1:29">
      <c r="A2110" s="1"/>
      <c r="B2110" s="1"/>
      <c r="C2110" s="73"/>
      <c r="D2110" s="1"/>
      <c r="E2110" s="1"/>
      <c r="F2110" s="1"/>
      <c r="G2110" s="145"/>
      <c r="H2110" s="1"/>
      <c r="I2110" s="1"/>
      <c r="J2110" s="1"/>
      <c r="K2110" s="1"/>
      <c r="L2110" s="1"/>
      <c r="M2110" s="1"/>
      <c r="N2110" s="1"/>
      <c r="O2110" s="1"/>
      <c r="P2110" s="1"/>
      <c r="Q2110" s="3"/>
      <c r="R2110" s="4"/>
      <c r="S2110" s="4"/>
      <c r="T2110" s="1"/>
      <c r="U2110" s="6"/>
      <c r="V2110" s="1"/>
      <c r="W2110" s="1"/>
      <c r="X2110" s="1"/>
      <c r="Y2110" s="1"/>
      <c r="Z2110" s="1"/>
      <c r="AA2110" s="1"/>
      <c r="AB2110" s="1"/>
      <c r="AC2110" s="1"/>
    </row>
    <row r="2111" spans="1:29">
      <c r="A2111" s="1"/>
      <c r="B2111" s="1"/>
      <c r="C2111" s="73"/>
      <c r="D2111" s="1"/>
      <c r="E2111" s="1"/>
      <c r="F2111" s="1"/>
      <c r="G2111" s="145"/>
      <c r="H2111" s="1"/>
      <c r="I2111" s="1"/>
      <c r="J2111" s="1"/>
      <c r="K2111" s="1"/>
      <c r="L2111" s="1"/>
      <c r="M2111" s="1"/>
      <c r="N2111" s="1"/>
      <c r="O2111" s="1"/>
      <c r="P2111" s="1"/>
      <c r="Q2111" s="3"/>
      <c r="R2111" s="4"/>
      <c r="S2111" s="4"/>
      <c r="T2111" s="1"/>
      <c r="U2111" s="6"/>
      <c r="V2111" s="1"/>
      <c r="W2111" s="1"/>
      <c r="X2111" s="1"/>
      <c r="Y2111" s="1"/>
      <c r="Z2111" s="1"/>
      <c r="AA2111" s="1"/>
      <c r="AB2111" s="1"/>
      <c r="AC2111" s="1"/>
    </row>
    <row r="2112" spans="1:29">
      <c r="A2112" s="1"/>
      <c r="B2112" s="1"/>
      <c r="C2112" s="73"/>
      <c r="D2112" s="1"/>
      <c r="E2112" s="1"/>
      <c r="F2112" s="1"/>
      <c r="G2112" s="145"/>
      <c r="H2112" s="1"/>
      <c r="I2112" s="1"/>
      <c r="J2112" s="1"/>
      <c r="K2112" s="1"/>
      <c r="L2112" s="1"/>
      <c r="M2112" s="1"/>
      <c r="N2112" s="1"/>
      <c r="O2112" s="1"/>
      <c r="P2112" s="1"/>
      <c r="Q2112" s="3"/>
      <c r="R2112" s="4"/>
      <c r="S2112" s="4"/>
      <c r="T2112" s="1"/>
      <c r="U2112" s="6"/>
      <c r="V2112" s="1"/>
      <c r="W2112" s="1"/>
      <c r="X2112" s="1"/>
      <c r="Y2112" s="1"/>
      <c r="Z2112" s="1"/>
      <c r="AA2112" s="1"/>
      <c r="AB2112" s="1"/>
      <c r="AC2112" s="1"/>
    </row>
    <row r="2113" spans="1:29">
      <c r="A2113" s="1"/>
      <c r="B2113" s="1"/>
      <c r="C2113" s="73"/>
      <c r="D2113" s="1"/>
      <c r="E2113" s="1"/>
      <c r="F2113" s="1"/>
      <c r="G2113" s="145"/>
      <c r="H2113" s="1"/>
      <c r="I2113" s="1"/>
      <c r="J2113" s="1"/>
      <c r="K2113" s="1"/>
      <c r="L2113" s="1"/>
      <c r="M2113" s="1"/>
      <c r="N2113" s="1"/>
      <c r="O2113" s="1"/>
      <c r="P2113" s="1"/>
      <c r="Q2113" s="3"/>
      <c r="R2113" s="4"/>
      <c r="S2113" s="4"/>
      <c r="T2113" s="1"/>
      <c r="U2113" s="6"/>
      <c r="V2113" s="1"/>
      <c r="W2113" s="1"/>
      <c r="X2113" s="1"/>
      <c r="Y2113" s="1"/>
      <c r="Z2113" s="1"/>
      <c r="AA2113" s="1"/>
      <c r="AB2113" s="1"/>
      <c r="AC2113" s="1"/>
    </row>
    <row r="2114" spans="1:29">
      <c r="A2114" s="1"/>
      <c r="B2114" s="1"/>
      <c r="C2114" s="73"/>
      <c r="D2114" s="1"/>
      <c r="E2114" s="1"/>
      <c r="F2114" s="1"/>
      <c r="G2114" s="145"/>
      <c r="H2114" s="1"/>
      <c r="I2114" s="1"/>
      <c r="J2114" s="1"/>
      <c r="K2114" s="1"/>
      <c r="L2114" s="1"/>
      <c r="M2114" s="1"/>
      <c r="N2114" s="1"/>
      <c r="O2114" s="1"/>
      <c r="P2114" s="1"/>
      <c r="Q2114" s="3"/>
      <c r="R2114" s="4"/>
      <c r="S2114" s="4"/>
      <c r="T2114" s="1"/>
      <c r="U2114" s="6"/>
      <c r="V2114" s="1"/>
      <c r="W2114" s="1"/>
      <c r="X2114" s="1"/>
      <c r="Y2114" s="1"/>
      <c r="Z2114" s="1"/>
      <c r="AA2114" s="1"/>
      <c r="AB2114" s="1"/>
      <c r="AC2114" s="1"/>
    </row>
    <row r="2115" spans="1:29">
      <c r="A2115" s="1"/>
      <c r="B2115" s="1"/>
      <c r="C2115" s="73"/>
      <c r="D2115" s="1"/>
      <c r="E2115" s="1"/>
      <c r="F2115" s="1"/>
      <c r="G2115" s="145"/>
      <c r="H2115" s="1"/>
      <c r="I2115" s="1"/>
      <c r="J2115" s="1"/>
      <c r="K2115" s="1"/>
      <c r="L2115" s="1"/>
      <c r="M2115" s="1"/>
      <c r="N2115" s="1"/>
      <c r="O2115" s="1"/>
      <c r="P2115" s="1"/>
      <c r="Q2115" s="3"/>
      <c r="R2115" s="4"/>
      <c r="S2115" s="4"/>
      <c r="T2115" s="1"/>
      <c r="U2115" s="6"/>
      <c r="V2115" s="1"/>
      <c r="W2115" s="1"/>
      <c r="X2115" s="1"/>
      <c r="Y2115" s="1"/>
      <c r="Z2115" s="1"/>
      <c r="AA2115" s="1"/>
      <c r="AB2115" s="1"/>
      <c r="AC2115" s="1"/>
    </row>
    <row r="2116" spans="1:29">
      <c r="A2116" s="1"/>
      <c r="B2116" s="1"/>
      <c r="C2116" s="73"/>
      <c r="D2116" s="1"/>
      <c r="E2116" s="1"/>
      <c r="F2116" s="1"/>
      <c r="G2116" s="145"/>
      <c r="H2116" s="1"/>
      <c r="I2116" s="1"/>
      <c r="J2116" s="1"/>
      <c r="K2116" s="1"/>
      <c r="L2116" s="1"/>
      <c r="M2116" s="1"/>
      <c r="N2116" s="1"/>
      <c r="O2116" s="1"/>
      <c r="P2116" s="1"/>
      <c r="Q2116" s="3"/>
      <c r="R2116" s="4"/>
      <c r="S2116" s="4"/>
      <c r="T2116" s="1"/>
      <c r="U2116" s="6"/>
      <c r="V2116" s="1"/>
      <c r="W2116" s="1"/>
      <c r="X2116" s="1"/>
      <c r="Y2116" s="1"/>
      <c r="Z2116" s="1"/>
      <c r="AA2116" s="1"/>
      <c r="AB2116" s="1"/>
      <c r="AC2116" s="1"/>
    </row>
    <row r="2117" spans="1:29">
      <c r="A2117" s="1"/>
      <c r="B2117" s="1"/>
      <c r="C2117" s="73"/>
      <c r="D2117" s="1"/>
      <c r="E2117" s="1"/>
      <c r="F2117" s="1"/>
      <c r="G2117" s="145"/>
      <c r="H2117" s="1"/>
      <c r="I2117" s="1"/>
      <c r="J2117" s="1"/>
      <c r="K2117" s="1"/>
      <c r="L2117" s="1"/>
      <c r="M2117" s="1"/>
      <c r="N2117" s="1"/>
      <c r="O2117" s="1"/>
      <c r="P2117" s="1"/>
      <c r="Q2117" s="3"/>
      <c r="R2117" s="4"/>
      <c r="S2117" s="4"/>
      <c r="T2117" s="1"/>
      <c r="U2117" s="6"/>
      <c r="V2117" s="1"/>
      <c r="W2117" s="1"/>
      <c r="X2117" s="1"/>
      <c r="Y2117" s="1"/>
      <c r="Z2117" s="1"/>
      <c r="AA2117" s="1"/>
      <c r="AB2117" s="1"/>
      <c r="AC2117" s="1"/>
    </row>
    <row r="2118" spans="1:29">
      <c r="A2118" s="1"/>
      <c r="B2118" s="1"/>
      <c r="C2118" s="73"/>
      <c r="D2118" s="1"/>
      <c r="E2118" s="1"/>
      <c r="F2118" s="1"/>
      <c r="G2118" s="145"/>
      <c r="H2118" s="1"/>
      <c r="I2118" s="1"/>
      <c r="J2118" s="1"/>
      <c r="K2118" s="1"/>
      <c r="L2118" s="1"/>
      <c r="M2118" s="1"/>
      <c r="N2118" s="1"/>
      <c r="O2118" s="1"/>
      <c r="P2118" s="1"/>
      <c r="Q2118" s="3"/>
      <c r="R2118" s="4"/>
      <c r="S2118" s="4"/>
      <c r="T2118" s="1"/>
      <c r="U2118" s="6"/>
      <c r="V2118" s="1"/>
      <c r="W2118" s="1"/>
      <c r="X2118" s="1"/>
      <c r="Y2118" s="1"/>
      <c r="Z2118" s="1"/>
      <c r="AA2118" s="1"/>
      <c r="AB2118" s="1"/>
      <c r="AC2118" s="1"/>
    </row>
    <row r="2119" spans="1:29">
      <c r="A2119" s="1"/>
      <c r="B2119" s="1"/>
      <c r="C2119" s="73"/>
      <c r="D2119" s="1"/>
      <c r="E2119" s="1"/>
      <c r="F2119" s="1"/>
      <c r="G2119" s="145"/>
      <c r="H2119" s="1"/>
      <c r="I2119" s="1"/>
      <c r="J2119" s="1"/>
      <c r="K2119" s="1"/>
      <c r="L2119" s="1"/>
      <c r="M2119" s="1"/>
      <c r="N2119" s="1"/>
      <c r="O2119" s="1"/>
      <c r="P2119" s="1"/>
      <c r="Q2119" s="3"/>
      <c r="R2119" s="4"/>
      <c r="S2119" s="4"/>
      <c r="T2119" s="1"/>
      <c r="U2119" s="6"/>
      <c r="V2119" s="1"/>
      <c r="W2119" s="1"/>
      <c r="X2119" s="1"/>
      <c r="Y2119" s="1"/>
      <c r="Z2119" s="1"/>
      <c r="AA2119" s="1"/>
      <c r="AB2119" s="1"/>
      <c r="AC2119" s="1"/>
    </row>
    <row r="2120" spans="1:29">
      <c r="A2120" s="1"/>
      <c r="B2120" s="1"/>
      <c r="C2120" s="73"/>
      <c r="D2120" s="1"/>
      <c r="E2120" s="1"/>
      <c r="F2120" s="1"/>
      <c r="G2120" s="145"/>
      <c r="H2120" s="1"/>
      <c r="I2120" s="1"/>
      <c r="J2120" s="1"/>
      <c r="K2120" s="1"/>
      <c r="L2120" s="1"/>
      <c r="M2120" s="1"/>
      <c r="N2120" s="1"/>
      <c r="O2120" s="1"/>
      <c r="P2120" s="1"/>
      <c r="Q2120" s="3"/>
      <c r="R2120" s="4"/>
      <c r="S2120" s="4"/>
      <c r="T2120" s="1"/>
      <c r="U2120" s="6"/>
      <c r="V2120" s="1"/>
      <c r="W2120" s="1"/>
      <c r="X2120" s="1"/>
      <c r="Y2120" s="1"/>
      <c r="Z2120" s="1"/>
      <c r="AA2120" s="1"/>
      <c r="AB2120" s="1"/>
      <c r="AC2120" s="1"/>
    </row>
    <row r="2121" spans="1:29">
      <c r="A2121" s="1"/>
      <c r="B2121" s="1"/>
      <c r="C2121" s="73"/>
      <c r="D2121" s="1"/>
      <c r="E2121" s="1"/>
      <c r="F2121" s="1"/>
      <c r="G2121" s="145"/>
      <c r="H2121" s="1"/>
      <c r="I2121" s="1"/>
      <c r="J2121" s="1"/>
      <c r="K2121" s="1"/>
      <c r="L2121" s="1"/>
      <c r="M2121" s="1"/>
      <c r="N2121" s="1"/>
      <c r="O2121" s="1"/>
      <c r="P2121" s="1"/>
      <c r="Q2121" s="3"/>
      <c r="R2121" s="4"/>
      <c r="S2121" s="4"/>
      <c r="T2121" s="1"/>
      <c r="U2121" s="6"/>
      <c r="V2121" s="1"/>
      <c r="W2121" s="1"/>
      <c r="X2121" s="1"/>
      <c r="Y2121" s="1"/>
      <c r="Z2121" s="1"/>
      <c r="AA2121" s="1"/>
      <c r="AB2121" s="1"/>
      <c r="AC2121" s="1"/>
    </row>
    <row r="2122" spans="1:29">
      <c r="A2122" s="1"/>
      <c r="B2122" s="1"/>
      <c r="C2122" s="73"/>
      <c r="D2122" s="1"/>
      <c r="E2122" s="1"/>
      <c r="F2122" s="1"/>
      <c r="G2122" s="145"/>
      <c r="H2122" s="1"/>
      <c r="I2122" s="1"/>
      <c r="J2122" s="1"/>
      <c r="K2122" s="1"/>
      <c r="L2122" s="1"/>
      <c r="M2122" s="1"/>
      <c r="N2122" s="1"/>
      <c r="O2122" s="1"/>
      <c r="P2122" s="1"/>
      <c r="Q2122" s="3"/>
      <c r="R2122" s="4"/>
      <c r="S2122" s="4"/>
      <c r="T2122" s="1"/>
      <c r="U2122" s="6"/>
      <c r="V2122" s="1"/>
      <c r="W2122" s="1"/>
      <c r="X2122" s="1"/>
      <c r="Y2122" s="1"/>
      <c r="Z2122" s="1"/>
      <c r="AA2122" s="1"/>
      <c r="AB2122" s="1"/>
      <c r="AC2122" s="1"/>
    </row>
    <row r="2123" spans="1:29">
      <c r="A2123" s="1"/>
      <c r="B2123" s="1"/>
      <c r="C2123" s="73"/>
      <c r="D2123" s="1"/>
      <c r="E2123" s="1"/>
      <c r="F2123" s="1"/>
      <c r="G2123" s="145"/>
      <c r="H2123" s="1"/>
      <c r="I2123" s="1"/>
      <c r="J2123" s="1"/>
      <c r="K2123" s="1"/>
      <c r="L2123" s="1"/>
      <c r="M2123" s="1"/>
      <c r="N2123" s="1"/>
      <c r="O2123" s="1"/>
      <c r="P2123" s="1"/>
      <c r="Q2123" s="3"/>
      <c r="R2123" s="4"/>
      <c r="S2123" s="4"/>
      <c r="T2123" s="1"/>
      <c r="U2123" s="6"/>
      <c r="V2123" s="1"/>
      <c r="W2123" s="1"/>
      <c r="X2123" s="1"/>
      <c r="Y2123" s="1"/>
      <c r="Z2123" s="1"/>
      <c r="AA2123" s="1"/>
      <c r="AB2123" s="1"/>
      <c r="AC2123" s="1"/>
    </row>
    <row r="2124" spans="1:29">
      <c r="A2124" s="1"/>
      <c r="B2124" s="1"/>
      <c r="C2124" s="73"/>
      <c r="D2124" s="1"/>
      <c r="E2124" s="1"/>
      <c r="F2124" s="1"/>
      <c r="G2124" s="145"/>
      <c r="H2124" s="1"/>
      <c r="I2124" s="1"/>
      <c r="J2124" s="1"/>
      <c r="K2124" s="1"/>
      <c r="L2124" s="1"/>
      <c r="M2124" s="1"/>
      <c r="N2124" s="1"/>
      <c r="O2124" s="1"/>
      <c r="P2124" s="1"/>
      <c r="Q2124" s="3"/>
      <c r="R2124" s="4"/>
      <c r="S2124" s="4"/>
      <c r="T2124" s="1"/>
      <c r="U2124" s="6"/>
      <c r="V2124" s="1"/>
      <c r="W2124" s="1"/>
      <c r="X2124" s="1"/>
      <c r="Y2124" s="1"/>
      <c r="Z2124" s="1"/>
      <c r="AA2124" s="1"/>
      <c r="AB2124" s="1"/>
      <c r="AC2124" s="1"/>
    </row>
    <row r="2125" spans="1:29">
      <c r="A2125" s="1"/>
      <c r="B2125" s="1"/>
      <c r="C2125" s="73"/>
      <c r="D2125" s="1"/>
      <c r="E2125" s="1"/>
      <c r="F2125" s="1"/>
      <c r="G2125" s="145"/>
      <c r="H2125" s="1"/>
      <c r="I2125" s="1"/>
      <c r="J2125" s="1"/>
      <c r="K2125" s="1"/>
      <c r="L2125" s="1"/>
      <c r="M2125" s="1"/>
      <c r="N2125" s="1"/>
      <c r="O2125" s="1"/>
      <c r="P2125" s="1"/>
      <c r="Q2125" s="3"/>
      <c r="R2125" s="4"/>
      <c r="S2125" s="4"/>
      <c r="T2125" s="1"/>
      <c r="U2125" s="6"/>
      <c r="V2125" s="1"/>
      <c r="W2125" s="1"/>
      <c r="X2125" s="1"/>
      <c r="Y2125" s="1"/>
      <c r="Z2125" s="1"/>
      <c r="AA2125" s="1"/>
      <c r="AB2125" s="1"/>
      <c r="AC2125" s="1"/>
    </row>
    <row r="2126" spans="1:29">
      <c r="A2126" s="1"/>
      <c r="B2126" s="1"/>
      <c r="C2126" s="73"/>
      <c r="D2126" s="1"/>
      <c r="E2126" s="1"/>
      <c r="F2126" s="1"/>
      <c r="G2126" s="145"/>
      <c r="H2126" s="1"/>
      <c r="I2126" s="1"/>
      <c r="J2126" s="1"/>
      <c r="K2126" s="1"/>
      <c r="L2126" s="1"/>
      <c r="M2126" s="1"/>
      <c r="N2126" s="1"/>
      <c r="O2126" s="1"/>
      <c r="P2126" s="1"/>
      <c r="Q2126" s="3"/>
      <c r="R2126" s="4"/>
      <c r="S2126" s="4"/>
      <c r="T2126" s="1"/>
      <c r="U2126" s="6"/>
      <c r="V2126" s="1"/>
      <c r="W2126" s="1"/>
      <c r="X2126" s="1"/>
      <c r="Y2126" s="1"/>
      <c r="Z2126" s="1"/>
      <c r="AA2126" s="1"/>
      <c r="AB2126" s="1"/>
      <c r="AC2126" s="1"/>
    </row>
    <row r="2127" spans="1:29">
      <c r="A2127" s="1"/>
      <c r="B2127" s="1"/>
      <c r="C2127" s="73"/>
      <c r="D2127" s="1"/>
      <c r="E2127" s="1"/>
      <c r="F2127" s="1"/>
      <c r="G2127" s="145"/>
      <c r="H2127" s="1"/>
      <c r="I2127" s="1"/>
      <c r="J2127" s="1"/>
      <c r="K2127" s="1"/>
      <c r="L2127" s="1"/>
      <c r="M2127" s="1"/>
      <c r="N2127" s="1"/>
      <c r="O2127" s="1"/>
      <c r="P2127" s="1"/>
      <c r="Q2127" s="3"/>
      <c r="R2127" s="4"/>
      <c r="S2127" s="4"/>
      <c r="T2127" s="1"/>
      <c r="U2127" s="6"/>
      <c r="V2127" s="1"/>
      <c r="W2127" s="1"/>
      <c r="X2127" s="1"/>
      <c r="Y2127" s="1"/>
      <c r="Z2127" s="1"/>
      <c r="AA2127" s="1"/>
      <c r="AB2127" s="1"/>
      <c r="AC2127" s="1"/>
    </row>
    <row r="2128" spans="1:29">
      <c r="A2128" s="1"/>
      <c r="B2128" s="1"/>
      <c r="C2128" s="73"/>
      <c r="D2128" s="1"/>
      <c r="E2128" s="1"/>
      <c r="F2128" s="1"/>
      <c r="G2128" s="145"/>
      <c r="H2128" s="1"/>
      <c r="I2128" s="1"/>
      <c r="J2128" s="1"/>
      <c r="K2128" s="1"/>
      <c r="L2128" s="1"/>
      <c r="M2128" s="1"/>
      <c r="N2128" s="1"/>
      <c r="O2128" s="1"/>
      <c r="P2128" s="1"/>
      <c r="Q2128" s="3"/>
      <c r="R2128" s="4"/>
      <c r="S2128" s="4"/>
      <c r="T2128" s="1"/>
      <c r="U2128" s="6"/>
      <c r="V2128" s="1"/>
      <c r="W2128" s="1"/>
      <c r="X2128" s="1"/>
      <c r="Y2128" s="1"/>
      <c r="Z2128" s="1"/>
      <c r="AA2128" s="1"/>
      <c r="AB2128" s="1"/>
      <c r="AC2128" s="1"/>
    </row>
    <row r="2129" spans="1:29">
      <c r="A2129" s="1"/>
      <c r="B2129" s="1"/>
      <c r="C2129" s="73"/>
      <c r="D2129" s="1"/>
      <c r="E2129" s="1"/>
      <c r="F2129" s="1"/>
      <c r="G2129" s="145"/>
      <c r="H2129" s="1"/>
      <c r="I2129" s="1"/>
      <c r="J2129" s="1"/>
      <c r="K2129" s="1"/>
      <c r="L2129" s="1"/>
      <c r="M2129" s="1"/>
      <c r="N2129" s="1"/>
      <c r="O2129" s="1"/>
      <c r="P2129" s="1"/>
      <c r="Q2129" s="3"/>
      <c r="R2129" s="4"/>
      <c r="S2129" s="4"/>
      <c r="T2129" s="1"/>
      <c r="U2129" s="6"/>
      <c r="V2129" s="1"/>
      <c r="W2129" s="1"/>
      <c r="X2129" s="1"/>
      <c r="Y2129" s="1"/>
      <c r="Z2129" s="1"/>
      <c r="AA2129" s="1"/>
      <c r="AB2129" s="1"/>
      <c r="AC2129" s="1"/>
    </row>
    <row r="2130" spans="1:29">
      <c r="A2130" s="1"/>
      <c r="B2130" s="1"/>
      <c r="C2130" s="73"/>
      <c r="D2130" s="1"/>
      <c r="E2130" s="1"/>
      <c r="F2130" s="1"/>
      <c r="G2130" s="145"/>
      <c r="H2130" s="1"/>
      <c r="I2130" s="1"/>
      <c r="J2130" s="1"/>
      <c r="K2130" s="1"/>
      <c r="L2130" s="1"/>
      <c r="M2130" s="1"/>
      <c r="N2130" s="1"/>
      <c r="O2130" s="1"/>
      <c r="P2130" s="1"/>
      <c r="Q2130" s="3"/>
      <c r="R2130" s="4"/>
      <c r="S2130" s="4"/>
      <c r="T2130" s="1"/>
      <c r="U2130" s="6"/>
      <c r="V2130" s="1"/>
      <c r="W2130" s="1"/>
      <c r="X2130" s="1"/>
      <c r="Y2130" s="1"/>
      <c r="Z2130" s="1"/>
      <c r="AA2130" s="1"/>
      <c r="AB2130" s="1"/>
      <c r="AC2130" s="1"/>
    </row>
    <row r="2131" spans="1:29">
      <c r="A2131" s="1"/>
      <c r="B2131" s="1"/>
      <c r="C2131" s="73"/>
      <c r="D2131" s="1"/>
      <c r="E2131" s="1"/>
      <c r="F2131" s="1"/>
      <c r="G2131" s="145"/>
      <c r="H2131" s="1"/>
      <c r="I2131" s="1"/>
      <c r="J2131" s="1"/>
      <c r="K2131" s="1"/>
      <c r="L2131" s="1"/>
      <c r="M2131" s="1"/>
      <c r="N2131" s="1"/>
      <c r="O2131" s="1"/>
      <c r="P2131" s="1"/>
      <c r="Q2131" s="3"/>
      <c r="R2131" s="4"/>
      <c r="S2131" s="4"/>
      <c r="T2131" s="1"/>
      <c r="U2131" s="6"/>
      <c r="V2131" s="1"/>
      <c r="W2131" s="1"/>
      <c r="X2131" s="1"/>
      <c r="Y2131" s="1"/>
      <c r="Z2131" s="1"/>
      <c r="AA2131" s="1"/>
      <c r="AB2131" s="1"/>
      <c r="AC2131" s="1"/>
    </row>
    <row r="2132" spans="1:29">
      <c r="A2132" s="1"/>
      <c r="B2132" s="1"/>
      <c r="C2132" s="73"/>
      <c r="D2132" s="1"/>
      <c r="E2132" s="1"/>
      <c r="F2132" s="1"/>
      <c r="G2132" s="145"/>
      <c r="H2132" s="1"/>
      <c r="I2132" s="1"/>
      <c r="J2132" s="1"/>
      <c r="K2132" s="1"/>
      <c r="L2132" s="1"/>
      <c r="M2132" s="1"/>
      <c r="N2132" s="1"/>
      <c r="O2132" s="1"/>
      <c r="P2132" s="1"/>
      <c r="Q2132" s="3"/>
      <c r="R2132" s="4"/>
      <c r="S2132" s="4"/>
      <c r="T2132" s="1"/>
      <c r="U2132" s="6"/>
      <c r="V2132" s="1"/>
      <c r="W2132" s="1"/>
      <c r="X2132" s="1"/>
      <c r="Y2132" s="1"/>
      <c r="Z2132" s="1"/>
      <c r="AA2132" s="1"/>
      <c r="AB2132" s="1"/>
      <c r="AC2132" s="1"/>
    </row>
    <row r="2133" spans="1:29">
      <c r="A2133" s="1"/>
      <c r="B2133" s="1"/>
      <c r="C2133" s="73"/>
      <c r="D2133" s="1"/>
      <c r="E2133" s="1"/>
      <c r="F2133" s="1"/>
      <c r="G2133" s="145"/>
      <c r="H2133" s="1"/>
      <c r="I2133" s="1"/>
      <c r="J2133" s="1"/>
      <c r="K2133" s="1"/>
      <c r="L2133" s="1"/>
      <c r="M2133" s="1"/>
      <c r="N2133" s="1"/>
      <c r="O2133" s="1"/>
      <c r="P2133" s="1"/>
      <c r="Q2133" s="3"/>
      <c r="R2133" s="4"/>
      <c r="S2133" s="4"/>
      <c r="T2133" s="1"/>
      <c r="U2133" s="6"/>
      <c r="V2133" s="1"/>
      <c r="W2133" s="1"/>
      <c r="X2133" s="1"/>
      <c r="Y2133" s="1"/>
      <c r="Z2133" s="1"/>
      <c r="AA2133" s="1"/>
      <c r="AB2133" s="1"/>
      <c r="AC2133" s="1"/>
    </row>
    <row r="2134" spans="1:29">
      <c r="A2134" s="1"/>
      <c r="B2134" s="1"/>
      <c r="C2134" s="73"/>
      <c r="D2134" s="1"/>
      <c r="E2134" s="1"/>
      <c r="F2134" s="1"/>
      <c r="G2134" s="145"/>
      <c r="H2134" s="1"/>
      <c r="I2134" s="1"/>
      <c r="J2134" s="1"/>
      <c r="K2134" s="1"/>
      <c r="L2134" s="1"/>
      <c r="M2134" s="1"/>
      <c r="N2134" s="1"/>
      <c r="O2134" s="1"/>
      <c r="P2134" s="1"/>
      <c r="Q2134" s="3"/>
      <c r="R2134" s="4"/>
      <c r="S2134" s="4"/>
      <c r="T2134" s="1"/>
      <c r="U2134" s="6"/>
      <c r="V2134" s="1"/>
      <c r="W2134" s="1"/>
      <c r="X2134" s="1"/>
      <c r="Y2134" s="1"/>
      <c r="Z2134" s="1"/>
      <c r="AA2134" s="1"/>
      <c r="AB2134" s="1"/>
      <c r="AC2134" s="1"/>
    </row>
    <row r="2135" spans="1:29">
      <c r="A2135" s="1"/>
      <c r="B2135" s="1"/>
      <c r="C2135" s="73"/>
      <c r="D2135" s="1"/>
      <c r="E2135" s="1"/>
      <c r="F2135" s="1"/>
      <c r="G2135" s="145"/>
      <c r="H2135" s="1"/>
      <c r="I2135" s="1"/>
      <c r="J2135" s="1"/>
      <c r="K2135" s="1"/>
      <c r="L2135" s="1"/>
      <c r="M2135" s="1"/>
      <c r="N2135" s="1"/>
      <c r="O2135" s="1"/>
      <c r="P2135" s="1"/>
      <c r="Q2135" s="3"/>
      <c r="R2135" s="4"/>
      <c r="S2135" s="4"/>
      <c r="T2135" s="1"/>
      <c r="U2135" s="6"/>
      <c r="V2135" s="1"/>
      <c r="W2135" s="1"/>
      <c r="X2135" s="1"/>
      <c r="Y2135" s="1"/>
      <c r="Z2135" s="1"/>
      <c r="AA2135" s="1"/>
      <c r="AB2135" s="1"/>
      <c r="AC2135" s="1"/>
    </row>
    <row r="2136" spans="1:29">
      <c r="A2136" s="1"/>
      <c r="B2136" s="1"/>
      <c r="C2136" s="73"/>
      <c r="D2136" s="1"/>
      <c r="E2136" s="1"/>
      <c r="F2136" s="1"/>
      <c r="G2136" s="145"/>
      <c r="H2136" s="1"/>
      <c r="I2136" s="1"/>
      <c r="J2136" s="1"/>
      <c r="K2136" s="1"/>
      <c r="L2136" s="1"/>
      <c r="M2136" s="1"/>
      <c r="N2136" s="1"/>
      <c r="O2136" s="1"/>
      <c r="P2136" s="1"/>
      <c r="Q2136" s="3"/>
      <c r="R2136" s="4"/>
      <c r="S2136" s="4"/>
      <c r="T2136" s="1"/>
      <c r="U2136" s="6"/>
      <c r="V2136" s="1"/>
      <c r="W2136" s="1"/>
      <c r="X2136" s="1"/>
      <c r="Y2136" s="1"/>
      <c r="Z2136" s="1"/>
      <c r="AA2136" s="1"/>
      <c r="AB2136" s="1"/>
      <c r="AC2136" s="1"/>
    </row>
    <row r="2137" spans="1:29">
      <c r="A2137" s="1"/>
      <c r="B2137" s="1"/>
      <c r="C2137" s="73"/>
      <c r="D2137" s="1"/>
      <c r="E2137" s="1"/>
      <c r="F2137" s="1"/>
      <c r="G2137" s="145"/>
      <c r="H2137" s="1"/>
      <c r="I2137" s="1"/>
      <c r="J2137" s="1"/>
      <c r="K2137" s="1"/>
      <c r="L2137" s="1"/>
      <c r="M2137" s="1"/>
      <c r="N2137" s="1"/>
      <c r="O2137" s="1"/>
      <c r="P2137" s="1"/>
      <c r="Q2137" s="3"/>
      <c r="R2137" s="4"/>
      <c r="S2137" s="4"/>
      <c r="T2137" s="1"/>
      <c r="U2137" s="6"/>
      <c r="V2137" s="1"/>
      <c r="W2137" s="1"/>
      <c r="X2137" s="1"/>
      <c r="Y2137" s="1"/>
      <c r="Z2137" s="1"/>
      <c r="AA2137" s="1"/>
      <c r="AB2137" s="1"/>
      <c r="AC2137" s="1"/>
    </row>
    <row r="2138" spans="1:29">
      <c r="A2138" s="1"/>
      <c r="B2138" s="1"/>
      <c r="C2138" s="73"/>
      <c r="D2138" s="1"/>
      <c r="E2138" s="1"/>
      <c r="F2138" s="1"/>
      <c r="G2138" s="145"/>
      <c r="H2138" s="1"/>
      <c r="I2138" s="1"/>
      <c r="J2138" s="1"/>
      <c r="K2138" s="1"/>
      <c r="L2138" s="1"/>
      <c r="M2138" s="1"/>
      <c r="N2138" s="1"/>
      <c r="O2138" s="1"/>
      <c r="P2138" s="1"/>
      <c r="Q2138" s="3"/>
      <c r="R2138" s="4"/>
      <c r="S2138" s="4"/>
      <c r="T2138" s="1"/>
      <c r="U2138" s="6"/>
      <c r="V2138" s="1"/>
      <c r="W2138" s="1"/>
      <c r="X2138" s="1"/>
      <c r="Y2138" s="1"/>
      <c r="Z2138" s="1"/>
      <c r="AA2138" s="1"/>
      <c r="AB2138" s="1"/>
      <c r="AC2138" s="1"/>
    </row>
    <row r="2139" spans="1:29">
      <c r="A2139" s="1"/>
      <c r="B2139" s="1"/>
      <c r="C2139" s="73"/>
      <c r="D2139" s="1"/>
      <c r="E2139" s="1"/>
      <c r="F2139" s="1"/>
      <c r="G2139" s="145"/>
      <c r="H2139" s="1"/>
      <c r="I2139" s="1"/>
      <c r="J2139" s="1"/>
      <c r="K2139" s="1"/>
      <c r="L2139" s="1"/>
      <c r="M2139" s="1"/>
      <c r="N2139" s="1"/>
      <c r="O2139" s="1"/>
      <c r="P2139" s="1"/>
      <c r="Q2139" s="3"/>
      <c r="R2139" s="4"/>
      <c r="S2139" s="4"/>
      <c r="T2139" s="1"/>
      <c r="U2139" s="6"/>
      <c r="V2139" s="1"/>
      <c r="W2139" s="1"/>
      <c r="X2139" s="1"/>
      <c r="Y2139" s="1"/>
      <c r="Z2139" s="1"/>
      <c r="AA2139" s="1"/>
      <c r="AB2139" s="1"/>
      <c r="AC2139" s="1"/>
    </row>
    <row r="2140" spans="1:29">
      <c r="A2140" s="1"/>
      <c r="B2140" s="1"/>
      <c r="C2140" s="73"/>
      <c r="D2140" s="1"/>
      <c r="E2140" s="1"/>
      <c r="F2140" s="1"/>
      <c r="G2140" s="145"/>
      <c r="H2140" s="1"/>
      <c r="I2140" s="1"/>
      <c r="J2140" s="1"/>
      <c r="K2140" s="1"/>
      <c r="L2140" s="1"/>
      <c r="M2140" s="1"/>
      <c r="N2140" s="1"/>
      <c r="O2140" s="1"/>
      <c r="P2140" s="1"/>
      <c r="Q2140" s="3"/>
      <c r="R2140" s="4"/>
      <c r="S2140" s="4"/>
      <c r="T2140" s="1"/>
      <c r="U2140" s="6"/>
      <c r="V2140" s="1"/>
      <c r="W2140" s="1"/>
      <c r="X2140" s="1"/>
      <c r="Y2140" s="1"/>
      <c r="Z2140" s="1"/>
      <c r="AA2140" s="1"/>
      <c r="AB2140" s="1"/>
      <c r="AC2140" s="1"/>
    </row>
    <row r="2141" spans="1:29">
      <c r="A2141" s="1"/>
      <c r="B2141" s="1"/>
      <c r="C2141" s="73"/>
      <c r="D2141" s="1"/>
      <c r="E2141" s="1"/>
      <c r="F2141" s="1"/>
      <c r="G2141" s="145"/>
      <c r="H2141" s="1"/>
      <c r="I2141" s="1"/>
      <c r="J2141" s="1"/>
      <c r="K2141" s="1"/>
      <c r="L2141" s="1"/>
      <c r="M2141" s="1"/>
      <c r="N2141" s="1"/>
      <c r="O2141" s="1"/>
      <c r="P2141" s="1"/>
      <c r="Q2141" s="3"/>
      <c r="R2141" s="4"/>
      <c r="S2141" s="4"/>
      <c r="T2141" s="1"/>
      <c r="U2141" s="6"/>
      <c r="V2141" s="1"/>
      <c r="W2141" s="1"/>
      <c r="X2141" s="1"/>
      <c r="Y2141" s="1"/>
      <c r="Z2141" s="1"/>
      <c r="AA2141" s="1"/>
      <c r="AB2141" s="1"/>
      <c r="AC2141" s="1"/>
    </row>
    <row r="2142" spans="1:29">
      <c r="A2142" s="1"/>
      <c r="B2142" s="1"/>
      <c r="C2142" s="73"/>
      <c r="D2142" s="1"/>
      <c r="E2142" s="1"/>
      <c r="F2142" s="1"/>
      <c r="G2142" s="145"/>
      <c r="H2142" s="1"/>
      <c r="I2142" s="1"/>
      <c r="J2142" s="1"/>
      <c r="K2142" s="1"/>
      <c r="L2142" s="1"/>
      <c r="M2142" s="1"/>
      <c r="N2142" s="1"/>
      <c r="O2142" s="1"/>
      <c r="P2142" s="1"/>
      <c r="Q2142" s="3"/>
      <c r="R2142" s="4"/>
      <c r="S2142" s="4"/>
      <c r="T2142" s="1"/>
      <c r="U2142" s="6"/>
      <c r="V2142" s="1"/>
      <c r="W2142" s="1"/>
      <c r="X2142" s="1"/>
      <c r="Y2142" s="1"/>
      <c r="Z2142" s="1"/>
      <c r="AA2142" s="1"/>
      <c r="AB2142" s="1"/>
      <c r="AC2142" s="1"/>
    </row>
    <row r="2143" spans="1:29">
      <c r="A2143" s="1"/>
      <c r="B2143" s="1"/>
      <c r="C2143" s="73"/>
      <c r="D2143" s="1"/>
      <c r="E2143" s="1"/>
      <c r="F2143" s="1"/>
      <c r="G2143" s="145"/>
      <c r="H2143" s="1"/>
      <c r="I2143" s="1"/>
      <c r="J2143" s="1"/>
      <c r="K2143" s="1"/>
      <c r="L2143" s="1"/>
      <c r="M2143" s="1"/>
      <c r="N2143" s="1"/>
      <c r="O2143" s="1"/>
      <c r="P2143" s="1"/>
      <c r="Q2143" s="3"/>
      <c r="R2143" s="4"/>
      <c r="S2143" s="4"/>
      <c r="T2143" s="1"/>
      <c r="U2143" s="6"/>
      <c r="V2143" s="1"/>
      <c r="W2143" s="1"/>
      <c r="X2143" s="1"/>
      <c r="Y2143" s="1"/>
      <c r="Z2143" s="1"/>
      <c r="AA2143" s="1"/>
      <c r="AB2143" s="1"/>
      <c r="AC2143" s="1"/>
    </row>
    <row r="2144" spans="1:29">
      <c r="A2144" s="1"/>
      <c r="B2144" s="1"/>
      <c r="C2144" s="73"/>
      <c r="D2144" s="1"/>
      <c r="E2144" s="1"/>
      <c r="F2144" s="1"/>
      <c r="G2144" s="145"/>
      <c r="H2144" s="1"/>
      <c r="I2144" s="1"/>
      <c r="J2144" s="1"/>
      <c r="K2144" s="1"/>
      <c r="L2144" s="1"/>
      <c r="M2144" s="1"/>
      <c r="N2144" s="1"/>
      <c r="O2144" s="1"/>
      <c r="P2144" s="1"/>
      <c r="Q2144" s="3"/>
      <c r="R2144" s="4"/>
      <c r="S2144" s="4"/>
      <c r="T2144" s="1"/>
      <c r="U2144" s="6"/>
      <c r="V2144" s="1"/>
      <c r="W2144" s="1"/>
      <c r="X2144" s="1"/>
      <c r="Y2144" s="1"/>
      <c r="Z2144" s="1"/>
      <c r="AA2144" s="1"/>
      <c r="AB2144" s="1"/>
      <c r="AC2144" s="1"/>
    </row>
    <row r="2145" spans="1:29">
      <c r="A2145" s="1"/>
      <c r="B2145" s="1"/>
      <c r="C2145" s="73"/>
      <c r="D2145" s="1"/>
      <c r="E2145" s="1"/>
      <c r="F2145" s="1"/>
      <c r="G2145" s="145"/>
      <c r="H2145" s="1"/>
      <c r="I2145" s="1"/>
      <c r="J2145" s="1"/>
      <c r="K2145" s="1"/>
      <c r="L2145" s="1"/>
      <c r="M2145" s="1"/>
      <c r="N2145" s="1"/>
      <c r="O2145" s="1"/>
      <c r="P2145" s="1"/>
      <c r="Q2145" s="3"/>
      <c r="R2145" s="4"/>
      <c r="S2145" s="4"/>
      <c r="T2145" s="1"/>
      <c r="U2145" s="6"/>
      <c r="V2145" s="1"/>
      <c r="W2145" s="1"/>
      <c r="X2145" s="1"/>
      <c r="Y2145" s="1"/>
      <c r="Z2145" s="1"/>
      <c r="AA2145" s="1"/>
      <c r="AB2145" s="1"/>
      <c r="AC2145" s="1"/>
    </row>
    <row r="2146" spans="1:29">
      <c r="A2146" s="1"/>
      <c r="B2146" s="1"/>
      <c r="C2146" s="73"/>
      <c r="D2146" s="1"/>
      <c r="E2146" s="1"/>
      <c r="F2146" s="1"/>
      <c r="G2146" s="145"/>
      <c r="H2146" s="1"/>
      <c r="I2146" s="1"/>
      <c r="J2146" s="1"/>
      <c r="K2146" s="1"/>
      <c r="L2146" s="1"/>
      <c r="M2146" s="1"/>
      <c r="N2146" s="1"/>
      <c r="O2146" s="1"/>
      <c r="P2146" s="1"/>
      <c r="Q2146" s="3"/>
      <c r="R2146" s="4"/>
      <c r="S2146" s="4"/>
      <c r="T2146" s="1"/>
      <c r="U2146" s="6"/>
      <c r="V2146" s="1"/>
      <c r="W2146" s="1"/>
      <c r="X2146" s="1"/>
      <c r="Y2146" s="1"/>
      <c r="Z2146" s="1"/>
      <c r="AA2146" s="1"/>
      <c r="AB2146" s="1"/>
      <c r="AC2146" s="1"/>
    </row>
    <row r="2147" spans="1:29">
      <c r="A2147" s="1"/>
      <c r="B2147" s="1"/>
      <c r="C2147" s="73"/>
      <c r="D2147" s="1"/>
      <c r="E2147" s="1"/>
      <c r="F2147" s="1"/>
      <c r="G2147" s="145"/>
      <c r="H2147" s="1"/>
      <c r="I2147" s="1"/>
      <c r="J2147" s="1"/>
      <c r="K2147" s="1"/>
      <c r="L2147" s="1"/>
      <c r="M2147" s="1"/>
      <c r="N2147" s="1"/>
      <c r="O2147" s="1"/>
      <c r="P2147" s="1"/>
      <c r="Q2147" s="3"/>
      <c r="R2147" s="4"/>
      <c r="S2147" s="4"/>
      <c r="T2147" s="1"/>
      <c r="U2147" s="6"/>
      <c r="V2147" s="1"/>
      <c r="W2147" s="1"/>
      <c r="X2147" s="1"/>
      <c r="Y2147" s="1"/>
      <c r="Z2147" s="1"/>
      <c r="AA2147" s="1"/>
      <c r="AB2147" s="1"/>
      <c r="AC2147" s="1"/>
    </row>
    <row r="2148" spans="1:29">
      <c r="A2148" s="1"/>
      <c r="B2148" s="1"/>
      <c r="C2148" s="73"/>
      <c r="D2148" s="1"/>
      <c r="E2148" s="1"/>
      <c r="F2148" s="1"/>
      <c r="G2148" s="145"/>
      <c r="H2148" s="1"/>
      <c r="I2148" s="1"/>
      <c r="J2148" s="1"/>
      <c r="K2148" s="1"/>
      <c r="L2148" s="1"/>
      <c r="M2148" s="1"/>
      <c r="N2148" s="1"/>
      <c r="O2148" s="1"/>
      <c r="P2148" s="1"/>
      <c r="Q2148" s="3"/>
      <c r="R2148" s="4"/>
      <c r="S2148" s="4"/>
      <c r="T2148" s="1"/>
      <c r="U2148" s="6"/>
      <c r="V2148" s="1"/>
      <c r="W2148" s="1"/>
      <c r="X2148" s="1"/>
      <c r="Y2148" s="1"/>
      <c r="Z2148" s="1"/>
      <c r="AA2148" s="1"/>
      <c r="AB2148" s="1"/>
      <c r="AC2148" s="1"/>
    </row>
    <row r="2149" spans="1:29">
      <c r="A2149" s="1"/>
      <c r="B2149" s="1"/>
      <c r="C2149" s="73"/>
      <c r="D2149" s="1"/>
      <c r="E2149" s="1"/>
      <c r="F2149" s="1"/>
      <c r="G2149" s="145"/>
      <c r="H2149" s="1"/>
      <c r="I2149" s="1"/>
      <c r="J2149" s="1"/>
      <c r="K2149" s="1"/>
      <c r="L2149" s="1"/>
      <c r="M2149" s="1"/>
      <c r="N2149" s="1"/>
      <c r="O2149" s="1"/>
      <c r="P2149" s="1"/>
      <c r="Q2149" s="3"/>
      <c r="R2149" s="4"/>
      <c r="S2149" s="4"/>
      <c r="T2149" s="1"/>
      <c r="U2149" s="6"/>
      <c r="V2149" s="1"/>
      <c r="W2149" s="1"/>
      <c r="X2149" s="1"/>
      <c r="Y2149" s="1"/>
      <c r="Z2149" s="1"/>
      <c r="AA2149" s="1"/>
      <c r="AB2149" s="1"/>
      <c r="AC2149" s="1"/>
    </row>
    <row r="2150" spans="1:29">
      <c r="A2150" s="1"/>
      <c r="B2150" s="1"/>
      <c r="C2150" s="73"/>
      <c r="D2150" s="1"/>
      <c r="E2150" s="1"/>
      <c r="F2150" s="1"/>
      <c r="G2150" s="145"/>
      <c r="H2150" s="1"/>
      <c r="I2150" s="1"/>
      <c r="J2150" s="1"/>
      <c r="K2150" s="1"/>
      <c r="L2150" s="1"/>
      <c r="M2150" s="1"/>
      <c r="N2150" s="1"/>
      <c r="O2150" s="1"/>
      <c r="P2150" s="1"/>
      <c r="Q2150" s="3"/>
      <c r="R2150" s="4"/>
      <c r="S2150" s="4"/>
      <c r="T2150" s="1"/>
      <c r="U2150" s="6"/>
      <c r="V2150" s="1"/>
      <c r="W2150" s="1"/>
      <c r="X2150" s="1"/>
      <c r="Y2150" s="1"/>
      <c r="Z2150" s="1"/>
      <c r="AA2150" s="1"/>
      <c r="AB2150" s="1"/>
      <c r="AC2150" s="1"/>
    </row>
    <row r="2151" spans="1:29">
      <c r="A2151" s="1"/>
      <c r="B2151" s="1"/>
      <c r="C2151" s="73"/>
      <c r="D2151" s="1"/>
      <c r="E2151" s="1"/>
      <c r="F2151" s="1"/>
      <c r="G2151" s="145"/>
      <c r="H2151" s="1"/>
      <c r="I2151" s="1"/>
      <c r="J2151" s="1"/>
      <c r="K2151" s="1"/>
      <c r="L2151" s="1"/>
      <c r="M2151" s="1"/>
      <c r="N2151" s="1"/>
      <c r="O2151" s="1"/>
      <c r="P2151" s="1"/>
      <c r="Q2151" s="3"/>
      <c r="R2151" s="4"/>
      <c r="S2151" s="4"/>
      <c r="T2151" s="1"/>
      <c r="U2151" s="6"/>
      <c r="V2151" s="1"/>
      <c r="W2151" s="1"/>
      <c r="X2151" s="1"/>
      <c r="Y2151" s="1"/>
      <c r="Z2151" s="1"/>
      <c r="AA2151" s="1"/>
      <c r="AB2151" s="1"/>
      <c r="AC2151" s="1"/>
    </row>
    <row r="2152" spans="1:29">
      <c r="A2152" s="1"/>
      <c r="B2152" s="1"/>
      <c r="C2152" s="73"/>
      <c r="D2152" s="1"/>
      <c r="E2152" s="1"/>
      <c r="F2152" s="1"/>
      <c r="G2152" s="145"/>
      <c r="H2152" s="1"/>
      <c r="I2152" s="1"/>
      <c r="J2152" s="1"/>
      <c r="K2152" s="1"/>
      <c r="L2152" s="1"/>
      <c r="M2152" s="1"/>
      <c r="N2152" s="1"/>
      <c r="O2152" s="1"/>
      <c r="P2152" s="1"/>
      <c r="Q2152" s="3"/>
      <c r="R2152" s="4"/>
      <c r="S2152" s="4"/>
      <c r="T2152" s="1"/>
      <c r="U2152" s="6"/>
      <c r="V2152" s="1"/>
      <c r="W2152" s="1"/>
      <c r="X2152" s="1"/>
      <c r="Y2152" s="1"/>
      <c r="Z2152" s="1"/>
      <c r="AA2152" s="1"/>
      <c r="AB2152" s="1"/>
      <c r="AC2152" s="1"/>
    </row>
    <row r="2153" spans="1:29">
      <c r="A2153" s="1"/>
      <c r="B2153" s="1"/>
      <c r="C2153" s="73"/>
      <c r="D2153" s="1"/>
      <c r="E2153" s="1"/>
      <c r="F2153" s="1"/>
      <c r="G2153" s="145"/>
      <c r="H2153" s="1"/>
      <c r="I2153" s="1"/>
      <c r="J2153" s="1"/>
      <c r="K2153" s="1"/>
      <c r="L2153" s="1"/>
      <c r="M2153" s="1"/>
      <c r="N2153" s="1"/>
      <c r="O2153" s="1"/>
      <c r="P2153" s="1"/>
      <c r="Q2153" s="3"/>
      <c r="R2153" s="4"/>
      <c r="S2153" s="4"/>
      <c r="T2153" s="1"/>
      <c r="U2153" s="6"/>
      <c r="V2153" s="1"/>
      <c r="W2153" s="1"/>
      <c r="X2153" s="1"/>
      <c r="Y2153" s="1"/>
      <c r="Z2153" s="1"/>
      <c r="AA2153" s="1"/>
      <c r="AB2153" s="1"/>
      <c r="AC2153" s="1"/>
    </row>
    <row r="2154" spans="1:29">
      <c r="A2154" s="1"/>
      <c r="B2154" s="1"/>
      <c r="C2154" s="73"/>
      <c r="D2154" s="1"/>
      <c r="E2154" s="1"/>
      <c r="F2154" s="1"/>
      <c r="G2154" s="145"/>
      <c r="H2154" s="1"/>
      <c r="I2154" s="1"/>
      <c r="J2154" s="1"/>
      <c r="K2154" s="1"/>
      <c r="L2154" s="1"/>
      <c r="M2154" s="1"/>
      <c r="N2154" s="1"/>
      <c r="O2154" s="1"/>
      <c r="P2154" s="1"/>
      <c r="Q2154" s="3"/>
      <c r="R2154" s="4"/>
      <c r="S2154" s="4"/>
      <c r="T2154" s="1"/>
      <c r="U2154" s="6"/>
      <c r="V2154" s="1"/>
      <c r="W2154" s="1"/>
      <c r="X2154" s="1"/>
      <c r="Y2154" s="1"/>
      <c r="Z2154" s="1"/>
      <c r="AA2154" s="1"/>
      <c r="AB2154" s="1"/>
      <c r="AC2154" s="1"/>
    </row>
    <row r="2155" spans="1:29">
      <c r="A2155" s="1"/>
      <c r="B2155" s="1"/>
      <c r="C2155" s="73"/>
      <c r="D2155" s="1"/>
      <c r="E2155" s="1"/>
      <c r="F2155" s="1"/>
      <c r="G2155" s="145"/>
      <c r="H2155" s="1"/>
      <c r="I2155" s="1"/>
      <c r="J2155" s="1"/>
      <c r="K2155" s="1"/>
      <c r="L2155" s="1"/>
      <c r="M2155" s="1"/>
      <c r="N2155" s="1"/>
      <c r="O2155" s="1"/>
      <c r="P2155" s="1"/>
      <c r="Q2155" s="3"/>
      <c r="R2155" s="4"/>
      <c r="S2155" s="4"/>
      <c r="T2155" s="1"/>
      <c r="U2155" s="6"/>
      <c r="V2155" s="1"/>
      <c r="W2155" s="1"/>
      <c r="X2155" s="1"/>
      <c r="Y2155" s="1"/>
      <c r="Z2155" s="1"/>
      <c r="AA2155" s="1"/>
      <c r="AB2155" s="1"/>
      <c r="AC2155" s="1"/>
    </row>
    <row r="2156" spans="1:29">
      <c r="A2156" s="1"/>
      <c r="B2156" s="1"/>
      <c r="C2156" s="73"/>
      <c r="D2156" s="1"/>
      <c r="E2156" s="1"/>
      <c r="F2156" s="1"/>
      <c r="G2156" s="145"/>
      <c r="H2156" s="1"/>
      <c r="I2156" s="1"/>
      <c r="J2156" s="1"/>
      <c r="K2156" s="1"/>
      <c r="L2156" s="1"/>
      <c r="M2156" s="1"/>
      <c r="N2156" s="1"/>
      <c r="O2156" s="1"/>
      <c r="P2156" s="1"/>
      <c r="Q2156" s="3"/>
      <c r="R2156" s="4"/>
      <c r="S2156" s="4"/>
      <c r="T2156" s="1"/>
      <c r="U2156" s="6"/>
      <c r="V2156" s="1"/>
      <c r="W2156" s="1"/>
      <c r="X2156" s="1"/>
      <c r="Y2156" s="1"/>
      <c r="Z2156" s="1"/>
      <c r="AA2156" s="1"/>
      <c r="AB2156" s="1"/>
      <c r="AC2156" s="1"/>
    </row>
    <row r="2157" spans="1:29">
      <c r="A2157" s="1"/>
      <c r="B2157" s="1"/>
      <c r="C2157" s="73"/>
      <c r="D2157" s="1"/>
      <c r="E2157" s="1"/>
      <c r="F2157" s="1"/>
      <c r="G2157" s="145"/>
      <c r="H2157" s="1"/>
      <c r="I2157" s="1"/>
      <c r="J2157" s="1"/>
      <c r="K2157" s="1"/>
      <c r="L2157" s="1"/>
      <c r="M2157" s="1"/>
      <c r="N2157" s="1"/>
      <c r="O2157" s="1"/>
      <c r="P2157" s="1"/>
      <c r="Q2157" s="3"/>
      <c r="R2157" s="4"/>
      <c r="S2157" s="4"/>
      <c r="T2157" s="1"/>
      <c r="U2157" s="6"/>
      <c r="V2157" s="1"/>
      <c r="W2157" s="1"/>
      <c r="X2157" s="1"/>
      <c r="Y2157" s="1"/>
      <c r="Z2157" s="1"/>
      <c r="AA2157" s="1"/>
      <c r="AB2157" s="1"/>
      <c r="AC2157" s="1"/>
    </row>
    <row r="2158" spans="1:29">
      <c r="A2158" s="1"/>
      <c r="B2158" s="1"/>
      <c r="C2158" s="73"/>
      <c r="D2158" s="1"/>
      <c r="E2158" s="1"/>
      <c r="F2158" s="1"/>
      <c r="G2158" s="145"/>
      <c r="H2158" s="1"/>
      <c r="I2158" s="1"/>
      <c r="J2158" s="1"/>
      <c r="K2158" s="1"/>
      <c r="L2158" s="1"/>
      <c r="M2158" s="1"/>
      <c r="N2158" s="1"/>
      <c r="O2158" s="1"/>
      <c r="P2158" s="1"/>
      <c r="Q2158" s="3"/>
      <c r="R2158" s="4"/>
      <c r="S2158" s="4"/>
      <c r="T2158" s="1"/>
      <c r="U2158" s="6"/>
      <c r="V2158" s="1"/>
      <c r="W2158" s="1"/>
      <c r="X2158" s="1"/>
      <c r="Y2158" s="1"/>
      <c r="Z2158" s="1"/>
      <c r="AA2158" s="1"/>
      <c r="AB2158" s="1"/>
      <c r="AC2158" s="1"/>
    </row>
    <row r="2159" spans="1:29">
      <c r="A2159" s="1"/>
      <c r="B2159" s="1"/>
      <c r="C2159" s="73"/>
      <c r="D2159" s="1"/>
      <c r="E2159" s="1"/>
      <c r="F2159" s="1"/>
      <c r="G2159" s="145"/>
      <c r="H2159" s="1"/>
      <c r="I2159" s="1"/>
      <c r="J2159" s="1"/>
      <c r="K2159" s="1"/>
      <c r="L2159" s="1"/>
      <c r="M2159" s="1"/>
      <c r="N2159" s="1"/>
      <c r="O2159" s="1"/>
      <c r="P2159" s="1"/>
      <c r="Q2159" s="3"/>
      <c r="R2159" s="4"/>
      <c r="S2159" s="4"/>
      <c r="T2159" s="1"/>
      <c r="U2159" s="6"/>
      <c r="V2159" s="1"/>
      <c r="W2159" s="1"/>
      <c r="X2159" s="1"/>
      <c r="Y2159" s="1"/>
      <c r="Z2159" s="1"/>
      <c r="AA2159" s="1"/>
      <c r="AB2159" s="1"/>
      <c r="AC2159" s="1"/>
    </row>
    <row r="2160" spans="1:29">
      <c r="A2160" s="1"/>
      <c r="B2160" s="1"/>
      <c r="C2160" s="73"/>
      <c r="D2160" s="1"/>
      <c r="E2160" s="1"/>
      <c r="F2160" s="1"/>
      <c r="G2160" s="145"/>
      <c r="H2160" s="1"/>
      <c r="I2160" s="1"/>
      <c r="J2160" s="1"/>
      <c r="K2160" s="1"/>
      <c r="L2160" s="1"/>
      <c r="M2160" s="1"/>
      <c r="N2160" s="1"/>
      <c r="O2160" s="1"/>
      <c r="P2160" s="1"/>
      <c r="Q2160" s="3"/>
      <c r="R2160" s="4"/>
      <c r="S2160" s="4"/>
      <c r="T2160" s="1"/>
      <c r="U2160" s="6"/>
      <c r="V2160" s="1"/>
      <c r="W2160" s="1"/>
      <c r="X2160" s="1"/>
      <c r="Y2160" s="1"/>
      <c r="Z2160" s="1"/>
      <c r="AA2160" s="1"/>
      <c r="AB2160" s="1"/>
      <c r="AC2160" s="1"/>
    </row>
    <row r="2161" spans="1:29">
      <c r="A2161" s="1"/>
      <c r="B2161" s="1"/>
      <c r="C2161" s="73"/>
      <c r="D2161" s="1"/>
      <c r="E2161" s="1"/>
      <c r="F2161" s="1"/>
      <c r="G2161" s="145"/>
      <c r="H2161" s="1"/>
      <c r="I2161" s="1"/>
      <c r="J2161" s="1"/>
      <c r="K2161" s="1"/>
      <c r="L2161" s="1"/>
      <c r="M2161" s="1"/>
      <c r="N2161" s="1"/>
      <c r="O2161" s="1"/>
      <c r="P2161" s="1"/>
      <c r="Q2161" s="3"/>
      <c r="R2161" s="4"/>
      <c r="S2161" s="4"/>
      <c r="T2161" s="1"/>
      <c r="U2161" s="6"/>
      <c r="V2161" s="1"/>
      <c r="W2161" s="1"/>
      <c r="X2161" s="1"/>
      <c r="Y2161" s="1"/>
      <c r="Z2161" s="1"/>
      <c r="AA2161" s="1"/>
      <c r="AB2161" s="1"/>
      <c r="AC2161" s="1"/>
    </row>
    <row r="2162" spans="1:29">
      <c r="A2162" s="1"/>
      <c r="B2162" s="1"/>
      <c r="C2162" s="73"/>
      <c r="D2162" s="1"/>
      <c r="E2162" s="1"/>
      <c r="F2162" s="1"/>
      <c r="G2162" s="145"/>
      <c r="H2162" s="1"/>
      <c r="I2162" s="1"/>
      <c r="J2162" s="1"/>
      <c r="K2162" s="1"/>
      <c r="L2162" s="1"/>
      <c r="M2162" s="1"/>
      <c r="N2162" s="1"/>
      <c r="O2162" s="1"/>
      <c r="P2162" s="1"/>
      <c r="Q2162" s="3"/>
      <c r="R2162" s="4"/>
      <c r="S2162" s="4"/>
      <c r="T2162" s="1"/>
      <c r="U2162" s="6"/>
      <c r="V2162" s="1"/>
      <c r="W2162" s="1"/>
      <c r="X2162" s="1"/>
      <c r="Y2162" s="1"/>
      <c r="Z2162" s="1"/>
      <c r="AA2162" s="1"/>
      <c r="AB2162" s="1"/>
      <c r="AC2162" s="1"/>
    </row>
    <row r="2163" spans="1:29">
      <c r="A2163" s="1"/>
      <c r="B2163" s="1"/>
      <c r="C2163" s="73"/>
      <c r="D2163" s="1"/>
      <c r="E2163" s="1"/>
      <c r="F2163" s="1"/>
      <c r="G2163" s="145"/>
      <c r="H2163" s="1"/>
      <c r="I2163" s="1"/>
      <c r="J2163" s="1"/>
      <c r="K2163" s="1"/>
      <c r="L2163" s="1"/>
      <c r="M2163" s="1"/>
      <c r="N2163" s="1"/>
      <c r="O2163" s="1"/>
      <c r="P2163" s="1"/>
      <c r="Q2163" s="3"/>
      <c r="R2163" s="4"/>
      <c r="S2163" s="4"/>
      <c r="T2163" s="1"/>
      <c r="U2163" s="6"/>
      <c r="V2163" s="1"/>
      <c r="W2163" s="1"/>
      <c r="X2163" s="1"/>
      <c r="Y2163" s="1"/>
      <c r="Z2163" s="1"/>
      <c r="AA2163" s="1"/>
      <c r="AB2163" s="1"/>
      <c r="AC2163" s="1"/>
    </row>
    <row r="2164" spans="1:29">
      <c r="A2164" s="1"/>
      <c r="B2164" s="1"/>
      <c r="C2164" s="73"/>
      <c r="D2164" s="1"/>
      <c r="E2164" s="1"/>
      <c r="F2164" s="1"/>
      <c r="G2164" s="145"/>
      <c r="H2164" s="1"/>
      <c r="I2164" s="1"/>
      <c r="J2164" s="1"/>
      <c r="K2164" s="1"/>
      <c r="L2164" s="1"/>
      <c r="M2164" s="1"/>
      <c r="N2164" s="1"/>
      <c r="O2164" s="1"/>
      <c r="P2164" s="1"/>
      <c r="Q2164" s="3"/>
      <c r="R2164" s="4"/>
      <c r="S2164" s="4"/>
      <c r="T2164" s="1"/>
      <c r="U2164" s="6"/>
      <c r="V2164" s="1"/>
      <c r="W2164" s="1"/>
      <c r="X2164" s="1"/>
      <c r="Y2164" s="1"/>
      <c r="Z2164" s="1"/>
      <c r="AA2164" s="1"/>
      <c r="AB2164" s="1"/>
      <c r="AC2164" s="1"/>
    </row>
    <row r="2165" spans="1:29">
      <c r="A2165" s="1"/>
      <c r="B2165" s="1"/>
      <c r="C2165" s="73"/>
      <c r="D2165" s="1"/>
      <c r="E2165" s="1"/>
      <c r="F2165" s="1"/>
      <c r="G2165" s="145"/>
      <c r="H2165" s="1"/>
      <c r="I2165" s="1"/>
      <c r="J2165" s="1"/>
      <c r="K2165" s="1"/>
      <c r="L2165" s="1"/>
      <c r="M2165" s="1"/>
      <c r="N2165" s="1"/>
      <c r="O2165" s="1"/>
      <c r="P2165" s="1"/>
      <c r="Q2165" s="3"/>
      <c r="R2165" s="4"/>
      <c r="S2165" s="4"/>
      <c r="T2165" s="1"/>
      <c r="U2165" s="6"/>
      <c r="V2165" s="1"/>
      <c r="W2165" s="1"/>
      <c r="X2165" s="1"/>
      <c r="Y2165" s="1"/>
      <c r="Z2165" s="1"/>
      <c r="AA2165" s="1"/>
      <c r="AB2165" s="1"/>
      <c r="AC2165" s="1"/>
    </row>
    <row r="2166" spans="1:29">
      <c r="A2166" s="1"/>
      <c r="B2166" s="1"/>
      <c r="C2166" s="73"/>
      <c r="D2166" s="1"/>
      <c r="E2166" s="1"/>
      <c r="F2166" s="1"/>
      <c r="G2166" s="145"/>
      <c r="H2166" s="1"/>
      <c r="I2166" s="1"/>
      <c r="J2166" s="1"/>
      <c r="K2166" s="1"/>
      <c r="L2166" s="1"/>
      <c r="M2166" s="1"/>
      <c r="N2166" s="1"/>
      <c r="O2166" s="1"/>
      <c r="P2166" s="1"/>
      <c r="Q2166" s="3"/>
      <c r="R2166" s="4"/>
      <c r="S2166" s="4"/>
      <c r="T2166" s="1"/>
      <c r="U2166" s="6"/>
      <c r="V2166" s="1"/>
      <c r="W2166" s="1"/>
      <c r="X2166" s="1"/>
      <c r="Y2166" s="1"/>
      <c r="Z2166" s="1"/>
      <c r="AA2166" s="1"/>
      <c r="AB2166" s="1"/>
      <c r="AC2166" s="1"/>
    </row>
    <row r="2167" spans="1:29">
      <c r="A2167" s="1"/>
      <c r="B2167" s="1"/>
      <c r="C2167" s="73"/>
      <c r="D2167" s="1"/>
      <c r="E2167" s="1"/>
      <c r="F2167" s="1"/>
      <c r="G2167" s="145"/>
      <c r="H2167" s="1"/>
      <c r="I2167" s="1"/>
      <c r="J2167" s="1"/>
      <c r="K2167" s="1"/>
      <c r="L2167" s="1"/>
      <c r="M2167" s="1"/>
      <c r="N2167" s="1"/>
      <c r="O2167" s="1"/>
      <c r="P2167" s="1"/>
      <c r="Q2167" s="3"/>
      <c r="R2167" s="4"/>
      <c r="S2167" s="4"/>
      <c r="T2167" s="1"/>
      <c r="U2167" s="6"/>
      <c r="V2167" s="1"/>
      <c r="W2167" s="1"/>
      <c r="X2167" s="1"/>
      <c r="Y2167" s="1"/>
      <c r="Z2167" s="1"/>
      <c r="AA2167" s="1"/>
      <c r="AB2167" s="1"/>
      <c r="AC2167" s="1"/>
    </row>
    <row r="2168" spans="1:29">
      <c r="A2168" s="1"/>
      <c r="B2168" s="1"/>
      <c r="C2168" s="73"/>
      <c r="D2168" s="1"/>
      <c r="E2168" s="1"/>
      <c r="F2168" s="1"/>
      <c r="G2168" s="145"/>
      <c r="H2168" s="1"/>
      <c r="I2168" s="1"/>
      <c r="J2168" s="1"/>
      <c r="K2168" s="1"/>
      <c r="L2168" s="1"/>
      <c r="M2168" s="1"/>
      <c r="N2168" s="1"/>
      <c r="O2168" s="1"/>
      <c r="P2168" s="1"/>
      <c r="Q2168" s="3"/>
      <c r="R2168" s="4"/>
      <c r="S2168" s="4"/>
      <c r="T2168" s="1"/>
      <c r="U2168" s="6"/>
      <c r="V2168" s="1"/>
      <c r="W2168" s="1"/>
      <c r="X2168" s="1"/>
      <c r="Y2168" s="1"/>
      <c r="Z2168" s="1"/>
      <c r="AA2168" s="1"/>
      <c r="AB2168" s="1"/>
      <c r="AC2168" s="1"/>
    </row>
    <row r="2169" spans="1:29">
      <c r="A2169" s="1"/>
      <c r="B2169" s="1"/>
      <c r="C2169" s="73"/>
      <c r="D2169" s="1"/>
      <c r="E2169" s="1"/>
      <c r="F2169" s="1"/>
      <c r="G2169" s="145"/>
      <c r="H2169" s="1"/>
      <c r="I2169" s="1"/>
      <c r="J2169" s="1"/>
      <c r="K2169" s="1"/>
      <c r="L2169" s="1"/>
      <c r="M2169" s="1"/>
      <c r="N2169" s="1"/>
      <c r="O2169" s="1"/>
      <c r="P2169" s="1"/>
      <c r="Q2169" s="3"/>
      <c r="R2169" s="4"/>
      <c r="S2169" s="4"/>
      <c r="T2169" s="1"/>
      <c r="U2169" s="6"/>
      <c r="V2169" s="1"/>
      <c r="W2169" s="1"/>
      <c r="X2169" s="1"/>
      <c r="Y2169" s="1"/>
      <c r="Z2169" s="1"/>
      <c r="AA2169" s="1"/>
      <c r="AB2169" s="1"/>
      <c r="AC2169" s="1"/>
    </row>
    <row r="2170" spans="1:29">
      <c r="A2170" s="1"/>
      <c r="B2170" s="1"/>
      <c r="C2170" s="73"/>
      <c r="D2170" s="1"/>
      <c r="E2170" s="1"/>
      <c r="F2170" s="1"/>
      <c r="G2170" s="145"/>
      <c r="H2170" s="1"/>
      <c r="I2170" s="1"/>
      <c r="J2170" s="1"/>
      <c r="K2170" s="1"/>
      <c r="L2170" s="1"/>
      <c r="M2170" s="1"/>
      <c r="N2170" s="1"/>
      <c r="O2170" s="1"/>
      <c r="P2170" s="1"/>
      <c r="Q2170" s="3"/>
      <c r="R2170" s="4"/>
      <c r="S2170" s="4"/>
      <c r="T2170" s="1"/>
      <c r="U2170" s="6"/>
      <c r="V2170" s="1"/>
      <c r="W2170" s="1"/>
      <c r="X2170" s="1"/>
      <c r="Y2170" s="1"/>
      <c r="Z2170" s="1"/>
      <c r="AA2170" s="1"/>
      <c r="AB2170" s="1"/>
      <c r="AC2170" s="1"/>
    </row>
    <row r="2171" spans="1:29">
      <c r="A2171" s="1"/>
      <c r="B2171" s="1"/>
      <c r="C2171" s="73"/>
      <c r="D2171" s="1"/>
      <c r="E2171" s="1"/>
      <c r="F2171" s="1"/>
      <c r="G2171" s="145"/>
      <c r="H2171" s="1"/>
      <c r="I2171" s="1"/>
      <c r="J2171" s="1"/>
      <c r="K2171" s="1"/>
      <c r="L2171" s="1"/>
      <c r="M2171" s="1"/>
      <c r="N2171" s="1"/>
      <c r="O2171" s="1"/>
      <c r="P2171" s="1"/>
      <c r="Q2171" s="3"/>
      <c r="R2171" s="4"/>
      <c r="S2171" s="4"/>
      <c r="T2171" s="1"/>
      <c r="U2171" s="6"/>
      <c r="V2171" s="1"/>
      <c r="W2171" s="1"/>
      <c r="X2171" s="1"/>
      <c r="Y2171" s="1"/>
      <c r="Z2171" s="1"/>
      <c r="AA2171" s="1"/>
      <c r="AB2171" s="1"/>
      <c r="AC2171" s="1"/>
    </row>
    <row r="2172" spans="1:29">
      <c r="A2172" s="1"/>
      <c r="B2172" s="1"/>
      <c r="C2172" s="73"/>
      <c r="D2172" s="1"/>
      <c r="E2172" s="1"/>
      <c r="F2172" s="1"/>
      <c r="G2172" s="145"/>
      <c r="H2172" s="1"/>
      <c r="I2172" s="1"/>
      <c r="J2172" s="1"/>
      <c r="K2172" s="1"/>
      <c r="L2172" s="1"/>
      <c r="M2172" s="1"/>
      <c r="N2172" s="1"/>
      <c r="O2172" s="1"/>
      <c r="P2172" s="1"/>
      <c r="Q2172" s="3"/>
      <c r="R2172" s="4"/>
      <c r="S2172" s="4"/>
      <c r="T2172" s="1"/>
      <c r="U2172" s="6"/>
      <c r="V2172" s="1"/>
      <c r="W2172" s="1"/>
      <c r="X2172" s="1"/>
      <c r="Y2172" s="1"/>
      <c r="Z2172" s="1"/>
      <c r="AA2172" s="1"/>
      <c r="AB2172" s="1"/>
      <c r="AC2172" s="1"/>
    </row>
    <row r="2173" spans="1:29">
      <c r="A2173" s="1"/>
      <c r="B2173" s="1"/>
      <c r="C2173" s="73"/>
      <c r="D2173" s="1"/>
      <c r="E2173" s="1"/>
      <c r="F2173" s="1"/>
      <c r="G2173" s="145"/>
      <c r="H2173" s="1"/>
      <c r="I2173" s="1"/>
      <c r="J2173" s="1"/>
      <c r="K2173" s="1"/>
      <c r="L2173" s="1"/>
      <c r="M2173" s="1"/>
      <c r="N2173" s="1"/>
      <c r="O2173" s="1"/>
      <c r="P2173" s="1"/>
      <c r="Q2173" s="3"/>
      <c r="R2173" s="4"/>
      <c r="S2173" s="4"/>
      <c r="T2173" s="1"/>
      <c r="U2173" s="6"/>
      <c r="V2173" s="1"/>
      <c r="W2173" s="1"/>
      <c r="X2173" s="1"/>
      <c r="Y2173" s="1"/>
      <c r="Z2173" s="1"/>
      <c r="AA2173" s="1"/>
      <c r="AB2173" s="1"/>
      <c r="AC2173" s="1"/>
    </row>
    <row r="2174" spans="1:29">
      <c r="A2174" s="1"/>
      <c r="B2174" s="1"/>
      <c r="C2174" s="73"/>
      <c r="D2174" s="1"/>
      <c r="E2174" s="1"/>
      <c r="F2174" s="1"/>
      <c r="G2174" s="145"/>
      <c r="H2174" s="1"/>
      <c r="I2174" s="1"/>
      <c r="J2174" s="1"/>
      <c r="K2174" s="1"/>
      <c r="L2174" s="1"/>
      <c r="M2174" s="1"/>
      <c r="N2174" s="1"/>
      <c r="O2174" s="1"/>
      <c r="P2174" s="1"/>
      <c r="Q2174" s="3"/>
      <c r="R2174" s="4"/>
      <c r="S2174" s="4"/>
      <c r="T2174" s="1"/>
      <c r="U2174" s="6"/>
      <c r="V2174" s="1"/>
      <c r="W2174" s="1"/>
      <c r="X2174" s="1"/>
      <c r="Y2174" s="1"/>
      <c r="Z2174" s="1"/>
      <c r="AA2174" s="1"/>
      <c r="AB2174" s="1"/>
      <c r="AC2174" s="1"/>
    </row>
    <row r="2175" spans="1:29">
      <c r="A2175" s="1"/>
      <c r="B2175" s="1"/>
      <c r="C2175" s="73"/>
      <c r="D2175" s="1"/>
      <c r="E2175" s="1"/>
      <c r="F2175" s="1"/>
      <c r="G2175" s="145"/>
      <c r="H2175" s="1"/>
      <c r="I2175" s="1"/>
      <c r="J2175" s="1"/>
      <c r="K2175" s="1"/>
      <c r="L2175" s="1"/>
      <c r="M2175" s="1"/>
      <c r="N2175" s="1"/>
      <c r="O2175" s="1"/>
      <c r="P2175" s="1"/>
      <c r="Q2175" s="3"/>
      <c r="R2175" s="4"/>
      <c r="S2175" s="4"/>
      <c r="T2175" s="1"/>
      <c r="U2175" s="6"/>
      <c r="V2175" s="1"/>
      <c r="W2175" s="1"/>
      <c r="X2175" s="1"/>
      <c r="Y2175" s="1"/>
      <c r="Z2175" s="1"/>
      <c r="AA2175" s="1"/>
      <c r="AB2175" s="1"/>
      <c r="AC2175" s="1"/>
    </row>
    <row r="2176" spans="1:29">
      <c r="A2176" s="1"/>
      <c r="B2176" s="1"/>
      <c r="C2176" s="73"/>
      <c r="D2176" s="1"/>
      <c r="E2176" s="1"/>
      <c r="F2176" s="1"/>
      <c r="G2176" s="145"/>
      <c r="H2176" s="1"/>
      <c r="I2176" s="1"/>
      <c r="J2176" s="1"/>
      <c r="K2176" s="1"/>
      <c r="L2176" s="1"/>
      <c r="M2176" s="1"/>
      <c r="N2176" s="1"/>
      <c r="O2176" s="1"/>
      <c r="P2176" s="1"/>
      <c r="Q2176" s="3"/>
      <c r="R2176" s="4"/>
      <c r="S2176" s="4"/>
      <c r="T2176" s="1"/>
      <c r="U2176" s="6"/>
      <c r="V2176" s="1"/>
      <c r="W2176" s="1"/>
      <c r="X2176" s="1"/>
      <c r="Y2176" s="1"/>
      <c r="Z2176" s="1"/>
      <c r="AA2176" s="1"/>
      <c r="AB2176" s="1"/>
      <c r="AC2176" s="1"/>
    </row>
    <row r="2177" spans="1:29">
      <c r="A2177" s="1"/>
      <c r="B2177" s="1"/>
      <c r="C2177" s="73"/>
      <c r="D2177" s="1"/>
      <c r="E2177" s="1"/>
      <c r="F2177" s="1"/>
      <c r="G2177" s="145"/>
      <c r="H2177" s="1"/>
      <c r="I2177" s="1"/>
      <c r="J2177" s="1"/>
      <c r="K2177" s="1"/>
      <c r="L2177" s="1"/>
      <c r="M2177" s="1"/>
      <c r="N2177" s="1"/>
      <c r="O2177" s="1"/>
      <c r="P2177" s="1"/>
      <c r="Q2177" s="3"/>
      <c r="R2177" s="4"/>
      <c r="S2177" s="4"/>
      <c r="T2177" s="1"/>
      <c r="U2177" s="6"/>
      <c r="V2177" s="1"/>
      <c r="W2177" s="1"/>
      <c r="X2177" s="1"/>
      <c r="Y2177" s="1"/>
      <c r="Z2177" s="1"/>
      <c r="AA2177" s="1"/>
      <c r="AB2177" s="1"/>
      <c r="AC2177" s="1"/>
    </row>
    <row r="2178" spans="1:29">
      <c r="A2178" s="1"/>
      <c r="B2178" s="1"/>
      <c r="C2178" s="73"/>
      <c r="D2178" s="1"/>
      <c r="E2178" s="1"/>
      <c r="F2178" s="1"/>
      <c r="G2178" s="145"/>
      <c r="H2178" s="1"/>
      <c r="I2178" s="1"/>
      <c r="J2178" s="1"/>
      <c r="K2178" s="1"/>
      <c r="L2178" s="1"/>
      <c r="M2178" s="1"/>
      <c r="N2178" s="1"/>
      <c r="O2178" s="1"/>
      <c r="P2178" s="1"/>
      <c r="Q2178" s="3"/>
      <c r="R2178" s="4"/>
      <c r="S2178" s="4"/>
      <c r="T2178" s="1"/>
      <c r="U2178" s="6"/>
      <c r="V2178" s="1"/>
      <c r="W2178" s="1"/>
      <c r="X2178" s="1"/>
      <c r="Y2178" s="1"/>
      <c r="Z2178" s="1"/>
      <c r="AA2178" s="1"/>
      <c r="AB2178" s="1"/>
      <c r="AC2178" s="1"/>
    </row>
    <row r="2179" spans="1:29">
      <c r="A2179" s="1"/>
      <c r="B2179" s="1"/>
      <c r="C2179" s="73"/>
      <c r="D2179" s="1"/>
      <c r="E2179" s="1"/>
      <c r="F2179" s="1"/>
      <c r="G2179" s="145"/>
      <c r="H2179" s="1"/>
      <c r="I2179" s="1"/>
      <c r="J2179" s="1"/>
      <c r="K2179" s="1"/>
      <c r="L2179" s="1"/>
      <c r="M2179" s="1"/>
      <c r="N2179" s="1"/>
      <c r="O2179" s="1"/>
      <c r="P2179" s="1"/>
      <c r="Q2179" s="3"/>
      <c r="R2179" s="4"/>
      <c r="S2179" s="4"/>
      <c r="T2179" s="1"/>
      <c r="U2179" s="6"/>
      <c r="V2179" s="1"/>
      <c r="W2179" s="1"/>
      <c r="X2179" s="1"/>
      <c r="Y2179" s="1"/>
      <c r="Z2179" s="1"/>
      <c r="AA2179" s="1"/>
      <c r="AB2179" s="1"/>
      <c r="AC2179" s="1"/>
    </row>
    <row r="2180" spans="1:29">
      <c r="A2180" s="1"/>
      <c r="B2180" s="1"/>
      <c r="C2180" s="73"/>
      <c r="D2180" s="1"/>
      <c r="E2180" s="1"/>
      <c r="F2180" s="1"/>
      <c r="G2180" s="145"/>
      <c r="H2180" s="1"/>
      <c r="I2180" s="1"/>
      <c r="J2180" s="1"/>
      <c r="K2180" s="1"/>
      <c r="L2180" s="1"/>
      <c r="M2180" s="1"/>
      <c r="N2180" s="1"/>
      <c r="O2180" s="1"/>
      <c r="P2180" s="1"/>
      <c r="Q2180" s="3"/>
      <c r="R2180" s="4"/>
      <c r="S2180" s="4"/>
      <c r="T2180" s="1"/>
      <c r="U2180" s="6"/>
      <c r="V2180" s="1"/>
      <c r="W2180" s="1"/>
      <c r="X2180" s="1"/>
      <c r="Y2180" s="1"/>
      <c r="Z2180" s="1"/>
      <c r="AA2180" s="1"/>
      <c r="AB2180" s="1"/>
      <c r="AC2180" s="1"/>
    </row>
    <row r="2181" spans="1:29">
      <c r="A2181" s="1"/>
      <c r="B2181" s="1"/>
      <c r="C2181" s="73"/>
      <c r="D2181" s="1"/>
      <c r="E2181" s="1"/>
      <c r="F2181" s="1"/>
      <c r="G2181" s="145"/>
      <c r="H2181" s="1"/>
      <c r="I2181" s="1"/>
      <c r="J2181" s="1"/>
      <c r="K2181" s="1"/>
      <c r="L2181" s="1"/>
      <c r="M2181" s="1"/>
      <c r="N2181" s="1"/>
      <c r="O2181" s="1"/>
      <c r="P2181" s="1"/>
      <c r="Q2181" s="3"/>
      <c r="R2181" s="4"/>
      <c r="S2181" s="4"/>
      <c r="T2181" s="1"/>
      <c r="U2181" s="6"/>
      <c r="V2181" s="1"/>
      <c r="W2181" s="1"/>
      <c r="X2181" s="1"/>
      <c r="Y2181" s="1"/>
      <c r="Z2181" s="1"/>
      <c r="AA2181" s="1"/>
      <c r="AB2181" s="1"/>
      <c r="AC2181" s="1"/>
    </row>
    <row r="2182" spans="1:29">
      <c r="A2182" s="1"/>
      <c r="B2182" s="1"/>
      <c r="C2182" s="73"/>
      <c r="D2182" s="1"/>
      <c r="E2182" s="1"/>
      <c r="F2182" s="1"/>
      <c r="G2182" s="145"/>
      <c r="H2182" s="1"/>
      <c r="I2182" s="1"/>
      <c r="J2182" s="1"/>
      <c r="K2182" s="1"/>
      <c r="L2182" s="1"/>
      <c r="M2182" s="1"/>
      <c r="N2182" s="1"/>
      <c r="O2182" s="1"/>
      <c r="P2182" s="1"/>
      <c r="Q2182" s="3"/>
      <c r="R2182" s="4"/>
      <c r="S2182" s="4"/>
      <c r="T2182" s="1"/>
      <c r="U2182" s="6"/>
      <c r="V2182" s="1"/>
      <c r="W2182" s="1"/>
      <c r="X2182" s="1"/>
      <c r="Y2182" s="1"/>
      <c r="Z2182" s="1"/>
      <c r="AA2182" s="1"/>
      <c r="AB2182" s="1"/>
      <c r="AC2182" s="1"/>
    </row>
    <row r="2183" spans="1:29">
      <c r="A2183" s="1"/>
      <c r="B2183" s="1"/>
      <c r="C2183" s="73"/>
      <c r="D2183" s="1"/>
      <c r="E2183" s="1"/>
      <c r="F2183" s="1"/>
      <c r="G2183" s="145"/>
      <c r="H2183" s="1"/>
      <c r="I2183" s="1"/>
      <c r="J2183" s="1"/>
      <c r="K2183" s="1"/>
      <c r="L2183" s="1"/>
      <c r="M2183" s="1"/>
      <c r="N2183" s="1"/>
      <c r="O2183" s="1"/>
      <c r="P2183" s="1"/>
      <c r="Q2183" s="3"/>
      <c r="R2183" s="4"/>
      <c r="S2183" s="4"/>
      <c r="T2183" s="1"/>
      <c r="U2183" s="6"/>
      <c r="V2183" s="1"/>
      <c r="W2183" s="1"/>
      <c r="X2183" s="1"/>
      <c r="Y2183" s="1"/>
      <c r="Z2183" s="1"/>
      <c r="AA2183" s="1"/>
      <c r="AB2183" s="1"/>
      <c r="AC2183" s="1"/>
    </row>
    <row r="2184" spans="1:29">
      <c r="A2184" s="1"/>
      <c r="B2184" s="1"/>
      <c r="C2184" s="73"/>
      <c r="D2184" s="1"/>
      <c r="E2184" s="1"/>
      <c r="F2184" s="1"/>
      <c r="G2184" s="145"/>
      <c r="H2184" s="1"/>
      <c r="I2184" s="1"/>
      <c r="J2184" s="1"/>
      <c r="K2184" s="1"/>
      <c r="L2184" s="1"/>
      <c r="M2184" s="1"/>
      <c r="N2184" s="1"/>
      <c r="O2184" s="1"/>
      <c r="P2184" s="1"/>
      <c r="Q2184" s="3"/>
      <c r="R2184" s="4"/>
      <c r="S2184" s="4"/>
      <c r="T2184" s="1"/>
      <c r="U2184" s="6"/>
      <c r="V2184" s="1"/>
      <c r="W2184" s="1"/>
      <c r="X2184" s="1"/>
      <c r="Y2184" s="1"/>
      <c r="Z2184" s="1"/>
      <c r="AA2184" s="1"/>
      <c r="AB2184" s="1"/>
      <c r="AC2184" s="1"/>
    </row>
    <row r="2185" spans="1:29">
      <c r="A2185" s="1"/>
      <c r="B2185" s="1"/>
      <c r="C2185" s="73"/>
      <c r="D2185" s="1"/>
      <c r="E2185" s="1"/>
      <c r="F2185" s="1"/>
      <c r="G2185" s="145"/>
      <c r="H2185" s="1"/>
      <c r="I2185" s="1"/>
      <c r="J2185" s="1"/>
      <c r="K2185" s="1"/>
      <c r="L2185" s="1"/>
      <c r="M2185" s="1"/>
      <c r="N2185" s="1"/>
      <c r="O2185" s="1"/>
      <c r="P2185" s="1"/>
      <c r="Q2185" s="3"/>
      <c r="R2185" s="4"/>
      <c r="S2185" s="4"/>
      <c r="T2185" s="1"/>
      <c r="U2185" s="6"/>
      <c r="V2185" s="1"/>
      <c r="W2185" s="1"/>
      <c r="X2185" s="1"/>
      <c r="Y2185" s="1"/>
      <c r="Z2185" s="1"/>
      <c r="AA2185" s="1"/>
      <c r="AB2185" s="1"/>
      <c r="AC2185" s="1"/>
    </row>
    <row r="2186" spans="1:29">
      <c r="A2186" s="1"/>
      <c r="B2186" s="1"/>
      <c r="C2186" s="73"/>
      <c r="D2186" s="1"/>
      <c r="E2186" s="1"/>
      <c r="F2186" s="1"/>
      <c r="G2186" s="145"/>
      <c r="H2186" s="1"/>
      <c r="I2186" s="1"/>
      <c r="J2186" s="1"/>
      <c r="K2186" s="1"/>
      <c r="L2186" s="1"/>
      <c r="M2186" s="1"/>
      <c r="N2186" s="1"/>
      <c r="O2186" s="1"/>
      <c r="P2186" s="1"/>
      <c r="Q2186" s="3"/>
      <c r="R2186" s="4"/>
      <c r="S2186" s="4"/>
      <c r="T2186" s="1"/>
      <c r="U2186" s="6"/>
      <c r="V2186" s="1"/>
      <c r="W2186" s="1"/>
      <c r="X2186" s="1"/>
      <c r="Y2186" s="1"/>
      <c r="Z2186" s="1"/>
      <c r="AA2186" s="1"/>
      <c r="AB2186" s="1"/>
      <c r="AC2186" s="1"/>
    </row>
    <row r="2187" spans="1:29">
      <c r="A2187" s="1"/>
      <c r="B2187" s="1"/>
      <c r="C2187" s="73"/>
      <c r="D2187" s="1"/>
      <c r="E2187" s="1"/>
      <c r="F2187" s="1"/>
      <c r="G2187" s="145"/>
      <c r="H2187" s="1"/>
      <c r="I2187" s="1"/>
      <c r="J2187" s="1"/>
      <c r="K2187" s="1"/>
      <c r="L2187" s="1"/>
      <c r="M2187" s="1"/>
      <c r="N2187" s="1"/>
      <c r="O2187" s="1"/>
      <c r="P2187" s="1"/>
      <c r="Q2187" s="3"/>
      <c r="R2187" s="4"/>
      <c r="S2187" s="4"/>
      <c r="T2187" s="1"/>
      <c r="U2187" s="6"/>
      <c r="V2187" s="1"/>
      <c r="W2187" s="1"/>
      <c r="X2187" s="1"/>
      <c r="Y2187" s="1"/>
      <c r="Z2187" s="1"/>
      <c r="AA2187" s="1"/>
      <c r="AB2187" s="1"/>
      <c r="AC2187" s="1"/>
    </row>
    <row r="2188" spans="1:29">
      <c r="A2188" s="1"/>
      <c r="B2188" s="1"/>
      <c r="C2188" s="73"/>
      <c r="D2188" s="1"/>
      <c r="E2188" s="1"/>
      <c r="F2188" s="1"/>
      <c r="G2188" s="145"/>
      <c r="H2188" s="1"/>
      <c r="I2188" s="1"/>
      <c r="J2188" s="1"/>
      <c r="K2188" s="1"/>
      <c r="L2188" s="1"/>
      <c r="M2188" s="1"/>
      <c r="N2188" s="1"/>
      <c r="O2188" s="1"/>
      <c r="P2188" s="1"/>
      <c r="Q2188" s="3"/>
      <c r="R2188" s="4"/>
      <c r="S2188" s="4"/>
      <c r="T2188" s="1"/>
      <c r="U2188" s="6"/>
      <c r="V2188" s="1"/>
      <c r="W2188" s="1"/>
      <c r="X2188" s="1"/>
      <c r="Y2188" s="1"/>
      <c r="Z2188" s="1"/>
      <c r="AA2188" s="1"/>
      <c r="AB2188" s="1"/>
      <c r="AC2188" s="1"/>
    </row>
    <row r="2189" spans="1:29">
      <c r="A2189" s="1"/>
      <c r="B2189" s="1"/>
      <c r="C2189" s="73"/>
      <c r="D2189" s="1"/>
      <c r="E2189" s="1"/>
      <c r="F2189" s="1"/>
      <c r="G2189" s="145"/>
      <c r="H2189" s="1"/>
      <c r="I2189" s="1"/>
      <c r="J2189" s="1"/>
      <c r="K2189" s="1"/>
      <c r="L2189" s="1"/>
      <c r="M2189" s="1"/>
      <c r="N2189" s="1"/>
      <c r="O2189" s="1"/>
      <c r="P2189" s="1"/>
      <c r="Q2189" s="3"/>
      <c r="R2189" s="4"/>
      <c r="S2189" s="4"/>
      <c r="T2189" s="1"/>
      <c r="U2189" s="6"/>
      <c r="V2189" s="1"/>
      <c r="W2189" s="1"/>
      <c r="X2189" s="1"/>
      <c r="Y2189" s="1"/>
      <c r="Z2189" s="1"/>
      <c r="AA2189" s="1"/>
      <c r="AB2189" s="1"/>
      <c r="AC2189" s="1"/>
    </row>
    <row r="2190" spans="1:29">
      <c r="A2190" s="1"/>
      <c r="B2190" s="1"/>
      <c r="C2190" s="73"/>
      <c r="D2190" s="1"/>
      <c r="E2190" s="1"/>
      <c r="F2190" s="1"/>
      <c r="G2190" s="145"/>
      <c r="H2190" s="1"/>
      <c r="I2190" s="1"/>
      <c r="J2190" s="1"/>
      <c r="K2190" s="1"/>
      <c r="L2190" s="1"/>
      <c r="M2190" s="1"/>
      <c r="N2190" s="1"/>
      <c r="O2190" s="1"/>
      <c r="P2190" s="1"/>
      <c r="Q2190" s="3"/>
      <c r="R2190" s="4"/>
      <c r="S2190" s="4"/>
      <c r="T2190" s="1"/>
      <c r="U2190" s="6"/>
      <c r="V2190" s="1"/>
      <c r="W2190" s="1"/>
      <c r="X2190" s="1"/>
      <c r="Y2190" s="1"/>
      <c r="Z2190" s="1"/>
      <c r="AA2190" s="1"/>
      <c r="AB2190" s="1"/>
      <c r="AC2190" s="1"/>
    </row>
    <row r="2191" spans="1:29">
      <c r="A2191" s="1"/>
      <c r="B2191" s="1"/>
      <c r="C2191" s="73"/>
      <c r="D2191" s="1"/>
      <c r="E2191" s="1"/>
      <c r="F2191" s="1"/>
      <c r="G2191" s="145"/>
      <c r="H2191" s="1"/>
      <c r="I2191" s="1"/>
      <c r="J2191" s="1"/>
      <c r="K2191" s="1"/>
      <c r="L2191" s="1"/>
      <c r="M2191" s="1"/>
      <c r="N2191" s="1"/>
      <c r="O2191" s="1"/>
      <c r="P2191" s="1"/>
      <c r="Q2191" s="3"/>
      <c r="R2191" s="4"/>
      <c r="S2191" s="4"/>
      <c r="T2191" s="1"/>
      <c r="U2191" s="6"/>
      <c r="V2191" s="1"/>
      <c r="W2191" s="1"/>
      <c r="X2191" s="1"/>
      <c r="Y2191" s="1"/>
      <c r="Z2191" s="1"/>
      <c r="AA2191" s="1"/>
      <c r="AB2191" s="1"/>
      <c r="AC2191" s="1"/>
    </row>
    <row r="2192" spans="1:29">
      <c r="A2192" s="1"/>
      <c r="B2192" s="1"/>
      <c r="C2192" s="73"/>
      <c r="D2192" s="1"/>
      <c r="E2192" s="1"/>
      <c r="F2192" s="1"/>
      <c r="G2192" s="145"/>
      <c r="H2192" s="1"/>
      <c r="I2192" s="1"/>
      <c r="J2192" s="1"/>
      <c r="K2192" s="1"/>
      <c r="L2192" s="1"/>
      <c r="M2192" s="1"/>
      <c r="N2192" s="1"/>
      <c r="O2192" s="1"/>
      <c r="P2192" s="1"/>
      <c r="Q2192" s="3"/>
      <c r="R2192" s="4"/>
      <c r="S2192" s="4"/>
      <c r="T2192" s="1"/>
      <c r="U2192" s="6"/>
      <c r="V2192" s="1"/>
      <c r="W2192" s="1"/>
      <c r="X2192" s="1"/>
      <c r="Y2192" s="1"/>
      <c r="Z2192" s="1"/>
      <c r="AA2192" s="1"/>
      <c r="AB2192" s="1"/>
      <c r="AC2192" s="1"/>
    </row>
    <row r="2193" spans="1:29">
      <c r="A2193" s="1"/>
      <c r="B2193" s="1"/>
      <c r="C2193" s="73"/>
      <c r="D2193" s="1"/>
      <c r="E2193" s="1"/>
      <c r="F2193" s="1"/>
      <c r="G2193" s="145"/>
      <c r="H2193" s="1"/>
      <c r="I2193" s="1"/>
      <c r="J2193" s="1"/>
      <c r="K2193" s="1"/>
      <c r="L2193" s="1"/>
      <c r="M2193" s="1"/>
      <c r="N2193" s="1"/>
      <c r="O2193" s="1"/>
      <c r="P2193" s="1"/>
      <c r="Q2193" s="3"/>
      <c r="R2193" s="4"/>
      <c r="S2193" s="4"/>
      <c r="T2193" s="1"/>
      <c r="U2193" s="6"/>
      <c r="V2193" s="1"/>
      <c r="W2193" s="1"/>
      <c r="X2193" s="1"/>
      <c r="Y2193" s="1"/>
      <c r="Z2193" s="1"/>
      <c r="AA2193" s="1"/>
      <c r="AB2193" s="1"/>
      <c r="AC2193" s="1"/>
    </row>
    <row r="2194" spans="1:29">
      <c r="A2194" s="1"/>
      <c r="B2194" s="1"/>
      <c r="C2194" s="73"/>
      <c r="D2194" s="1"/>
      <c r="E2194" s="1"/>
      <c r="F2194" s="1"/>
      <c r="G2194" s="145"/>
      <c r="H2194" s="1"/>
      <c r="I2194" s="1"/>
      <c r="J2194" s="1"/>
      <c r="K2194" s="1"/>
      <c r="L2194" s="1"/>
      <c r="M2194" s="1"/>
      <c r="N2194" s="1"/>
      <c r="O2194" s="1"/>
      <c r="P2194" s="1"/>
      <c r="Q2194" s="3"/>
      <c r="R2194" s="4"/>
      <c r="S2194" s="4"/>
      <c r="T2194" s="1"/>
      <c r="U2194" s="6"/>
      <c r="V2194" s="1"/>
      <c r="W2194" s="1"/>
      <c r="X2194" s="1"/>
      <c r="Y2194" s="1"/>
      <c r="Z2194" s="1"/>
      <c r="AA2194" s="1"/>
      <c r="AB2194" s="1"/>
      <c r="AC2194" s="1"/>
    </row>
    <row r="2195" spans="1:29">
      <c r="A2195" s="1"/>
      <c r="B2195" s="1"/>
      <c r="C2195" s="73"/>
      <c r="D2195" s="1"/>
      <c r="E2195" s="1"/>
      <c r="F2195" s="1"/>
      <c r="G2195" s="145"/>
      <c r="H2195" s="1"/>
      <c r="I2195" s="1"/>
      <c r="J2195" s="1"/>
      <c r="K2195" s="1"/>
      <c r="L2195" s="1"/>
      <c r="M2195" s="1"/>
      <c r="N2195" s="1"/>
      <c r="O2195" s="1"/>
      <c r="P2195" s="1"/>
      <c r="Q2195" s="3"/>
      <c r="R2195" s="4"/>
      <c r="S2195" s="4"/>
      <c r="T2195" s="1"/>
      <c r="U2195" s="6"/>
      <c r="V2195" s="1"/>
      <c r="W2195" s="1"/>
      <c r="X2195" s="1"/>
      <c r="Y2195" s="1"/>
      <c r="Z2195" s="1"/>
      <c r="AA2195" s="1"/>
      <c r="AB2195" s="1"/>
      <c r="AC2195" s="1"/>
    </row>
    <row r="2196" spans="1:29">
      <c r="A2196" s="1"/>
      <c r="B2196" s="1"/>
      <c r="C2196" s="73"/>
      <c r="D2196" s="1"/>
      <c r="E2196" s="1"/>
      <c r="F2196" s="1"/>
      <c r="G2196" s="145"/>
      <c r="H2196" s="1"/>
      <c r="I2196" s="1"/>
      <c r="J2196" s="1"/>
      <c r="K2196" s="1"/>
      <c r="L2196" s="1"/>
      <c r="M2196" s="1"/>
      <c r="N2196" s="1"/>
      <c r="O2196" s="1"/>
      <c r="P2196" s="1"/>
      <c r="Q2196" s="3"/>
      <c r="R2196" s="4"/>
      <c r="S2196" s="4"/>
      <c r="T2196" s="1"/>
      <c r="U2196" s="6"/>
      <c r="V2196" s="1"/>
      <c r="W2196" s="1"/>
      <c r="X2196" s="1"/>
      <c r="Y2196" s="1"/>
      <c r="Z2196" s="1"/>
      <c r="AA2196" s="1"/>
      <c r="AB2196" s="1"/>
      <c r="AC2196" s="1"/>
    </row>
    <row r="2197" spans="1:29">
      <c r="A2197" s="1"/>
      <c r="B2197" s="1"/>
      <c r="C2197" s="73"/>
      <c r="D2197" s="1"/>
      <c r="E2197" s="1"/>
      <c r="F2197" s="1"/>
      <c r="G2197" s="145"/>
      <c r="H2197" s="1"/>
      <c r="I2197" s="1"/>
      <c r="J2197" s="1"/>
      <c r="K2197" s="1"/>
      <c r="L2197" s="1"/>
      <c r="M2197" s="1"/>
      <c r="N2197" s="1"/>
      <c r="O2197" s="1"/>
      <c r="P2197" s="1"/>
      <c r="Q2197" s="3"/>
      <c r="R2197" s="4"/>
      <c r="S2197" s="4"/>
      <c r="T2197" s="1"/>
      <c r="U2197" s="6"/>
      <c r="V2197" s="1"/>
      <c r="W2197" s="1"/>
      <c r="X2197" s="1"/>
      <c r="Y2197" s="1"/>
      <c r="Z2197" s="1"/>
      <c r="AA2197" s="1"/>
      <c r="AB2197" s="1"/>
      <c r="AC2197" s="1"/>
    </row>
    <row r="2198" spans="1:29">
      <c r="A2198" s="1"/>
      <c r="B2198" s="1"/>
      <c r="C2198" s="73"/>
      <c r="D2198" s="1"/>
      <c r="E2198" s="1"/>
      <c r="F2198" s="1"/>
      <c r="G2198" s="145"/>
      <c r="H2198" s="1"/>
      <c r="I2198" s="1"/>
      <c r="J2198" s="1"/>
      <c r="K2198" s="1"/>
      <c r="L2198" s="1"/>
      <c r="M2198" s="1"/>
      <c r="N2198" s="1"/>
      <c r="O2198" s="1"/>
      <c r="P2198" s="1"/>
      <c r="Q2198" s="3"/>
      <c r="R2198" s="4"/>
      <c r="S2198" s="4"/>
      <c r="T2198" s="1"/>
      <c r="U2198" s="6"/>
      <c r="V2198" s="1"/>
      <c r="W2198" s="1"/>
      <c r="X2198" s="1"/>
      <c r="Y2198" s="1"/>
      <c r="Z2198" s="1"/>
      <c r="AA2198" s="1"/>
      <c r="AB2198" s="1"/>
      <c r="AC2198" s="1"/>
    </row>
    <row r="2199" spans="1:29">
      <c r="A2199" s="1"/>
      <c r="B2199" s="1"/>
      <c r="C2199" s="73"/>
      <c r="D2199" s="1"/>
      <c r="E2199" s="1"/>
      <c r="F2199" s="1"/>
      <c r="G2199" s="145"/>
      <c r="H2199" s="1"/>
      <c r="I2199" s="1"/>
      <c r="J2199" s="1"/>
      <c r="K2199" s="1"/>
      <c r="L2199" s="1"/>
      <c r="M2199" s="1"/>
      <c r="N2199" s="1"/>
      <c r="O2199" s="1"/>
      <c r="P2199" s="1"/>
      <c r="Q2199" s="3"/>
      <c r="R2199" s="4"/>
      <c r="S2199" s="4"/>
      <c r="T2199" s="1"/>
      <c r="U2199" s="6"/>
      <c r="V2199" s="1"/>
      <c r="W2199" s="1"/>
      <c r="X2199" s="1"/>
      <c r="Y2199" s="1"/>
      <c r="Z2199" s="1"/>
      <c r="AA2199" s="1"/>
      <c r="AB2199" s="1"/>
      <c r="AC2199" s="1"/>
    </row>
    <row r="2200" spans="1:29">
      <c r="A2200" s="1"/>
      <c r="B2200" s="1"/>
      <c r="C2200" s="73"/>
      <c r="D2200" s="1"/>
      <c r="E2200" s="1"/>
      <c r="F2200" s="1"/>
      <c r="G2200" s="145"/>
      <c r="H2200" s="1"/>
      <c r="I2200" s="1"/>
      <c r="J2200" s="1"/>
      <c r="K2200" s="1"/>
      <c r="L2200" s="1"/>
      <c r="M2200" s="1"/>
      <c r="N2200" s="1"/>
      <c r="O2200" s="1"/>
      <c r="P2200" s="1"/>
      <c r="Q2200" s="3"/>
      <c r="R2200" s="4"/>
      <c r="S2200" s="4"/>
      <c r="T2200" s="1"/>
      <c r="U2200" s="6"/>
      <c r="V2200" s="1"/>
      <c r="W2200" s="1"/>
      <c r="X2200" s="1"/>
      <c r="Y2200" s="1"/>
      <c r="Z2200" s="1"/>
      <c r="AA2200" s="1"/>
      <c r="AB2200" s="1"/>
      <c r="AC2200" s="1"/>
    </row>
    <row r="2201" spans="1:29">
      <c r="A2201" s="1"/>
      <c r="B2201" s="1"/>
      <c r="C2201" s="73"/>
      <c r="D2201" s="1"/>
      <c r="E2201" s="1"/>
      <c r="F2201" s="1"/>
      <c r="G2201" s="145"/>
      <c r="H2201" s="1"/>
      <c r="I2201" s="1"/>
      <c r="J2201" s="1"/>
      <c r="K2201" s="1"/>
      <c r="L2201" s="1"/>
      <c r="M2201" s="1"/>
      <c r="N2201" s="1"/>
      <c r="O2201" s="1"/>
      <c r="P2201" s="1"/>
      <c r="Q2201" s="3"/>
      <c r="R2201" s="4"/>
      <c r="S2201" s="4"/>
      <c r="T2201" s="1"/>
      <c r="U2201" s="6"/>
      <c r="V2201" s="1"/>
      <c r="W2201" s="1"/>
      <c r="X2201" s="1"/>
      <c r="Y2201" s="1"/>
      <c r="Z2201" s="1"/>
      <c r="AA2201" s="1"/>
      <c r="AB2201" s="1"/>
      <c r="AC2201" s="1"/>
    </row>
    <row r="2202" spans="1:29">
      <c r="A2202" s="1"/>
      <c r="B2202" s="1"/>
      <c r="C2202" s="73"/>
      <c r="D2202" s="1"/>
      <c r="E2202" s="1"/>
      <c r="F2202" s="1"/>
      <c r="G2202" s="145"/>
      <c r="H2202" s="1"/>
      <c r="I2202" s="1"/>
      <c r="J2202" s="1"/>
      <c r="K2202" s="1"/>
      <c r="L2202" s="1"/>
      <c r="M2202" s="1"/>
      <c r="N2202" s="1"/>
      <c r="O2202" s="1"/>
      <c r="P2202" s="1"/>
      <c r="Q2202" s="3"/>
      <c r="R2202" s="4"/>
      <c r="S2202" s="4"/>
      <c r="T2202" s="1"/>
      <c r="U2202" s="6"/>
      <c r="V2202" s="1"/>
      <c r="W2202" s="1"/>
      <c r="X2202" s="1"/>
      <c r="Y2202" s="1"/>
      <c r="Z2202" s="1"/>
      <c r="AA2202" s="1"/>
      <c r="AB2202" s="1"/>
      <c r="AC2202" s="1"/>
    </row>
    <row r="2203" spans="1:29">
      <c r="A2203" s="1"/>
      <c r="B2203" s="1"/>
      <c r="C2203" s="73"/>
      <c r="D2203" s="1"/>
      <c r="E2203" s="1"/>
      <c r="F2203" s="1"/>
      <c r="G2203" s="145"/>
      <c r="H2203" s="1"/>
      <c r="I2203" s="1"/>
      <c r="J2203" s="1"/>
      <c r="K2203" s="1"/>
      <c r="L2203" s="1"/>
      <c r="M2203" s="1"/>
      <c r="N2203" s="1"/>
      <c r="O2203" s="1"/>
      <c r="P2203" s="1"/>
      <c r="Q2203" s="3"/>
      <c r="R2203" s="4"/>
      <c r="S2203" s="4"/>
      <c r="T2203" s="1"/>
      <c r="U2203" s="6"/>
      <c r="V2203" s="1"/>
      <c r="W2203" s="1"/>
      <c r="X2203" s="1"/>
      <c r="Y2203" s="1"/>
      <c r="Z2203" s="1"/>
      <c r="AA2203" s="1"/>
      <c r="AB2203" s="1"/>
      <c r="AC2203" s="1"/>
    </row>
    <row r="2204" spans="1:29">
      <c r="A2204" s="1"/>
      <c r="B2204" s="1"/>
      <c r="C2204" s="73"/>
      <c r="D2204" s="1"/>
      <c r="E2204" s="1"/>
      <c r="F2204" s="1"/>
      <c r="G2204" s="145"/>
      <c r="H2204" s="1"/>
      <c r="I2204" s="1"/>
      <c r="J2204" s="1"/>
      <c r="K2204" s="1"/>
      <c r="L2204" s="1"/>
      <c r="M2204" s="1"/>
      <c r="N2204" s="1"/>
      <c r="O2204" s="1"/>
      <c r="P2204" s="1"/>
      <c r="Q2204" s="3"/>
      <c r="R2204" s="4"/>
      <c r="S2204" s="4"/>
      <c r="T2204" s="1"/>
      <c r="U2204" s="6"/>
      <c r="V2204" s="1"/>
      <c r="W2204" s="1"/>
      <c r="X2204" s="1"/>
      <c r="Y2204" s="1"/>
      <c r="Z2204" s="1"/>
      <c r="AA2204" s="1"/>
      <c r="AB2204" s="1"/>
      <c r="AC2204" s="1"/>
    </row>
    <row r="2205" spans="1:29">
      <c r="A2205" s="1"/>
      <c r="B2205" s="1"/>
      <c r="C2205" s="73"/>
      <c r="D2205" s="1"/>
      <c r="E2205" s="1"/>
      <c r="F2205" s="1"/>
      <c r="G2205" s="145"/>
      <c r="H2205" s="1"/>
      <c r="I2205" s="1"/>
      <c r="J2205" s="1"/>
      <c r="K2205" s="1"/>
      <c r="L2205" s="1"/>
      <c r="M2205" s="1"/>
      <c r="N2205" s="1"/>
      <c r="O2205" s="1"/>
      <c r="P2205" s="1"/>
      <c r="Q2205" s="3"/>
      <c r="R2205" s="4"/>
      <c r="S2205" s="4"/>
      <c r="T2205" s="1"/>
      <c r="U2205" s="6"/>
      <c r="V2205" s="1"/>
      <c r="W2205" s="1"/>
      <c r="X2205" s="1"/>
      <c r="Y2205" s="1"/>
      <c r="Z2205" s="1"/>
      <c r="AA2205" s="1"/>
      <c r="AB2205" s="1"/>
      <c r="AC2205" s="1"/>
    </row>
    <row r="2206" spans="1:29">
      <c r="A2206" s="1"/>
      <c r="B2206" s="1"/>
      <c r="C2206" s="73"/>
      <c r="D2206" s="1"/>
      <c r="E2206" s="1"/>
      <c r="F2206" s="1"/>
      <c r="G2206" s="145"/>
      <c r="H2206" s="1"/>
      <c r="I2206" s="1"/>
      <c r="J2206" s="1"/>
      <c r="K2206" s="1"/>
      <c r="L2206" s="1"/>
      <c r="M2206" s="1"/>
      <c r="N2206" s="1"/>
      <c r="O2206" s="1"/>
      <c r="P2206" s="1"/>
      <c r="Q2206" s="3"/>
      <c r="R2206" s="4"/>
      <c r="S2206" s="4"/>
      <c r="T2206" s="1"/>
      <c r="U2206" s="6"/>
      <c r="V2206" s="1"/>
      <c r="W2206" s="1"/>
      <c r="X2206" s="1"/>
      <c r="Y2206" s="1"/>
      <c r="Z2206" s="1"/>
      <c r="AA2206" s="1"/>
      <c r="AB2206" s="1"/>
      <c r="AC2206" s="1"/>
    </row>
    <row r="2207" spans="1:29">
      <c r="A2207" s="1"/>
      <c r="B2207" s="1"/>
      <c r="C2207" s="73"/>
      <c r="D2207" s="1"/>
      <c r="E2207" s="1"/>
      <c r="F2207" s="1"/>
      <c r="G2207" s="145"/>
      <c r="H2207" s="1"/>
      <c r="I2207" s="1"/>
      <c r="J2207" s="1"/>
      <c r="K2207" s="1"/>
      <c r="L2207" s="1"/>
      <c r="M2207" s="1"/>
      <c r="N2207" s="1"/>
      <c r="O2207" s="1"/>
      <c r="P2207" s="1"/>
      <c r="Q2207" s="3"/>
      <c r="R2207" s="4"/>
      <c r="S2207" s="4"/>
      <c r="T2207" s="1"/>
      <c r="U2207" s="6"/>
      <c r="V2207" s="1"/>
      <c r="W2207" s="1"/>
      <c r="X2207" s="1"/>
      <c r="Y2207" s="1"/>
      <c r="Z2207" s="1"/>
      <c r="AA2207" s="1"/>
      <c r="AB2207" s="1"/>
      <c r="AC2207" s="1"/>
    </row>
    <row r="2208" spans="1:29">
      <c r="A2208" s="1"/>
      <c r="B2208" s="1"/>
      <c r="C2208" s="73"/>
      <c r="D2208" s="1"/>
      <c r="E2208" s="1"/>
      <c r="F2208" s="1"/>
      <c r="G2208" s="145"/>
      <c r="H2208" s="1"/>
      <c r="I2208" s="1"/>
      <c r="J2208" s="1"/>
      <c r="K2208" s="1"/>
      <c r="L2208" s="1"/>
      <c r="M2208" s="1"/>
      <c r="N2208" s="1"/>
      <c r="O2208" s="1"/>
      <c r="P2208" s="1"/>
      <c r="Q2208" s="3"/>
      <c r="R2208" s="4"/>
      <c r="S2208" s="4"/>
      <c r="T2208" s="1"/>
      <c r="U2208" s="6"/>
      <c r="V2208" s="1"/>
      <c r="W2208" s="1"/>
      <c r="X2208" s="1"/>
      <c r="Y2208" s="1"/>
      <c r="Z2208" s="1"/>
      <c r="AA2208" s="1"/>
      <c r="AB2208" s="1"/>
      <c r="AC2208" s="1"/>
    </row>
    <row r="2209" spans="1:29">
      <c r="A2209" s="1"/>
      <c r="B2209" s="1"/>
      <c r="C2209" s="73"/>
      <c r="D2209" s="1"/>
      <c r="E2209" s="1"/>
      <c r="F2209" s="1"/>
      <c r="G2209" s="145"/>
      <c r="H2209" s="1"/>
      <c r="I2209" s="1"/>
      <c r="J2209" s="1"/>
      <c r="K2209" s="1"/>
      <c r="L2209" s="1"/>
      <c r="M2209" s="1"/>
      <c r="N2209" s="1"/>
      <c r="O2209" s="1"/>
      <c r="P2209" s="1"/>
      <c r="Q2209" s="3"/>
      <c r="R2209" s="4"/>
      <c r="S2209" s="4"/>
      <c r="T2209" s="1"/>
      <c r="U2209" s="6"/>
      <c r="V2209" s="1"/>
      <c r="W2209" s="1"/>
      <c r="X2209" s="1"/>
      <c r="Y2209" s="1"/>
      <c r="Z2209" s="1"/>
      <c r="AA2209" s="1"/>
      <c r="AB2209" s="1"/>
      <c r="AC2209" s="1"/>
    </row>
    <row r="2210" spans="1:29">
      <c r="A2210" s="1"/>
      <c r="B2210" s="1"/>
      <c r="C2210" s="73"/>
      <c r="D2210" s="1"/>
      <c r="E2210" s="1"/>
      <c r="F2210" s="1"/>
      <c r="G2210" s="145"/>
      <c r="H2210" s="1"/>
      <c r="I2210" s="1"/>
      <c r="J2210" s="1"/>
      <c r="K2210" s="1"/>
      <c r="L2210" s="1"/>
      <c r="M2210" s="1"/>
      <c r="N2210" s="1"/>
      <c r="O2210" s="1"/>
      <c r="P2210" s="1"/>
      <c r="Q2210" s="3"/>
      <c r="R2210" s="4"/>
      <c r="S2210" s="4"/>
      <c r="T2210" s="1"/>
      <c r="U2210" s="6"/>
      <c r="V2210" s="1"/>
      <c r="W2210" s="1"/>
      <c r="X2210" s="1"/>
      <c r="Y2210" s="1"/>
      <c r="Z2210" s="1"/>
      <c r="AA2210" s="1"/>
      <c r="AB2210" s="1"/>
      <c r="AC2210" s="1"/>
    </row>
    <row r="2211" spans="1:29">
      <c r="A2211" s="1"/>
      <c r="B2211" s="1"/>
      <c r="C2211" s="73"/>
      <c r="D2211" s="1"/>
      <c r="E2211" s="1"/>
      <c r="F2211" s="1"/>
      <c r="G2211" s="145"/>
      <c r="H2211" s="1"/>
      <c r="I2211" s="1"/>
      <c r="J2211" s="1"/>
      <c r="K2211" s="1"/>
      <c r="L2211" s="1"/>
      <c r="M2211" s="1"/>
      <c r="N2211" s="1"/>
      <c r="O2211" s="1"/>
      <c r="P2211" s="1"/>
      <c r="Q2211" s="3"/>
      <c r="R2211" s="4"/>
      <c r="S2211" s="4"/>
      <c r="T2211" s="1"/>
      <c r="U2211" s="6"/>
      <c r="V2211" s="1"/>
      <c r="W2211" s="1"/>
      <c r="X2211" s="1"/>
      <c r="Y2211" s="1"/>
      <c r="Z2211" s="1"/>
      <c r="AA2211" s="1"/>
      <c r="AB2211" s="1"/>
      <c r="AC2211" s="1"/>
    </row>
    <row r="2212" spans="1:29">
      <c r="A2212" s="1"/>
      <c r="B2212" s="1"/>
      <c r="C2212" s="73"/>
      <c r="D2212" s="1"/>
      <c r="E2212" s="1"/>
      <c r="F2212" s="1"/>
      <c r="G2212" s="145"/>
      <c r="H2212" s="1"/>
      <c r="I2212" s="1"/>
      <c r="J2212" s="1"/>
      <c r="K2212" s="1"/>
      <c r="L2212" s="1"/>
      <c r="M2212" s="1"/>
      <c r="N2212" s="1"/>
      <c r="O2212" s="1"/>
      <c r="P2212" s="1"/>
      <c r="Q2212" s="3"/>
      <c r="R2212" s="4"/>
      <c r="S2212" s="4"/>
      <c r="T2212" s="1"/>
      <c r="U2212" s="6"/>
      <c r="V2212" s="1"/>
      <c r="W2212" s="1"/>
      <c r="X2212" s="1"/>
      <c r="Y2212" s="1"/>
      <c r="Z2212" s="1"/>
      <c r="AA2212" s="1"/>
      <c r="AB2212" s="1"/>
      <c r="AC2212" s="1"/>
    </row>
    <row r="2213" spans="1:29">
      <c r="A2213" s="1"/>
      <c r="B2213" s="1"/>
      <c r="C2213" s="73"/>
      <c r="D2213" s="1"/>
      <c r="E2213" s="1"/>
      <c r="F2213" s="1"/>
      <c r="G2213" s="145"/>
      <c r="H2213" s="1"/>
      <c r="I2213" s="1"/>
      <c r="J2213" s="1"/>
      <c r="K2213" s="1"/>
      <c r="L2213" s="1"/>
      <c r="M2213" s="1"/>
      <c r="N2213" s="1"/>
      <c r="O2213" s="1"/>
      <c r="P2213" s="1"/>
      <c r="Q2213" s="3"/>
      <c r="R2213" s="4"/>
      <c r="S2213" s="4"/>
      <c r="T2213" s="1"/>
      <c r="U2213" s="6"/>
      <c r="V2213" s="1"/>
      <c r="W2213" s="1"/>
      <c r="X2213" s="1"/>
      <c r="Y2213" s="1"/>
      <c r="Z2213" s="1"/>
      <c r="AA2213" s="1"/>
      <c r="AB2213" s="1"/>
      <c r="AC2213" s="1"/>
    </row>
    <row r="2214" spans="1:29">
      <c r="A2214" s="1"/>
      <c r="B2214" s="1"/>
      <c r="C2214" s="73"/>
      <c r="D2214" s="1"/>
      <c r="E2214" s="1"/>
      <c r="F2214" s="1"/>
      <c r="G2214" s="145"/>
      <c r="H2214" s="1"/>
      <c r="I2214" s="1"/>
      <c r="J2214" s="1"/>
      <c r="K2214" s="1"/>
      <c r="L2214" s="1"/>
      <c r="M2214" s="1"/>
      <c r="N2214" s="1"/>
      <c r="O2214" s="1"/>
      <c r="P2214" s="1"/>
      <c r="Q2214" s="3"/>
      <c r="R2214" s="4"/>
      <c r="S2214" s="4"/>
      <c r="T2214" s="1"/>
      <c r="U2214" s="6"/>
      <c r="V2214" s="1"/>
      <c r="W2214" s="1"/>
      <c r="X2214" s="1"/>
      <c r="Y2214" s="1"/>
      <c r="Z2214" s="1"/>
      <c r="AA2214" s="1"/>
      <c r="AB2214" s="1"/>
      <c r="AC2214" s="1"/>
    </row>
    <row r="2215" spans="1:29">
      <c r="A2215" s="1"/>
      <c r="B2215" s="1"/>
      <c r="C2215" s="73"/>
      <c r="D2215" s="1"/>
      <c r="E2215" s="1"/>
      <c r="F2215" s="1"/>
      <c r="G2215" s="145"/>
      <c r="H2215" s="1"/>
      <c r="I2215" s="1"/>
      <c r="J2215" s="1"/>
      <c r="K2215" s="1"/>
      <c r="L2215" s="1"/>
      <c r="M2215" s="1"/>
      <c r="N2215" s="1"/>
      <c r="O2215" s="1"/>
      <c r="P2215" s="1"/>
      <c r="Q2215" s="3"/>
      <c r="R2215" s="4"/>
      <c r="S2215" s="4"/>
      <c r="T2215" s="1"/>
      <c r="U2215" s="6"/>
      <c r="V2215" s="1"/>
      <c r="W2215" s="1"/>
      <c r="X2215" s="1"/>
      <c r="Y2215" s="1"/>
      <c r="Z2215" s="1"/>
      <c r="AA2215" s="1"/>
      <c r="AB2215" s="1"/>
      <c r="AC2215" s="1"/>
    </row>
    <row r="2216" spans="1:29">
      <c r="A2216" s="1"/>
      <c r="B2216" s="1"/>
      <c r="C2216" s="73"/>
      <c r="D2216" s="1"/>
      <c r="E2216" s="1"/>
      <c r="F2216" s="1"/>
      <c r="G2216" s="145"/>
      <c r="H2216" s="1"/>
      <c r="I2216" s="1"/>
      <c r="J2216" s="1"/>
      <c r="K2216" s="1"/>
      <c r="L2216" s="1"/>
      <c r="M2216" s="1"/>
      <c r="N2216" s="1"/>
      <c r="O2216" s="1"/>
      <c r="P2216" s="1"/>
      <c r="Q2216" s="3"/>
      <c r="R2216" s="4"/>
      <c r="S2216" s="4"/>
      <c r="T2216" s="1"/>
      <c r="U2216" s="6"/>
      <c r="V2216" s="1"/>
      <c r="W2216" s="1"/>
      <c r="X2216" s="1"/>
      <c r="Y2216" s="1"/>
      <c r="Z2216" s="1"/>
      <c r="AA2216" s="1"/>
      <c r="AB2216" s="1"/>
      <c r="AC2216" s="1"/>
    </row>
    <row r="2217" spans="1:29">
      <c r="A2217" s="1"/>
      <c r="B2217" s="1"/>
      <c r="C2217" s="73"/>
      <c r="D2217" s="1"/>
      <c r="E2217" s="1"/>
      <c r="F2217" s="1"/>
      <c r="G2217" s="145"/>
      <c r="H2217" s="1"/>
      <c r="I2217" s="1"/>
      <c r="J2217" s="1"/>
      <c r="K2217" s="1"/>
      <c r="L2217" s="1"/>
      <c r="M2217" s="1"/>
      <c r="N2217" s="1"/>
      <c r="O2217" s="1"/>
      <c r="P2217" s="1"/>
      <c r="Q2217" s="3"/>
      <c r="R2217" s="4"/>
      <c r="S2217" s="4"/>
      <c r="T2217" s="1"/>
      <c r="U2217" s="6"/>
      <c r="V2217" s="1"/>
      <c r="W2217" s="1"/>
      <c r="X2217" s="1"/>
      <c r="Y2217" s="1"/>
      <c r="Z2217" s="1"/>
      <c r="AA2217" s="1"/>
      <c r="AB2217" s="1"/>
      <c r="AC2217" s="1"/>
    </row>
    <row r="2218" spans="1:29">
      <c r="A2218" s="1"/>
      <c r="B2218" s="1"/>
      <c r="C2218" s="73"/>
      <c r="D2218" s="1"/>
      <c r="E2218" s="1"/>
      <c r="F2218" s="1"/>
      <c r="G2218" s="145"/>
      <c r="H2218" s="1"/>
      <c r="I2218" s="1"/>
      <c r="J2218" s="1"/>
      <c r="K2218" s="1"/>
      <c r="L2218" s="1"/>
      <c r="M2218" s="1"/>
      <c r="N2218" s="1"/>
      <c r="O2218" s="1"/>
      <c r="P2218" s="1"/>
      <c r="Q2218" s="3"/>
      <c r="R2218" s="4"/>
      <c r="S2218" s="4"/>
      <c r="T2218" s="1"/>
      <c r="U2218" s="6"/>
      <c r="V2218" s="1"/>
      <c r="W2218" s="1"/>
      <c r="X2218" s="1"/>
      <c r="Y2218" s="1"/>
      <c r="Z2218" s="1"/>
      <c r="AA2218" s="1"/>
      <c r="AB2218" s="1"/>
      <c r="AC2218" s="1"/>
    </row>
    <row r="2219" spans="1:29">
      <c r="A2219" s="1"/>
      <c r="B2219" s="1"/>
      <c r="C2219" s="73"/>
      <c r="D2219" s="1"/>
      <c r="E2219" s="1"/>
      <c r="F2219" s="1"/>
      <c r="G2219" s="145"/>
      <c r="H2219" s="1"/>
      <c r="I2219" s="1"/>
      <c r="J2219" s="1"/>
      <c r="K2219" s="1"/>
      <c r="L2219" s="1"/>
      <c r="M2219" s="1"/>
      <c r="N2219" s="1"/>
      <c r="O2219" s="1"/>
      <c r="P2219" s="1"/>
      <c r="Q2219" s="3"/>
      <c r="R2219" s="4"/>
      <c r="S2219" s="4"/>
      <c r="T2219" s="1"/>
      <c r="U2219" s="6"/>
      <c r="V2219" s="1"/>
      <c r="W2219" s="1"/>
      <c r="X2219" s="1"/>
      <c r="Y2219" s="1"/>
      <c r="Z2219" s="1"/>
      <c r="AA2219" s="1"/>
      <c r="AB2219" s="1"/>
      <c r="AC2219" s="1"/>
    </row>
    <row r="2220" spans="1:29">
      <c r="A2220" s="1"/>
      <c r="B2220" s="1"/>
      <c r="C2220" s="73"/>
      <c r="D2220" s="1"/>
      <c r="E2220" s="1"/>
      <c r="F2220" s="1"/>
      <c r="G2220" s="145"/>
      <c r="H2220" s="1"/>
      <c r="I2220" s="1"/>
      <c r="J2220" s="1"/>
      <c r="K2220" s="1"/>
      <c r="L2220" s="1"/>
      <c r="M2220" s="1"/>
      <c r="N2220" s="1"/>
      <c r="O2220" s="1"/>
      <c r="P2220" s="1"/>
      <c r="Q2220" s="3"/>
      <c r="R2220" s="4"/>
      <c r="S2220" s="4"/>
      <c r="T2220" s="1"/>
      <c r="U2220" s="6"/>
      <c r="V2220" s="1"/>
      <c r="W2220" s="1"/>
      <c r="X2220" s="1"/>
      <c r="Y2220" s="1"/>
      <c r="Z2220" s="1"/>
      <c r="AA2220" s="1"/>
      <c r="AB2220" s="1"/>
      <c r="AC2220" s="1"/>
    </row>
    <row r="2221" spans="1:29">
      <c r="A2221" s="1"/>
      <c r="B2221" s="1"/>
      <c r="C2221" s="73"/>
      <c r="D2221" s="1"/>
      <c r="E2221" s="1"/>
      <c r="F2221" s="1"/>
      <c r="G2221" s="145"/>
      <c r="H2221" s="1"/>
      <c r="I2221" s="1"/>
      <c r="J2221" s="1"/>
      <c r="K2221" s="1"/>
      <c r="L2221" s="1"/>
      <c r="M2221" s="1"/>
      <c r="N2221" s="1"/>
      <c r="O2221" s="1"/>
      <c r="P2221" s="1"/>
      <c r="Q2221" s="3"/>
      <c r="R2221" s="4"/>
      <c r="S2221" s="4"/>
      <c r="T2221" s="1"/>
      <c r="U2221" s="6"/>
      <c r="V2221" s="1"/>
      <c r="W2221" s="1"/>
      <c r="X2221" s="1"/>
      <c r="Y2221" s="1"/>
      <c r="Z2221" s="1"/>
      <c r="AA2221" s="1"/>
      <c r="AB2221" s="1"/>
      <c r="AC2221" s="1"/>
    </row>
    <row r="2222" spans="1:29">
      <c r="A2222" s="1"/>
      <c r="B2222" s="1"/>
      <c r="C2222" s="73"/>
      <c r="D2222" s="1"/>
      <c r="E2222" s="1"/>
      <c r="F2222" s="1"/>
      <c r="G2222" s="145"/>
      <c r="H2222" s="1"/>
      <c r="I2222" s="1"/>
      <c r="J2222" s="1"/>
      <c r="K2222" s="1"/>
      <c r="L2222" s="1"/>
      <c r="M2222" s="1"/>
      <c r="N2222" s="1"/>
      <c r="O2222" s="1"/>
      <c r="P2222" s="1"/>
      <c r="Q2222" s="3"/>
      <c r="R2222" s="4"/>
      <c r="S2222" s="4"/>
      <c r="T2222" s="1"/>
      <c r="U2222" s="6"/>
      <c r="V2222" s="1"/>
      <c r="W2222" s="1"/>
      <c r="X2222" s="1"/>
      <c r="Y2222" s="1"/>
      <c r="Z2222" s="1"/>
      <c r="AA2222" s="1"/>
      <c r="AB2222" s="1"/>
      <c r="AC2222" s="1"/>
    </row>
    <row r="2223" spans="1:29">
      <c r="A2223" s="1"/>
      <c r="B2223" s="1"/>
      <c r="C2223" s="73"/>
      <c r="D2223" s="1"/>
      <c r="E2223" s="1"/>
      <c r="F2223" s="1"/>
      <c r="G2223" s="145"/>
      <c r="H2223" s="1"/>
      <c r="I2223" s="1"/>
      <c r="J2223" s="1"/>
      <c r="K2223" s="1"/>
      <c r="L2223" s="1"/>
      <c r="M2223" s="1"/>
      <c r="N2223" s="1"/>
      <c r="O2223" s="1"/>
      <c r="P2223" s="1"/>
      <c r="Q2223" s="3"/>
      <c r="R2223" s="4"/>
      <c r="S2223" s="4"/>
      <c r="T2223" s="1"/>
      <c r="U2223" s="6"/>
      <c r="V2223" s="1"/>
      <c r="W2223" s="1"/>
      <c r="X2223" s="1"/>
      <c r="Y2223" s="1"/>
      <c r="Z2223" s="1"/>
      <c r="AA2223" s="1"/>
      <c r="AB2223" s="1"/>
      <c r="AC2223" s="1"/>
    </row>
    <row r="2224" spans="1:29">
      <c r="A2224" s="1"/>
      <c r="B2224" s="1"/>
      <c r="C2224" s="73"/>
      <c r="D2224" s="1"/>
      <c r="E2224" s="1"/>
      <c r="F2224" s="1"/>
      <c r="G2224" s="145"/>
      <c r="H2224" s="1"/>
      <c r="I2224" s="1"/>
      <c r="J2224" s="1"/>
      <c r="K2224" s="1"/>
      <c r="L2224" s="1"/>
      <c r="M2224" s="1"/>
      <c r="N2224" s="1"/>
      <c r="O2224" s="1"/>
      <c r="P2224" s="1"/>
      <c r="Q2224" s="3"/>
      <c r="R2224" s="4"/>
      <c r="S2224" s="4"/>
      <c r="T2224" s="1"/>
      <c r="U2224" s="6"/>
      <c r="V2224" s="1"/>
      <c r="W2224" s="1"/>
      <c r="X2224" s="1"/>
      <c r="Y2224" s="1"/>
      <c r="Z2224" s="1"/>
      <c r="AA2224" s="1"/>
      <c r="AB2224" s="1"/>
      <c r="AC2224" s="1"/>
    </row>
    <row r="2225" spans="1:29">
      <c r="A2225" s="1"/>
      <c r="B2225" s="1"/>
      <c r="C2225" s="73"/>
      <c r="D2225" s="1"/>
      <c r="E2225" s="1"/>
      <c r="F2225" s="1"/>
      <c r="G2225" s="145"/>
      <c r="H2225" s="1"/>
      <c r="I2225" s="1"/>
      <c r="J2225" s="1"/>
      <c r="K2225" s="1"/>
      <c r="L2225" s="1"/>
      <c r="M2225" s="1"/>
      <c r="N2225" s="1"/>
      <c r="O2225" s="1"/>
      <c r="P2225" s="1"/>
      <c r="Q2225" s="3"/>
      <c r="R2225" s="4"/>
      <c r="S2225" s="4"/>
      <c r="T2225" s="1"/>
      <c r="U2225" s="6"/>
      <c r="V2225" s="1"/>
      <c r="W2225" s="1"/>
      <c r="X2225" s="1"/>
      <c r="Y2225" s="1"/>
      <c r="Z2225" s="1"/>
      <c r="AA2225" s="1"/>
      <c r="AB2225" s="1"/>
      <c r="AC2225" s="1"/>
    </row>
    <row r="2226" spans="1:29">
      <c r="A2226" s="1"/>
      <c r="B2226" s="1"/>
      <c r="C2226" s="73"/>
      <c r="D2226" s="1"/>
      <c r="E2226" s="1"/>
      <c r="F2226" s="1"/>
      <c r="G2226" s="145"/>
      <c r="H2226" s="1"/>
      <c r="I2226" s="1"/>
      <c r="J2226" s="1"/>
      <c r="K2226" s="1"/>
      <c r="L2226" s="1"/>
      <c r="M2226" s="1"/>
      <c r="N2226" s="1"/>
      <c r="O2226" s="1"/>
      <c r="P2226" s="1"/>
      <c r="Q2226" s="3"/>
      <c r="R2226" s="4"/>
      <c r="S2226" s="4"/>
      <c r="T2226" s="1"/>
      <c r="U2226" s="6"/>
      <c r="V2226" s="1"/>
      <c r="W2226" s="1"/>
      <c r="X2226" s="1"/>
      <c r="Y2226" s="1"/>
      <c r="Z2226" s="1"/>
      <c r="AA2226" s="1"/>
      <c r="AB2226" s="1"/>
      <c r="AC2226" s="1"/>
    </row>
    <row r="2227" spans="1:29">
      <c r="A2227" s="1"/>
      <c r="B2227" s="1"/>
      <c r="C2227" s="73"/>
      <c r="D2227" s="1"/>
      <c r="E2227" s="1"/>
      <c r="F2227" s="1"/>
      <c r="G2227" s="145"/>
      <c r="H2227" s="1"/>
      <c r="I2227" s="1"/>
      <c r="J2227" s="1"/>
      <c r="K2227" s="1"/>
      <c r="L2227" s="1"/>
      <c r="M2227" s="1"/>
      <c r="N2227" s="1"/>
      <c r="O2227" s="1"/>
      <c r="P2227" s="1"/>
      <c r="Q2227" s="3"/>
      <c r="R2227" s="4"/>
      <c r="S2227" s="4"/>
      <c r="T2227" s="1"/>
      <c r="U2227" s="6"/>
      <c r="V2227" s="1"/>
      <c r="W2227" s="1"/>
      <c r="X2227" s="1"/>
      <c r="Y2227" s="1"/>
      <c r="Z2227" s="1"/>
      <c r="AA2227" s="1"/>
      <c r="AB2227" s="1"/>
      <c r="AC2227" s="1"/>
    </row>
    <row r="2228" spans="1:29">
      <c r="A2228" s="1"/>
      <c r="B2228" s="1"/>
      <c r="C2228" s="73"/>
      <c r="D2228" s="1"/>
      <c r="E2228" s="1"/>
      <c r="F2228" s="1"/>
      <c r="G2228" s="145"/>
      <c r="H2228" s="1"/>
      <c r="I2228" s="1"/>
      <c r="J2228" s="1"/>
      <c r="K2228" s="1"/>
      <c r="L2228" s="1"/>
      <c r="M2228" s="1"/>
      <c r="N2228" s="1"/>
      <c r="O2228" s="1"/>
      <c r="P2228" s="1"/>
      <c r="Q2228" s="3"/>
      <c r="R2228" s="4"/>
      <c r="S2228" s="4"/>
      <c r="T2228" s="1"/>
      <c r="U2228" s="6"/>
      <c r="V2228" s="1"/>
      <c r="W2228" s="1"/>
      <c r="X2228" s="1"/>
      <c r="Y2228" s="1"/>
      <c r="Z2228" s="1"/>
      <c r="AA2228" s="1"/>
      <c r="AB2228" s="1"/>
      <c r="AC2228" s="1"/>
    </row>
    <row r="2229" spans="1:29">
      <c r="A2229" s="1"/>
      <c r="B2229" s="1"/>
      <c r="C2229" s="73"/>
      <c r="D2229" s="1"/>
      <c r="E2229" s="1"/>
      <c r="F2229" s="1"/>
      <c r="G2229" s="145"/>
      <c r="H2229" s="1"/>
      <c r="I2229" s="1"/>
      <c r="J2229" s="1"/>
      <c r="K2229" s="1"/>
      <c r="L2229" s="1"/>
      <c r="M2229" s="1"/>
      <c r="N2229" s="1"/>
      <c r="O2229" s="1"/>
      <c r="P2229" s="1"/>
      <c r="Q2229" s="3"/>
      <c r="R2229" s="4"/>
      <c r="S2229" s="4"/>
      <c r="T2229" s="1"/>
      <c r="U2229" s="6"/>
      <c r="V2229" s="1"/>
      <c r="W2229" s="1"/>
      <c r="X2229" s="1"/>
      <c r="Y2229" s="1"/>
      <c r="Z2229" s="1"/>
      <c r="AA2229" s="1"/>
      <c r="AB2229" s="1"/>
      <c r="AC2229" s="1"/>
    </row>
    <row r="2230" spans="1:29">
      <c r="A2230" s="1"/>
      <c r="B2230" s="1"/>
      <c r="C2230" s="73"/>
      <c r="D2230" s="1"/>
      <c r="E2230" s="1"/>
      <c r="F2230" s="1"/>
      <c r="G2230" s="145"/>
      <c r="H2230" s="1"/>
      <c r="I2230" s="1"/>
      <c r="J2230" s="1"/>
      <c r="K2230" s="1"/>
      <c r="L2230" s="1"/>
      <c r="M2230" s="1"/>
      <c r="N2230" s="1"/>
      <c r="O2230" s="1"/>
      <c r="P2230" s="1"/>
      <c r="Q2230" s="3"/>
      <c r="R2230" s="4"/>
      <c r="S2230" s="4"/>
      <c r="T2230" s="1"/>
      <c r="U2230" s="6"/>
      <c r="V2230" s="1"/>
      <c r="W2230" s="1"/>
      <c r="X2230" s="1"/>
      <c r="Y2230" s="1"/>
      <c r="Z2230" s="1"/>
      <c r="AA2230" s="1"/>
      <c r="AB2230" s="1"/>
      <c r="AC2230" s="1"/>
    </row>
    <row r="2231" spans="1:29">
      <c r="A2231" s="1"/>
      <c r="B2231" s="1"/>
      <c r="C2231" s="73"/>
      <c r="D2231" s="1"/>
      <c r="E2231" s="1"/>
      <c r="F2231" s="1"/>
      <c r="G2231" s="145"/>
      <c r="H2231" s="1"/>
      <c r="I2231" s="1"/>
      <c r="J2231" s="1"/>
      <c r="K2231" s="1"/>
      <c r="L2231" s="1"/>
      <c r="M2231" s="1"/>
      <c r="N2231" s="1"/>
      <c r="O2231" s="1"/>
      <c r="P2231" s="1"/>
      <c r="Q2231" s="3"/>
      <c r="R2231" s="4"/>
      <c r="S2231" s="4"/>
      <c r="T2231" s="1"/>
      <c r="U2231" s="6"/>
      <c r="V2231" s="1"/>
      <c r="W2231" s="1"/>
      <c r="X2231" s="1"/>
      <c r="Y2231" s="1"/>
      <c r="Z2231" s="1"/>
      <c r="AA2231" s="1"/>
      <c r="AB2231" s="1"/>
      <c r="AC2231" s="1"/>
    </row>
    <row r="2232" spans="1:29">
      <c r="A2232" s="1"/>
      <c r="B2232" s="1"/>
      <c r="C2232" s="73"/>
      <c r="D2232" s="1"/>
      <c r="E2232" s="1"/>
      <c r="F2232" s="1"/>
      <c r="G2232" s="145"/>
      <c r="H2232" s="1"/>
      <c r="I2232" s="1"/>
      <c r="J2232" s="1"/>
      <c r="K2232" s="1"/>
      <c r="L2232" s="1"/>
      <c r="M2232" s="1"/>
      <c r="N2232" s="1"/>
      <c r="O2232" s="1"/>
      <c r="P2232" s="1"/>
      <c r="Q2232" s="3"/>
      <c r="R2232" s="4"/>
      <c r="S2232" s="4"/>
      <c r="T2232" s="1"/>
      <c r="U2232" s="6"/>
      <c r="V2232" s="1"/>
      <c r="W2232" s="1"/>
      <c r="X2232" s="1"/>
      <c r="Y2232" s="1"/>
      <c r="Z2232" s="1"/>
      <c r="AA2232" s="1"/>
      <c r="AB2232" s="1"/>
      <c r="AC2232" s="1"/>
    </row>
    <row r="2233" spans="1:29">
      <c r="A2233" s="1"/>
      <c r="B2233" s="1"/>
      <c r="C2233" s="73"/>
      <c r="D2233" s="1"/>
      <c r="E2233" s="1"/>
      <c r="F2233" s="1"/>
      <c r="G2233" s="145"/>
      <c r="H2233" s="1"/>
      <c r="I2233" s="1"/>
      <c r="J2233" s="1"/>
      <c r="K2233" s="1"/>
      <c r="L2233" s="1"/>
      <c r="M2233" s="1"/>
      <c r="N2233" s="1"/>
      <c r="O2233" s="1"/>
      <c r="P2233" s="1"/>
      <c r="Q2233" s="3"/>
      <c r="R2233" s="4"/>
      <c r="S2233" s="4"/>
      <c r="T2233" s="1"/>
      <c r="U2233" s="6"/>
      <c r="V2233" s="1"/>
      <c r="W2233" s="1"/>
      <c r="X2233" s="1"/>
      <c r="Y2233" s="1"/>
      <c r="Z2233" s="1"/>
      <c r="AA2233" s="1"/>
      <c r="AB2233" s="1"/>
      <c r="AC2233" s="1"/>
    </row>
    <row r="2234" spans="1:29">
      <c r="A2234" s="1"/>
      <c r="B2234" s="1"/>
      <c r="C2234" s="73"/>
      <c r="D2234" s="1"/>
      <c r="E2234" s="1"/>
      <c r="F2234" s="1"/>
      <c r="G2234" s="145"/>
      <c r="H2234" s="1"/>
      <c r="I2234" s="1"/>
      <c r="J2234" s="1"/>
      <c r="K2234" s="1"/>
      <c r="L2234" s="1"/>
      <c r="M2234" s="1"/>
      <c r="N2234" s="1"/>
      <c r="O2234" s="1"/>
      <c r="P2234" s="1"/>
      <c r="Q2234" s="3"/>
      <c r="R2234" s="4"/>
      <c r="S2234" s="4"/>
      <c r="T2234" s="1"/>
      <c r="U2234" s="6"/>
      <c r="V2234" s="1"/>
      <c r="W2234" s="1"/>
      <c r="X2234" s="1"/>
      <c r="Y2234" s="1"/>
      <c r="Z2234" s="1"/>
      <c r="AA2234" s="1"/>
      <c r="AB2234" s="1"/>
      <c r="AC2234" s="1"/>
    </row>
    <row r="2235" spans="1:29">
      <c r="A2235" s="1"/>
      <c r="B2235" s="1"/>
      <c r="C2235" s="73"/>
      <c r="D2235" s="1"/>
      <c r="E2235" s="1"/>
      <c r="F2235" s="1"/>
      <c r="G2235" s="145"/>
      <c r="H2235" s="1"/>
      <c r="I2235" s="1"/>
      <c r="J2235" s="1"/>
      <c r="K2235" s="1"/>
      <c r="L2235" s="1"/>
      <c r="M2235" s="1"/>
      <c r="N2235" s="1"/>
      <c r="O2235" s="1"/>
      <c r="P2235" s="1"/>
      <c r="Q2235" s="3"/>
      <c r="R2235" s="4"/>
      <c r="S2235" s="4"/>
      <c r="T2235" s="1"/>
      <c r="U2235" s="6"/>
      <c r="V2235" s="1"/>
      <c r="W2235" s="1"/>
      <c r="X2235" s="1"/>
      <c r="Y2235" s="1"/>
      <c r="Z2235" s="1"/>
      <c r="AA2235" s="1"/>
      <c r="AB2235" s="1"/>
      <c r="AC2235" s="1"/>
    </row>
    <row r="2236" spans="1:29">
      <c r="A2236" s="1"/>
      <c r="B2236" s="1"/>
      <c r="C2236" s="73"/>
      <c r="D2236" s="1"/>
      <c r="E2236" s="1"/>
      <c r="F2236" s="1"/>
      <c r="G2236" s="145"/>
      <c r="H2236" s="1"/>
      <c r="I2236" s="1"/>
      <c r="J2236" s="1"/>
      <c r="K2236" s="1"/>
      <c r="L2236" s="1"/>
      <c r="M2236" s="1"/>
      <c r="N2236" s="1"/>
      <c r="O2236" s="1"/>
      <c r="P2236" s="1"/>
      <c r="Q2236" s="3"/>
      <c r="R2236" s="4"/>
      <c r="S2236" s="4"/>
      <c r="T2236" s="1"/>
      <c r="U2236" s="6"/>
      <c r="V2236" s="1"/>
      <c r="W2236" s="1"/>
      <c r="X2236" s="1"/>
      <c r="Y2236" s="1"/>
      <c r="Z2236" s="1"/>
      <c r="AA2236" s="1"/>
      <c r="AB2236" s="1"/>
      <c r="AC2236" s="1"/>
    </row>
    <row r="2237" spans="1:29">
      <c r="A2237" s="1"/>
      <c r="B2237" s="1"/>
      <c r="C2237" s="73"/>
      <c r="D2237" s="1"/>
      <c r="E2237" s="1"/>
      <c r="F2237" s="1"/>
      <c r="G2237" s="145"/>
      <c r="H2237" s="1"/>
      <c r="I2237" s="1"/>
      <c r="J2237" s="1"/>
      <c r="K2237" s="1"/>
      <c r="L2237" s="1"/>
      <c r="M2237" s="1"/>
      <c r="N2237" s="1"/>
      <c r="O2237" s="1"/>
      <c r="P2237" s="1"/>
      <c r="Q2237" s="3"/>
      <c r="R2237" s="4"/>
      <c r="S2237" s="4"/>
      <c r="T2237" s="1"/>
      <c r="U2237" s="6"/>
      <c r="V2237" s="1"/>
      <c r="W2237" s="1"/>
      <c r="X2237" s="1"/>
      <c r="Y2237" s="1"/>
      <c r="Z2237" s="1"/>
      <c r="AA2237" s="1"/>
      <c r="AB2237" s="1"/>
      <c r="AC2237" s="1"/>
    </row>
    <row r="2238" spans="1:29">
      <c r="A2238" s="1"/>
      <c r="B2238" s="1"/>
      <c r="C2238" s="73"/>
      <c r="D2238" s="1"/>
      <c r="E2238" s="1"/>
      <c r="F2238" s="1"/>
      <c r="G2238" s="145"/>
      <c r="H2238" s="1"/>
      <c r="I2238" s="1"/>
      <c r="J2238" s="1"/>
      <c r="K2238" s="1"/>
      <c r="L2238" s="1"/>
      <c r="M2238" s="1"/>
      <c r="N2238" s="1"/>
      <c r="O2238" s="1"/>
      <c r="P2238" s="1"/>
      <c r="Q2238" s="3"/>
      <c r="R2238" s="4"/>
      <c r="S2238" s="4"/>
      <c r="T2238" s="1"/>
      <c r="U2238" s="6"/>
      <c r="V2238" s="1"/>
      <c r="W2238" s="1"/>
      <c r="X2238" s="1"/>
      <c r="Y2238" s="1"/>
      <c r="Z2238" s="1"/>
      <c r="AA2238" s="1"/>
      <c r="AB2238" s="1"/>
      <c r="AC2238" s="1"/>
    </row>
    <row r="2239" spans="1:29">
      <c r="A2239" s="1"/>
      <c r="B2239" s="1"/>
      <c r="C2239" s="73"/>
      <c r="D2239" s="1"/>
      <c r="E2239" s="1"/>
      <c r="F2239" s="1"/>
      <c r="G2239" s="145"/>
      <c r="H2239" s="1"/>
      <c r="I2239" s="1"/>
      <c r="J2239" s="1"/>
      <c r="K2239" s="1"/>
      <c r="L2239" s="1"/>
      <c r="M2239" s="1"/>
      <c r="N2239" s="1"/>
      <c r="O2239" s="1"/>
      <c r="P2239" s="1"/>
      <c r="Q2239" s="3"/>
      <c r="R2239" s="4"/>
      <c r="S2239" s="4"/>
      <c r="T2239" s="1"/>
      <c r="U2239" s="6"/>
      <c r="V2239" s="1"/>
      <c r="W2239" s="1"/>
      <c r="X2239" s="1"/>
      <c r="Y2239" s="1"/>
      <c r="Z2239" s="1"/>
      <c r="AA2239" s="1"/>
      <c r="AB2239" s="1"/>
      <c r="AC2239" s="1"/>
    </row>
    <row r="2240" spans="1:29">
      <c r="A2240" s="1"/>
      <c r="B2240" s="1"/>
      <c r="C2240" s="73"/>
      <c r="D2240" s="1"/>
      <c r="E2240" s="1"/>
      <c r="F2240" s="1"/>
      <c r="G2240" s="145"/>
      <c r="H2240" s="1"/>
      <c r="I2240" s="1"/>
      <c r="J2240" s="1"/>
      <c r="K2240" s="1"/>
      <c r="L2240" s="1"/>
      <c r="M2240" s="1"/>
      <c r="N2240" s="1"/>
      <c r="O2240" s="1"/>
      <c r="P2240" s="1"/>
      <c r="Q2240" s="3"/>
      <c r="R2240" s="4"/>
      <c r="S2240" s="4"/>
      <c r="T2240" s="1"/>
      <c r="U2240" s="6"/>
      <c r="V2240" s="1"/>
      <c r="W2240" s="1"/>
      <c r="X2240" s="1"/>
      <c r="Y2240" s="1"/>
      <c r="Z2240" s="1"/>
      <c r="AA2240" s="1"/>
      <c r="AB2240" s="1"/>
      <c r="AC2240" s="1"/>
    </row>
    <row r="2241" spans="1:29">
      <c r="A2241" s="1"/>
      <c r="B2241" s="1"/>
      <c r="C2241" s="73"/>
      <c r="D2241" s="1"/>
      <c r="E2241" s="1"/>
      <c r="F2241" s="1"/>
      <c r="G2241" s="145"/>
      <c r="H2241" s="1"/>
      <c r="I2241" s="1"/>
      <c r="J2241" s="1"/>
      <c r="K2241" s="1"/>
      <c r="L2241" s="1"/>
      <c r="M2241" s="1"/>
      <c r="N2241" s="1"/>
      <c r="O2241" s="1"/>
      <c r="P2241" s="1"/>
      <c r="Q2241" s="3"/>
      <c r="R2241" s="4"/>
      <c r="S2241" s="4"/>
      <c r="T2241" s="1"/>
      <c r="U2241" s="6"/>
      <c r="V2241" s="1"/>
      <c r="W2241" s="1"/>
      <c r="X2241" s="1"/>
      <c r="Y2241" s="1"/>
      <c r="Z2241" s="1"/>
      <c r="AA2241" s="1"/>
      <c r="AB2241" s="1"/>
      <c r="AC2241" s="1"/>
    </row>
    <row r="2242" spans="1:29">
      <c r="A2242" s="1"/>
      <c r="B2242" s="1"/>
      <c r="C2242" s="73"/>
      <c r="D2242" s="1"/>
      <c r="E2242" s="1"/>
      <c r="F2242" s="1"/>
      <c r="G2242" s="145"/>
      <c r="H2242" s="1"/>
      <c r="I2242" s="1"/>
      <c r="J2242" s="1"/>
      <c r="K2242" s="1"/>
      <c r="L2242" s="1"/>
      <c r="M2242" s="1"/>
      <c r="N2242" s="1"/>
      <c r="O2242" s="1"/>
      <c r="P2242" s="1"/>
      <c r="Q2242" s="3"/>
      <c r="R2242" s="4"/>
      <c r="S2242" s="4"/>
      <c r="T2242" s="1"/>
      <c r="U2242" s="6"/>
      <c r="V2242" s="1"/>
      <c r="W2242" s="1"/>
      <c r="X2242" s="1"/>
      <c r="Y2242" s="1"/>
      <c r="Z2242" s="1"/>
      <c r="AA2242" s="1"/>
      <c r="AB2242" s="1"/>
      <c r="AC2242" s="1"/>
    </row>
    <row r="2243" spans="1:29">
      <c r="A2243" s="1"/>
      <c r="B2243" s="1"/>
      <c r="C2243" s="73"/>
      <c r="D2243" s="1"/>
      <c r="E2243" s="1"/>
      <c r="F2243" s="1"/>
      <c r="G2243" s="145"/>
      <c r="H2243" s="1"/>
      <c r="I2243" s="1"/>
      <c r="J2243" s="1"/>
      <c r="K2243" s="1"/>
      <c r="L2243" s="1"/>
      <c r="M2243" s="1"/>
      <c r="N2243" s="1"/>
      <c r="O2243" s="1"/>
      <c r="P2243" s="1"/>
      <c r="Q2243" s="3"/>
      <c r="R2243" s="4"/>
      <c r="S2243" s="4"/>
      <c r="T2243" s="1"/>
      <c r="U2243" s="6"/>
      <c r="V2243" s="1"/>
      <c r="W2243" s="1"/>
      <c r="X2243" s="1"/>
      <c r="Y2243" s="1"/>
      <c r="Z2243" s="1"/>
      <c r="AA2243" s="1"/>
      <c r="AB2243" s="1"/>
      <c r="AC2243" s="1"/>
    </row>
    <row r="2244" spans="1:29">
      <c r="A2244" s="1"/>
      <c r="B2244" s="1"/>
      <c r="C2244" s="73"/>
      <c r="D2244" s="1"/>
      <c r="E2244" s="1"/>
      <c r="F2244" s="1"/>
      <c r="G2244" s="145"/>
      <c r="H2244" s="1"/>
      <c r="I2244" s="1"/>
      <c r="J2244" s="1"/>
      <c r="K2244" s="1"/>
      <c r="L2244" s="1"/>
      <c r="M2244" s="1"/>
      <c r="N2244" s="1"/>
      <c r="O2244" s="1"/>
      <c r="P2244" s="1"/>
      <c r="Q2244" s="3"/>
      <c r="R2244" s="4"/>
      <c r="S2244" s="4"/>
      <c r="T2244" s="1"/>
      <c r="U2244" s="6"/>
      <c r="V2244" s="1"/>
      <c r="W2244" s="1"/>
      <c r="X2244" s="1"/>
      <c r="Y2244" s="1"/>
      <c r="Z2244" s="1"/>
      <c r="AA2244" s="1"/>
      <c r="AB2244" s="1"/>
      <c r="AC2244" s="1"/>
    </row>
    <row r="2245" spans="1:29">
      <c r="A2245" s="1"/>
      <c r="B2245" s="1"/>
      <c r="C2245" s="73"/>
      <c r="D2245" s="1"/>
      <c r="E2245" s="1"/>
      <c r="F2245" s="1"/>
      <c r="G2245" s="145"/>
      <c r="H2245" s="1"/>
      <c r="I2245" s="1"/>
      <c r="J2245" s="1"/>
      <c r="K2245" s="1"/>
      <c r="L2245" s="1"/>
      <c r="M2245" s="1"/>
      <c r="N2245" s="1"/>
      <c r="O2245" s="1"/>
      <c r="P2245" s="1"/>
      <c r="Q2245" s="3"/>
      <c r="R2245" s="4"/>
      <c r="S2245" s="4"/>
      <c r="T2245" s="1"/>
      <c r="U2245" s="6"/>
      <c r="V2245" s="1"/>
      <c r="W2245" s="1"/>
      <c r="X2245" s="1"/>
      <c r="Y2245" s="1"/>
      <c r="Z2245" s="1"/>
      <c r="AA2245" s="1"/>
      <c r="AB2245" s="1"/>
      <c r="AC2245" s="1"/>
    </row>
    <row r="2246" spans="1:29">
      <c r="A2246" s="1"/>
      <c r="B2246" s="1"/>
      <c r="C2246" s="73"/>
      <c r="D2246" s="1"/>
      <c r="E2246" s="1"/>
      <c r="F2246" s="1"/>
      <c r="G2246" s="145"/>
      <c r="H2246" s="1"/>
      <c r="I2246" s="1"/>
      <c r="J2246" s="1"/>
      <c r="K2246" s="1"/>
      <c r="L2246" s="1"/>
      <c r="M2246" s="1"/>
      <c r="N2246" s="1"/>
      <c r="O2246" s="1"/>
      <c r="P2246" s="1"/>
      <c r="Q2246" s="3"/>
      <c r="R2246" s="4"/>
      <c r="S2246" s="4"/>
      <c r="T2246" s="1"/>
      <c r="U2246" s="6"/>
      <c r="V2246" s="1"/>
      <c r="W2246" s="1"/>
      <c r="X2246" s="1"/>
      <c r="Y2246" s="1"/>
      <c r="Z2246" s="1"/>
      <c r="AA2246" s="1"/>
      <c r="AB2246" s="1"/>
      <c r="AC2246" s="1"/>
    </row>
    <row r="2247" spans="1:29">
      <c r="A2247" s="1"/>
      <c r="B2247" s="1"/>
      <c r="C2247" s="73"/>
      <c r="D2247" s="1"/>
      <c r="E2247" s="1"/>
      <c r="F2247" s="1"/>
      <c r="G2247" s="145"/>
      <c r="H2247" s="1"/>
      <c r="I2247" s="1"/>
      <c r="J2247" s="1"/>
      <c r="K2247" s="1"/>
      <c r="L2247" s="1"/>
      <c r="M2247" s="1"/>
      <c r="N2247" s="1"/>
      <c r="O2247" s="1"/>
      <c r="P2247" s="1"/>
      <c r="Q2247" s="3"/>
      <c r="R2247" s="4"/>
      <c r="S2247" s="4"/>
      <c r="T2247" s="1"/>
      <c r="U2247" s="6"/>
      <c r="V2247" s="1"/>
      <c r="W2247" s="1"/>
      <c r="X2247" s="1"/>
      <c r="Y2247" s="1"/>
      <c r="Z2247" s="1"/>
      <c r="AA2247" s="1"/>
      <c r="AB2247" s="1"/>
      <c r="AC2247" s="1"/>
    </row>
    <row r="2248" spans="1:29">
      <c r="A2248" s="1"/>
      <c r="B2248" s="1"/>
      <c r="C2248" s="73"/>
      <c r="D2248" s="1"/>
      <c r="E2248" s="1"/>
      <c r="F2248" s="1"/>
      <c r="G2248" s="145"/>
      <c r="H2248" s="1"/>
      <c r="I2248" s="1"/>
      <c r="J2248" s="1"/>
      <c r="K2248" s="1"/>
      <c r="L2248" s="1"/>
      <c r="M2248" s="1"/>
      <c r="N2248" s="1"/>
      <c r="O2248" s="1"/>
      <c r="P2248" s="1"/>
      <c r="Q2248" s="3"/>
      <c r="R2248" s="4"/>
      <c r="S2248" s="4"/>
      <c r="T2248" s="1"/>
      <c r="U2248" s="6"/>
      <c r="V2248" s="1"/>
      <c r="W2248" s="1"/>
      <c r="X2248" s="1"/>
      <c r="Y2248" s="1"/>
      <c r="Z2248" s="1"/>
      <c r="AA2248" s="1"/>
      <c r="AB2248" s="1"/>
      <c r="AC2248" s="1"/>
    </row>
    <row r="2249" spans="1:29">
      <c r="A2249" s="1"/>
      <c r="B2249" s="1"/>
      <c r="C2249" s="73"/>
      <c r="D2249" s="1"/>
      <c r="E2249" s="1"/>
      <c r="F2249" s="1"/>
      <c r="G2249" s="145"/>
      <c r="H2249" s="1"/>
      <c r="I2249" s="1"/>
      <c r="J2249" s="1"/>
      <c r="K2249" s="1"/>
      <c r="L2249" s="1"/>
      <c r="M2249" s="1"/>
      <c r="N2249" s="1"/>
      <c r="O2249" s="1"/>
      <c r="P2249" s="1"/>
      <c r="Q2249" s="3"/>
      <c r="R2249" s="4"/>
      <c r="S2249" s="4"/>
      <c r="T2249" s="1"/>
      <c r="U2249" s="6"/>
      <c r="V2249" s="1"/>
      <c r="W2249" s="1"/>
      <c r="X2249" s="1"/>
      <c r="Y2249" s="1"/>
      <c r="Z2249" s="1"/>
      <c r="AA2249" s="1"/>
      <c r="AB2249" s="1"/>
      <c r="AC2249" s="1"/>
    </row>
    <row r="2250" spans="1:29">
      <c r="A2250" s="1"/>
      <c r="B2250" s="1"/>
      <c r="C2250" s="73"/>
      <c r="D2250" s="1"/>
      <c r="E2250" s="1"/>
      <c r="F2250" s="1"/>
      <c r="G2250" s="145"/>
      <c r="H2250" s="1"/>
      <c r="I2250" s="1"/>
      <c r="J2250" s="1"/>
      <c r="K2250" s="1"/>
      <c r="L2250" s="1"/>
      <c r="M2250" s="1"/>
      <c r="N2250" s="1"/>
      <c r="O2250" s="1"/>
      <c r="P2250" s="1"/>
      <c r="Q2250" s="3"/>
      <c r="R2250" s="4"/>
      <c r="S2250" s="4"/>
      <c r="T2250" s="1"/>
      <c r="U2250" s="6"/>
      <c r="V2250" s="1"/>
      <c r="W2250" s="1"/>
      <c r="X2250" s="1"/>
      <c r="Y2250" s="1"/>
      <c r="Z2250" s="1"/>
      <c r="AA2250" s="1"/>
      <c r="AB2250" s="1"/>
      <c r="AC2250" s="1"/>
    </row>
    <row r="2251" spans="1:29">
      <c r="A2251" s="1"/>
      <c r="B2251" s="1"/>
      <c r="C2251" s="73"/>
      <c r="D2251" s="1"/>
      <c r="E2251" s="1"/>
      <c r="F2251" s="1"/>
      <c r="G2251" s="145"/>
      <c r="H2251" s="1"/>
      <c r="I2251" s="1"/>
      <c r="J2251" s="1"/>
      <c r="K2251" s="1"/>
      <c r="L2251" s="1"/>
      <c r="M2251" s="1"/>
      <c r="N2251" s="1"/>
      <c r="O2251" s="1"/>
      <c r="P2251" s="1"/>
      <c r="Q2251" s="3"/>
      <c r="R2251" s="4"/>
      <c r="S2251" s="4"/>
      <c r="T2251" s="1"/>
      <c r="U2251" s="6"/>
      <c r="V2251" s="1"/>
      <c r="W2251" s="1"/>
      <c r="X2251" s="1"/>
      <c r="Y2251" s="1"/>
      <c r="Z2251" s="1"/>
      <c r="AA2251" s="1"/>
      <c r="AB2251" s="1"/>
      <c r="AC2251" s="1"/>
    </row>
    <row r="2252" spans="1:29">
      <c r="A2252" s="1"/>
      <c r="B2252" s="1"/>
      <c r="C2252" s="73"/>
      <c r="D2252" s="1"/>
      <c r="E2252" s="1"/>
      <c r="F2252" s="1"/>
      <c r="G2252" s="145"/>
      <c r="H2252" s="1"/>
      <c r="I2252" s="1"/>
      <c r="J2252" s="1"/>
      <c r="K2252" s="1"/>
      <c r="L2252" s="1"/>
      <c r="M2252" s="1"/>
      <c r="N2252" s="1"/>
      <c r="O2252" s="1"/>
      <c r="P2252" s="1"/>
      <c r="Q2252" s="3"/>
      <c r="R2252" s="4"/>
      <c r="S2252" s="4"/>
      <c r="T2252" s="1"/>
      <c r="U2252" s="6"/>
      <c r="V2252" s="1"/>
      <c r="W2252" s="1"/>
      <c r="X2252" s="1"/>
      <c r="Y2252" s="1"/>
      <c r="Z2252" s="1"/>
      <c r="AA2252" s="1"/>
      <c r="AB2252" s="1"/>
      <c r="AC2252" s="1"/>
    </row>
    <row r="2253" spans="1:29">
      <c r="A2253" s="1"/>
      <c r="B2253" s="1"/>
      <c r="C2253" s="73"/>
      <c r="D2253" s="1"/>
      <c r="E2253" s="1"/>
      <c r="F2253" s="1"/>
      <c r="G2253" s="145"/>
      <c r="H2253" s="1"/>
      <c r="I2253" s="1"/>
      <c r="J2253" s="1"/>
      <c r="K2253" s="1"/>
      <c r="L2253" s="1"/>
      <c r="M2253" s="1"/>
      <c r="N2253" s="1"/>
      <c r="O2253" s="1"/>
      <c r="P2253" s="1"/>
      <c r="Q2253" s="3"/>
      <c r="R2253" s="4"/>
      <c r="S2253" s="4"/>
      <c r="T2253" s="1"/>
      <c r="U2253" s="6"/>
      <c r="V2253" s="1"/>
      <c r="W2253" s="1"/>
      <c r="X2253" s="1"/>
      <c r="Y2253" s="1"/>
      <c r="Z2253" s="1"/>
      <c r="AA2253" s="1"/>
      <c r="AB2253" s="1"/>
      <c r="AC2253" s="1"/>
    </row>
    <row r="2254" spans="1:29">
      <c r="A2254" s="1"/>
      <c r="B2254" s="1"/>
      <c r="C2254" s="73"/>
      <c r="D2254" s="1"/>
      <c r="E2254" s="1"/>
      <c r="F2254" s="1"/>
      <c r="G2254" s="145"/>
      <c r="H2254" s="1"/>
      <c r="I2254" s="1"/>
      <c r="J2254" s="1"/>
      <c r="K2254" s="1"/>
      <c r="L2254" s="1"/>
      <c r="M2254" s="1"/>
      <c r="N2254" s="1"/>
      <c r="O2254" s="1"/>
      <c r="P2254" s="1"/>
      <c r="Q2254" s="3"/>
      <c r="R2254" s="4"/>
      <c r="S2254" s="4"/>
      <c r="T2254" s="1"/>
      <c r="U2254" s="6"/>
      <c r="V2254" s="1"/>
      <c r="W2254" s="1"/>
      <c r="X2254" s="1"/>
      <c r="Y2254" s="1"/>
      <c r="Z2254" s="1"/>
      <c r="AA2254" s="1"/>
      <c r="AB2254" s="1"/>
      <c r="AC2254" s="1"/>
    </row>
    <row r="2255" spans="1:29">
      <c r="A2255" s="1"/>
      <c r="B2255" s="1"/>
      <c r="C2255" s="73"/>
      <c r="D2255" s="1"/>
      <c r="E2255" s="1"/>
      <c r="F2255" s="1"/>
      <c r="G2255" s="145"/>
      <c r="H2255" s="1"/>
      <c r="I2255" s="1"/>
      <c r="J2255" s="1"/>
      <c r="K2255" s="1"/>
      <c r="L2255" s="1"/>
      <c r="M2255" s="1"/>
      <c r="N2255" s="1"/>
      <c r="O2255" s="1"/>
      <c r="P2255" s="1"/>
      <c r="Q2255" s="3"/>
      <c r="R2255" s="4"/>
      <c r="S2255" s="4"/>
      <c r="T2255" s="1"/>
      <c r="U2255" s="6"/>
      <c r="V2255" s="1"/>
      <c r="W2255" s="1"/>
      <c r="X2255" s="1"/>
      <c r="Y2255" s="1"/>
      <c r="Z2255" s="1"/>
      <c r="AA2255" s="1"/>
      <c r="AB2255" s="1"/>
      <c r="AC2255" s="1"/>
    </row>
    <row r="2256" spans="1:29">
      <c r="A2256" s="1"/>
      <c r="B2256" s="1"/>
      <c r="C2256" s="73"/>
      <c r="D2256" s="1"/>
      <c r="E2256" s="1"/>
      <c r="F2256" s="1"/>
      <c r="G2256" s="145"/>
      <c r="H2256" s="1"/>
      <c r="I2256" s="1"/>
      <c r="J2256" s="1"/>
      <c r="K2256" s="1"/>
      <c r="L2256" s="1"/>
      <c r="M2256" s="1"/>
      <c r="N2256" s="1"/>
      <c r="O2256" s="1"/>
      <c r="P2256" s="1"/>
      <c r="Q2256" s="3"/>
      <c r="R2256" s="4"/>
      <c r="S2256" s="4"/>
      <c r="T2256" s="1"/>
      <c r="U2256" s="6"/>
      <c r="V2256" s="1"/>
      <c r="W2256" s="1"/>
      <c r="X2256" s="1"/>
      <c r="Y2256" s="1"/>
      <c r="Z2256" s="1"/>
      <c r="AA2256" s="1"/>
      <c r="AB2256" s="1"/>
      <c r="AC2256" s="1"/>
    </row>
    <row r="2257" spans="1:29">
      <c r="A2257" s="1"/>
      <c r="B2257" s="1"/>
      <c r="C2257" s="73"/>
      <c r="D2257" s="1"/>
      <c r="E2257" s="1"/>
      <c r="F2257" s="1"/>
      <c r="G2257" s="145"/>
      <c r="H2257" s="1"/>
      <c r="I2257" s="1"/>
      <c r="J2257" s="1"/>
      <c r="K2257" s="1"/>
      <c r="L2257" s="1"/>
      <c r="M2257" s="1"/>
      <c r="N2257" s="1"/>
      <c r="O2257" s="1"/>
      <c r="P2257" s="1"/>
      <c r="Q2257" s="3"/>
      <c r="R2257" s="4"/>
      <c r="S2257" s="4"/>
      <c r="T2257" s="1"/>
      <c r="U2257" s="6"/>
      <c r="V2257" s="1"/>
      <c r="W2257" s="1"/>
      <c r="X2257" s="1"/>
      <c r="Y2257" s="1"/>
      <c r="Z2257" s="1"/>
      <c r="AA2257" s="1"/>
      <c r="AB2257" s="1"/>
      <c r="AC2257" s="1"/>
    </row>
    <row r="2258" spans="1:29">
      <c r="A2258" s="1"/>
      <c r="B2258" s="1"/>
      <c r="C2258" s="73"/>
      <c r="D2258" s="1"/>
      <c r="E2258" s="1"/>
      <c r="F2258" s="1"/>
      <c r="G2258" s="145"/>
      <c r="H2258" s="1"/>
      <c r="I2258" s="1"/>
      <c r="J2258" s="1"/>
      <c r="K2258" s="1"/>
      <c r="L2258" s="1"/>
      <c r="M2258" s="1"/>
      <c r="N2258" s="1"/>
      <c r="O2258" s="1"/>
      <c r="P2258" s="1"/>
      <c r="Q2258" s="3"/>
      <c r="R2258" s="4"/>
      <c r="S2258" s="4"/>
      <c r="T2258" s="1"/>
      <c r="U2258" s="6"/>
      <c r="V2258" s="1"/>
      <c r="W2258" s="1"/>
      <c r="X2258" s="1"/>
      <c r="Y2258" s="1"/>
      <c r="Z2258" s="1"/>
      <c r="AA2258" s="1"/>
      <c r="AB2258" s="1"/>
      <c r="AC2258" s="1"/>
    </row>
    <row r="2259" spans="1:29">
      <c r="A2259" s="1"/>
      <c r="B2259" s="1"/>
      <c r="C2259" s="73"/>
      <c r="D2259" s="1"/>
      <c r="E2259" s="1"/>
      <c r="F2259" s="1"/>
      <c r="G2259" s="145"/>
      <c r="H2259" s="1"/>
      <c r="I2259" s="1"/>
      <c r="J2259" s="1"/>
      <c r="K2259" s="1"/>
      <c r="L2259" s="1"/>
      <c r="M2259" s="1"/>
      <c r="N2259" s="1"/>
      <c r="O2259" s="1"/>
      <c r="P2259" s="1"/>
      <c r="Q2259" s="3"/>
      <c r="R2259" s="4"/>
      <c r="S2259" s="4"/>
      <c r="T2259" s="1"/>
      <c r="U2259" s="6"/>
      <c r="V2259" s="1"/>
      <c r="W2259" s="1"/>
      <c r="X2259" s="1"/>
      <c r="Y2259" s="1"/>
      <c r="Z2259" s="1"/>
      <c r="AA2259" s="1"/>
      <c r="AB2259" s="1"/>
      <c r="AC2259" s="1"/>
    </row>
    <row r="2260" spans="1:29">
      <c r="A2260" s="1"/>
      <c r="B2260" s="1"/>
      <c r="C2260" s="73"/>
      <c r="D2260" s="1"/>
      <c r="E2260" s="1"/>
      <c r="F2260" s="1"/>
      <c r="G2260" s="145"/>
      <c r="H2260" s="1"/>
      <c r="I2260" s="1"/>
      <c r="J2260" s="1"/>
      <c r="K2260" s="1"/>
      <c r="L2260" s="1"/>
      <c r="M2260" s="1"/>
      <c r="N2260" s="1"/>
      <c r="O2260" s="1"/>
      <c r="P2260" s="1"/>
      <c r="Q2260" s="3"/>
      <c r="R2260" s="4"/>
      <c r="S2260" s="4"/>
      <c r="T2260" s="1"/>
      <c r="U2260" s="6"/>
      <c r="V2260" s="1"/>
      <c r="W2260" s="1"/>
      <c r="X2260" s="1"/>
      <c r="Y2260" s="1"/>
      <c r="Z2260" s="1"/>
      <c r="AA2260" s="1"/>
      <c r="AB2260" s="1"/>
      <c r="AC2260" s="1"/>
    </row>
    <row r="2261" spans="1:29">
      <c r="A2261" s="1"/>
      <c r="B2261" s="1"/>
      <c r="C2261" s="73"/>
      <c r="D2261" s="1"/>
      <c r="E2261" s="1"/>
      <c r="F2261" s="1"/>
      <c r="G2261" s="145"/>
      <c r="H2261" s="1"/>
      <c r="I2261" s="1"/>
      <c r="J2261" s="1"/>
      <c r="K2261" s="1"/>
      <c r="L2261" s="1"/>
      <c r="M2261" s="1"/>
      <c r="N2261" s="1"/>
      <c r="O2261" s="1"/>
      <c r="P2261" s="1"/>
      <c r="Q2261" s="3"/>
      <c r="R2261" s="4"/>
      <c r="S2261" s="4"/>
      <c r="T2261" s="1"/>
      <c r="U2261" s="6"/>
      <c r="V2261" s="1"/>
      <c r="W2261" s="1"/>
      <c r="X2261" s="1"/>
      <c r="Y2261" s="1"/>
      <c r="Z2261" s="1"/>
      <c r="AA2261" s="1"/>
      <c r="AB2261" s="1"/>
      <c r="AC2261" s="1"/>
    </row>
    <row r="2262" spans="1:29">
      <c r="A2262" s="1"/>
      <c r="B2262" s="1"/>
      <c r="C2262" s="73"/>
      <c r="D2262" s="1"/>
      <c r="E2262" s="1"/>
      <c r="F2262" s="1"/>
      <c r="G2262" s="145"/>
      <c r="H2262" s="1"/>
      <c r="I2262" s="1"/>
      <c r="J2262" s="1"/>
      <c r="K2262" s="1"/>
      <c r="L2262" s="1"/>
      <c r="M2262" s="1"/>
      <c r="N2262" s="1"/>
      <c r="O2262" s="1"/>
      <c r="P2262" s="1"/>
      <c r="Q2262" s="3"/>
      <c r="R2262" s="4"/>
      <c r="S2262" s="4"/>
      <c r="T2262" s="1"/>
      <c r="U2262" s="6"/>
      <c r="V2262" s="1"/>
      <c r="W2262" s="1"/>
      <c r="X2262" s="1"/>
      <c r="Y2262" s="1"/>
      <c r="Z2262" s="1"/>
      <c r="AA2262" s="1"/>
      <c r="AB2262" s="1"/>
      <c r="AC2262" s="1"/>
    </row>
    <row r="2263" spans="1:29">
      <c r="A2263" s="1"/>
      <c r="B2263" s="1"/>
      <c r="C2263" s="73"/>
      <c r="D2263" s="1"/>
      <c r="E2263" s="1"/>
      <c r="F2263" s="1"/>
      <c r="G2263" s="145"/>
      <c r="H2263" s="1"/>
      <c r="I2263" s="1"/>
      <c r="J2263" s="1"/>
      <c r="K2263" s="1"/>
      <c r="L2263" s="1"/>
      <c r="M2263" s="1"/>
      <c r="N2263" s="1"/>
      <c r="O2263" s="1"/>
      <c r="P2263" s="1"/>
      <c r="Q2263" s="3"/>
      <c r="R2263" s="4"/>
      <c r="S2263" s="4"/>
      <c r="T2263" s="1"/>
      <c r="U2263" s="6"/>
      <c r="V2263" s="1"/>
      <c r="W2263" s="1"/>
      <c r="X2263" s="1"/>
      <c r="Y2263" s="1"/>
      <c r="Z2263" s="1"/>
      <c r="AA2263" s="1"/>
      <c r="AB2263" s="1"/>
      <c r="AC2263" s="1"/>
    </row>
    <row r="2264" spans="1:29">
      <c r="A2264" s="1"/>
      <c r="B2264" s="1"/>
      <c r="C2264" s="73"/>
      <c r="D2264" s="1"/>
      <c r="E2264" s="1"/>
      <c r="F2264" s="1"/>
      <c r="G2264" s="145"/>
      <c r="H2264" s="1"/>
      <c r="I2264" s="1"/>
      <c r="J2264" s="1"/>
      <c r="K2264" s="1"/>
      <c r="L2264" s="1"/>
      <c r="M2264" s="1"/>
      <c r="N2264" s="1"/>
      <c r="O2264" s="1"/>
      <c r="P2264" s="1"/>
      <c r="Q2264" s="3"/>
      <c r="R2264" s="4"/>
      <c r="S2264" s="4"/>
      <c r="T2264" s="1"/>
      <c r="U2264" s="6"/>
      <c r="V2264" s="1"/>
      <c r="W2264" s="1"/>
      <c r="X2264" s="1"/>
      <c r="Y2264" s="1"/>
      <c r="Z2264" s="1"/>
      <c r="AA2264" s="1"/>
      <c r="AB2264" s="1"/>
      <c r="AC2264" s="1"/>
    </row>
    <row r="2265" spans="1:29">
      <c r="A2265" s="1"/>
      <c r="B2265" s="1"/>
      <c r="C2265" s="73"/>
      <c r="D2265" s="1"/>
      <c r="E2265" s="1"/>
      <c r="F2265" s="1"/>
      <c r="G2265" s="145"/>
      <c r="H2265" s="1"/>
      <c r="I2265" s="1"/>
      <c r="J2265" s="1"/>
      <c r="K2265" s="1"/>
      <c r="L2265" s="1"/>
      <c r="M2265" s="1"/>
      <c r="N2265" s="1"/>
      <c r="O2265" s="1"/>
      <c r="P2265" s="1"/>
      <c r="Q2265" s="3"/>
      <c r="R2265" s="4"/>
      <c r="S2265" s="4"/>
      <c r="T2265" s="1"/>
      <c r="U2265" s="6"/>
      <c r="V2265" s="1"/>
      <c r="W2265" s="1"/>
      <c r="X2265" s="1"/>
      <c r="Y2265" s="1"/>
      <c r="Z2265" s="1"/>
      <c r="AA2265" s="1"/>
      <c r="AB2265" s="1"/>
      <c r="AC2265" s="1"/>
    </row>
    <row r="2266" spans="1:29">
      <c r="A2266" s="1"/>
      <c r="B2266" s="1"/>
      <c r="C2266" s="73"/>
      <c r="D2266" s="1"/>
      <c r="E2266" s="1"/>
      <c r="F2266" s="1"/>
      <c r="G2266" s="145"/>
      <c r="H2266" s="1"/>
      <c r="I2266" s="1"/>
      <c r="J2266" s="1"/>
      <c r="K2266" s="1"/>
      <c r="L2266" s="1"/>
      <c r="M2266" s="1"/>
      <c r="N2266" s="1"/>
      <c r="O2266" s="1"/>
      <c r="P2266" s="1"/>
      <c r="Q2266" s="3"/>
      <c r="R2266" s="4"/>
      <c r="S2266" s="4"/>
      <c r="T2266" s="1"/>
      <c r="U2266" s="6"/>
      <c r="V2266" s="1"/>
      <c r="W2266" s="1"/>
      <c r="X2266" s="1"/>
      <c r="Y2266" s="1"/>
      <c r="Z2266" s="1"/>
      <c r="AA2266" s="1"/>
      <c r="AB2266" s="1"/>
      <c r="AC2266" s="1"/>
    </row>
    <row r="2267" spans="1:29">
      <c r="A2267" s="1"/>
      <c r="B2267" s="1"/>
      <c r="C2267" s="73"/>
      <c r="D2267" s="1"/>
      <c r="E2267" s="1"/>
      <c r="F2267" s="1"/>
      <c r="G2267" s="145"/>
      <c r="H2267" s="1"/>
      <c r="I2267" s="1"/>
      <c r="J2267" s="1"/>
      <c r="K2267" s="1"/>
      <c r="L2267" s="1"/>
      <c r="M2267" s="1"/>
      <c r="N2267" s="1"/>
      <c r="O2267" s="1"/>
      <c r="P2267" s="1"/>
      <c r="Q2267" s="3"/>
      <c r="R2267" s="4"/>
      <c r="S2267" s="4"/>
      <c r="T2267" s="1"/>
      <c r="U2267" s="6"/>
      <c r="V2267" s="1"/>
      <c r="W2267" s="1"/>
      <c r="X2267" s="1"/>
      <c r="Y2267" s="1"/>
      <c r="Z2267" s="1"/>
      <c r="AA2267" s="1"/>
      <c r="AB2267" s="1"/>
      <c r="AC2267" s="1"/>
    </row>
    <row r="2268" spans="1:29">
      <c r="A2268" s="1"/>
      <c r="B2268" s="1"/>
      <c r="C2268" s="73"/>
      <c r="D2268" s="1"/>
      <c r="E2268" s="1"/>
      <c r="F2268" s="1"/>
      <c r="G2268" s="145"/>
      <c r="H2268" s="1"/>
      <c r="I2268" s="1"/>
      <c r="J2268" s="1"/>
      <c r="K2268" s="1"/>
      <c r="L2268" s="1"/>
      <c r="M2268" s="1"/>
      <c r="N2268" s="1"/>
      <c r="O2268" s="1"/>
      <c r="P2268" s="1"/>
      <c r="Q2268" s="3"/>
      <c r="R2268" s="4"/>
      <c r="S2268" s="4"/>
      <c r="T2268" s="1"/>
      <c r="U2268" s="6"/>
      <c r="V2268" s="1"/>
      <c r="W2268" s="1"/>
      <c r="X2268" s="1"/>
      <c r="Y2268" s="1"/>
      <c r="Z2268" s="1"/>
      <c r="AA2268" s="1"/>
      <c r="AB2268" s="1"/>
      <c r="AC2268" s="1"/>
    </row>
    <row r="2269" spans="1:29">
      <c r="A2269" s="1"/>
      <c r="B2269" s="1"/>
      <c r="C2269" s="73"/>
      <c r="D2269" s="1"/>
      <c r="E2269" s="1"/>
      <c r="F2269" s="1"/>
      <c r="G2269" s="145"/>
      <c r="H2269" s="1"/>
      <c r="I2269" s="1"/>
      <c r="J2269" s="1"/>
      <c r="K2269" s="1"/>
      <c r="L2269" s="1"/>
      <c r="M2269" s="1"/>
      <c r="N2269" s="1"/>
      <c r="O2269" s="1"/>
      <c r="P2269" s="1"/>
      <c r="Q2269" s="3"/>
      <c r="R2269" s="4"/>
      <c r="S2269" s="4"/>
      <c r="T2269" s="1"/>
      <c r="U2269" s="6"/>
      <c r="V2269" s="1"/>
      <c r="W2269" s="1"/>
      <c r="X2269" s="1"/>
      <c r="Y2269" s="1"/>
      <c r="Z2269" s="1"/>
      <c r="AA2269" s="1"/>
      <c r="AB2269" s="1"/>
      <c r="AC2269" s="1"/>
    </row>
    <row r="2270" spans="1:29">
      <c r="A2270" s="1"/>
      <c r="B2270" s="1"/>
      <c r="C2270" s="73"/>
      <c r="D2270" s="1"/>
      <c r="E2270" s="1"/>
      <c r="F2270" s="1"/>
      <c r="G2270" s="145"/>
      <c r="H2270" s="1"/>
      <c r="I2270" s="1"/>
      <c r="J2270" s="1"/>
      <c r="K2270" s="1"/>
      <c r="L2270" s="1"/>
      <c r="M2270" s="1"/>
      <c r="N2270" s="1"/>
      <c r="O2270" s="1"/>
      <c r="P2270" s="1"/>
      <c r="Q2270" s="3"/>
      <c r="R2270" s="4"/>
      <c r="S2270" s="4"/>
      <c r="T2270" s="1"/>
      <c r="U2270" s="6"/>
      <c r="V2270" s="1"/>
      <c r="W2270" s="1"/>
      <c r="X2270" s="1"/>
      <c r="Y2270" s="1"/>
      <c r="Z2270" s="1"/>
      <c r="AA2270" s="1"/>
      <c r="AB2270" s="1"/>
      <c r="AC2270" s="1"/>
    </row>
    <row r="2271" spans="1:29">
      <c r="A2271" s="1"/>
      <c r="B2271" s="1"/>
      <c r="C2271" s="73"/>
      <c r="D2271" s="1"/>
      <c r="E2271" s="1"/>
      <c r="F2271" s="1"/>
      <c r="G2271" s="145"/>
      <c r="H2271" s="1"/>
      <c r="I2271" s="1"/>
      <c r="J2271" s="1"/>
      <c r="K2271" s="1"/>
      <c r="L2271" s="1"/>
      <c r="M2271" s="1"/>
      <c r="N2271" s="1"/>
      <c r="O2271" s="1"/>
      <c r="P2271" s="1"/>
      <c r="Q2271" s="3"/>
      <c r="R2271" s="4"/>
      <c r="S2271" s="4"/>
      <c r="T2271" s="1"/>
      <c r="U2271" s="6"/>
      <c r="V2271" s="1"/>
      <c r="W2271" s="1"/>
      <c r="X2271" s="1"/>
      <c r="Y2271" s="1"/>
      <c r="Z2271" s="1"/>
      <c r="AA2271" s="1"/>
      <c r="AB2271" s="1"/>
      <c r="AC2271" s="1"/>
    </row>
    <row r="2272" spans="1:29">
      <c r="A2272" s="1"/>
      <c r="B2272" s="1"/>
      <c r="C2272" s="73"/>
      <c r="D2272" s="1"/>
      <c r="E2272" s="1"/>
      <c r="F2272" s="1"/>
      <c r="G2272" s="145"/>
      <c r="H2272" s="1"/>
      <c r="I2272" s="1"/>
      <c r="J2272" s="1"/>
      <c r="K2272" s="1"/>
      <c r="L2272" s="1"/>
      <c r="M2272" s="1"/>
      <c r="N2272" s="1"/>
      <c r="O2272" s="1"/>
      <c r="P2272" s="1"/>
      <c r="Q2272" s="3"/>
      <c r="R2272" s="4"/>
      <c r="S2272" s="4"/>
      <c r="T2272" s="1"/>
      <c r="U2272" s="6"/>
      <c r="V2272" s="1"/>
      <c r="W2272" s="1"/>
      <c r="X2272" s="1"/>
      <c r="Y2272" s="1"/>
      <c r="Z2272" s="1"/>
      <c r="AA2272" s="1"/>
      <c r="AB2272" s="1"/>
      <c r="AC2272" s="1"/>
    </row>
    <row r="2273" spans="1:29">
      <c r="A2273" s="1"/>
      <c r="B2273" s="1"/>
      <c r="C2273" s="73"/>
      <c r="D2273" s="1"/>
      <c r="E2273" s="1"/>
      <c r="F2273" s="1"/>
      <c r="G2273" s="145"/>
      <c r="H2273" s="1"/>
      <c r="I2273" s="1"/>
      <c r="J2273" s="1"/>
      <c r="K2273" s="1"/>
      <c r="L2273" s="1"/>
      <c r="M2273" s="1"/>
      <c r="N2273" s="1"/>
      <c r="O2273" s="1"/>
      <c r="P2273" s="1"/>
      <c r="Q2273" s="3"/>
      <c r="R2273" s="4"/>
      <c r="S2273" s="4"/>
      <c r="T2273" s="1"/>
      <c r="U2273" s="6"/>
      <c r="V2273" s="1"/>
      <c r="W2273" s="1"/>
      <c r="X2273" s="1"/>
      <c r="Y2273" s="1"/>
      <c r="Z2273" s="1"/>
      <c r="AA2273" s="1"/>
      <c r="AB2273" s="1"/>
      <c r="AC2273" s="1"/>
    </row>
    <row r="2274" spans="1:29">
      <c r="A2274" s="1"/>
      <c r="B2274" s="1"/>
      <c r="C2274" s="73"/>
      <c r="D2274" s="1"/>
      <c r="E2274" s="1"/>
      <c r="F2274" s="1"/>
      <c r="G2274" s="145"/>
      <c r="H2274" s="1"/>
      <c r="I2274" s="1"/>
      <c r="J2274" s="1"/>
      <c r="K2274" s="1"/>
      <c r="L2274" s="1"/>
      <c r="M2274" s="1"/>
      <c r="N2274" s="1"/>
      <c r="O2274" s="1"/>
      <c r="P2274" s="1"/>
      <c r="Q2274" s="3"/>
      <c r="R2274" s="4"/>
      <c r="S2274" s="4"/>
      <c r="T2274" s="1"/>
      <c r="U2274" s="6"/>
      <c r="V2274" s="1"/>
      <c r="W2274" s="1"/>
      <c r="X2274" s="1"/>
      <c r="Y2274" s="1"/>
      <c r="Z2274" s="1"/>
      <c r="AA2274" s="1"/>
      <c r="AB2274" s="1"/>
      <c r="AC2274" s="1"/>
    </row>
    <row r="2275" spans="1:29">
      <c r="A2275" s="1"/>
      <c r="B2275" s="1"/>
      <c r="C2275" s="73"/>
      <c r="D2275" s="1"/>
      <c r="E2275" s="1"/>
      <c r="F2275" s="1"/>
      <c r="G2275" s="145"/>
      <c r="H2275" s="1"/>
      <c r="I2275" s="1"/>
      <c r="J2275" s="1"/>
      <c r="K2275" s="1"/>
      <c r="L2275" s="1"/>
      <c r="M2275" s="1"/>
      <c r="N2275" s="1"/>
      <c r="O2275" s="1"/>
      <c r="P2275" s="1"/>
      <c r="Q2275" s="3"/>
      <c r="R2275" s="4"/>
      <c r="S2275" s="4"/>
      <c r="T2275" s="1"/>
      <c r="U2275" s="6"/>
      <c r="V2275" s="1"/>
      <c r="W2275" s="1"/>
      <c r="X2275" s="1"/>
      <c r="Y2275" s="1"/>
      <c r="Z2275" s="1"/>
      <c r="AA2275" s="1"/>
      <c r="AB2275" s="1"/>
      <c r="AC2275" s="1"/>
    </row>
    <row r="2276" spans="1:29">
      <c r="A2276" s="1"/>
      <c r="B2276" s="1"/>
      <c r="C2276" s="73"/>
      <c r="D2276" s="1"/>
      <c r="E2276" s="1"/>
      <c r="F2276" s="1"/>
      <c r="G2276" s="145"/>
      <c r="H2276" s="1"/>
      <c r="I2276" s="1"/>
      <c r="J2276" s="1"/>
      <c r="K2276" s="1"/>
      <c r="L2276" s="1"/>
      <c r="M2276" s="1"/>
      <c r="N2276" s="1"/>
      <c r="O2276" s="1"/>
      <c r="P2276" s="1"/>
      <c r="Q2276" s="3"/>
      <c r="R2276" s="4"/>
      <c r="S2276" s="4"/>
      <c r="T2276" s="1"/>
      <c r="U2276" s="6"/>
      <c r="V2276" s="1"/>
      <c r="W2276" s="1"/>
      <c r="X2276" s="1"/>
      <c r="Y2276" s="1"/>
      <c r="Z2276" s="1"/>
      <c r="AA2276" s="1"/>
      <c r="AB2276" s="1"/>
      <c r="AC2276" s="1"/>
    </row>
    <row r="2277" spans="1:29">
      <c r="A2277" s="1"/>
      <c r="B2277" s="1"/>
      <c r="C2277" s="73"/>
      <c r="D2277" s="1"/>
      <c r="E2277" s="1"/>
      <c r="F2277" s="1"/>
      <c r="G2277" s="145"/>
      <c r="H2277" s="1"/>
      <c r="I2277" s="1"/>
      <c r="J2277" s="1"/>
      <c r="K2277" s="1"/>
      <c r="L2277" s="1"/>
      <c r="M2277" s="1"/>
      <c r="N2277" s="1"/>
      <c r="O2277" s="1"/>
      <c r="P2277" s="1"/>
      <c r="Q2277" s="3"/>
      <c r="R2277" s="4"/>
      <c r="S2277" s="4"/>
      <c r="T2277" s="1"/>
      <c r="U2277" s="6"/>
      <c r="V2277" s="1"/>
      <c r="W2277" s="1"/>
      <c r="X2277" s="1"/>
      <c r="Y2277" s="1"/>
      <c r="Z2277" s="1"/>
      <c r="AA2277" s="1"/>
      <c r="AB2277" s="1"/>
      <c r="AC2277" s="1"/>
    </row>
    <row r="2278" spans="1:29">
      <c r="A2278" s="1"/>
      <c r="B2278" s="1"/>
      <c r="C2278" s="73"/>
      <c r="D2278" s="1"/>
      <c r="E2278" s="1"/>
      <c r="F2278" s="1"/>
      <c r="G2278" s="145"/>
      <c r="H2278" s="1"/>
      <c r="I2278" s="1"/>
      <c r="J2278" s="1"/>
      <c r="K2278" s="1"/>
      <c r="L2278" s="1"/>
      <c r="M2278" s="1"/>
      <c r="N2278" s="1"/>
      <c r="O2278" s="1"/>
      <c r="P2278" s="1"/>
      <c r="Q2278" s="3"/>
      <c r="R2278" s="4"/>
      <c r="S2278" s="4"/>
      <c r="T2278" s="1"/>
      <c r="U2278" s="6"/>
      <c r="V2278" s="1"/>
      <c r="W2278" s="1"/>
      <c r="X2278" s="1"/>
      <c r="Y2278" s="1"/>
      <c r="Z2278" s="1"/>
      <c r="AA2278" s="1"/>
      <c r="AB2278" s="1"/>
      <c r="AC2278" s="1"/>
    </row>
    <row r="2279" spans="1:29">
      <c r="A2279" s="1"/>
      <c r="B2279" s="1"/>
      <c r="C2279" s="73"/>
      <c r="D2279" s="1"/>
      <c r="E2279" s="1"/>
      <c r="F2279" s="1"/>
      <c r="G2279" s="145"/>
      <c r="H2279" s="1"/>
      <c r="I2279" s="1"/>
      <c r="J2279" s="1"/>
      <c r="K2279" s="1"/>
      <c r="L2279" s="1"/>
      <c r="M2279" s="1"/>
      <c r="N2279" s="1"/>
      <c r="O2279" s="1"/>
      <c r="P2279" s="1"/>
      <c r="Q2279" s="3"/>
      <c r="R2279" s="4"/>
      <c r="S2279" s="4"/>
      <c r="T2279" s="1"/>
      <c r="U2279" s="6"/>
      <c r="V2279" s="1"/>
      <c r="W2279" s="1"/>
      <c r="X2279" s="1"/>
      <c r="Y2279" s="1"/>
      <c r="Z2279" s="1"/>
      <c r="AA2279" s="1"/>
      <c r="AB2279" s="1"/>
      <c r="AC2279" s="1"/>
    </row>
    <row r="2280" spans="1:29">
      <c r="A2280" s="1"/>
      <c r="B2280" s="1"/>
      <c r="C2280" s="73"/>
      <c r="D2280" s="1"/>
      <c r="E2280" s="1"/>
      <c r="F2280" s="1"/>
      <c r="G2280" s="145"/>
      <c r="H2280" s="1"/>
      <c r="I2280" s="1"/>
      <c r="J2280" s="1"/>
      <c r="K2280" s="1"/>
      <c r="L2280" s="1"/>
      <c r="M2280" s="1"/>
      <c r="N2280" s="1"/>
      <c r="O2280" s="1"/>
      <c r="P2280" s="1"/>
      <c r="Q2280" s="3"/>
      <c r="R2280" s="4"/>
      <c r="S2280" s="4"/>
      <c r="T2280" s="1"/>
      <c r="U2280" s="6"/>
      <c r="V2280" s="1"/>
      <c r="W2280" s="1"/>
      <c r="X2280" s="1"/>
      <c r="Y2280" s="1"/>
      <c r="Z2280" s="1"/>
      <c r="AA2280" s="1"/>
      <c r="AB2280" s="1"/>
      <c r="AC2280" s="1"/>
    </row>
    <row r="2281" spans="1:29">
      <c r="A2281" s="1"/>
      <c r="B2281" s="1"/>
      <c r="C2281" s="73"/>
      <c r="D2281" s="1"/>
      <c r="E2281" s="1"/>
      <c r="F2281" s="1"/>
      <c r="G2281" s="145"/>
      <c r="H2281" s="1"/>
      <c r="I2281" s="1"/>
      <c r="J2281" s="1"/>
      <c r="K2281" s="1"/>
      <c r="L2281" s="1"/>
      <c r="M2281" s="1"/>
      <c r="N2281" s="1"/>
      <c r="O2281" s="1"/>
      <c r="P2281" s="1"/>
      <c r="Q2281" s="3"/>
      <c r="R2281" s="4"/>
      <c r="S2281" s="4"/>
      <c r="T2281" s="1"/>
      <c r="U2281" s="6"/>
      <c r="V2281" s="1"/>
      <c r="W2281" s="1"/>
      <c r="X2281" s="1"/>
      <c r="Y2281" s="1"/>
      <c r="Z2281" s="1"/>
      <c r="AA2281" s="1"/>
      <c r="AB2281" s="1"/>
      <c r="AC2281" s="1"/>
    </row>
    <row r="2282" spans="1:29">
      <c r="A2282" s="1"/>
      <c r="B2282" s="1"/>
      <c r="C2282" s="73"/>
      <c r="D2282" s="1"/>
      <c r="E2282" s="1"/>
      <c r="F2282" s="1"/>
      <c r="G2282" s="145"/>
      <c r="H2282" s="1"/>
      <c r="I2282" s="1"/>
      <c r="J2282" s="1"/>
      <c r="K2282" s="1"/>
      <c r="L2282" s="1"/>
      <c r="M2282" s="1"/>
      <c r="N2282" s="1"/>
      <c r="O2282" s="1"/>
      <c r="P2282" s="1"/>
      <c r="Q2282" s="3"/>
      <c r="R2282" s="4"/>
      <c r="S2282" s="4"/>
      <c r="T2282" s="1"/>
      <c r="U2282" s="6"/>
      <c r="V2282" s="1"/>
      <c r="W2282" s="1"/>
      <c r="X2282" s="1"/>
      <c r="Y2282" s="1"/>
      <c r="Z2282" s="1"/>
      <c r="AA2282" s="1"/>
      <c r="AB2282" s="1"/>
      <c r="AC2282" s="1"/>
    </row>
    <row r="2283" spans="1:29">
      <c r="A2283" s="1"/>
      <c r="B2283" s="1"/>
      <c r="C2283" s="73"/>
      <c r="D2283" s="1"/>
      <c r="E2283" s="1"/>
      <c r="F2283" s="1"/>
      <c r="G2283" s="145"/>
      <c r="H2283" s="1"/>
      <c r="I2283" s="1"/>
      <c r="J2283" s="1"/>
      <c r="K2283" s="1"/>
      <c r="L2283" s="1"/>
      <c r="M2283" s="1"/>
      <c r="N2283" s="1"/>
      <c r="O2283" s="1"/>
      <c r="P2283" s="1"/>
      <c r="Q2283" s="3"/>
      <c r="R2283" s="4"/>
      <c r="S2283" s="4"/>
      <c r="T2283" s="1"/>
      <c r="U2283" s="6"/>
      <c r="V2283" s="1"/>
      <c r="W2283" s="1"/>
      <c r="X2283" s="1"/>
      <c r="Y2283" s="1"/>
      <c r="Z2283" s="1"/>
      <c r="AA2283" s="1"/>
      <c r="AB2283" s="1"/>
      <c r="AC2283" s="1"/>
    </row>
    <row r="2284" spans="1:29">
      <c r="A2284" s="1"/>
      <c r="B2284" s="1"/>
      <c r="C2284" s="73"/>
      <c r="D2284" s="1"/>
      <c r="E2284" s="1"/>
      <c r="F2284" s="1"/>
      <c r="G2284" s="145"/>
      <c r="H2284" s="1"/>
      <c r="I2284" s="1"/>
      <c r="J2284" s="1"/>
      <c r="K2284" s="1"/>
      <c r="L2284" s="1"/>
      <c r="M2284" s="1"/>
      <c r="N2284" s="1"/>
      <c r="O2284" s="1"/>
      <c r="P2284" s="1"/>
      <c r="Q2284" s="3"/>
      <c r="R2284" s="4"/>
      <c r="S2284" s="4"/>
      <c r="T2284" s="1"/>
      <c r="U2284" s="6"/>
      <c r="V2284" s="1"/>
      <c r="W2284" s="1"/>
      <c r="X2284" s="1"/>
      <c r="Y2284" s="1"/>
      <c r="Z2284" s="1"/>
      <c r="AA2284" s="1"/>
      <c r="AB2284" s="1"/>
      <c r="AC2284" s="1"/>
    </row>
    <row r="2285" spans="1:29">
      <c r="A2285" s="1"/>
      <c r="B2285" s="1"/>
      <c r="C2285" s="73"/>
      <c r="D2285" s="1"/>
      <c r="E2285" s="1"/>
      <c r="F2285" s="1"/>
      <c r="G2285" s="145"/>
      <c r="H2285" s="1"/>
      <c r="I2285" s="1"/>
      <c r="J2285" s="1"/>
      <c r="K2285" s="1"/>
      <c r="L2285" s="1"/>
      <c r="M2285" s="1"/>
      <c r="N2285" s="1"/>
      <c r="O2285" s="1"/>
      <c r="P2285" s="1"/>
      <c r="Q2285" s="3"/>
      <c r="R2285" s="4"/>
      <c r="S2285" s="4"/>
      <c r="T2285" s="1"/>
      <c r="U2285" s="6"/>
      <c r="V2285" s="1"/>
      <c r="W2285" s="1"/>
      <c r="X2285" s="1"/>
      <c r="Y2285" s="1"/>
      <c r="Z2285" s="1"/>
      <c r="AA2285" s="1"/>
      <c r="AB2285" s="1"/>
      <c r="AC2285" s="1"/>
    </row>
    <row r="2286" spans="1:29">
      <c r="A2286" s="1"/>
      <c r="B2286" s="1"/>
      <c r="C2286" s="73"/>
      <c r="D2286" s="1"/>
      <c r="E2286" s="1"/>
      <c r="F2286" s="1"/>
      <c r="G2286" s="145"/>
      <c r="H2286" s="1"/>
      <c r="I2286" s="1"/>
      <c r="J2286" s="1"/>
      <c r="K2286" s="1"/>
      <c r="L2286" s="1"/>
      <c r="M2286" s="1"/>
      <c r="N2286" s="1"/>
      <c r="O2286" s="1"/>
      <c r="P2286" s="1"/>
      <c r="Q2286" s="3"/>
      <c r="R2286" s="4"/>
      <c r="S2286" s="4"/>
      <c r="T2286" s="1"/>
      <c r="U2286" s="6"/>
      <c r="V2286" s="1"/>
      <c r="W2286" s="1"/>
      <c r="X2286" s="1"/>
      <c r="Y2286" s="1"/>
      <c r="Z2286" s="1"/>
      <c r="AA2286" s="1"/>
      <c r="AB2286" s="1"/>
      <c r="AC2286" s="1"/>
    </row>
    <row r="2287" spans="1:29">
      <c r="A2287" s="1"/>
      <c r="B2287" s="1"/>
      <c r="C2287" s="73"/>
      <c r="D2287" s="1"/>
      <c r="E2287" s="1"/>
      <c r="F2287" s="1"/>
      <c r="G2287" s="145"/>
      <c r="H2287" s="1"/>
      <c r="I2287" s="1"/>
      <c r="J2287" s="1"/>
      <c r="K2287" s="1"/>
      <c r="L2287" s="1"/>
      <c r="M2287" s="1"/>
      <c r="N2287" s="1"/>
      <c r="O2287" s="1"/>
      <c r="P2287" s="1"/>
      <c r="Q2287" s="3"/>
      <c r="R2287" s="4"/>
      <c r="S2287" s="4"/>
      <c r="T2287" s="1"/>
      <c r="U2287" s="6"/>
      <c r="V2287" s="1"/>
      <c r="W2287" s="1"/>
      <c r="X2287" s="1"/>
      <c r="Y2287" s="1"/>
      <c r="Z2287" s="1"/>
      <c r="AA2287" s="1"/>
      <c r="AB2287" s="1"/>
      <c r="AC2287" s="1"/>
    </row>
    <row r="2288" spans="1:29">
      <c r="A2288" s="1"/>
      <c r="B2288" s="1"/>
      <c r="C2288" s="73"/>
      <c r="D2288" s="1"/>
      <c r="E2288" s="1"/>
      <c r="F2288" s="1"/>
      <c r="G2288" s="145"/>
      <c r="H2288" s="1"/>
      <c r="I2288" s="1"/>
      <c r="J2288" s="1"/>
      <c r="K2288" s="1"/>
      <c r="L2288" s="1"/>
      <c r="M2288" s="1"/>
      <c r="N2288" s="1"/>
      <c r="O2288" s="1"/>
      <c r="P2288" s="1"/>
      <c r="Q2288" s="3"/>
      <c r="R2288" s="4"/>
      <c r="S2288" s="4"/>
      <c r="T2288" s="1"/>
      <c r="U2288" s="6"/>
      <c r="V2288" s="1"/>
      <c r="W2288" s="1"/>
      <c r="X2288" s="1"/>
      <c r="Y2288" s="1"/>
      <c r="Z2288" s="1"/>
      <c r="AA2288" s="1"/>
      <c r="AB2288" s="1"/>
      <c r="AC2288" s="1"/>
    </row>
    <row r="2289" spans="1:29">
      <c r="A2289" s="1"/>
      <c r="B2289" s="1"/>
      <c r="C2289" s="73"/>
      <c r="D2289" s="1"/>
      <c r="E2289" s="1"/>
      <c r="F2289" s="1"/>
      <c r="G2289" s="145"/>
      <c r="H2289" s="1"/>
      <c r="I2289" s="1"/>
      <c r="J2289" s="1"/>
      <c r="K2289" s="1"/>
      <c r="L2289" s="1"/>
      <c r="M2289" s="1"/>
      <c r="N2289" s="1"/>
      <c r="O2289" s="1"/>
      <c r="P2289" s="1"/>
      <c r="Q2289" s="3"/>
      <c r="R2289" s="4"/>
      <c r="S2289" s="4"/>
      <c r="T2289" s="1"/>
      <c r="U2289" s="6"/>
      <c r="V2289" s="1"/>
      <c r="W2289" s="1"/>
      <c r="X2289" s="1"/>
      <c r="Y2289" s="1"/>
      <c r="Z2289" s="1"/>
      <c r="AA2289" s="1"/>
      <c r="AB2289" s="1"/>
      <c r="AC2289" s="1"/>
    </row>
    <row r="2290" spans="1:29">
      <c r="A2290" s="1"/>
      <c r="B2290" s="1"/>
      <c r="C2290" s="73"/>
      <c r="D2290" s="1"/>
      <c r="E2290" s="1"/>
      <c r="F2290" s="1"/>
      <c r="G2290" s="145"/>
      <c r="H2290" s="1"/>
      <c r="I2290" s="1"/>
      <c r="J2290" s="1"/>
      <c r="K2290" s="1"/>
      <c r="L2290" s="1"/>
      <c r="M2290" s="1"/>
      <c r="N2290" s="1"/>
      <c r="O2290" s="1"/>
      <c r="P2290" s="1"/>
      <c r="Q2290" s="3"/>
      <c r="R2290" s="4"/>
      <c r="S2290" s="4"/>
      <c r="T2290" s="1"/>
      <c r="U2290" s="6"/>
      <c r="V2290" s="1"/>
      <c r="W2290" s="1"/>
      <c r="X2290" s="1"/>
      <c r="Y2290" s="1"/>
      <c r="Z2290" s="1"/>
      <c r="AA2290" s="1"/>
      <c r="AB2290" s="1"/>
      <c r="AC2290" s="1"/>
    </row>
    <row r="2291" spans="1:29">
      <c r="A2291" s="1"/>
      <c r="B2291" s="1"/>
      <c r="C2291" s="73"/>
      <c r="D2291" s="1"/>
      <c r="E2291" s="1"/>
      <c r="F2291" s="1"/>
      <c r="G2291" s="145"/>
      <c r="H2291" s="1"/>
      <c r="I2291" s="1"/>
      <c r="J2291" s="1"/>
      <c r="K2291" s="1"/>
      <c r="L2291" s="1"/>
      <c r="M2291" s="1"/>
      <c r="N2291" s="1"/>
      <c r="O2291" s="1"/>
      <c r="P2291" s="1"/>
      <c r="Q2291" s="3"/>
      <c r="R2291" s="4"/>
      <c r="S2291" s="4"/>
      <c r="T2291" s="1"/>
      <c r="U2291" s="6"/>
      <c r="V2291" s="1"/>
      <c r="W2291" s="1"/>
      <c r="X2291" s="1"/>
      <c r="Y2291" s="1"/>
      <c r="Z2291" s="1"/>
      <c r="AA2291" s="1"/>
      <c r="AB2291" s="1"/>
      <c r="AC2291" s="1"/>
    </row>
    <row r="2292" spans="1:29">
      <c r="A2292" s="1"/>
      <c r="B2292" s="1"/>
      <c r="C2292" s="73"/>
      <c r="D2292" s="1"/>
      <c r="E2292" s="1"/>
      <c r="F2292" s="1"/>
      <c r="G2292" s="145"/>
      <c r="H2292" s="1"/>
      <c r="I2292" s="1"/>
      <c r="J2292" s="1"/>
      <c r="K2292" s="1"/>
      <c r="L2292" s="1"/>
      <c r="M2292" s="1"/>
      <c r="N2292" s="1"/>
      <c r="O2292" s="1"/>
      <c r="P2292" s="1"/>
      <c r="Q2292" s="3"/>
      <c r="R2292" s="4"/>
      <c r="S2292" s="4"/>
      <c r="T2292" s="1"/>
      <c r="U2292" s="6"/>
      <c r="V2292" s="1"/>
      <c r="W2292" s="1"/>
      <c r="X2292" s="1"/>
      <c r="Y2292" s="1"/>
      <c r="Z2292" s="1"/>
      <c r="AA2292" s="1"/>
      <c r="AB2292" s="1"/>
      <c r="AC2292" s="1"/>
    </row>
    <row r="2293" spans="1:29">
      <c r="A2293" s="1"/>
      <c r="B2293" s="1"/>
      <c r="C2293" s="73"/>
      <c r="D2293" s="1"/>
      <c r="E2293" s="1"/>
      <c r="F2293" s="1"/>
      <c r="G2293" s="145"/>
      <c r="H2293" s="1"/>
      <c r="I2293" s="1"/>
      <c r="J2293" s="1"/>
      <c r="K2293" s="1"/>
      <c r="L2293" s="1"/>
      <c r="M2293" s="1"/>
      <c r="N2293" s="1"/>
      <c r="O2293" s="1"/>
      <c r="P2293" s="1"/>
      <c r="Q2293" s="3"/>
      <c r="R2293" s="4"/>
      <c r="S2293" s="4"/>
      <c r="T2293" s="1"/>
      <c r="U2293" s="6"/>
      <c r="V2293" s="1"/>
      <c r="W2293" s="1"/>
      <c r="X2293" s="1"/>
      <c r="Y2293" s="1"/>
      <c r="Z2293" s="1"/>
      <c r="AA2293" s="1"/>
      <c r="AB2293" s="1"/>
      <c r="AC2293" s="1"/>
    </row>
    <row r="2294" spans="1:29">
      <c r="A2294" s="1"/>
      <c r="B2294" s="1"/>
      <c r="C2294" s="73"/>
      <c r="D2294" s="1"/>
      <c r="E2294" s="1"/>
      <c r="F2294" s="1"/>
      <c r="G2294" s="145"/>
      <c r="H2294" s="1"/>
      <c r="I2294" s="1"/>
      <c r="J2294" s="1"/>
      <c r="K2294" s="1"/>
      <c r="L2294" s="1"/>
      <c r="M2294" s="1"/>
      <c r="N2294" s="1"/>
      <c r="O2294" s="1"/>
      <c r="P2294" s="1"/>
      <c r="Q2294" s="3"/>
      <c r="R2294" s="4"/>
      <c r="S2294" s="4"/>
      <c r="T2294" s="1"/>
      <c r="U2294" s="6"/>
      <c r="V2294" s="1"/>
      <c r="W2294" s="1"/>
      <c r="X2294" s="1"/>
      <c r="Y2294" s="1"/>
      <c r="Z2294" s="1"/>
      <c r="AA2294" s="1"/>
      <c r="AB2294" s="1"/>
      <c r="AC2294" s="1"/>
    </row>
    <row r="2295" spans="1:29">
      <c r="A2295" s="1"/>
      <c r="B2295" s="1"/>
      <c r="C2295" s="73"/>
      <c r="D2295" s="1"/>
      <c r="E2295" s="1"/>
      <c r="F2295" s="1"/>
      <c r="G2295" s="145"/>
      <c r="H2295" s="1"/>
      <c r="I2295" s="1"/>
      <c r="J2295" s="1"/>
      <c r="K2295" s="1"/>
      <c r="L2295" s="1"/>
      <c r="M2295" s="1"/>
      <c r="N2295" s="1"/>
      <c r="O2295" s="1"/>
      <c r="P2295" s="1"/>
      <c r="Q2295" s="3"/>
      <c r="R2295" s="4"/>
      <c r="S2295" s="4"/>
      <c r="T2295" s="1"/>
      <c r="U2295" s="6"/>
      <c r="V2295" s="1"/>
      <c r="W2295" s="1"/>
      <c r="X2295" s="1"/>
      <c r="Y2295" s="1"/>
      <c r="Z2295" s="1"/>
      <c r="AA2295" s="1"/>
      <c r="AB2295" s="1"/>
      <c r="AC2295" s="1"/>
    </row>
    <row r="2296" spans="1:29">
      <c r="A2296" s="1"/>
      <c r="B2296" s="1"/>
      <c r="C2296" s="73"/>
      <c r="D2296" s="1"/>
      <c r="E2296" s="1"/>
      <c r="F2296" s="1"/>
      <c r="G2296" s="145"/>
      <c r="H2296" s="1"/>
      <c r="I2296" s="1"/>
      <c r="J2296" s="1"/>
      <c r="K2296" s="1"/>
      <c r="L2296" s="1"/>
      <c r="M2296" s="1"/>
      <c r="N2296" s="1"/>
      <c r="O2296" s="1"/>
      <c r="P2296" s="1"/>
      <c r="Q2296" s="3"/>
      <c r="R2296" s="4"/>
      <c r="S2296" s="4"/>
      <c r="T2296" s="1"/>
      <c r="U2296" s="6"/>
      <c r="V2296" s="1"/>
      <c r="W2296" s="1"/>
      <c r="X2296" s="1"/>
      <c r="Y2296" s="1"/>
      <c r="Z2296" s="1"/>
      <c r="AA2296" s="1"/>
      <c r="AB2296" s="1"/>
      <c r="AC2296" s="1"/>
    </row>
    <row r="2297" spans="1:29">
      <c r="A2297" s="1"/>
      <c r="B2297" s="1"/>
      <c r="C2297" s="73"/>
      <c r="D2297" s="1"/>
      <c r="E2297" s="1"/>
      <c r="F2297" s="1"/>
      <c r="G2297" s="145"/>
      <c r="H2297" s="1"/>
      <c r="I2297" s="1"/>
      <c r="J2297" s="1"/>
      <c r="K2297" s="1"/>
      <c r="L2297" s="1"/>
      <c r="M2297" s="1"/>
      <c r="N2297" s="1"/>
      <c r="O2297" s="1"/>
      <c r="P2297" s="1"/>
      <c r="Q2297" s="3"/>
      <c r="R2297" s="4"/>
      <c r="S2297" s="4"/>
      <c r="T2297" s="1"/>
      <c r="U2297" s="6"/>
      <c r="V2297" s="1"/>
      <c r="W2297" s="1"/>
      <c r="X2297" s="1"/>
      <c r="Y2297" s="1"/>
      <c r="Z2297" s="1"/>
      <c r="AA2297" s="1"/>
      <c r="AB2297" s="1"/>
      <c r="AC2297" s="1"/>
    </row>
    <row r="2298" spans="1:29">
      <c r="A2298" s="1"/>
      <c r="B2298" s="1"/>
      <c r="C2298" s="73"/>
      <c r="D2298" s="1"/>
      <c r="E2298" s="1"/>
      <c r="F2298" s="1"/>
      <c r="G2298" s="145"/>
      <c r="H2298" s="1"/>
      <c r="I2298" s="1"/>
      <c r="J2298" s="1"/>
      <c r="K2298" s="1"/>
      <c r="L2298" s="1"/>
      <c r="M2298" s="1"/>
      <c r="N2298" s="1"/>
      <c r="O2298" s="1"/>
      <c r="P2298" s="1"/>
      <c r="Q2298" s="3"/>
      <c r="R2298" s="4"/>
      <c r="S2298" s="4"/>
      <c r="T2298" s="1"/>
      <c r="U2298" s="6"/>
      <c r="V2298" s="1"/>
      <c r="W2298" s="1"/>
      <c r="X2298" s="1"/>
      <c r="Y2298" s="1"/>
      <c r="Z2298" s="1"/>
      <c r="AA2298" s="1"/>
      <c r="AB2298" s="1"/>
      <c r="AC2298" s="1"/>
    </row>
    <row r="2299" spans="1:29">
      <c r="A2299" s="1"/>
      <c r="B2299" s="1"/>
      <c r="C2299" s="73"/>
      <c r="D2299" s="1"/>
      <c r="E2299" s="1"/>
      <c r="F2299" s="1"/>
      <c r="G2299" s="145"/>
      <c r="H2299" s="1"/>
      <c r="I2299" s="1"/>
      <c r="J2299" s="1"/>
      <c r="K2299" s="1"/>
      <c r="L2299" s="1"/>
      <c r="M2299" s="1"/>
      <c r="N2299" s="1"/>
      <c r="O2299" s="1"/>
      <c r="P2299" s="1"/>
      <c r="Q2299" s="3"/>
      <c r="R2299" s="4"/>
      <c r="S2299" s="4"/>
      <c r="T2299" s="1"/>
      <c r="U2299" s="6"/>
      <c r="V2299" s="1"/>
      <c r="W2299" s="1"/>
      <c r="X2299" s="1"/>
      <c r="Y2299" s="1"/>
      <c r="Z2299" s="1"/>
      <c r="AA2299" s="1"/>
      <c r="AB2299" s="1"/>
      <c r="AC2299" s="1"/>
    </row>
    <row r="2300" spans="1:29">
      <c r="A2300" s="1"/>
      <c r="B2300" s="1"/>
      <c r="C2300" s="73"/>
      <c r="D2300" s="1"/>
      <c r="E2300" s="1"/>
      <c r="F2300" s="1"/>
      <c r="G2300" s="145"/>
      <c r="H2300" s="1"/>
      <c r="I2300" s="1"/>
      <c r="J2300" s="1"/>
      <c r="K2300" s="1"/>
      <c r="L2300" s="1"/>
      <c r="M2300" s="1"/>
      <c r="N2300" s="1"/>
      <c r="O2300" s="1"/>
      <c r="P2300" s="1"/>
      <c r="Q2300" s="3"/>
      <c r="R2300" s="4"/>
      <c r="S2300" s="4"/>
      <c r="T2300" s="1"/>
      <c r="U2300" s="6"/>
      <c r="V2300" s="1"/>
      <c r="W2300" s="1"/>
      <c r="X2300" s="1"/>
      <c r="Y2300" s="1"/>
      <c r="Z2300" s="1"/>
      <c r="AA2300" s="1"/>
      <c r="AB2300" s="1"/>
      <c r="AC2300" s="1"/>
    </row>
    <row r="2301" spans="1:29">
      <c r="A2301" s="1"/>
      <c r="B2301" s="1"/>
      <c r="C2301" s="73"/>
      <c r="D2301" s="1"/>
      <c r="E2301" s="1"/>
      <c r="F2301" s="1"/>
      <c r="G2301" s="145"/>
      <c r="H2301" s="1"/>
      <c r="I2301" s="1"/>
      <c r="J2301" s="1"/>
      <c r="K2301" s="1"/>
      <c r="L2301" s="1"/>
      <c r="M2301" s="1"/>
      <c r="N2301" s="1"/>
      <c r="O2301" s="1"/>
      <c r="P2301" s="1"/>
      <c r="Q2301" s="3"/>
      <c r="R2301" s="4"/>
      <c r="S2301" s="4"/>
      <c r="T2301" s="1"/>
      <c r="U2301" s="6"/>
      <c r="V2301" s="1"/>
      <c r="W2301" s="1"/>
      <c r="X2301" s="1"/>
      <c r="Y2301" s="1"/>
      <c r="Z2301" s="1"/>
      <c r="AA2301" s="1"/>
      <c r="AB2301" s="1"/>
      <c r="AC2301" s="1"/>
    </row>
    <row r="2302" spans="1:29">
      <c r="A2302" s="1"/>
      <c r="B2302" s="1"/>
      <c r="C2302" s="73"/>
      <c r="D2302" s="1"/>
      <c r="E2302" s="1"/>
      <c r="F2302" s="1"/>
      <c r="G2302" s="145"/>
      <c r="H2302" s="1"/>
      <c r="I2302" s="1"/>
      <c r="J2302" s="1"/>
      <c r="K2302" s="1"/>
      <c r="L2302" s="1"/>
      <c r="M2302" s="1"/>
      <c r="N2302" s="1"/>
      <c r="O2302" s="1"/>
      <c r="P2302" s="1"/>
      <c r="Q2302" s="3"/>
      <c r="R2302" s="4"/>
      <c r="S2302" s="4"/>
      <c r="T2302" s="1"/>
      <c r="U2302" s="6"/>
      <c r="V2302" s="1"/>
      <c r="W2302" s="1"/>
      <c r="X2302" s="1"/>
      <c r="Y2302" s="1"/>
      <c r="Z2302" s="1"/>
      <c r="AA2302" s="1"/>
      <c r="AB2302" s="1"/>
      <c r="AC2302" s="1"/>
    </row>
    <row r="2303" spans="1:29">
      <c r="A2303" s="1"/>
      <c r="B2303" s="1"/>
      <c r="C2303" s="73"/>
      <c r="D2303" s="1"/>
      <c r="E2303" s="1"/>
      <c r="F2303" s="1"/>
      <c r="G2303" s="145"/>
      <c r="H2303" s="1"/>
      <c r="I2303" s="1"/>
      <c r="J2303" s="1"/>
      <c r="K2303" s="1"/>
      <c r="L2303" s="1"/>
      <c r="M2303" s="1"/>
      <c r="N2303" s="1"/>
      <c r="O2303" s="1"/>
      <c r="P2303" s="1"/>
      <c r="Q2303" s="3"/>
      <c r="R2303" s="4"/>
      <c r="S2303" s="4"/>
      <c r="T2303" s="1"/>
      <c r="U2303" s="6"/>
      <c r="V2303" s="1"/>
      <c r="W2303" s="1"/>
      <c r="X2303" s="1"/>
      <c r="Y2303" s="1"/>
      <c r="Z2303" s="1"/>
      <c r="AA2303" s="1"/>
      <c r="AB2303" s="1"/>
      <c r="AC2303" s="1"/>
    </row>
    <row r="2304" spans="1:29">
      <c r="A2304" s="1"/>
      <c r="B2304" s="1"/>
      <c r="C2304" s="73"/>
      <c r="D2304" s="1"/>
      <c r="E2304" s="1"/>
      <c r="F2304" s="1"/>
      <c r="G2304" s="145"/>
      <c r="H2304" s="1"/>
      <c r="I2304" s="1"/>
      <c r="J2304" s="1"/>
      <c r="K2304" s="1"/>
      <c r="L2304" s="1"/>
      <c r="M2304" s="1"/>
      <c r="N2304" s="1"/>
      <c r="O2304" s="1"/>
      <c r="P2304" s="1"/>
      <c r="Q2304" s="3"/>
      <c r="R2304" s="4"/>
      <c r="S2304" s="4"/>
      <c r="T2304" s="1"/>
      <c r="U2304" s="6"/>
      <c r="V2304" s="1"/>
      <c r="W2304" s="1"/>
      <c r="X2304" s="1"/>
      <c r="Y2304" s="1"/>
      <c r="Z2304" s="1"/>
      <c r="AA2304" s="1"/>
      <c r="AB2304" s="1"/>
      <c r="AC2304" s="1"/>
    </row>
    <row r="2305" spans="1:29">
      <c r="A2305" s="1"/>
      <c r="B2305" s="1"/>
      <c r="C2305" s="73"/>
      <c r="D2305" s="1"/>
      <c r="E2305" s="1"/>
      <c r="F2305" s="1"/>
      <c r="G2305" s="145"/>
      <c r="H2305" s="1"/>
      <c r="I2305" s="1"/>
      <c r="J2305" s="1"/>
      <c r="K2305" s="1"/>
      <c r="L2305" s="1"/>
      <c r="M2305" s="1"/>
      <c r="N2305" s="1"/>
      <c r="O2305" s="1"/>
      <c r="P2305" s="1"/>
      <c r="Q2305" s="3"/>
      <c r="R2305" s="4"/>
      <c r="S2305" s="4"/>
      <c r="T2305" s="1"/>
      <c r="U2305" s="6"/>
      <c r="V2305" s="1"/>
      <c r="W2305" s="1"/>
      <c r="X2305" s="1"/>
      <c r="Y2305" s="1"/>
      <c r="Z2305" s="1"/>
      <c r="AA2305" s="1"/>
      <c r="AB2305" s="1"/>
      <c r="AC2305" s="1"/>
    </row>
    <row r="2306" spans="1:29">
      <c r="A2306" s="1"/>
      <c r="B2306" s="1"/>
      <c r="C2306" s="73"/>
      <c r="D2306" s="1"/>
      <c r="E2306" s="1"/>
      <c r="F2306" s="1"/>
      <c r="G2306" s="145"/>
      <c r="H2306" s="1"/>
      <c r="I2306" s="1"/>
      <c r="J2306" s="1"/>
      <c r="K2306" s="1"/>
      <c r="L2306" s="1"/>
      <c r="M2306" s="1"/>
      <c r="N2306" s="1"/>
      <c r="O2306" s="1"/>
      <c r="P2306" s="1"/>
      <c r="Q2306" s="3"/>
      <c r="R2306" s="4"/>
      <c r="S2306" s="4"/>
      <c r="T2306" s="1"/>
      <c r="U2306" s="6"/>
      <c r="V2306" s="1"/>
      <c r="W2306" s="1"/>
      <c r="X2306" s="1"/>
      <c r="Y2306" s="1"/>
      <c r="Z2306" s="1"/>
      <c r="AA2306" s="1"/>
      <c r="AB2306" s="1"/>
      <c r="AC2306" s="1"/>
    </row>
    <row r="2307" spans="1:29">
      <c r="A2307" s="1"/>
      <c r="B2307" s="1"/>
      <c r="C2307" s="73"/>
      <c r="D2307" s="1"/>
      <c r="E2307" s="1"/>
      <c r="F2307" s="1"/>
      <c r="G2307" s="145"/>
      <c r="H2307" s="1"/>
      <c r="I2307" s="1"/>
      <c r="J2307" s="1"/>
      <c r="K2307" s="1"/>
      <c r="L2307" s="1"/>
      <c r="M2307" s="1"/>
      <c r="N2307" s="1"/>
      <c r="O2307" s="1"/>
      <c r="P2307" s="1"/>
      <c r="Q2307" s="3"/>
      <c r="R2307" s="4"/>
      <c r="S2307" s="4"/>
      <c r="T2307" s="1"/>
      <c r="U2307" s="6"/>
      <c r="V2307" s="1"/>
      <c r="W2307" s="1"/>
      <c r="X2307" s="1"/>
      <c r="Y2307" s="1"/>
      <c r="Z2307" s="1"/>
      <c r="AA2307" s="1"/>
      <c r="AB2307" s="1"/>
      <c r="AC2307" s="1"/>
    </row>
    <row r="2308" spans="1:29">
      <c r="A2308" s="1"/>
      <c r="B2308" s="1"/>
      <c r="C2308" s="73"/>
      <c r="D2308" s="1"/>
      <c r="E2308" s="1"/>
      <c r="F2308" s="1"/>
      <c r="G2308" s="145"/>
      <c r="H2308" s="1"/>
      <c r="I2308" s="1"/>
      <c r="J2308" s="1"/>
      <c r="K2308" s="1"/>
      <c r="L2308" s="1"/>
      <c r="M2308" s="1"/>
      <c r="N2308" s="1"/>
      <c r="O2308" s="1"/>
      <c r="P2308" s="1"/>
      <c r="Q2308" s="3"/>
      <c r="R2308" s="4"/>
      <c r="S2308" s="4"/>
      <c r="T2308" s="1"/>
      <c r="U2308" s="6"/>
      <c r="V2308" s="1"/>
      <c r="W2308" s="1"/>
      <c r="X2308" s="1"/>
      <c r="Y2308" s="1"/>
      <c r="Z2308" s="1"/>
      <c r="AA2308" s="1"/>
      <c r="AB2308" s="1"/>
      <c r="AC2308" s="1"/>
    </row>
    <row r="2309" spans="1:29">
      <c r="A2309" s="1"/>
      <c r="B2309" s="1"/>
      <c r="C2309" s="73"/>
      <c r="D2309" s="1"/>
      <c r="E2309" s="1"/>
      <c r="F2309" s="1"/>
      <c r="G2309" s="145"/>
      <c r="H2309" s="1"/>
      <c r="I2309" s="1"/>
      <c r="J2309" s="1"/>
      <c r="K2309" s="1"/>
      <c r="L2309" s="1"/>
      <c r="M2309" s="1"/>
      <c r="N2309" s="1"/>
      <c r="O2309" s="1"/>
      <c r="P2309" s="1"/>
      <c r="Q2309" s="3"/>
      <c r="R2309" s="4"/>
      <c r="S2309" s="4"/>
      <c r="T2309" s="1"/>
      <c r="U2309" s="6"/>
      <c r="V2309" s="1"/>
      <c r="W2309" s="1"/>
      <c r="X2309" s="1"/>
      <c r="Y2309" s="1"/>
      <c r="Z2309" s="1"/>
      <c r="AA2309" s="1"/>
      <c r="AB2309" s="1"/>
      <c r="AC2309" s="1"/>
    </row>
    <row r="2310" spans="1:29">
      <c r="A2310" s="1"/>
      <c r="B2310" s="1"/>
      <c r="C2310" s="73"/>
      <c r="D2310" s="1"/>
      <c r="E2310" s="1"/>
      <c r="F2310" s="1"/>
      <c r="G2310" s="145"/>
      <c r="H2310" s="1"/>
      <c r="I2310" s="1"/>
      <c r="J2310" s="1"/>
      <c r="K2310" s="1"/>
      <c r="L2310" s="1"/>
      <c r="M2310" s="1"/>
      <c r="N2310" s="1"/>
      <c r="O2310" s="1"/>
      <c r="P2310" s="1"/>
      <c r="Q2310" s="3"/>
      <c r="R2310" s="4"/>
      <c r="S2310" s="4"/>
      <c r="T2310" s="1"/>
      <c r="U2310" s="6"/>
      <c r="V2310" s="1"/>
      <c r="W2310" s="1"/>
      <c r="X2310" s="1"/>
      <c r="Y2310" s="1"/>
      <c r="Z2310" s="1"/>
      <c r="AA2310" s="1"/>
      <c r="AB2310" s="1"/>
      <c r="AC2310" s="1"/>
    </row>
    <row r="2311" spans="1:29">
      <c r="A2311" s="1"/>
      <c r="B2311" s="1"/>
      <c r="C2311" s="73"/>
      <c r="D2311" s="1"/>
      <c r="E2311" s="1"/>
      <c r="F2311" s="1"/>
      <c r="G2311" s="145"/>
      <c r="H2311" s="1"/>
      <c r="I2311" s="1"/>
      <c r="J2311" s="1"/>
      <c r="K2311" s="1"/>
      <c r="L2311" s="1"/>
      <c r="M2311" s="1"/>
      <c r="N2311" s="1"/>
      <c r="O2311" s="1"/>
      <c r="P2311" s="1"/>
      <c r="Q2311" s="3"/>
      <c r="R2311" s="4"/>
      <c r="S2311" s="4"/>
      <c r="T2311" s="1"/>
      <c r="U2311" s="6"/>
      <c r="V2311" s="1"/>
      <c r="W2311" s="1"/>
      <c r="X2311" s="1"/>
      <c r="Y2311" s="1"/>
      <c r="Z2311" s="1"/>
      <c r="AA2311" s="1"/>
      <c r="AB2311" s="1"/>
      <c r="AC2311" s="1"/>
    </row>
    <row r="2312" spans="1:29">
      <c r="A2312" s="1"/>
      <c r="B2312" s="1"/>
      <c r="C2312" s="73"/>
      <c r="D2312" s="1"/>
      <c r="E2312" s="1"/>
      <c r="F2312" s="1"/>
      <c r="G2312" s="145"/>
      <c r="H2312" s="1"/>
      <c r="I2312" s="1"/>
      <c r="J2312" s="1"/>
      <c r="K2312" s="1"/>
      <c r="L2312" s="1"/>
      <c r="M2312" s="1"/>
      <c r="N2312" s="1"/>
      <c r="O2312" s="1"/>
      <c r="P2312" s="1"/>
      <c r="Q2312" s="3"/>
      <c r="R2312" s="4"/>
      <c r="S2312" s="4"/>
      <c r="T2312" s="1"/>
      <c r="U2312" s="6"/>
      <c r="V2312" s="1"/>
      <c r="W2312" s="1"/>
      <c r="X2312" s="1"/>
      <c r="Y2312" s="1"/>
      <c r="Z2312" s="1"/>
      <c r="AA2312" s="1"/>
      <c r="AB2312" s="1"/>
      <c r="AC2312" s="1"/>
    </row>
    <row r="2313" spans="1:29">
      <c r="A2313" s="1"/>
      <c r="B2313" s="1"/>
      <c r="C2313" s="73"/>
      <c r="D2313" s="1"/>
      <c r="E2313" s="1"/>
      <c r="F2313" s="1"/>
      <c r="G2313" s="145"/>
      <c r="H2313" s="1"/>
      <c r="I2313" s="1"/>
      <c r="J2313" s="1"/>
      <c r="K2313" s="1"/>
      <c r="L2313" s="1"/>
      <c r="M2313" s="1"/>
      <c r="N2313" s="1"/>
      <c r="O2313" s="1"/>
      <c r="P2313" s="1"/>
      <c r="Q2313" s="3"/>
      <c r="R2313" s="4"/>
      <c r="S2313" s="4"/>
      <c r="T2313" s="1"/>
      <c r="U2313" s="6"/>
      <c r="V2313" s="1"/>
      <c r="W2313" s="1"/>
      <c r="X2313" s="1"/>
      <c r="Y2313" s="1"/>
      <c r="Z2313" s="1"/>
      <c r="AA2313" s="1"/>
      <c r="AB2313" s="1"/>
      <c r="AC2313" s="1"/>
    </row>
    <row r="2314" spans="1:29">
      <c r="A2314" s="1"/>
      <c r="B2314" s="1"/>
      <c r="C2314" s="73"/>
      <c r="D2314" s="1"/>
      <c r="E2314" s="1"/>
      <c r="F2314" s="1"/>
      <c r="G2314" s="145"/>
      <c r="H2314" s="1"/>
      <c r="I2314" s="1"/>
      <c r="J2314" s="1"/>
      <c r="K2314" s="1"/>
      <c r="L2314" s="1"/>
      <c r="M2314" s="1"/>
      <c r="N2314" s="1"/>
      <c r="O2314" s="1"/>
      <c r="P2314" s="1"/>
      <c r="Q2314" s="3"/>
      <c r="R2314" s="4"/>
      <c r="S2314" s="4"/>
      <c r="T2314" s="1"/>
      <c r="U2314" s="6"/>
      <c r="V2314" s="1"/>
      <c r="W2314" s="1"/>
      <c r="X2314" s="1"/>
      <c r="Y2314" s="1"/>
      <c r="Z2314" s="1"/>
      <c r="AA2314" s="1"/>
      <c r="AB2314" s="1"/>
      <c r="AC2314" s="1"/>
    </row>
    <row r="2315" spans="1:29">
      <c r="A2315" s="1"/>
      <c r="B2315" s="1"/>
      <c r="C2315" s="73"/>
      <c r="D2315" s="1"/>
      <c r="E2315" s="1"/>
      <c r="F2315" s="1"/>
      <c r="G2315" s="145"/>
      <c r="H2315" s="1"/>
      <c r="I2315" s="1"/>
      <c r="J2315" s="1"/>
      <c r="K2315" s="1"/>
      <c r="L2315" s="1"/>
      <c r="M2315" s="1"/>
      <c r="N2315" s="1"/>
      <c r="O2315" s="1"/>
      <c r="P2315" s="1"/>
      <c r="Q2315" s="3"/>
      <c r="R2315" s="4"/>
      <c r="S2315" s="4"/>
      <c r="T2315" s="1"/>
      <c r="U2315" s="6"/>
      <c r="V2315" s="1"/>
      <c r="W2315" s="1"/>
      <c r="X2315" s="1"/>
      <c r="Y2315" s="1"/>
      <c r="Z2315" s="1"/>
      <c r="AA2315" s="1"/>
      <c r="AB2315" s="1"/>
      <c r="AC2315" s="1"/>
    </row>
    <row r="2316" spans="1:29">
      <c r="A2316" s="1"/>
      <c r="B2316" s="1"/>
      <c r="C2316" s="73"/>
      <c r="D2316" s="1"/>
      <c r="E2316" s="1"/>
      <c r="F2316" s="1"/>
      <c r="G2316" s="145"/>
      <c r="H2316" s="1"/>
      <c r="I2316" s="1"/>
      <c r="J2316" s="1"/>
      <c r="K2316" s="1"/>
      <c r="L2316" s="1"/>
      <c r="M2316" s="1"/>
      <c r="N2316" s="1"/>
      <c r="O2316" s="1"/>
      <c r="P2316" s="1"/>
      <c r="Q2316" s="3"/>
      <c r="R2316" s="4"/>
      <c r="S2316" s="4"/>
      <c r="T2316" s="1"/>
      <c r="U2316" s="6"/>
      <c r="V2316" s="1"/>
      <c r="W2316" s="1"/>
      <c r="X2316" s="1"/>
      <c r="Y2316" s="1"/>
      <c r="Z2316" s="1"/>
      <c r="AA2316" s="1"/>
      <c r="AB2316" s="1"/>
      <c r="AC2316" s="1"/>
    </row>
    <row r="2317" spans="1:29">
      <c r="A2317" s="1"/>
      <c r="B2317" s="1"/>
      <c r="C2317" s="73"/>
      <c r="D2317" s="1"/>
      <c r="E2317" s="1"/>
      <c r="F2317" s="1"/>
      <c r="G2317" s="145"/>
      <c r="H2317" s="1"/>
      <c r="I2317" s="1"/>
      <c r="J2317" s="1"/>
      <c r="K2317" s="1"/>
      <c r="L2317" s="1"/>
      <c r="M2317" s="1"/>
      <c r="N2317" s="1"/>
      <c r="O2317" s="1"/>
      <c r="P2317" s="1"/>
      <c r="Q2317" s="3"/>
      <c r="R2317" s="4"/>
      <c r="S2317" s="4"/>
      <c r="T2317" s="1"/>
      <c r="U2317" s="6"/>
      <c r="V2317" s="1"/>
      <c r="W2317" s="1"/>
      <c r="X2317" s="1"/>
      <c r="Y2317" s="1"/>
      <c r="Z2317" s="1"/>
      <c r="AA2317" s="1"/>
      <c r="AB2317" s="1"/>
      <c r="AC2317" s="1"/>
    </row>
    <row r="2318" spans="1:29">
      <c r="A2318" s="1"/>
      <c r="B2318" s="1"/>
      <c r="C2318" s="73"/>
      <c r="D2318" s="1"/>
      <c r="E2318" s="1"/>
      <c r="F2318" s="1"/>
      <c r="G2318" s="145"/>
      <c r="H2318" s="1"/>
      <c r="I2318" s="1"/>
      <c r="J2318" s="1"/>
      <c r="K2318" s="1"/>
      <c r="L2318" s="1"/>
      <c r="M2318" s="1"/>
      <c r="N2318" s="1"/>
      <c r="O2318" s="1"/>
      <c r="P2318" s="1"/>
      <c r="Q2318" s="3"/>
      <c r="R2318" s="4"/>
      <c r="S2318" s="4"/>
      <c r="T2318" s="1"/>
      <c r="U2318" s="6"/>
      <c r="V2318" s="1"/>
      <c r="W2318" s="1"/>
      <c r="X2318" s="1"/>
      <c r="Y2318" s="1"/>
      <c r="Z2318" s="1"/>
      <c r="AA2318" s="1"/>
      <c r="AB2318" s="1"/>
      <c r="AC2318" s="1"/>
    </row>
    <row r="2319" spans="1:29">
      <c r="A2319" s="1"/>
      <c r="B2319" s="1"/>
      <c r="C2319" s="73"/>
      <c r="D2319" s="1"/>
      <c r="E2319" s="1"/>
      <c r="F2319" s="1"/>
      <c r="G2319" s="145"/>
      <c r="H2319" s="1"/>
      <c r="I2319" s="1"/>
      <c r="J2319" s="1"/>
      <c r="K2319" s="1"/>
      <c r="L2319" s="1"/>
      <c r="M2319" s="1"/>
      <c r="N2319" s="1"/>
      <c r="O2319" s="1"/>
      <c r="P2319" s="1"/>
      <c r="Q2319" s="3"/>
      <c r="R2319" s="4"/>
      <c r="S2319" s="4"/>
      <c r="T2319" s="1"/>
      <c r="U2319" s="6"/>
      <c r="V2319" s="1"/>
      <c r="W2319" s="1"/>
      <c r="X2319" s="1"/>
      <c r="Y2319" s="1"/>
      <c r="Z2319" s="1"/>
      <c r="AA2319" s="1"/>
      <c r="AB2319" s="1"/>
      <c r="AC2319" s="1"/>
    </row>
    <row r="2320" spans="1:29">
      <c r="A2320" s="1"/>
      <c r="B2320" s="1"/>
      <c r="C2320" s="73"/>
      <c r="D2320" s="1"/>
      <c r="E2320" s="1"/>
      <c r="F2320" s="1"/>
      <c r="G2320" s="145"/>
      <c r="H2320" s="1"/>
      <c r="I2320" s="1"/>
      <c r="J2320" s="1"/>
      <c r="K2320" s="1"/>
      <c r="L2320" s="1"/>
      <c r="M2320" s="1"/>
      <c r="N2320" s="1"/>
      <c r="O2320" s="1"/>
      <c r="P2320" s="1"/>
      <c r="Q2320" s="3"/>
      <c r="R2320" s="4"/>
      <c r="S2320" s="4"/>
      <c r="T2320" s="1"/>
      <c r="U2320" s="6"/>
      <c r="V2320" s="1"/>
      <c r="W2320" s="1"/>
      <c r="X2320" s="1"/>
      <c r="Y2320" s="1"/>
      <c r="Z2320" s="1"/>
      <c r="AA2320" s="1"/>
      <c r="AB2320" s="1"/>
      <c r="AC2320" s="1"/>
    </row>
    <row r="2321" spans="1:29">
      <c r="A2321" s="1"/>
      <c r="B2321" s="1"/>
      <c r="C2321" s="73"/>
      <c r="D2321" s="1"/>
      <c r="E2321" s="1"/>
      <c r="F2321" s="1"/>
      <c r="G2321" s="145"/>
      <c r="H2321" s="1"/>
      <c r="I2321" s="1"/>
      <c r="J2321" s="1"/>
      <c r="K2321" s="1"/>
      <c r="L2321" s="1"/>
      <c r="M2321" s="1"/>
      <c r="N2321" s="1"/>
      <c r="O2321" s="1"/>
      <c r="P2321" s="1"/>
      <c r="Q2321" s="3"/>
      <c r="R2321" s="4"/>
      <c r="S2321" s="4"/>
      <c r="T2321" s="1"/>
      <c r="U2321" s="6"/>
      <c r="V2321" s="1"/>
      <c r="W2321" s="1"/>
      <c r="X2321" s="1"/>
      <c r="Y2321" s="1"/>
      <c r="Z2321" s="1"/>
      <c r="AA2321" s="1"/>
      <c r="AB2321" s="1"/>
      <c r="AC2321" s="1"/>
    </row>
    <row r="2322" spans="1:29">
      <c r="A2322" s="1"/>
      <c r="B2322" s="1"/>
      <c r="C2322" s="73"/>
      <c r="D2322" s="1"/>
      <c r="E2322" s="1"/>
      <c r="F2322" s="1"/>
      <c r="G2322" s="145"/>
      <c r="H2322" s="1"/>
      <c r="I2322" s="1"/>
      <c r="J2322" s="1"/>
      <c r="K2322" s="1"/>
      <c r="L2322" s="1"/>
      <c r="M2322" s="1"/>
      <c r="N2322" s="1"/>
      <c r="O2322" s="1"/>
      <c r="P2322" s="1"/>
      <c r="Q2322" s="3"/>
      <c r="R2322" s="4"/>
      <c r="S2322" s="4"/>
      <c r="T2322" s="1"/>
      <c r="U2322" s="6"/>
      <c r="V2322" s="1"/>
      <c r="W2322" s="1"/>
      <c r="X2322" s="1"/>
      <c r="Y2322" s="1"/>
      <c r="Z2322" s="1"/>
      <c r="AA2322" s="1"/>
      <c r="AB2322" s="1"/>
      <c r="AC2322" s="1"/>
    </row>
    <row r="2323" spans="1:29">
      <c r="A2323" s="1"/>
      <c r="B2323" s="1"/>
      <c r="C2323" s="73"/>
      <c r="D2323" s="1"/>
      <c r="E2323" s="1"/>
      <c r="F2323" s="1"/>
      <c r="G2323" s="145"/>
      <c r="H2323" s="1"/>
      <c r="I2323" s="1"/>
      <c r="J2323" s="1"/>
      <c r="K2323" s="1"/>
      <c r="L2323" s="1"/>
      <c r="M2323" s="1"/>
      <c r="N2323" s="1"/>
      <c r="O2323" s="1"/>
      <c r="P2323" s="1"/>
      <c r="Q2323" s="3"/>
      <c r="R2323" s="4"/>
      <c r="S2323" s="4"/>
      <c r="T2323" s="1"/>
      <c r="U2323" s="6"/>
      <c r="V2323" s="1"/>
      <c r="W2323" s="1"/>
      <c r="X2323" s="1"/>
      <c r="Y2323" s="1"/>
      <c r="Z2323" s="1"/>
      <c r="AA2323" s="1"/>
      <c r="AB2323" s="1"/>
      <c r="AC2323" s="1"/>
    </row>
    <row r="2324" spans="1:29">
      <c r="A2324" s="1"/>
      <c r="B2324" s="1"/>
      <c r="C2324" s="73"/>
      <c r="D2324" s="1"/>
      <c r="E2324" s="1"/>
      <c r="F2324" s="1"/>
      <c r="G2324" s="145"/>
      <c r="H2324" s="1"/>
      <c r="I2324" s="1"/>
      <c r="J2324" s="1"/>
      <c r="K2324" s="1"/>
      <c r="L2324" s="1"/>
      <c r="M2324" s="1"/>
      <c r="N2324" s="1"/>
      <c r="O2324" s="1"/>
      <c r="P2324" s="1"/>
      <c r="Q2324" s="3"/>
      <c r="R2324" s="4"/>
      <c r="S2324" s="4"/>
      <c r="T2324" s="1"/>
      <c r="U2324" s="6"/>
      <c r="V2324" s="1"/>
      <c r="W2324" s="1"/>
      <c r="X2324" s="1"/>
      <c r="Y2324" s="1"/>
      <c r="Z2324" s="1"/>
      <c r="AA2324" s="1"/>
      <c r="AB2324" s="1"/>
      <c r="AC2324" s="1"/>
    </row>
    <row r="2325" spans="1:29">
      <c r="A2325" s="1"/>
      <c r="B2325" s="1"/>
      <c r="C2325" s="73"/>
      <c r="D2325" s="1"/>
      <c r="E2325" s="1"/>
      <c r="F2325" s="1"/>
      <c r="G2325" s="145"/>
      <c r="H2325" s="1"/>
      <c r="I2325" s="1"/>
      <c r="J2325" s="1"/>
      <c r="K2325" s="1"/>
      <c r="L2325" s="1"/>
      <c r="M2325" s="1"/>
      <c r="N2325" s="1"/>
      <c r="O2325" s="1"/>
      <c r="P2325" s="1"/>
      <c r="Q2325" s="3"/>
      <c r="R2325" s="4"/>
      <c r="S2325" s="4"/>
      <c r="T2325" s="1"/>
      <c r="U2325" s="6"/>
      <c r="V2325" s="1"/>
      <c r="W2325" s="1"/>
      <c r="X2325" s="1"/>
      <c r="Y2325" s="1"/>
      <c r="Z2325" s="1"/>
      <c r="AA2325" s="1"/>
      <c r="AB2325" s="1"/>
      <c r="AC2325" s="1"/>
    </row>
    <row r="2326" spans="1:29">
      <c r="A2326" s="1"/>
      <c r="B2326" s="1"/>
      <c r="C2326" s="73"/>
      <c r="D2326" s="1"/>
      <c r="E2326" s="1"/>
      <c r="F2326" s="1"/>
      <c r="G2326" s="145"/>
      <c r="H2326" s="1"/>
      <c r="I2326" s="1"/>
      <c r="J2326" s="1"/>
      <c r="K2326" s="1"/>
      <c r="L2326" s="1"/>
      <c r="M2326" s="1"/>
      <c r="N2326" s="1"/>
      <c r="O2326" s="1"/>
      <c r="P2326" s="1"/>
      <c r="Q2326" s="3"/>
      <c r="R2326" s="4"/>
      <c r="S2326" s="4"/>
      <c r="T2326" s="1"/>
      <c r="U2326" s="6"/>
      <c r="V2326" s="1"/>
      <c r="W2326" s="1"/>
      <c r="X2326" s="1"/>
      <c r="Y2326" s="1"/>
      <c r="Z2326" s="1"/>
      <c r="AA2326" s="1"/>
      <c r="AB2326" s="1"/>
      <c r="AC2326" s="1"/>
    </row>
    <row r="2327" spans="1:29">
      <c r="A2327" s="1"/>
      <c r="B2327" s="1"/>
      <c r="C2327" s="73"/>
      <c r="D2327" s="1"/>
      <c r="E2327" s="1"/>
      <c r="F2327" s="1"/>
      <c r="G2327" s="145"/>
      <c r="H2327" s="1"/>
      <c r="I2327" s="1"/>
      <c r="J2327" s="1"/>
      <c r="K2327" s="1"/>
      <c r="L2327" s="1"/>
      <c r="M2327" s="1"/>
      <c r="N2327" s="1"/>
      <c r="O2327" s="1"/>
      <c r="P2327" s="1"/>
      <c r="Q2327" s="3"/>
      <c r="R2327" s="4"/>
      <c r="S2327" s="4"/>
      <c r="T2327" s="1"/>
      <c r="U2327" s="6"/>
      <c r="V2327" s="1"/>
      <c r="W2327" s="1"/>
      <c r="X2327" s="1"/>
      <c r="Y2327" s="1"/>
      <c r="Z2327" s="1"/>
      <c r="AA2327" s="1"/>
      <c r="AB2327" s="1"/>
      <c r="AC2327" s="1"/>
    </row>
    <row r="2328" spans="1:29">
      <c r="A2328" s="1"/>
      <c r="B2328" s="1"/>
      <c r="C2328" s="73"/>
      <c r="D2328" s="1"/>
      <c r="E2328" s="1"/>
      <c r="F2328" s="1"/>
      <c r="G2328" s="145"/>
      <c r="H2328" s="1"/>
      <c r="I2328" s="1"/>
      <c r="J2328" s="1"/>
      <c r="K2328" s="1"/>
      <c r="L2328" s="1"/>
      <c r="M2328" s="1"/>
      <c r="N2328" s="1"/>
      <c r="O2328" s="1"/>
      <c r="P2328" s="1"/>
      <c r="Q2328" s="3"/>
      <c r="R2328" s="4"/>
      <c r="S2328" s="4"/>
      <c r="T2328" s="1"/>
      <c r="U2328" s="6"/>
      <c r="V2328" s="1"/>
      <c r="W2328" s="1"/>
      <c r="X2328" s="1"/>
      <c r="Y2328" s="1"/>
      <c r="Z2328" s="1"/>
      <c r="AA2328" s="1"/>
      <c r="AB2328" s="1"/>
      <c r="AC2328" s="1"/>
    </row>
    <row r="2329" spans="1:29">
      <c r="A2329" s="1"/>
      <c r="B2329" s="1"/>
      <c r="C2329" s="73"/>
      <c r="D2329" s="1"/>
      <c r="E2329" s="1"/>
      <c r="F2329" s="1"/>
      <c r="G2329" s="145"/>
      <c r="H2329" s="1"/>
      <c r="I2329" s="1"/>
      <c r="J2329" s="1"/>
      <c r="K2329" s="1"/>
      <c r="L2329" s="1"/>
      <c r="M2329" s="1"/>
      <c r="N2329" s="1"/>
      <c r="O2329" s="1"/>
      <c r="P2329" s="1"/>
      <c r="Q2329" s="3"/>
      <c r="R2329" s="4"/>
      <c r="S2329" s="4"/>
      <c r="T2329" s="1"/>
      <c r="U2329" s="6"/>
      <c r="V2329" s="1"/>
      <c r="W2329" s="1"/>
      <c r="X2329" s="1"/>
      <c r="Y2329" s="1"/>
      <c r="Z2329" s="1"/>
      <c r="AA2329" s="1"/>
      <c r="AB2329" s="1"/>
      <c r="AC2329" s="1"/>
    </row>
    <row r="2330" spans="1:29">
      <c r="A2330" s="1"/>
      <c r="B2330" s="1"/>
      <c r="C2330" s="73"/>
      <c r="D2330" s="1"/>
      <c r="E2330" s="1"/>
      <c r="F2330" s="1"/>
      <c r="G2330" s="145"/>
      <c r="H2330" s="1"/>
      <c r="I2330" s="1"/>
      <c r="J2330" s="1"/>
      <c r="K2330" s="1"/>
      <c r="L2330" s="1"/>
      <c r="M2330" s="1"/>
      <c r="N2330" s="1"/>
      <c r="O2330" s="1"/>
      <c r="P2330" s="1"/>
      <c r="Q2330" s="3"/>
      <c r="R2330" s="4"/>
      <c r="S2330" s="4"/>
      <c r="T2330" s="1"/>
      <c r="U2330" s="6"/>
      <c r="V2330" s="1"/>
      <c r="W2330" s="1"/>
      <c r="X2330" s="1"/>
      <c r="Y2330" s="1"/>
      <c r="Z2330" s="1"/>
      <c r="AA2330" s="1"/>
      <c r="AB2330" s="1"/>
      <c r="AC2330" s="1"/>
    </row>
    <row r="2331" spans="1:29">
      <c r="A2331" s="1"/>
      <c r="B2331" s="1"/>
      <c r="C2331" s="73"/>
      <c r="D2331" s="1"/>
      <c r="E2331" s="1"/>
      <c r="F2331" s="1"/>
      <c r="G2331" s="145"/>
      <c r="H2331" s="1"/>
      <c r="I2331" s="1"/>
      <c r="J2331" s="1"/>
      <c r="K2331" s="1"/>
      <c r="L2331" s="1"/>
      <c r="M2331" s="1"/>
      <c r="N2331" s="1"/>
      <c r="O2331" s="1"/>
      <c r="P2331" s="1"/>
      <c r="Q2331" s="3"/>
      <c r="R2331" s="4"/>
      <c r="S2331" s="4"/>
      <c r="T2331" s="1"/>
      <c r="U2331" s="6"/>
      <c r="V2331" s="1"/>
      <c r="W2331" s="1"/>
      <c r="X2331" s="1"/>
      <c r="Y2331" s="1"/>
      <c r="Z2331" s="1"/>
      <c r="AA2331" s="1"/>
      <c r="AB2331" s="1"/>
      <c r="AC2331" s="1"/>
    </row>
    <row r="2332" spans="1:29">
      <c r="A2332" s="1"/>
      <c r="B2332" s="1"/>
      <c r="C2332" s="73"/>
      <c r="D2332" s="1"/>
      <c r="E2332" s="1"/>
      <c r="F2332" s="1"/>
      <c r="G2332" s="145"/>
      <c r="H2332" s="1"/>
      <c r="I2332" s="1"/>
      <c r="J2332" s="1"/>
      <c r="K2332" s="1"/>
      <c r="L2332" s="1"/>
      <c r="M2332" s="1"/>
      <c r="N2332" s="1"/>
      <c r="O2332" s="1"/>
      <c r="P2332" s="1"/>
      <c r="Q2332" s="3"/>
      <c r="R2332" s="4"/>
      <c r="S2332" s="4"/>
      <c r="T2332" s="1"/>
      <c r="U2332" s="6"/>
      <c r="V2332" s="1"/>
      <c r="W2332" s="1"/>
      <c r="X2332" s="1"/>
      <c r="Y2332" s="1"/>
      <c r="Z2332" s="1"/>
      <c r="AA2332" s="1"/>
      <c r="AB2332" s="1"/>
      <c r="AC2332" s="1"/>
    </row>
    <row r="2333" spans="1:29">
      <c r="A2333" s="1"/>
      <c r="B2333" s="1"/>
      <c r="C2333" s="73"/>
      <c r="D2333" s="1"/>
      <c r="E2333" s="1"/>
      <c r="F2333" s="1"/>
      <c r="G2333" s="145"/>
      <c r="H2333" s="1"/>
      <c r="I2333" s="1"/>
      <c r="J2333" s="1"/>
      <c r="K2333" s="1"/>
      <c r="L2333" s="1"/>
      <c r="M2333" s="1"/>
      <c r="N2333" s="1"/>
      <c r="O2333" s="1"/>
      <c r="P2333" s="1"/>
      <c r="Q2333" s="3"/>
      <c r="R2333" s="4"/>
      <c r="S2333" s="4"/>
      <c r="T2333" s="1"/>
      <c r="U2333" s="6"/>
      <c r="V2333" s="1"/>
      <c r="W2333" s="1"/>
      <c r="X2333" s="1"/>
      <c r="Y2333" s="1"/>
      <c r="Z2333" s="1"/>
      <c r="AA2333" s="1"/>
      <c r="AB2333" s="1"/>
      <c r="AC2333" s="1"/>
    </row>
    <row r="2334" spans="1:29">
      <c r="A2334" s="1"/>
      <c r="B2334" s="1"/>
      <c r="C2334" s="73"/>
      <c r="D2334" s="1"/>
      <c r="E2334" s="1"/>
      <c r="F2334" s="1"/>
      <c r="G2334" s="145"/>
      <c r="H2334" s="1"/>
      <c r="I2334" s="1"/>
      <c r="J2334" s="1"/>
      <c r="K2334" s="1"/>
      <c r="L2334" s="1"/>
      <c r="M2334" s="1"/>
      <c r="N2334" s="1"/>
      <c r="O2334" s="1"/>
      <c r="P2334" s="1"/>
      <c r="Q2334" s="3"/>
      <c r="R2334" s="4"/>
      <c r="S2334" s="4"/>
      <c r="T2334" s="1"/>
      <c r="U2334" s="6"/>
      <c r="V2334" s="1"/>
      <c r="W2334" s="1"/>
      <c r="X2334" s="1"/>
      <c r="Y2334" s="1"/>
      <c r="Z2334" s="1"/>
      <c r="AA2334" s="1"/>
      <c r="AB2334" s="1"/>
      <c r="AC2334" s="1"/>
    </row>
    <row r="2335" spans="1:29">
      <c r="A2335" s="1"/>
      <c r="B2335" s="1"/>
      <c r="C2335" s="73"/>
      <c r="D2335" s="1"/>
      <c r="E2335" s="1"/>
      <c r="F2335" s="1"/>
      <c r="G2335" s="145"/>
      <c r="H2335" s="1"/>
      <c r="I2335" s="1"/>
      <c r="J2335" s="1"/>
      <c r="K2335" s="1"/>
      <c r="L2335" s="1"/>
      <c r="M2335" s="1"/>
      <c r="N2335" s="1"/>
      <c r="O2335" s="1"/>
      <c r="P2335" s="1"/>
      <c r="Q2335" s="3"/>
      <c r="R2335" s="4"/>
      <c r="S2335" s="4"/>
      <c r="T2335" s="1"/>
      <c r="U2335" s="6"/>
      <c r="V2335" s="1"/>
      <c r="W2335" s="1"/>
      <c r="X2335" s="1"/>
      <c r="Y2335" s="1"/>
      <c r="Z2335" s="1"/>
      <c r="AA2335" s="1"/>
      <c r="AB2335" s="1"/>
      <c r="AC2335" s="1"/>
    </row>
    <row r="2336" spans="1:29">
      <c r="A2336" s="1"/>
      <c r="B2336" s="1"/>
      <c r="C2336" s="73"/>
      <c r="D2336" s="1"/>
      <c r="E2336" s="1"/>
      <c r="F2336" s="1"/>
      <c r="G2336" s="145"/>
      <c r="H2336" s="1"/>
      <c r="I2336" s="1"/>
      <c r="J2336" s="1"/>
      <c r="K2336" s="1"/>
      <c r="L2336" s="1"/>
      <c r="M2336" s="1"/>
      <c r="N2336" s="1"/>
      <c r="O2336" s="1"/>
      <c r="P2336" s="1"/>
      <c r="Q2336" s="3"/>
      <c r="R2336" s="4"/>
      <c r="S2336" s="4"/>
      <c r="T2336" s="1"/>
      <c r="U2336" s="6"/>
      <c r="V2336" s="1"/>
      <c r="W2336" s="1"/>
      <c r="X2336" s="1"/>
      <c r="Y2336" s="1"/>
      <c r="Z2336" s="1"/>
      <c r="AA2336" s="1"/>
      <c r="AB2336" s="1"/>
      <c r="AC2336" s="1"/>
    </row>
    <row r="2337" spans="1:29">
      <c r="A2337" s="1"/>
      <c r="B2337" s="1"/>
      <c r="C2337" s="73"/>
      <c r="D2337" s="1"/>
      <c r="E2337" s="1"/>
      <c r="F2337" s="1"/>
      <c r="G2337" s="145"/>
      <c r="H2337" s="1"/>
      <c r="I2337" s="1"/>
      <c r="J2337" s="1"/>
      <c r="K2337" s="1"/>
      <c r="L2337" s="1"/>
      <c r="M2337" s="1"/>
      <c r="N2337" s="1"/>
      <c r="O2337" s="1"/>
      <c r="P2337" s="1"/>
      <c r="Q2337" s="3"/>
      <c r="R2337" s="4"/>
      <c r="S2337" s="4"/>
      <c r="T2337" s="1"/>
      <c r="U2337" s="6"/>
      <c r="V2337" s="1"/>
      <c r="W2337" s="1"/>
      <c r="X2337" s="1"/>
      <c r="Y2337" s="1"/>
      <c r="Z2337" s="1"/>
      <c r="AA2337" s="1"/>
      <c r="AB2337" s="1"/>
      <c r="AC2337" s="1"/>
    </row>
    <row r="2338" spans="1:29">
      <c r="A2338" s="1"/>
      <c r="B2338" s="1"/>
      <c r="C2338" s="73"/>
      <c r="D2338" s="1"/>
      <c r="E2338" s="1"/>
      <c r="F2338" s="1"/>
      <c r="G2338" s="145"/>
      <c r="H2338" s="1"/>
      <c r="I2338" s="1"/>
      <c r="J2338" s="1"/>
      <c r="K2338" s="1"/>
      <c r="L2338" s="1"/>
      <c r="M2338" s="1"/>
      <c r="N2338" s="1"/>
      <c r="O2338" s="1"/>
      <c r="P2338" s="1"/>
      <c r="Q2338" s="3"/>
      <c r="R2338" s="4"/>
      <c r="S2338" s="4"/>
      <c r="T2338" s="1"/>
      <c r="U2338" s="6"/>
      <c r="V2338" s="1"/>
      <c r="W2338" s="1"/>
      <c r="X2338" s="1"/>
      <c r="Y2338" s="1"/>
      <c r="Z2338" s="1"/>
      <c r="AA2338" s="1"/>
      <c r="AB2338" s="1"/>
      <c r="AC2338" s="1"/>
    </row>
    <row r="2339" spans="1:29">
      <c r="A2339" s="1"/>
      <c r="B2339" s="1"/>
      <c r="C2339" s="73"/>
      <c r="D2339" s="1"/>
      <c r="E2339" s="1"/>
      <c r="F2339" s="1"/>
      <c r="G2339" s="145"/>
      <c r="H2339" s="1"/>
      <c r="I2339" s="1"/>
      <c r="J2339" s="1"/>
      <c r="K2339" s="1"/>
      <c r="L2339" s="1"/>
      <c r="M2339" s="1"/>
      <c r="N2339" s="1"/>
      <c r="O2339" s="1"/>
      <c r="P2339" s="1"/>
      <c r="Q2339" s="3"/>
      <c r="R2339" s="4"/>
      <c r="S2339" s="4"/>
      <c r="T2339" s="1"/>
      <c r="U2339" s="6"/>
      <c r="V2339" s="1"/>
      <c r="W2339" s="1"/>
      <c r="X2339" s="1"/>
      <c r="Y2339" s="1"/>
      <c r="Z2339" s="1"/>
      <c r="AA2339" s="1"/>
      <c r="AB2339" s="1"/>
      <c r="AC2339" s="1"/>
    </row>
    <row r="2340" spans="1:29">
      <c r="A2340" s="1"/>
      <c r="B2340" s="1"/>
      <c r="C2340" s="73"/>
      <c r="D2340" s="1"/>
      <c r="E2340" s="1"/>
      <c r="F2340" s="1"/>
      <c r="G2340" s="145"/>
      <c r="H2340" s="1"/>
      <c r="I2340" s="1"/>
      <c r="J2340" s="1"/>
      <c r="K2340" s="1"/>
      <c r="L2340" s="1"/>
      <c r="M2340" s="1"/>
      <c r="N2340" s="1"/>
      <c r="O2340" s="1"/>
      <c r="P2340" s="1"/>
      <c r="Q2340" s="3"/>
      <c r="R2340" s="4"/>
      <c r="S2340" s="4"/>
      <c r="T2340" s="1"/>
      <c r="U2340" s="6"/>
      <c r="V2340" s="1"/>
      <c r="W2340" s="1"/>
      <c r="X2340" s="1"/>
      <c r="Y2340" s="1"/>
      <c r="Z2340" s="1"/>
      <c r="AA2340" s="1"/>
      <c r="AB2340" s="1"/>
      <c r="AC2340" s="1"/>
    </row>
    <row r="2341" spans="1:29">
      <c r="A2341" s="1"/>
      <c r="B2341" s="1"/>
      <c r="C2341" s="73"/>
      <c r="D2341" s="1"/>
      <c r="E2341" s="1"/>
      <c r="F2341" s="1"/>
      <c r="G2341" s="145"/>
      <c r="H2341" s="1"/>
      <c r="I2341" s="1"/>
      <c r="J2341" s="1"/>
      <c r="K2341" s="1"/>
      <c r="L2341" s="1"/>
      <c r="M2341" s="1"/>
      <c r="N2341" s="1"/>
      <c r="O2341" s="1"/>
      <c r="P2341" s="1"/>
      <c r="Q2341" s="3"/>
      <c r="R2341" s="4"/>
      <c r="S2341" s="4"/>
      <c r="T2341" s="1"/>
      <c r="U2341" s="6"/>
      <c r="V2341" s="1"/>
      <c r="W2341" s="1"/>
      <c r="X2341" s="1"/>
      <c r="Y2341" s="1"/>
      <c r="Z2341" s="1"/>
      <c r="AA2341" s="1"/>
      <c r="AB2341" s="1"/>
      <c r="AC2341" s="1"/>
    </row>
    <row r="2342" spans="1:29">
      <c r="A2342" s="1"/>
      <c r="B2342" s="1"/>
      <c r="C2342" s="73"/>
      <c r="D2342" s="1"/>
      <c r="E2342" s="1"/>
      <c r="F2342" s="1"/>
      <c r="G2342" s="145"/>
      <c r="H2342" s="1"/>
      <c r="I2342" s="1"/>
      <c r="J2342" s="1"/>
      <c r="K2342" s="1"/>
      <c r="L2342" s="1"/>
      <c r="M2342" s="1"/>
      <c r="N2342" s="1"/>
      <c r="O2342" s="1"/>
      <c r="P2342" s="1"/>
      <c r="Q2342" s="3"/>
      <c r="R2342" s="4"/>
      <c r="S2342" s="4"/>
      <c r="T2342" s="1"/>
      <c r="U2342" s="6"/>
      <c r="V2342" s="1"/>
      <c r="W2342" s="1"/>
      <c r="X2342" s="1"/>
      <c r="Y2342" s="1"/>
      <c r="Z2342" s="1"/>
      <c r="AA2342" s="1"/>
      <c r="AB2342" s="1"/>
      <c r="AC2342" s="1"/>
    </row>
    <row r="2343" spans="1:29">
      <c r="A2343" s="1"/>
      <c r="B2343" s="1"/>
      <c r="C2343" s="73"/>
      <c r="D2343" s="1"/>
      <c r="E2343" s="1"/>
      <c r="F2343" s="1"/>
      <c r="G2343" s="145"/>
      <c r="H2343" s="1"/>
      <c r="I2343" s="1"/>
      <c r="J2343" s="1"/>
      <c r="K2343" s="1"/>
      <c r="L2343" s="1"/>
      <c r="M2343" s="1"/>
      <c r="N2343" s="1"/>
      <c r="O2343" s="1"/>
      <c r="P2343" s="1"/>
      <c r="Q2343" s="3"/>
      <c r="R2343" s="4"/>
      <c r="S2343" s="4"/>
      <c r="T2343" s="1"/>
      <c r="U2343" s="6"/>
      <c r="V2343" s="1"/>
      <c r="W2343" s="1"/>
      <c r="X2343" s="1"/>
      <c r="Y2343" s="1"/>
      <c r="Z2343" s="1"/>
      <c r="AA2343" s="1"/>
      <c r="AB2343" s="1"/>
      <c r="AC2343" s="1"/>
    </row>
    <row r="2344" spans="1:29">
      <c r="A2344" s="1"/>
      <c r="B2344" s="1"/>
      <c r="C2344" s="73"/>
      <c r="D2344" s="1"/>
      <c r="E2344" s="1"/>
      <c r="F2344" s="1"/>
      <c r="G2344" s="145"/>
      <c r="H2344" s="1"/>
      <c r="I2344" s="1"/>
      <c r="J2344" s="1"/>
      <c r="K2344" s="1"/>
      <c r="L2344" s="1"/>
      <c r="M2344" s="1"/>
      <c r="N2344" s="1"/>
      <c r="O2344" s="1"/>
      <c r="P2344" s="1"/>
      <c r="Q2344" s="3"/>
      <c r="R2344" s="4"/>
      <c r="S2344" s="4"/>
      <c r="T2344" s="1"/>
      <c r="U2344" s="6"/>
      <c r="V2344" s="1"/>
      <c r="W2344" s="1"/>
      <c r="X2344" s="1"/>
      <c r="Y2344" s="1"/>
      <c r="Z2344" s="1"/>
      <c r="AA2344" s="1"/>
      <c r="AB2344" s="1"/>
      <c r="AC2344" s="1"/>
    </row>
    <row r="2345" spans="1:29">
      <c r="A2345" s="1"/>
      <c r="B2345" s="1"/>
      <c r="C2345" s="73"/>
      <c r="D2345" s="1"/>
      <c r="E2345" s="1"/>
      <c r="F2345" s="1"/>
      <c r="G2345" s="145"/>
      <c r="H2345" s="1"/>
      <c r="I2345" s="1"/>
      <c r="J2345" s="1"/>
      <c r="K2345" s="1"/>
      <c r="L2345" s="1"/>
      <c r="M2345" s="1"/>
      <c r="N2345" s="1"/>
      <c r="O2345" s="1"/>
      <c r="P2345" s="1"/>
      <c r="Q2345" s="3"/>
      <c r="R2345" s="4"/>
      <c r="S2345" s="4"/>
      <c r="T2345" s="1"/>
      <c r="U2345" s="6"/>
      <c r="V2345" s="1"/>
      <c r="W2345" s="1"/>
      <c r="X2345" s="1"/>
      <c r="Y2345" s="1"/>
      <c r="Z2345" s="1"/>
      <c r="AA2345" s="1"/>
      <c r="AB2345" s="1"/>
      <c r="AC2345" s="1"/>
    </row>
    <row r="2346" spans="1:29">
      <c r="A2346" s="1"/>
      <c r="B2346" s="1"/>
      <c r="C2346" s="73"/>
      <c r="D2346" s="1"/>
      <c r="E2346" s="1"/>
      <c r="F2346" s="1"/>
      <c r="G2346" s="145"/>
      <c r="H2346" s="1"/>
      <c r="I2346" s="1"/>
      <c r="J2346" s="1"/>
      <c r="K2346" s="1"/>
      <c r="L2346" s="1"/>
      <c r="M2346" s="1"/>
      <c r="N2346" s="1"/>
      <c r="O2346" s="1"/>
      <c r="P2346" s="1"/>
      <c r="Q2346" s="3"/>
      <c r="R2346" s="4"/>
      <c r="S2346" s="4"/>
      <c r="T2346" s="1"/>
      <c r="U2346" s="6"/>
      <c r="V2346" s="1"/>
      <c r="W2346" s="1"/>
      <c r="X2346" s="1"/>
      <c r="Y2346" s="1"/>
      <c r="Z2346" s="1"/>
      <c r="AA2346" s="1"/>
      <c r="AB2346" s="1"/>
      <c r="AC2346" s="1"/>
    </row>
    <row r="2347" spans="1:29">
      <c r="A2347" s="1"/>
      <c r="B2347" s="1"/>
      <c r="C2347" s="73"/>
      <c r="D2347" s="1"/>
      <c r="E2347" s="1"/>
      <c r="F2347" s="1"/>
      <c r="G2347" s="145"/>
      <c r="H2347" s="1"/>
      <c r="I2347" s="1"/>
      <c r="J2347" s="1"/>
      <c r="K2347" s="1"/>
      <c r="L2347" s="1"/>
      <c r="M2347" s="1"/>
      <c r="N2347" s="1"/>
      <c r="O2347" s="1"/>
      <c r="P2347" s="1"/>
      <c r="Q2347" s="3"/>
      <c r="R2347" s="4"/>
      <c r="S2347" s="4"/>
      <c r="T2347" s="1"/>
      <c r="U2347" s="6"/>
      <c r="V2347" s="1"/>
      <c r="W2347" s="1"/>
      <c r="X2347" s="1"/>
      <c r="Y2347" s="1"/>
      <c r="Z2347" s="1"/>
      <c r="AA2347" s="1"/>
      <c r="AB2347" s="1"/>
      <c r="AC2347" s="1"/>
    </row>
    <row r="2348" spans="1:29">
      <c r="A2348" s="1"/>
      <c r="B2348" s="1"/>
      <c r="C2348" s="73"/>
      <c r="D2348" s="1"/>
      <c r="E2348" s="1"/>
      <c r="F2348" s="1"/>
      <c r="G2348" s="145"/>
      <c r="H2348" s="1"/>
      <c r="I2348" s="1"/>
      <c r="J2348" s="1"/>
      <c r="K2348" s="1"/>
      <c r="L2348" s="1"/>
      <c r="M2348" s="1"/>
      <c r="N2348" s="1"/>
      <c r="O2348" s="1"/>
      <c r="P2348" s="1"/>
      <c r="Q2348" s="3"/>
      <c r="R2348" s="4"/>
      <c r="S2348" s="4"/>
      <c r="T2348" s="1"/>
      <c r="U2348" s="6"/>
      <c r="V2348" s="1"/>
      <c r="W2348" s="1"/>
      <c r="X2348" s="1"/>
      <c r="Y2348" s="1"/>
      <c r="Z2348" s="1"/>
      <c r="AA2348" s="1"/>
      <c r="AB2348" s="1"/>
      <c r="AC2348" s="1"/>
    </row>
    <row r="2349" spans="1:29">
      <c r="A2349" s="1"/>
      <c r="B2349" s="1"/>
      <c r="C2349" s="73"/>
      <c r="D2349" s="1"/>
      <c r="E2349" s="1"/>
      <c r="F2349" s="1"/>
      <c r="G2349" s="145"/>
      <c r="H2349" s="1"/>
      <c r="I2349" s="1"/>
      <c r="J2349" s="1"/>
      <c r="K2349" s="1"/>
      <c r="L2349" s="1"/>
      <c r="M2349" s="1"/>
      <c r="N2349" s="1"/>
      <c r="O2349" s="1"/>
      <c r="P2349" s="1"/>
      <c r="Q2349" s="3"/>
      <c r="R2349" s="4"/>
      <c r="S2349" s="4"/>
      <c r="T2349" s="1"/>
      <c r="U2349" s="6"/>
      <c r="V2349" s="1"/>
      <c r="W2349" s="1"/>
      <c r="X2349" s="1"/>
      <c r="Y2349" s="1"/>
      <c r="Z2349" s="1"/>
      <c r="AA2349" s="1"/>
      <c r="AB2349" s="1"/>
      <c r="AC2349" s="1"/>
    </row>
    <row r="2350" spans="1:29">
      <c r="A2350" s="1"/>
      <c r="B2350" s="1"/>
      <c r="C2350" s="73"/>
      <c r="D2350" s="1"/>
      <c r="E2350" s="1"/>
      <c r="F2350" s="1"/>
      <c r="G2350" s="145"/>
      <c r="H2350" s="1"/>
      <c r="I2350" s="1"/>
      <c r="J2350" s="1"/>
      <c r="K2350" s="1"/>
      <c r="L2350" s="1"/>
      <c r="M2350" s="1"/>
      <c r="N2350" s="1"/>
      <c r="O2350" s="1"/>
      <c r="P2350" s="1"/>
      <c r="Q2350" s="3"/>
      <c r="R2350" s="4"/>
      <c r="S2350" s="4"/>
      <c r="T2350" s="1"/>
      <c r="U2350" s="6"/>
      <c r="V2350" s="1"/>
      <c r="W2350" s="1"/>
      <c r="X2350" s="1"/>
      <c r="Y2350" s="1"/>
      <c r="Z2350" s="1"/>
      <c r="AA2350" s="1"/>
      <c r="AB2350" s="1"/>
      <c r="AC2350" s="1"/>
    </row>
    <row r="2351" spans="1:29">
      <c r="A2351" s="1"/>
      <c r="B2351" s="1"/>
      <c r="C2351" s="73"/>
      <c r="D2351" s="1"/>
      <c r="E2351" s="1"/>
      <c r="F2351" s="1"/>
      <c r="G2351" s="145"/>
      <c r="H2351" s="1"/>
      <c r="I2351" s="1"/>
      <c r="J2351" s="1"/>
      <c r="K2351" s="1"/>
      <c r="L2351" s="1"/>
      <c r="M2351" s="1"/>
      <c r="N2351" s="1"/>
      <c r="O2351" s="1"/>
      <c r="P2351" s="1"/>
      <c r="Q2351" s="3"/>
      <c r="R2351" s="4"/>
      <c r="S2351" s="4"/>
      <c r="T2351" s="1"/>
      <c r="U2351" s="6"/>
      <c r="V2351" s="1"/>
      <c r="W2351" s="1"/>
      <c r="X2351" s="1"/>
      <c r="Y2351" s="1"/>
      <c r="Z2351" s="1"/>
      <c r="AA2351" s="1"/>
      <c r="AB2351" s="1"/>
      <c r="AC2351" s="1"/>
    </row>
    <row r="2352" spans="1:29">
      <c r="A2352" s="1"/>
      <c r="B2352" s="1"/>
      <c r="C2352" s="73"/>
      <c r="D2352" s="1"/>
      <c r="E2352" s="1"/>
      <c r="F2352" s="1"/>
      <c r="G2352" s="145"/>
      <c r="H2352" s="1"/>
      <c r="I2352" s="1"/>
      <c r="J2352" s="1"/>
      <c r="K2352" s="1"/>
      <c r="L2352" s="1"/>
      <c r="M2352" s="1"/>
      <c r="N2352" s="1"/>
      <c r="O2352" s="1"/>
      <c r="P2352" s="1"/>
      <c r="Q2352" s="3"/>
      <c r="R2352" s="4"/>
      <c r="S2352" s="4"/>
      <c r="T2352" s="1"/>
      <c r="U2352" s="6"/>
      <c r="V2352" s="1"/>
      <c r="W2352" s="1"/>
      <c r="X2352" s="1"/>
      <c r="Y2352" s="1"/>
      <c r="Z2352" s="1"/>
      <c r="AA2352" s="1"/>
      <c r="AB2352" s="1"/>
      <c r="AC2352" s="1"/>
    </row>
    <row r="2353" spans="1:29">
      <c r="A2353" s="1"/>
      <c r="B2353" s="1"/>
      <c r="C2353" s="73"/>
      <c r="D2353" s="1"/>
      <c r="E2353" s="1"/>
      <c r="F2353" s="1"/>
      <c r="G2353" s="145"/>
      <c r="H2353" s="1"/>
      <c r="I2353" s="1"/>
      <c r="J2353" s="1"/>
      <c r="K2353" s="1"/>
      <c r="L2353" s="1"/>
      <c r="M2353" s="1"/>
      <c r="N2353" s="1"/>
      <c r="O2353" s="1"/>
      <c r="P2353" s="1"/>
      <c r="Q2353" s="3"/>
      <c r="R2353" s="4"/>
      <c r="S2353" s="4"/>
      <c r="T2353" s="1"/>
      <c r="U2353" s="6"/>
      <c r="V2353" s="1"/>
      <c r="W2353" s="1"/>
      <c r="X2353" s="1"/>
      <c r="Y2353" s="1"/>
      <c r="Z2353" s="1"/>
      <c r="AA2353" s="1"/>
      <c r="AB2353" s="1"/>
      <c r="AC2353" s="1"/>
    </row>
    <row r="2354" spans="1:29">
      <c r="A2354" s="1"/>
      <c r="B2354" s="1"/>
      <c r="C2354" s="73"/>
      <c r="D2354" s="1"/>
      <c r="E2354" s="1"/>
      <c r="F2354" s="1"/>
      <c r="G2354" s="145"/>
      <c r="H2354" s="1"/>
      <c r="I2354" s="1"/>
      <c r="J2354" s="1"/>
      <c r="K2354" s="1"/>
      <c r="L2354" s="1"/>
      <c r="M2354" s="1"/>
      <c r="N2354" s="1"/>
      <c r="O2354" s="1"/>
      <c r="P2354" s="1"/>
      <c r="Q2354" s="3"/>
      <c r="R2354" s="4"/>
      <c r="S2354" s="4"/>
      <c r="T2354" s="1"/>
      <c r="U2354" s="6"/>
      <c r="V2354" s="1"/>
      <c r="W2354" s="1"/>
      <c r="X2354" s="1"/>
      <c r="Y2354" s="1"/>
      <c r="Z2354" s="1"/>
      <c r="AA2354" s="1"/>
      <c r="AB2354" s="1"/>
      <c r="AC2354" s="1"/>
    </row>
    <row r="2355" spans="1:29">
      <c r="A2355" s="1"/>
      <c r="B2355" s="1"/>
      <c r="C2355" s="73"/>
      <c r="D2355" s="1"/>
      <c r="E2355" s="1"/>
      <c r="F2355" s="1"/>
      <c r="G2355" s="145"/>
      <c r="H2355" s="1"/>
      <c r="I2355" s="1"/>
      <c r="J2355" s="1"/>
      <c r="K2355" s="1"/>
      <c r="L2355" s="1"/>
      <c r="M2355" s="1"/>
      <c r="N2355" s="1"/>
      <c r="O2355" s="1"/>
      <c r="P2355" s="1"/>
      <c r="Q2355" s="3"/>
      <c r="R2355" s="4"/>
      <c r="S2355" s="4"/>
      <c r="T2355" s="1"/>
      <c r="U2355" s="6"/>
      <c r="V2355" s="1"/>
      <c r="W2355" s="1"/>
      <c r="X2355" s="1"/>
      <c r="Y2355" s="1"/>
      <c r="Z2355" s="1"/>
      <c r="AA2355" s="1"/>
      <c r="AB2355" s="1"/>
      <c r="AC2355" s="1"/>
    </row>
    <row r="2356" spans="1:29">
      <c r="A2356" s="1"/>
      <c r="B2356" s="1"/>
      <c r="C2356" s="73"/>
      <c r="D2356" s="1"/>
      <c r="E2356" s="1"/>
      <c r="F2356" s="1"/>
      <c r="G2356" s="145"/>
      <c r="H2356" s="1"/>
      <c r="I2356" s="1"/>
      <c r="J2356" s="1"/>
      <c r="K2356" s="1"/>
      <c r="L2356" s="1"/>
      <c r="M2356" s="1"/>
      <c r="N2356" s="1"/>
      <c r="O2356" s="1"/>
      <c r="P2356" s="1"/>
      <c r="Q2356" s="3"/>
      <c r="R2356" s="4"/>
      <c r="S2356" s="4"/>
      <c r="T2356" s="1"/>
      <c r="U2356" s="6"/>
      <c r="V2356" s="1"/>
      <c r="W2356" s="1"/>
      <c r="X2356" s="1"/>
      <c r="Y2356" s="1"/>
      <c r="Z2356" s="1"/>
      <c r="AA2356" s="1"/>
      <c r="AB2356" s="1"/>
      <c r="AC2356" s="1"/>
    </row>
    <row r="2357" spans="1:29">
      <c r="A2357" s="1"/>
      <c r="B2357" s="1"/>
      <c r="C2357" s="73"/>
      <c r="D2357" s="1"/>
      <c r="E2357" s="1"/>
      <c r="F2357" s="1"/>
      <c r="G2357" s="145"/>
      <c r="H2357" s="1"/>
      <c r="I2357" s="1"/>
      <c r="J2357" s="1"/>
      <c r="K2357" s="1"/>
      <c r="L2357" s="1"/>
      <c r="M2357" s="1"/>
      <c r="N2357" s="1"/>
      <c r="O2357" s="1"/>
      <c r="P2357" s="1"/>
      <c r="Q2357" s="3"/>
      <c r="R2357" s="4"/>
      <c r="S2357" s="4"/>
      <c r="T2357" s="1"/>
      <c r="U2357" s="6"/>
      <c r="V2357" s="1"/>
      <c r="W2357" s="1"/>
      <c r="X2357" s="1"/>
      <c r="Y2357" s="1"/>
      <c r="Z2357" s="1"/>
      <c r="AA2357" s="1"/>
      <c r="AB2357" s="1"/>
      <c r="AC2357" s="1"/>
    </row>
    <row r="2358" spans="1:29">
      <c r="A2358" s="1"/>
      <c r="B2358" s="1"/>
      <c r="C2358" s="73"/>
      <c r="D2358" s="1"/>
      <c r="E2358" s="1"/>
      <c r="F2358" s="1"/>
      <c r="G2358" s="145"/>
      <c r="H2358" s="1"/>
      <c r="I2358" s="1"/>
      <c r="J2358" s="1"/>
      <c r="K2358" s="1"/>
      <c r="L2358" s="1"/>
      <c r="M2358" s="1"/>
      <c r="N2358" s="1"/>
      <c r="O2358" s="1"/>
      <c r="P2358" s="1"/>
      <c r="Q2358" s="3"/>
      <c r="R2358" s="4"/>
      <c r="S2358" s="4"/>
      <c r="T2358" s="1"/>
      <c r="U2358" s="6"/>
      <c r="V2358" s="1"/>
      <c r="W2358" s="1"/>
      <c r="X2358" s="1"/>
      <c r="Y2358" s="1"/>
      <c r="Z2358" s="1"/>
      <c r="AA2358" s="1"/>
      <c r="AB2358" s="1"/>
      <c r="AC2358" s="1"/>
    </row>
    <row r="2359" spans="1:29">
      <c r="A2359" s="1"/>
      <c r="B2359" s="1"/>
      <c r="C2359" s="73"/>
      <c r="D2359" s="1"/>
      <c r="E2359" s="1"/>
      <c r="F2359" s="1"/>
      <c r="G2359" s="145"/>
      <c r="H2359" s="1"/>
      <c r="I2359" s="1"/>
      <c r="J2359" s="1"/>
      <c r="K2359" s="1"/>
      <c r="L2359" s="1"/>
      <c r="M2359" s="1"/>
      <c r="N2359" s="1"/>
      <c r="O2359" s="1"/>
      <c r="P2359" s="1"/>
      <c r="Q2359" s="3"/>
      <c r="R2359" s="4"/>
      <c r="S2359" s="4"/>
      <c r="T2359" s="1"/>
      <c r="U2359" s="6"/>
      <c r="V2359" s="1"/>
      <c r="W2359" s="1"/>
      <c r="X2359" s="1"/>
      <c r="Y2359" s="1"/>
      <c r="Z2359" s="1"/>
      <c r="AA2359" s="1"/>
      <c r="AB2359" s="1"/>
      <c r="AC2359" s="1"/>
    </row>
    <row r="2360" spans="1:29">
      <c r="A2360" s="1"/>
      <c r="B2360" s="1"/>
      <c r="C2360" s="73"/>
      <c r="D2360" s="1"/>
      <c r="E2360" s="1"/>
      <c r="F2360" s="1"/>
      <c r="G2360" s="145"/>
      <c r="H2360" s="1"/>
      <c r="I2360" s="1"/>
      <c r="J2360" s="1"/>
      <c r="K2360" s="1"/>
      <c r="L2360" s="1"/>
      <c r="M2360" s="1"/>
      <c r="N2360" s="1"/>
      <c r="O2360" s="1"/>
      <c r="P2360" s="1"/>
      <c r="Q2360" s="3"/>
      <c r="R2360" s="4"/>
      <c r="S2360" s="4"/>
      <c r="T2360" s="1"/>
      <c r="U2360" s="6"/>
      <c r="V2360" s="1"/>
      <c r="W2360" s="1"/>
      <c r="X2360" s="1"/>
      <c r="Y2360" s="1"/>
      <c r="Z2360" s="1"/>
      <c r="AA2360" s="1"/>
      <c r="AB2360" s="1"/>
      <c r="AC2360" s="1"/>
    </row>
    <row r="2361" spans="1:29">
      <c r="A2361" s="1"/>
      <c r="B2361" s="1"/>
      <c r="C2361" s="73"/>
      <c r="D2361" s="1"/>
      <c r="E2361" s="1"/>
      <c r="F2361" s="1"/>
      <c r="G2361" s="145"/>
      <c r="H2361" s="1"/>
      <c r="I2361" s="1"/>
      <c r="J2361" s="1"/>
      <c r="K2361" s="1"/>
      <c r="L2361" s="1"/>
      <c r="M2361" s="1"/>
      <c r="N2361" s="1"/>
      <c r="O2361" s="1"/>
      <c r="P2361" s="1"/>
      <c r="Q2361" s="3"/>
      <c r="R2361" s="4"/>
      <c r="S2361" s="4"/>
      <c r="T2361" s="1"/>
      <c r="U2361" s="6"/>
      <c r="V2361" s="1"/>
      <c r="W2361" s="1"/>
      <c r="X2361" s="1"/>
      <c r="Y2361" s="1"/>
      <c r="Z2361" s="1"/>
      <c r="AA2361" s="1"/>
      <c r="AB2361" s="1"/>
      <c r="AC2361" s="1"/>
    </row>
    <row r="2362" spans="1:29">
      <c r="A2362" s="1"/>
      <c r="B2362" s="1"/>
      <c r="C2362" s="73"/>
      <c r="D2362" s="1"/>
      <c r="E2362" s="1"/>
      <c r="F2362" s="1"/>
      <c r="G2362" s="145"/>
      <c r="H2362" s="1"/>
      <c r="I2362" s="1"/>
      <c r="J2362" s="1"/>
      <c r="K2362" s="1"/>
      <c r="L2362" s="1"/>
      <c r="M2362" s="1"/>
      <c r="N2362" s="1"/>
      <c r="O2362" s="1"/>
      <c r="P2362" s="1"/>
      <c r="Q2362" s="3"/>
      <c r="R2362" s="4"/>
      <c r="S2362" s="4"/>
      <c r="T2362" s="1"/>
      <c r="U2362" s="6"/>
      <c r="V2362" s="1"/>
      <c r="W2362" s="1"/>
      <c r="X2362" s="1"/>
      <c r="Y2362" s="1"/>
      <c r="Z2362" s="1"/>
      <c r="AA2362" s="1"/>
      <c r="AB2362" s="1"/>
      <c r="AC2362" s="1"/>
    </row>
    <row r="2363" spans="1:29">
      <c r="A2363" s="1"/>
      <c r="B2363" s="1"/>
      <c r="C2363" s="73"/>
      <c r="D2363" s="1"/>
      <c r="E2363" s="1"/>
      <c r="F2363" s="1"/>
      <c r="G2363" s="145"/>
      <c r="H2363" s="1"/>
      <c r="I2363" s="1"/>
      <c r="J2363" s="1"/>
      <c r="K2363" s="1"/>
      <c r="L2363" s="1"/>
      <c r="M2363" s="1"/>
      <c r="N2363" s="1"/>
      <c r="O2363" s="1"/>
      <c r="P2363" s="1"/>
      <c r="Q2363" s="3"/>
      <c r="R2363" s="4"/>
      <c r="S2363" s="4"/>
      <c r="T2363" s="1"/>
      <c r="U2363" s="6"/>
      <c r="V2363" s="1"/>
      <c r="W2363" s="1"/>
      <c r="X2363" s="1"/>
      <c r="Y2363" s="1"/>
      <c r="Z2363" s="1"/>
      <c r="AA2363" s="1"/>
      <c r="AB2363" s="1"/>
      <c r="AC2363" s="1"/>
    </row>
    <row r="2364" spans="1:29">
      <c r="A2364" s="1"/>
      <c r="B2364" s="1"/>
      <c r="C2364" s="73"/>
      <c r="D2364" s="1"/>
      <c r="E2364" s="1"/>
      <c r="F2364" s="1"/>
      <c r="G2364" s="145"/>
      <c r="H2364" s="1"/>
      <c r="I2364" s="1"/>
      <c r="J2364" s="1"/>
      <c r="K2364" s="1"/>
      <c r="L2364" s="1"/>
      <c r="M2364" s="1"/>
      <c r="N2364" s="1"/>
      <c r="O2364" s="1"/>
      <c r="P2364" s="1"/>
      <c r="Q2364" s="3"/>
      <c r="R2364" s="4"/>
      <c r="S2364" s="4"/>
      <c r="T2364" s="1"/>
      <c r="U2364" s="6"/>
      <c r="V2364" s="1"/>
      <c r="W2364" s="1"/>
      <c r="X2364" s="1"/>
      <c r="Y2364" s="1"/>
      <c r="Z2364" s="1"/>
      <c r="AA2364" s="1"/>
      <c r="AB2364" s="1"/>
      <c r="AC2364" s="1"/>
    </row>
    <row r="2365" spans="1:29">
      <c r="A2365" s="1"/>
      <c r="B2365" s="1"/>
      <c r="C2365" s="73"/>
      <c r="D2365" s="1"/>
      <c r="E2365" s="1"/>
      <c r="F2365" s="1"/>
      <c r="G2365" s="145"/>
      <c r="H2365" s="1"/>
      <c r="I2365" s="1"/>
      <c r="J2365" s="1"/>
      <c r="K2365" s="1"/>
      <c r="L2365" s="1"/>
      <c r="M2365" s="1"/>
      <c r="N2365" s="1"/>
      <c r="O2365" s="1"/>
      <c r="P2365" s="1"/>
      <c r="Q2365" s="3"/>
      <c r="R2365" s="4"/>
      <c r="S2365" s="4"/>
      <c r="T2365" s="1"/>
      <c r="U2365" s="6"/>
      <c r="V2365" s="1"/>
      <c r="W2365" s="1"/>
      <c r="X2365" s="1"/>
      <c r="Y2365" s="1"/>
      <c r="Z2365" s="1"/>
      <c r="AA2365" s="1"/>
      <c r="AB2365" s="1"/>
      <c r="AC2365" s="1"/>
    </row>
    <row r="2366" spans="1:29">
      <c r="A2366" s="1"/>
      <c r="B2366" s="1"/>
      <c r="C2366" s="73"/>
      <c r="D2366" s="1"/>
      <c r="E2366" s="1"/>
      <c r="F2366" s="1"/>
      <c r="G2366" s="145"/>
      <c r="H2366" s="1"/>
      <c r="I2366" s="1"/>
      <c r="J2366" s="1"/>
      <c r="K2366" s="1"/>
      <c r="L2366" s="1"/>
      <c r="M2366" s="1"/>
      <c r="N2366" s="1"/>
      <c r="O2366" s="1"/>
      <c r="P2366" s="1"/>
      <c r="Q2366" s="3"/>
      <c r="R2366" s="4"/>
      <c r="S2366" s="4"/>
      <c r="T2366" s="1"/>
      <c r="U2366" s="6"/>
      <c r="V2366" s="1"/>
      <c r="W2366" s="1"/>
      <c r="X2366" s="1"/>
      <c r="Y2366" s="1"/>
      <c r="Z2366" s="1"/>
      <c r="AA2366" s="1"/>
      <c r="AB2366" s="1"/>
      <c r="AC2366" s="1"/>
    </row>
    <row r="2367" spans="1:29">
      <c r="A2367" s="1"/>
      <c r="B2367" s="1"/>
      <c r="C2367" s="73"/>
      <c r="D2367" s="1"/>
      <c r="E2367" s="1"/>
      <c r="F2367" s="1"/>
      <c r="G2367" s="145"/>
      <c r="H2367" s="1"/>
      <c r="I2367" s="1"/>
      <c r="J2367" s="1"/>
      <c r="K2367" s="1"/>
      <c r="L2367" s="1"/>
      <c r="M2367" s="1"/>
      <c r="N2367" s="1"/>
      <c r="O2367" s="1"/>
      <c r="P2367" s="1"/>
      <c r="Q2367" s="3"/>
      <c r="R2367" s="4"/>
      <c r="S2367" s="4"/>
      <c r="T2367" s="1"/>
      <c r="U2367" s="6"/>
      <c r="V2367" s="1"/>
      <c r="W2367" s="1"/>
      <c r="X2367" s="1"/>
      <c r="Y2367" s="1"/>
      <c r="Z2367" s="1"/>
      <c r="AA2367" s="1"/>
      <c r="AB2367" s="1"/>
      <c r="AC2367" s="1"/>
    </row>
    <row r="2368" spans="1:29">
      <c r="A2368" s="1"/>
      <c r="B2368" s="1"/>
      <c r="C2368" s="73"/>
      <c r="D2368" s="1"/>
      <c r="E2368" s="1"/>
      <c r="F2368" s="1"/>
      <c r="G2368" s="145"/>
      <c r="H2368" s="1"/>
      <c r="I2368" s="1"/>
      <c r="J2368" s="1"/>
      <c r="K2368" s="1"/>
      <c r="L2368" s="1"/>
      <c r="M2368" s="1"/>
      <c r="N2368" s="1"/>
      <c r="O2368" s="1"/>
      <c r="P2368" s="1"/>
      <c r="Q2368" s="3"/>
      <c r="R2368" s="4"/>
      <c r="S2368" s="4"/>
      <c r="T2368" s="1"/>
      <c r="U2368" s="6"/>
      <c r="V2368" s="1"/>
      <c r="W2368" s="1"/>
      <c r="X2368" s="1"/>
      <c r="Y2368" s="1"/>
      <c r="Z2368" s="1"/>
      <c r="AA2368" s="1"/>
      <c r="AB2368" s="1"/>
      <c r="AC2368" s="1"/>
    </row>
    <row r="2369" spans="1:29">
      <c r="A2369" s="1"/>
      <c r="B2369" s="1"/>
      <c r="C2369" s="73"/>
      <c r="D2369" s="1"/>
      <c r="E2369" s="1"/>
      <c r="F2369" s="1"/>
      <c r="G2369" s="145"/>
      <c r="H2369" s="1"/>
      <c r="I2369" s="1"/>
      <c r="J2369" s="1"/>
      <c r="K2369" s="1"/>
      <c r="L2369" s="1"/>
      <c r="M2369" s="1"/>
      <c r="N2369" s="1"/>
      <c r="O2369" s="1"/>
      <c r="P2369" s="1"/>
      <c r="Q2369" s="3"/>
      <c r="R2369" s="4"/>
      <c r="S2369" s="4"/>
      <c r="T2369" s="1"/>
      <c r="U2369" s="6"/>
      <c r="V2369" s="1"/>
      <c r="W2369" s="1"/>
      <c r="X2369" s="1"/>
      <c r="Y2369" s="1"/>
      <c r="Z2369" s="1"/>
      <c r="AA2369" s="1"/>
      <c r="AB2369" s="1"/>
      <c r="AC2369" s="1"/>
    </row>
    <row r="2370" spans="1:29">
      <c r="A2370" s="1"/>
      <c r="B2370" s="1"/>
      <c r="C2370" s="73"/>
      <c r="D2370" s="1"/>
      <c r="E2370" s="1"/>
      <c r="F2370" s="1"/>
      <c r="G2370" s="145"/>
      <c r="H2370" s="1"/>
      <c r="I2370" s="1"/>
      <c r="J2370" s="1"/>
      <c r="K2370" s="1"/>
      <c r="L2370" s="1"/>
      <c r="M2370" s="1"/>
      <c r="N2370" s="1"/>
      <c r="O2370" s="1"/>
      <c r="P2370" s="1"/>
      <c r="Q2370" s="3"/>
      <c r="R2370" s="4"/>
      <c r="S2370" s="4"/>
      <c r="T2370" s="1"/>
      <c r="U2370" s="6"/>
      <c r="V2370" s="1"/>
      <c r="W2370" s="1"/>
      <c r="X2370" s="1"/>
      <c r="Y2370" s="1"/>
      <c r="Z2370" s="1"/>
      <c r="AA2370" s="1"/>
      <c r="AB2370" s="1"/>
      <c r="AC2370" s="1"/>
    </row>
    <row r="2371" spans="1:29">
      <c r="A2371" s="1"/>
      <c r="B2371" s="1"/>
      <c r="C2371" s="73"/>
      <c r="D2371" s="1"/>
      <c r="E2371" s="1"/>
      <c r="F2371" s="1"/>
      <c r="G2371" s="145"/>
      <c r="H2371" s="1"/>
      <c r="I2371" s="1"/>
      <c r="J2371" s="1"/>
      <c r="K2371" s="1"/>
      <c r="L2371" s="1"/>
      <c r="M2371" s="1"/>
      <c r="N2371" s="1"/>
      <c r="O2371" s="1"/>
      <c r="P2371" s="1"/>
      <c r="Q2371" s="3"/>
      <c r="R2371" s="4"/>
      <c r="S2371" s="4"/>
      <c r="T2371" s="1"/>
      <c r="U2371" s="6"/>
      <c r="V2371" s="1"/>
      <c r="W2371" s="1"/>
      <c r="X2371" s="1"/>
      <c r="Y2371" s="1"/>
      <c r="Z2371" s="1"/>
      <c r="AA2371" s="1"/>
      <c r="AB2371" s="1"/>
      <c r="AC2371" s="1"/>
    </row>
    <row r="2372" spans="1:29">
      <c r="A2372" s="1"/>
      <c r="B2372" s="1"/>
      <c r="C2372" s="73"/>
      <c r="D2372" s="1"/>
      <c r="E2372" s="1"/>
      <c r="F2372" s="1"/>
      <c r="G2372" s="145"/>
      <c r="H2372" s="1"/>
      <c r="I2372" s="1"/>
      <c r="J2372" s="1"/>
      <c r="K2372" s="1"/>
      <c r="L2372" s="1"/>
      <c r="M2372" s="1"/>
      <c r="N2372" s="1"/>
      <c r="O2372" s="1"/>
      <c r="P2372" s="1"/>
      <c r="Q2372" s="3"/>
      <c r="R2372" s="4"/>
      <c r="S2372" s="4"/>
      <c r="T2372" s="1"/>
      <c r="U2372" s="6"/>
      <c r="V2372" s="1"/>
      <c r="W2372" s="1"/>
      <c r="X2372" s="1"/>
      <c r="Y2372" s="1"/>
      <c r="Z2372" s="1"/>
      <c r="AA2372" s="1"/>
      <c r="AB2372" s="1"/>
      <c r="AC2372" s="1"/>
    </row>
    <row r="2373" spans="1:29">
      <c r="A2373" s="1"/>
      <c r="B2373" s="1"/>
      <c r="C2373" s="73"/>
      <c r="D2373" s="1"/>
      <c r="E2373" s="1"/>
      <c r="F2373" s="1"/>
      <c r="G2373" s="145"/>
      <c r="H2373" s="1"/>
      <c r="I2373" s="1"/>
      <c r="J2373" s="1"/>
      <c r="K2373" s="1"/>
      <c r="L2373" s="1"/>
      <c r="M2373" s="1"/>
      <c r="N2373" s="1"/>
      <c r="O2373" s="1"/>
      <c r="P2373" s="1"/>
      <c r="Q2373" s="3"/>
      <c r="R2373" s="4"/>
      <c r="S2373" s="4"/>
      <c r="T2373" s="1"/>
      <c r="U2373" s="6"/>
      <c r="V2373" s="1"/>
      <c r="W2373" s="1"/>
      <c r="X2373" s="1"/>
      <c r="Y2373" s="1"/>
      <c r="Z2373" s="1"/>
      <c r="AA2373" s="1"/>
      <c r="AB2373" s="1"/>
      <c r="AC2373" s="1"/>
    </row>
    <row r="2374" spans="1:29">
      <c r="A2374" s="1"/>
      <c r="B2374" s="1"/>
      <c r="C2374" s="73"/>
      <c r="D2374" s="1"/>
      <c r="E2374" s="1"/>
      <c r="F2374" s="1"/>
      <c r="G2374" s="145"/>
      <c r="H2374" s="1"/>
      <c r="I2374" s="1"/>
      <c r="J2374" s="1"/>
      <c r="K2374" s="1"/>
      <c r="L2374" s="1"/>
      <c r="M2374" s="1"/>
      <c r="N2374" s="1"/>
      <c r="O2374" s="1"/>
      <c r="P2374" s="1"/>
      <c r="Q2374" s="3"/>
      <c r="R2374" s="4"/>
      <c r="S2374" s="4"/>
      <c r="T2374" s="1"/>
      <c r="U2374" s="6"/>
      <c r="V2374" s="1"/>
      <c r="W2374" s="1"/>
      <c r="X2374" s="1"/>
      <c r="Y2374" s="1"/>
      <c r="Z2374" s="1"/>
      <c r="AA2374" s="1"/>
      <c r="AB2374" s="1"/>
      <c r="AC2374" s="1"/>
    </row>
    <row r="2375" spans="1:29">
      <c r="A2375" s="1"/>
      <c r="B2375" s="1"/>
      <c r="C2375" s="73"/>
      <c r="D2375" s="1"/>
      <c r="E2375" s="1"/>
      <c r="F2375" s="1"/>
      <c r="G2375" s="145"/>
      <c r="H2375" s="1"/>
      <c r="I2375" s="1"/>
      <c r="J2375" s="1"/>
      <c r="K2375" s="1"/>
      <c r="L2375" s="1"/>
      <c r="M2375" s="1"/>
      <c r="N2375" s="1"/>
      <c r="O2375" s="1"/>
      <c r="P2375" s="1"/>
      <c r="Q2375" s="3"/>
      <c r="R2375" s="4"/>
      <c r="S2375" s="4"/>
      <c r="T2375" s="1"/>
      <c r="U2375" s="6"/>
      <c r="V2375" s="1"/>
      <c r="W2375" s="1"/>
      <c r="X2375" s="1"/>
      <c r="Y2375" s="1"/>
      <c r="Z2375" s="1"/>
      <c r="AA2375" s="1"/>
      <c r="AB2375" s="1"/>
      <c r="AC2375" s="1"/>
    </row>
    <row r="2376" spans="1:29">
      <c r="A2376" s="1"/>
      <c r="B2376" s="1"/>
      <c r="C2376" s="73"/>
      <c r="D2376" s="1"/>
      <c r="E2376" s="1"/>
      <c r="F2376" s="1"/>
      <c r="G2376" s="145"/>
      <c r="H2376" s="1"/>
      <c r="I2376" s="1"/>
      <c r="J2376" s="1"/>
      <c r="K2376" s="1"/>
      <c r="L2376" s="1"/>
      <c r="M2376" s="1"/>
      <c r="N2376" s="1"/>
      <c r="O2376" s="1"/>
      <c r="P2376" s="1"/>
      <c r="Q2376" s="3"/>
      <c r="R2376" s="4"/>
      <c r="S2376" s="4"/>
      <c r="T2376" s="1"/>
      <c r="U2376" s="6"/>
      <c r="V2376" s="1"/>
      <c r="W2376" s="1"/>
      <c r="X2376" s="1"/>
      <c r="Y2376" s="1"/>
      <c r="Z2376" s="1"/>
      <c r="AA2376" s="1"/>
      <c r="AB2376" s="1"/>
      <c r="AC2376" s="1"/>
    </row>
    <row r="2377" spans="1:29">
      <c r="A2377" s="1"/>
      <c r="B2377" s="1"/>
      <c r="C2377" s="73"/>
      <c r="D2377" s="1"/>
      <c r="E2377" s="1"/>
      <c r="F2377" s="1"/>
      <c r="G2377" s="145"/>
      <c r="H2377" s="1"/>
      <c r="I2377" s="1"/>
      <c r="J2377" s="1"/>
      <c r="K2377" s="1"/>
      <c r="L2377" s="1"/>
      <c r="M2377" s="1"/>
      <c r="N2377" s="1"/>
      <c r="O2377" s="1"/>
      <c r="P2377" s="1"/>
      <c r="Q2377" s="3"/>
      <c r="R2377" s="4"/>
      <c r="S2377" s="4"/>
      <c r="T2377" s="1"/>
      <c r="U2377" s="6"/>
      <c r="V2377" s="1"/>
      <c r="W2377" s="1"/>
      <c r="X2377" s="1"/>
      <c r="Y2377" s="1"/>
      <c r="Z2377" s="1"/>
      <c r="AA2377" s="1"/>
      <c r="AB2377" s="1"/>
      <c r="AC2377" s="1"/>
    </row>
    <row r="2378" spans="1:29">
      <c r="A2378" s="1"/>
      <c r="B2378" s="1"/>
      <c r="C2378" s="73"/>
      <c r="D2378" s="1"/>
      <c r="E2378" s="1"/>
      <c r="F2378" s="1"/>
      <c r="G2378" s="145"/>
      <c r="H2378" s="1"/>
      <c r="I2378" s="1"/>
      <c r="J2378" s="1"/>
      <c r="K2378" s="1"/>
      <c r="L2378" s="1"/>
      <c r="M2378" s="1"/>
      <c r="N2378" s="1"/>
      <c r="O2378" s="1"/>
      <c r="P2378" s="1"/>
      <c r="Q2378" s="3"/>
      <c r="R2378" s="4"/>
      <c r="S2378" s="4"/>
      <c r="T2378" s="1"/>
      <c r="U2378" s="6"/>
      <c r="V2378" s="1"/>
      <c r="W2378" s="1"/>
      <c r="X2378" s="1"/>
      <c r="Y2378" s="1"/>
      <c r="Z2378" s="1"/>
      <c r="AA2378" s="1"/>
      <c r="AB2378" s="1"/>
      <c r="AC2378" s="1"/>
    </row>
    <row r="2379" spans="1:29">
      <c r="A2379" s="1"/>
      <c r="B2379" s="1"/>
      <c r="C2379" s="73"/>
      <c r="D2379" s="1"/>
      <c r="E2379" s="1"/>
      <c r="F2379" s="1"/>
      <c r="G2379" s="145"/>
      <c r="H2379" s="1"/>
      <c r="I2379" s="1"/>
      <c r="J2379" s="1"/>
      <c r="K2379" s="1"/>
      <c r="L2379" s="1"/>
      <c r="M2379" s="1"/>
      <c r="N2379" s="1"/>
      <c r="O2379" s="1"/>
      <c r="P2379" s="1"/>
      <c r="Q2379" s="3"/>
      <c r="R2379" s="4"/>
      <c r="S2379" s="4"/>
      <c r="T2379" s="1"/>
      <c r="U2379" s="6"/>
      <c r="V2379" s="1"/>
      <c r="W2379" s="1"/>
      <c r="X2379" s="1"/>
      <c r="Y2379" s="1"/>
      <c r="Z2379" s="1"/>
      <c r="AA2379" s="1"/>
      <c r="AB2379" s="1"/>
      <c r="AC2379" s="1"/>
    </row>
    <row r="2380" spans="1:29">
      <c r="A2380" s="1"/>
      <c r="B2380" s="1"/>
      <c r="C2380" s="73"/>
      <c r="D2380" s="1"/>
      <c r="E2380" s="1"/>
      <c r="F2380" s="1"/>
      <c r="G2380" s="145"/>
      <c r="H2380" s="1"/>
      <c r="I2380" s="1"/>
      <c r="J2380" s="1"/>
      <c r="K2380" s="1"/>
      <c r="L2380" s="1"/>
      <c r="M2380" s="1"/>
      <c r="N2380" s="1"/>
      <c r="O2380" s="1"/>
      <c r="P2380" s="1"/>
      <c r="Q2380" s="3"/>
      <c r="R2380" s="4"/>
      <c r="S2380" s="4"/>
      <c r="T2380" s="1"/>
      <c r="U2380" s="6"/>
      <c r="V2380" s="1"/>
      <c r="W2380" s="1"/>
      <c r="X2380" s="1"/>
      <c r="Y2380" s="1"/>
      <c r="Z2380" s="1"/>
      <c r="AA2380" s="1"/>
      <c r="AB2380" s="1"/>
      <c r="AC2380" s="1"/>
    </row>
    <row r="2381" spans="1:29">
      <c r="A2381" s="1"/>
      <c r="B2381" s="1"/>
      <c r="C2381" s="73"/>
      <c r="D2381" s="1"/>
      <c r="E2381" s="1"/>
      <c r="F2381" s="1"/>
      <c r="G2381" s="145"/>
      <c r="H2381" s="1"/>
      <c r="I2381" s="1"/>
      <c r="J2381" s="1"/>
      <c r="K2381" s="1"/>
      <c r="L2381" s="1"/>
      <c r="M2381" s="1"/>
      <c r="N2381" s="1"/>
      <c r="O2381" s="1"/>
      <c r="P2381" s="1"/>
      <c r="Q2381" s="3"/>
      <c r="R2381" s="4"/>
      <c r="S2381" s="4"/>
      <c r="T2381" s="1"/>
      <c r="U2381" s="6"/>
      <c r="V2381" s="1"/>
      <c r="W2381" s="1"/>
      <c r="X2381" s="1"/>
      <c r="Y2381" s="1"/>
      <c r="Z2381" s="1"/>
      <c r="AA2381" s="1"/>
      <c r="AB2381" s="1"/>
      <c r="AC2381" s="1"/>
    </row>
    <row r="2382" spans="1:29">
      <c r="A2382" s="1"/>
      <c r="B2382" s="1"/>
      <c r="C2382" s="73"/>
      <c r="D2382" s="1"/>
      <c r="E2382" s="1"/>
      <c r="F2382" s="1"/>
      <c r="G2382" s="145"/>
      <c r="H2382" s="1"/>
      <c r="I2382" s="1"/>
      <c r="J2382" s="1"/>
      <c r="K2382" s="1"/>
      <c r="L2382" s="1"/>
      <c r="M2382" s="1"/>
      <c r="N2382" s="1"/>
      <c r="O2382" s="1"/>
      <c r="P2382" s="1"/>
      <c r="Q2382" s="3"/>
      <c r="R2382" s="4"/>
      <c r="S2382" s="4"/>
      <c r="T2382" s="1"/>
      <c r="U2382" s="6"/>
      <c r="V2382" s="1"/>
      <c r="W2382" s="1"/>
      <c r="X2382" s="1"/>
      <c r="Y2382" s="1"/>
      <c r="Z2382" s="1"/>
      <c r="AA2382" s="1"/>
      <c r="AB2382" s="1"/>
      <c r="AC2382" s="1"/>
    </row>
    <row r="2383" spans="1:29">
      <c r="A2383" s="1"/>
      <c r="B2383" s="1"/>
      <c r="C2383" s="73"/>
      <c r="D2383" s="1"/>
      <c r="E2383" s="1"/>
      <c r="F2383" s="1"/>
      <c r="G2383" s="145"/>
      <c r="H2383" s="1"/>
      <c r="I2383" s="1"/>
      <c r="J2383" s="1"/>
      <c r="K2383" s="1"/>
      <c r="L2383" s="1"/>
      <c r="M2383" s="1"/>
      <c r="N2383" s="1"/>
      <c r="O2383" s="1"/>
      <c r="P2383" s="1"/>
      <c r="Q2383" s="3"/>
      <c r="R2383" s="4"/>
      <c r="S2383" s="4"/>
      <c r="T2383" s="1"/>
      <c r="U2383" s="6"/>
      <c r="V2383" s="1"/>
      <c r="W2383" s="1"/>
      <c r="X2383" s="1"/>
      <c r="Y2383" s="1"/>
      <c r="Z2383" s="1"/>
      <c r="AA2383" s="1"/>
      <c r="AB2383" s="1"/>
      <c r="AC2383" s="1"/>
    </row>
    <row r="2384" spans="1:29">
      <c r="A2384" s="1"/>
      <c r="B2384" s="1"/>
      <c r="C2384" s="73"/>
      <c r="D2384" s="1"/>
      <c r="E2384" s="1"/>
      <c r="F2384" s="1"/>
      <c r="G2384" s="145"/>
      <c r="H2384" s="1"/>
      <c r="I2384" s="1"/>
      <c r="J2384" s="1"/>
      <c r="K2384" s="1"/>
      <c r="L2384" s="1"/>
      <c r="M2384" s="1"/>
      <c r="N2384" s="1"/>
      <c r="O2384" s="1"/>
      <c r="P2384" s="1"/>
      <c r="Q2384" s="3"/>
      <c r="R2384" s="4"/>
      <c r="S2384" s="4"/>
      <c r="T2384" s="1"/>
      <c r="U2384" s="6"/>
      <c r="V2384" s="1"/>
      <c r="W2384" s="1"/>
      <c r="X2384" s="1"/>
      <c r="Y2384" s="1"/>
      <c r="Z2384" s="1"/>
      <c r="AA2384" s="1"/>
      <c r="AB2384" s="1"/>
      <c r="AC2384" s="1"/>
    </row>
    <row r="2385" spans="1:29">
      <c r="A2385" s="1"/>
      <c r="B2385" s="1"/>
      <c r="C2385" s="73"/>
      <c r="D2385" s="1"/>
      <c r="E2385" s="1"/>
      <c r="F2385" s="1"/>
      <c r="G2385" s="145"/>
      <c r="H2385" s="1"/>
      <c r="I2385" s="1"/>
      <c r="J2385" s="1"/>
      <c r="K2385" s="1"/>
      <c r="L2385" s="1"/>
      <c r="M2385" s="1"/>
      <c r="N2385" s="1"/>
      <c r="O2385" s="1"/>
      <c r="P2385" s="1"/>
      <c r="Q2385" s="3"/>
      <c r="R2385" s="4"/>
      <c r="S2385" s="4"/>
      <c r="T2385" s="1"/>
      <c r="U2385" s="6"/>
      <c r="V2385" s="1"/>
      <c r="W2385" s="1"/>
      <c r="X2385" s="1"/>
      <c r="Y2385" s="1"/>
      <c r="Z2385" s="1"/>
      <c r="AA2385" s="1"/>
      <c r="AB2385" s="1"/>
      <c r="AC2385" s="1"/>
    </row>
    <row r="2386" spans="1:29">
      <c r="A2386" s="1"/>
      <c r="B2386" s="1"/>
      <c r="C2386" s="73"/>
      <c r="D2386" s="1"/>
      <c r="E2386" s="1"/>
      <c r="F2386" s="1"/>
      <c r="G2386" s="145"/>
      <c r="H2386" s="1"/>
      <c r="I2386" s="1"/>
      <c r="J2386" s="1"/>
      <c r="K2386" s="1"/>
      <c r="L2386" s="1"/>
      <c r="M2386" s="1"/>
      <c r="N2386" s="1"/>
      <c r="O2386" s="1"/>
      <c r="P2386" s="1"/>
      <c r="Q2386" s="3"/>
      <c r="R2386" s="4"/>
      <c r="S2386" s="4"/>
      <c r="T2386" s="1"/>
      <c r="U2386" s="6"/>
      <c r="V2386" s="1"/>
      <c r="W2386" s="1"/>
      <c r="X2386" s="1"/>
      <c r="Y2386" s="1"/>
      <c r="Z2386" s="1"/>
      <c r="AA2386" s="1"/>
      <c r="AB2386" s="1"/>
      <c r="AC2386" s="1"/>
    </row>
    <row r="2387" spans="1:29">
      <c r="A2387" s="1"/>
      <c r="B2387" s="1"/>
      <c r="C2387" s="73"/>
      <c r="D2387" s="1"/>
      <c r="E2387" s="1"/>
      <c r="F2387" s="1"/>
      <c r="G2387" s="145"/>
      <c r="H2387" s="1"/>
      <c r="I2387" s="1"/>
      <c r="J2387" s="1"/>
      <c r="K2387" s="1"/>
      <c r="L2387" s="1"/>
      <c r="M2387" s="1"/>
      <c r="N2387" s="1"/>
      <c r="O2387" s="1"/>
      <c r="P2387" s="1"/>
      <c r="Q2387" s="3"/>
      <c r="R2387" s="4"/>
      <c r="S2387" s="4"/>
      <c r="T2387" s="1"/>
      <c r="U2387" s="6"/>
      <c r="V2387" s="1"/>
      <c r="W2387" s="1"/>
      <c r="X2387" s="1"/>
      <c r="Y2387" s="1"/>
      <c r="Z2387" s="1"/>
      <c r="AA2387" s="1"/>
      <c r="AB2387" s="1"/>
      <c r="AC2387" s="1"/>
    </row>
    <row r="2388" spans="1:29">
      <c r="A2388" s="1"/>
      <c r="B2388" s="1"/>
      <c r="C2388" s="73"/>
      <c r="D2388" s="1"/>
      <c r="E2388" s="1"/>
      <c r="F2388" s="1"/>
      <c r="G2388" s="145"/>
      <c r="H2388" s="1"/>
      <c r="I2388" s="1"/>
      <c r="J2388" s="1"/>
      <c r="K2388" s="1"/>
      <c r="L2388" s="1"/>
      <c r="M2388" s="1"/>
      <c r="N2388" s="1"/>
      <c r="O2388" s="1"/>
      <c r="P2388" s="1"/>
      <c r="Q2388" s="3"/>
      <c r="R2388" s="4"/>
      <c r="S2388" s="4"/>
      <c r="T2388" s="1"/>
      <c r="U2388" s="6"/>
      <c r="V2388" s="1"/>
      <c r="W2388" s="1"/>
      <c r="X2388" s="1"/>
      <c r="Y2388" s="1"/>
      <c r="Z2388" s="1"/>
      <c r="AA2388" s="1"/>
      <c r="AB2388" s="1"/>
      <c r="AC2388" s="1"/>
    </row>
    <row r="2389" spans="1:29">
      <c r="A2389" s="1"/>
      <c r="B2389" s="1"/>
      <c r="C2389" s="73"/>
      <c r="D2389" s="1"/>
      <c r="E2389" s="1"/>
      <c r="F2389" s="1"/>
      <c r="G2389" s="145"/>
      <c r="H2389" s="1"/>
      <c r="I2389" s="1"/>
      <c r="J2389" s="1"/>
      <c r="K2389" s="1"/>
      <c r="L2389" s="1"/>
      <c r="M2389" s="1"/>
      <c r="N2389" s="1"/>
      <c r="O2389" s="1"/>
      <c r="P2389" s="1"/>
      <c r="Q2389" s="3"/>
      <c r="R2389" s="4"/>
      <c r="S2389" s="4"/>
      <c r="T2389" s="1"/>
      <c r="U2389" s="6"/>
      <c r="V2389" s="1"/>
      <c r="W2389" s="1"/>
      <c r="X2389" s="1"/>
      <c r="Y2389" s="1"/>
      <c r="Z2389" s="1"/>
      <c r="AA2389" s="1"/>
      <c r="AB2389" s="1"/>
      <c r="AC2389" s="1"/>
    </row>
    <row r="2390" spans="1:29">
      <c r="A2390" s="1"/>
      <c r="B2390" s="1"/>
      <c r="C2390" s="73"/>
      <c r="D2390" s="1"/>
      <c r="E2390" s="1"/>
      <c r="F2390" s="1"/>
      <c r="G2390" s="145"/>
      <c r="H2390" s="1"/>
      <c r="I2390" s="1"/>
      <c r="J2390" s="1"/>
      <c r="K2390" s="1"/>
      <c r="L2390" s="1"/>
      <c r="M2390" s="1"/>
      <c r="N2390" s="1"/>
      <c r="O2390" s="1"/>
      <c r="P2390" s="1"/>
      <c r="Q2390" s="3"/>
      <c r="R2390" s="4"/>
      <c r="S2390" s="4"/>
      <c r="T2390" s="1"/>
      <c r="U2390" s="6"/>
      <c r="V2390" s="1"/>
      <c r="W2390" s="1"/>
      <c r="X2390" s="1"/>
      <c r="Y2390" s="1"/>
      <c r="Z2390" s="1"/>
      <c r="AA2390" s="1"/>
      <c r="AB2390" s="1"/>
      <c r="AC2390" s="1"/>
    </row>
    <row r="2391" spans="1:29">
      <c r="A2391" s="1"/>
      <c r="B2391" s="1"/>
      <c r="C2391" s="73"/>
      <c r="D2391" s="1"/>
      <c r="E2391" s="1"/>
      <c r="F2391" s="1"/>
      <c r="G2391" s="145"/>
      <c r="H2391" s="1"/>
      <c r="I2391" s="1"/>
      <c r="J2391" s="1"/>
      <c r="K2391" s="1"/>
      <c r="L2391" s="1"/>
      <c r="M2391" s="1"/>
      <c r="N2391" s="1"/>
      <c r="O2391" s="1"/>
      <c r="P2391" s="1"/>
      <c r="Q2391" s="3"/>
      <c r="R2391" s="4"/>
      <c r="S2391" s="4"/>
      <c r="T2391" s="1"/>
      <c r="U2391" s="6"/>
      <c r="V2391" s="1"/>
      <c r="W2391" s="1"/>
      <c r="X2391" s="1"/>
      <c r="Y2391" s="1"/>
      <c r="Z2391" s="1"/>
      <c r="AA2391" s="1"/>
      <c r="AB2391" s="1"/>
      <c r="AC2391" s="1"/>
    </row>
    <row r="2392" spans="1:29">
      <c r="A2392" s="1"/>
      <c r="B2392" s="1"/>
      <c r="C2392" s="73"/>
      <c r="D2392" s="1"/>
      <c r="E2392" s="1"/>
      <c r="F2392" s="1"/>
      <c r="G2392" s="145"/>
      <c r="H2392" s="1"/>
      <c r="I2392" s="1"/>
      <c r="J2392" s="1"/>
      <c r="K2392" s="1"/>
      <c r="L2392" s="1"/>
      <c r="M2392" s="1"/>
      <c r="N2392" s="1"/>
      <c r="O2392" s="1"/>
      <c r="P2392" s="1"/>
      <c r="Q2392" s="3"/>
      <c r="R2392" s="4"/>
      <c r="S2392" s="4"/>
      <c r="T2392" s="1"/>
      <c r="U2392" s="6"/>
      <c r="V2392" s="1"/>
      <c r="W2392" s="1"/>
      <c r="X2392" s="1"/>
      <c r="Y2392" s="1"/>
      <c r="Z2392" s="1"/>
      <c r="AA2392" s="1"/>
      <c r="AB2392" s="1"/>
      <c r="AC2392" s="1"/>
    </row>
    <row r="2393" spans="1:29">
      <c r="A2393" s="1"/>
      <c r="B2393" s="1"/>
      <c r="C2393" s="73"/>
      <c r="D2393" s="1"/>
      <c r="E2393" s="1"/>
      <c r="F2393" s="1"/>
      <c r="G2393" s="145"/>
      <c r="H2393" s="1"/>
      <c r="I2393" s="1"/>
      <c r="J2393" s="1"/>
      <c r="K2393" s="1"/>
      <c r="L2393" s="1"/>
      <c r="M2393" s="1"/>
      <c r="N2393" s="1"/>
      <c r="O2393" s="1"/>
      <c r="P2393" s="1"/>
      <c r="Q2393" s="3"/>
      <c r="R2393" s="4"/>
      <c r="S2393" s="4"/>
      <c r="T2393" s="1"/>
      <c r="U2393" s="6"/>
      <c r="V2393" s="1"/>
      <c r="W2393" s="1"/>
      <c r="X2393" s="1"/>
      <c r="Y2393" s="1"/>
      <c r="Z2393" s="1"/>
      <c r="AA2393" s="1"/>
      <c r="AB2393" s="1"/>
      <c r="AC2393" s="1"/>
    </row>
    <row r="2394" spans="1:29">
      <c r="A2394" s="1"/>
      <c r="B2394" s="1"/>
      <c r="C2394" s="73"/>
      <c r="D2394" s="1"/>
      <c r="E2394" s="1"/>
      <c r="F2394" s="1"/>
      <c r="G2394" s="145"/>
      <c r="H2394" s="1"/>
      <c r="I2394" s="1"/>
      <c r="J2394" s="1"/>
      <c r="K2394" s="1"/>
      <c r="L2394" s="1"/>
      <c r="M2394" s="1"/>
      <c r="N2394" s="1"/>
      <c r="O2394" s="1"/>
      <c r="P2394" s="1"/>
      <c r="Q2394" s="3"/>
      <c r="R2394" s="4"/>
      <c r="S2394" s="4"/>
      <c r="T2394" s="1"/>
      <c r="U2394" s="6"/>
      <c r="V2394" s="1"/>
      <c r="W2394" s="1"/>
      <c r="X2394" s="1"/>
      <c r="Y2394" s="1"/>
      <c r="Z2394" s="1"/>
      <c r="AA2394" s="1"/>
      <c r="AB2394" s="1"/>
      <c r="AC2394" s="1"/>
    </row>
    <row r="2395" spans="1:29">
      <c r="A2395" s="1"/>
      <c r="B2395" s="1"/>
      <c r="C2395" s="73"/>
      <c r="D2395" s="1"/>
      <c r="E2395" s="1"/>
      <c r="F2395" s="1"/>
      <c r="G2395" s="145"/>
      <c r="H2395" s="1"/>
      <c r="I2395" s="1"/>
      <c r="J2395" s="1"/>
      <c r="K2395" s="1"/>
      <c r="L2395" s="1"/>
      <c r="M2395" s="1"/>
      <c r="N2395" s="1"/>
      <c r="O2395" s="1"/>
      <c r="P2395" s="1"/>
      <c r="Q2395" s="3"/>
      <c r="R2395" s="4"/>
      <c r="S2395" s="4"/>
      <c r="T2395" s="1"/>
      <c r="U2395" s="6"/>
      <c r="V2395" s="1"/>
      <c r="W2395" s="1"/>
      <c r="X2395" s="1"/>
      <c r="Y2395" s="1"/>
      <c r="Z2395" s="1"/>
      <c r="AA2395" s="1"/>
      <c r="AB2395" s="1"/>
      <c r="AC2395" s="1"/>
    </row>
    <row r="2396" spans="1:29">
      <c r="A2396" s="1"/>
      <c r="B2396" s="1"/>
      <c r="C2396" s="73"/>
      <c r="D2396" s="1"/>
      <c r="E2396" s="1"/>
      <c r="F2396" s="1"/>
      <c r="G2396" s="145"/>
      <c r="H2396" s="1"/>
      <c r="I2396" s="1"/>
      <c r="J2396" s="1"/>
      <c r="K2396" s="1"/>
      <c r="L2396" s="1"/>
      <c r="M2396" s="1"/>
      <c r="N2396" s="1"/>
      <c r="O2396" s="1"/>
      <c r="P2396" s="1"/>
      <c r="Q2396" s="3"/>
      <c r="R2396" s="4"/>
      <c r="S2396" s="4"/>
      <c r="T2396" s="1"/>
      <c r="U2396" s="6"/>
      <c r="V2396" s="1"/>
      <c r="W2396" s="1"/>
      <c r="X2396" s="1"/>
      <c r="Y2396" s="1"/>
      <c r="Z2396" s="1"/>
      <c r="AA2396" s="1"/>
      <c r="AB2396" s="1"/>
      <c r="AC2396" s="1"/>
    </row>
    <row r="2397" spans="1:29">
      <c r="A2397" s="1"/>
      <c r="B2397" s="1"/>
      <c r="C2397" s="73"/>
      <c r="D2397" s="1"/>
      <c r="E2397" s="1"/>
      <c r="F2397" s="1"/>
      <c r="G2397" s="145"/>
      <c r="H2397" s="1"/>
      <c r="I2397" s="1"/>
      <c r="J2397" s="1"/>
      <c r="K2397" s="1"/>
      <c r="L2397" s="1"/>
      <c r="M2397" s="1"/>
      <c r="N2397" s="1"/>
      <c r="O2397" s="1"/>
      <c r="P2397" s="1"/>
      <c r="Q2397" s="3"/>
      <c r="R2397" s="4"/>
      <c r="S2397" s="4"/>
      <c r="T2397" s="1"/>
      <c r="U2397" s="6"/>
      <c r="V2397" s="1"/>
      <c r="W2397" s="1"/>
      <c r="X2397" s="1"/>
      <c r="Y2397" s="1"/>
      <c r="Z2397" s="1"/>
      <c r="AA2397" s="1"/>
      <c r="AB2397" s="1"/>
      <c r="AC2397" s="1"/>
    </row>
    <row r="2398" spans="1:29">
      <c r="A2398" s="1"/>
      <c r="B2398" s="1"/>
      <c r="C2398" s="73"/>
      <c r="D2398" s="1"/>
      <c r="E2398" s="1"/>
      <c r="F2398" s="1"/>
      <c r="G2398" s="145"/>
      <c r="H2398" s="1"/>
      <c r="I2398" s="1"/>
      <c r="J2398" s="1"/>
      <c r="K2398" s="1"/>
      <c r="L2398" s="1"/>
      <c r="M2398" s="1"/>
      <c r="N2398" s="1"/>
      <c r="O2398" s="1"/>
      <c r="P2398" s="1"/>
      <c r="Q2398" s="3"/>
      <c r="R2398" s="4"/>
      <c r="S2398" s="4"/>
      <c r="T2398" s="1"/>
      <c r="U2398" s="6"/>
      <c r="V2398" s="1"/>
      <c r="W2398" s="1"/>
      <c r="X2398" s="1"/>
      <c r="Y2398" s="1"/>
      <c r="Z2398" s="1"/>
      <c r="AA2398" s="1"/>
      <c r="AB2398" s="1"/>
      <c r="AC2398" s="1"/>
    </row>
    <row r="2399" spans="1:29">
      <c r="A2399" s="1"/>
      <c r="B2399" s="1"/>
      <c r="C2399" s="73"/>
      <c r="D2399" s="1"/>
      <c r="E2399" s="1"/>
      <c r="F2399" s="1"/>
      <c r="G2399" s="145"/>
      <c r="H2399" s="1"/>
      <c r="I2399" s="1"/>
      <c r="J2399" s="1"/>
      <c r="K2399" s="1"/>
      <c r="L2399" s="1"/>
      <c r="M2399" s="1"/>
      <c r="N2399" s="1"/>
      <c r="O2399" s="1"/>
      <c r="P2399" s="1"/>
      <c r="Q2399" s="3"/>
      <c r="R2399" s="4"/>
      <c r="S2399" s="4"/>
      <c r="T2399" s="1"/>
      <c r="U2399" s="6"/>
      <c r="V2399" s="1"/>
      <c r="W2399" s="1"/>
      <c r="X2399" s="1"/>
      <c r="Y2399" s="1"/>
      <c r="Z2399" s="1"/>
      <c r="AA2399" s="1"/>
      <c r="AB2399" s="1"/>
      <c r="AC2399" s="1"/>
    </row>
    <row r="2400" spans="1:29">
      <c r="A2400" s="1"/>
      <c r="B2400" s="1"/>
      <c r="C2400" s="73"/>
      <c r="D2400" s="1"/>
      <c r="E2400" s="1"/>
      <c r="F2400" s="1"/>
      <c r="G2400" s="145"/>
      <c r="H2400" s="1"/>
      <c r="I2400" s="1"/>
      <c r="J2400" s="1"/>
      <c r="K2400" s="1"/>
      <c r="L2400" s="1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  <c r="Z2400" s="1"/>
      <c r="AA2400" s="1"/>
      <c r="AB2400" s="1"/>
      <c r="AC2400" s="1"/>
    </row>
    <row r="2401" spans="1:29">
      <c r="A2401" s="1"/>
      <c r="B2401" s="1"/>
      <c r="C2401" s="73"/>
      <c r="D2401" s="1"/>
      <c r="E2401" s="1"/>
      <c r="F2401" s="1"/>
      <c r="G2401" s="145"/>
      <c r="H2401" s="1"/>
      <c r="I2401" s="1"/>
      <c r="J2401" s="1"/>
      <c r="K2401" s="1"/>
      <c r="L2401" s="1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  <c r="Z2401" s="1"/>
      <c r="AA2401" s="1"/>
      <c r="AB2401" s="1"/>
      <c r="AC2401" s="1"/>
    </row>
    <row r="2402" spans="1:29">
      <c r="Q2402" s="3"/>
    </row>
    <row r="2403" spans="1:29">
      <c r="Q2403" s="3"/>
    </row>
    <row r="2404" spans="1:29">
      <c r="Q2404" s="3"/>
    </row>
    <row r="2405" spans="1:29">
      <c r="Q2405" s="3"/>
    </row>
    <row r="2406" spans="1:29">
      <c r="Q2406" s="3"/>
    </row>
    <row r="2407" spans="1:29">
      <c r="Q2407" s="3"/>
    </row>
    <row r="2408" spans="1:29">
      <c r="Q2408" s="3"/>
    </row>
    <row r="2409" spans="1:29">
      <c r="Q2409" s="3"/>
    </row>
    <row r="2410" spans="1:29">
      <c r="Q2410" s="3"/>
    </row>
    <row r="2411" spans="1:29">
      <c r="Q2411" s="3"/>
    </row>
    <row r="2412" spans="1:29">
      <c r="Q2412" s="3"/>
    </row>
    <row r="2413" spans="1:29">
      <c r="Q2413" s="3"/>
    </row>
    <row r="2414" spans="1:29">
      <c r="Q2414" s="3"/>
    </row>
    <row r="2415" spans="1:29">
      <c r="Q2415" s="3"/>
    </row>
    <row r="2416" spans="1:29">
      <c r="Q2416" s="3"/>
    </row>
    <row r="2417" spans="17:17">
      <c r="Q2417" s="3"/>
    </row>
    <row r="2418" spans="17:17">
      <c r="Q2418" s="3"/>
    </row>
    <row r="2419" spans="17:17">
      <c r="Q2419" s="3"/>
    </row>
    <row r="2420" spans="17:17">
      <c r="Q2420" s="3"/>
    </row>
    <row r="2421" spans="17:17">
      <c r="Q2421" s="3"/>
    </row>
    <row r="2422" spans="17:17">
      <c r="Q2422" s="3"/>
    </row>
    <row r="2423" spans="17:17">
      <c r="Q2423" s="3"/>
    </row>
    <row r="2424" spans="17:17">
      <c r="Q2424" s="3"/>
    </row>
    <row r="2425" spans="17:17">
      <c r="Q2425" s="3"/>
    </row>
    <row r="2426" spans="17:17">
      <c r="Q2426" s="3"/>
    </row>
    <row r="2427" spans="17:17">
      <c r="Q2427" s="3"/>
    </row>
    <row r="2428" spans="17:17">
      <c r="Q2428" s="3"/>
    </row>
    <row r="2429" spans="17:17">
      <c r="Q2429" s="3"/>
    </row>
    <row r="2430" spans="17:17">
      <c r="Q2430" s="3"/>
    </row>
    <row r="2431" spans="17:17">
      <c r="Q2431" s="3"/>
    </row>
    <row r="2432" spans="17:17">
      <c r="Q2432" s="3"/>
    </row>
    <row r="2433" spans="17:17">
      <c r="Q2433" s="3"/>
    </row>
    <row r="2434" spans="17:17">
      <c r="Q2434" s="3"/>
    </row>
    <row r="2435" spans="17:17">
      <c r="Q2435" s="3"/>
    </row>
    <row r="2436" spans="17:17">
      <c r="Q2436" s="3"/>
    </row>
    <row r="2437" spans="17:17">
      <c r="Q2437" s="3"/>
    </row>
    <row r="2438" spans="17:17">
      <c r="Q2438" s="3"/>
    </row>
    <row r="2439" spans="17:17">
      <c r="Q2439" s="3"/>
    </row>
    <row r="2440" spans="17:17">
      <c r="Q2440" s="3"/>
    </row>
    <row r="2441" spans="17:17">
      <c r="Q2441" s="3"/>
    </row>
    <row r="2442" spans="17:17">
      <c r="Q2442" s="3"/>
    </row>
    <row r="2443" spans="17:17">
      <c r="Q2443" s="3"/>
    </row>
    <row r="2444" spans="17:17">
      <c r="Q2444" s="3"/>
    </row>
    <row r="2445" spans="17:17">
      <c r="Q2445" s="3"/>
    </row>
    <row r="2446" spans="17:17">
      <c r="Q2446" s="3"/>
    </row>
    <row r="2447" spans="17:17">
      <c r="Q2447" s="3"/>
    </row>
    <row r="2448" spans="17:17">
      <c r="Q2448" s="3"/>
    </row>
    <row r="2449" spans="17:17">
      <c r="Q2449" s="3"/>
    </row>
    <row r="2450" spans="17:17">
      <c r="Q2450" s="3"/>
    </row>
    <row r="2451" spans="17:17">
      <c r="Q2451" s="3"/>
    </row>
    <row r="2452" spans="17:17">
      <c r="Q2452" s="3"/>
    </row>
    <row r="2453" spans="17:17">
      <c r="Q2453" s="3"/>
    </row>
    <row r="2454" spans="17:17">
      <c r="Q2454" s="3"/>
    </row>
    <row r="2455" spans="17:17">
      <c r="Q2455" s="3"/>
    </row>
    <row r="2456" spans="17:17">
      <c r="Q2456" s="3"/>
    </row>
    <row r="2457" spans="17:17">
      <c r="Q2457" s="3"/>
    </row>
    <row r="2458" spans="17:17">
      <c r="Q2458" s="3"/>
    </row>
    <row r="2459" spans="17:17">
      <c r="Q2459" s="3"/>
    </row>
    <row r="2460" spans="17:17">
      <c r="Q2460" s="3"/>
    </row>
    <row r="2461" spans="17:17">
      <c r="Q2461" s="3"/>
    </row>
    <row r="2462" spans="17:17">
      <c r="Q2462" s="3"/>
    </row>
    <row r="2463" spans="17:17">
      <c r="Q2463" s="3"/>
    </row>
    <row r="2464" spans="17:17">
      <c r="Q2464" s="3"/>
    </row>
    <row r="2465" spans="17:17">
      <c r="Q2465" s="3"/>
    </row>
    <row r="2466" spans="17:17">
      <c r="Q2466" s="3"/>
    </row>
    <row r="2467" spans="17:17">
      <c r="Q2467" s="3"/>
    </row>
    <row r="2468" spans="17:17">
      <c r="Q2468" s="3"/>
    </row>
    <row r="2469" spans="17:17">
      <c r="Q2469" s="3"/>
    </row>
    <row r="2470" spans="17:17">
      <c r="Q2470" s="3"/>
    </row>
    <row r="2471" spans="17:17">
      <c r="Q2471" s="3"/>
    </row>
    <row r="2472" spans="17:17">
      <c r="Q2472" s="3"/>
    </row>
    <row r="2473" spans="17:17">
      <c r="Q2473" s="3"/>
    </row>
    <row r="2474" spans="17:17">
      <c r="Q2474" s="3"/>
    </row>
    <row r="2475" spans="17:17">
      <c r="Q2475" s="3"/>
    </row>
    <row r="2476" spans="17:17">
      <c r="Q2476" s="3"/>
    </row>
    <row r="2477" spans="17:17">
      <c r="Q2477" s="3"/>
    </row>
    <row r="2478" spans="17:17">
      <c r="Q2478" s="3"/>
    </row>
    <row r="2479" spans="17:17">
      <c r="Q2479" s="3"/>
    </row>
    <row r="2480" spans="17:17">
      <c r="Q2480" s="3"/>
    </row>
    <row r="2481" spans="17:17">
      <c r="Q2481" s="3"/>
    </row>
    <row r="2482" spans="17:17">
      <c r="Q2482" s="3"/>
    </row>
    <row r="2483" spans="17:17">
      <c r="Q2483" s="3"/>
    </row>
    <row r="2484" spans="17:17">
      <c r="Q2484" s="3"/>
    </row>
    <row r="2485" spans="17:17">
      <c r="Q2485" s="3"/>
    </row>
    <row r="2486" spans="17:17">
      <c r="Q2486" s="3"/>
    </row>
    <row r="2487" spans="17:17">
      <c r="Q2487" s="3"/>
    </row>
    <row r="2488" spans="17:17">
      <c r="Q2488" s="3"/>
    </row>
    <row r="2489" spans="17:17">
      <c r="Q2489" s="3"/>
    </row>
    <row r="2490" spans="17:17">
      <c r="Q2490" s="3"/>
    </row>
    <row r="2491" spans="17:17">
      <c r="Q2491" s="3"/>
    </row>
    <row r="2492" spans="17:17">
      <c r="Q2492" s="3"/>
    </row>
    <row r="2493" spans="17:17">
      <c r="Q2493" s="3"/>
    </row>
    <row r="2494" spans="17:17">
      <c r="Q2494" s="3"/>
    </row>
    <row r="2495" spans="17:17">
      <c r="Q2495" s="3"/>
    </row>
    <row r="2496" spans="17:17">
      <c r="Q2496" s="3"/>
    </row>
    <row r="2497" spans="17:17">
      <c r="Q2497" s="3"/>
    </row>
    <row r="2498" spans="17:17">
      <c r="Q2498" s="3"/>
    </row>
    <row r="2499" spans="17:17">
      <c r="Q2499" s="3"/>
    </row>
    <row r="2500" spans="17:17">
      <c r="Q2500" s="3"/>
    </row>
    <row r="2501" spans="17:17">
      <c r="Q2501" s="3"/>
    </row>
    <row r="2502" spans="17:17">
      <c r="Q2502" s="3"/>
    </row>
    <row r="2503" spans="17:17">
      <c r="Q2503" s="3"/>
    </row>
    <row r="2504" spans="17:17">
      <c r="Q2504" s="3"/>
    </row>
    <row r="2505" spans="17:17">
      <c r="Q2505" s="3"/>
    </row>
    <row r="2506" spans="17:17">
      <c r="Q2506" s="3"/>
    </row>
    <row r="2507" spans="17:17">
      <c r="Q2507" s="3"/>
    </row>
    <row r="2508" spans="17:17">
      <c r="Q2508" s="3"/>
    </row>
    <row r="2509" spans="17:17">
      <c r="Q2509" s="3"/>
    </row>
    <row r="2510" spans="17:17">
      <c r="Q2510" s="3"/>
    </row>
    <row r="2511" spans="17:17">
      <c r="Q2511" s="3"/>
    </row>
    <row r="2512" spans="17:17">
      <c r="Q2512" s="3"/>
    </row>
    <row r="2513" spans="17:17">
      <c r="Q2513" s="3"/>
    </row>
    <row r="2514" spans="17:17">
      <c r="Q2514" s="3"/>
    </row>
    <row r="2515" spans="17:17">
      <c r="Q2515" s="3"/>
    </row>
    <row r="2516" spans="17:17">
      <c r="Q2516" s="3"/>
    </row>
    <row r="2517" spans="17:17">
      <c r="Q2517" s="3"/>
    </row>
    <row r="2518" spans="17:17">
      <c r="Q2518" s="3"/>
    </row>
    <row r="2519" spans="17:17">
      <c r="Q2519" s="3"/>
    </row>
    <row r="2520" spans="17:17">
      <c r="Q2520" s="3"/>
    </row>
    <row r="2521" spans="17:17">
      <c r="Q2521" s="3"/>
    </row>
    <row r="2522" spans="17:17">
      <c r="Q2522" s="3"/>
    </row>
    <row r="2523" spans="17:17">
      <c r="Q2523" s="3"/>
    </row>
    <row r="2524" spans="17:17">
      <c r="Q2524" s="3"/>
    </row>
    <row r="2525" spans="17:17">
      <c r="Q2525" s="3"/>
    </row>
    <row r="2526" spans="17:17">
      <c r="Q2526" s="3"/>
    </row>
    <row r="2527" spans="17:17">
      <c r="Q2527" s="3"/>
    </row>
    <row r="2528" spans="17:17">
      <c r="Q2528" s="3"/>
    </row>
    <row r="2529" spans="17:17">
      <c r="Q2529" s="3"/>
    </row>
    <row r="2530" spans="17:17">
      <c r="Q2530" s="3"/>
    </row>
    <row r="2531" spans="17:17">
      <c r="Q2531" s="3"/>
    </row>
    <row r="2532" spans="17:17">
      <c r="Q2532" s="3"/>
    </row>
    <row r="2533" spans="17:17">
      <c r="Q2533" s="3"/>
    </row>
    <row r="2534" spans="17:17">
      <c r="Q2534" s="3"/>
    </row>
    <row r="2535" spans="17:17">
      <c r="Q2535" s="3"/>
    </row>
    <row r="2536" spans="17:17">
      <c r="Q2536" s="3"/>
    </row>
    <row r="2537" spans="17:17">
      <c r="Q2537" s="3"/>
    </row>
    <row r="2538" spans="17:17">
      <c r="Q2538" s="3"/>
    </row>
    <row r="2539" spans="17:17">
      <c r="Q2539" s="3"/>
    </row>
    <row r="2540" spans="17:17">
      <c r="Q2540" s="3"/>
    </row>
    <row r="2541" spans="17:17">
      <c r="Q2541" s="3"/>
    </row>
    <row r="2542" spans="17:17">
      <c r="Q2542" s="3"/>
    </row>
    <row r="2543" spans="17:17">
      <c r="Q2543" s="3"/>
    </row>
    <row r="2544" spans="17:17">
      <c r="Q2544" s="3"/>
    </row>
    <row r="2545" spans="17:17">
      <c r="Q2545" s="3"/>
    </row>
    <row r="2546" spans="17:17">
      <c r="Q2546" s="3"/>
    </row>
    <row r="2547" spans="17:17">
      <c r="Q2547" s="3"/>
    </row>
    <row r="2548" spans="17:17">
      <c r="Q2548" s="3"/>
    </row>
    <row r="2549" spans="17:17">
      <c r="Q2549" s="3"/>
    </row>
    <row r="2550" spans="17:17">
      <c r="Q2550" s="3"/>
    </row>
    <row r="2551" spans="17:17">
      <c r="Q2551" s="3"/>
    </row>
    <row r="2552" spans="17:17">
      <c r="Q2552" s="3"/>
    </row>
    <row r="2553" spans="17:17">
      <c r="Q2553" s="3"/>
    </row>
    <row r="2554" spans="17:17">
      <c r="Q2554" s="3"/>
    </row>
    <row r="2555" spans="17:17">
      <c r="Q2555" s="3"/>
    </row>
    <row r="2556" spans="17:17">
      <c r="Q2556" s="3"/>
    </row>
    <row r="2557" spans="17:17">
      <c r="Q2557" s="3"/>
    </row>
    <row r="2558" spans="17:17">
      <c r="Q2558" s="3"/>
    </row>
    <row r="2559" spans="17:17">
      <c r="Q2559" s="3"/>
    </row>
    <row r="2560" spans="17:17">
      <c r="Q2560" s="3"/>
    </row>
    <row r="2561" spans="17:17">
      <c r="Q2561" s="3"/>
    </row>
    <row r="2562" spans="17:17">
      <c r="Q2562" s="3"/>
    </row>
    <row r="2563" spans="17:17">
      <c r="Q2563" s="3"/>
    </row>
    <row r="2564" spans="17:17">
      <c r="Q2564" s="3"/>
    </row>
    <row r="2565" spans="17:17">
      <c r="Q2565" s="3"/>
    </row>
    <row r="2566" spans="17:17">
      <c r="Q2566" s="3"/>
    </row>
    <row r="2567" spans="17:17">
      <c r="Q2567" s="3"/>
    </row>
    <row r="2568" spans="17:17">
      <c r="Q2568" s="3"/>
    </row>
    <row r="2569" spans="17:17">
      <c r="Q2569" s="3"/>
    </row>
    <row r="2570" spans="17:17">
      <c r="Q2570" s="3"/>
    </row>
    <row r="2571" spans="17:17">
      <c r="Q2571" s="3"/>
    </row>
    <row r="2572" spans="17:17">
      <c r="Q2572" s="3"/>
    </row>
    <row r="2573" spans="17:17">
      <c r="Q2573" s="3"/>
    </row>
    <row r="2574" spans="17:17">
      <c r="Q2574" s="3"/>
    </row>
    <row r="2575" spans="17:17">
      <c r="Q2575" s="3"/>
    </row>
    <row r="2576" spans="17:17">
      <c r="Q2576" s="3"/>
    </row>
    <row r="2577" spans="17:17">
      <c r="Q2577" s="3"/>
    </row>
    <row r="2578" spans="17:17">
      <c r="Q2578" s="3"/>
    </row>
    <row r="2579" spans="17:17">
      <c r="Q2579" s="3"/>
    </row>
    <row r="2580" spans="17:17">
      <c r="Q2580" s="3"/>
    </row>
    <row r="2581" spans="17:17">
      <c r="Q2581" s="3"/>
    </row>
    <row r="2582" spans="17:17">
      <c r="Q2582" s="3"/>
    </row>
    <row r="2583" spans="17:17">
      <c r="Q2583" s="3"/>
    </row>
    <row r="2584" spans="17:17">
      <c r="Q2584" s="3"/>
    </row>
    <row r="2585" spans="17:17">
      <c r="Q2585" s="3"/>
    </row>
    <row r="2586" spans="17:17">
      <c r="Q2586" s="3"/>
    </row>
    <row r="2587" spans="17:17">
      <c r="Q2587" s="3"/>
    </row>
    <row r="2588" spans="17:17">
      <c r="Q2588" s="3"/>
    </row>
    <row r="2589" spans="17:17">
      <c r="Q2589" s="3"/>
    </row>
    <row r="2590" spans="17:17">
      <c r="Q2590" s="3"/>
    </row>
    <row r="2591" spans="17:17">
      <c r="Q2591" s="3"/>
    </row>
    <row r="2592" spans="17:17">
      <c r="Q2592" s="3"/>
    </row>
    <row r="2593" spans="17:17">
      <c r="Q2593" s="3"/>
    </row>
    <row r="2594" spans="17:17">
      <c r="Q2594" s="3"/>
    </row>
    <row r="2595" spans="17:17">
      <c r="Q2595" s="3"/>
    </row>
    <row r="2596" spans="17:17">
      <c r="Q2596" s="3"/>
    </row>
    <row r="2597" spans="17:17">
      <c r="Q2597" s="3"/>
    </row>
    <row r="2598" spans="17:17">
      <c r="Q2598" s="3"/>
    </row>
    <row r="2599" spans="17:17">
      <c r="Q2599" s="3"/>
    </row>
    <row r="2600" spans="17:17">
      <c r="Q2600" s="3"/>
    </row>
    <row r="2601" spans="17:17">
      <c r="Q2601" s="3"/>
    </row>
    <row r="2602" spans="17:17">
      <c r="Q2602" s="3"/>
    </row>
    <row r="2603" spans="17:17">
      <c r="Q2603" s="3"/>
    </row>
    <row r="2604" spans="17:17">
      <c r="Q2604" s="3"/>
    </row>
    <row r="2605" spans="17:17">
      <c r="Q2605" s="3"/>
    </row>
    <row r="2606" spans="17:17">
      <c r="Q2606" s="3"/>
    </row>
    <row r="2607" spans="17:17">
      <c r="Q2607" s="3"/>
    </row>
    <row r="2608" spans="17:17">
      <c r="Q2608" s="3"/>
    </row>
    <row r="2609" spans="17:17">
      <c r="Q2609" s="3"/>
    </row>
    <row r="2610" spans="17:17">
      <c r="Q2610" s="3"/>
    </row>
    <row r="2611" spans="17:17">
      <c r="Q2611" s="3"/>
    </row>
    <row r="2612" spans="17:17">
      <c r="Q2612" s="3"/>
    </row>
    <row r="2613" spans="17:17">
      <c r="Q2613" s="3"/>
    </row>
    <row r="2614" spans="17:17">
      <c r="Q2614" s="3"/>
    </row>
    <row r="2615" spans="17:17">
      <c r="Q2615" s="3"/>
    </row>
    <row r="2616" spans="17:17">
      <c r="Q2616" s="3"/>
    </row>
    <row r="2617" spans="17:17">
      <c r="Q2617" s="3"/>
    </row>
    <row r="2618" spans="17:17">
      <c r="Q2618" s="3"/>
    </row>
    <row r="2619" spans="17:17">
      <c r="Q2619" s="3"/>
    </row>
    <row r="2620" spans="17:17">
      <c r="Q2620" s="3"/>
    </row>
    <row r="2621" spans="17:17">
      <c r="Q2621" s="3"/>
    </row>
    <row r="2622" spans="17:17">
      <c r="Q2622" s="3"/>
    </row>
    <row r="2623" spans="17:17">
      <c r="Q2623" s="3"/>
    </row>
    <row r="2624" spans="17:17">
      <c r="Q2624" s="3"/>
    </row>
    <row r="2625" spans="17:17">
      <c r="Q2625" s="3"/>
    </row>
    <row r="2626" spans="17:17">
      <c r="Q2626" s="3"/>
    </row>
    <row r="2627" spans="17:17">
      <c r="Q2627" s="3"/>
    </row>
    <row r="2628" spans="17:17">
      <c r="Q2628" s="3"/>
    </row>
    <row r="2629" spans="17:17">
      <c r="Q2629" s="3"/>
    </row>
    <row r="2630" spans="17:17">
      <c r="Q2630" s="3"/>
    </row>
    <row r="2631" spans="17:17">
      <c r="Q2631" s="3"/>
    </row>
    <row r="2632" spans="17:17">
      <c r="Q2632" s="3"/>
    </row>
    <row r="2633" spans="17:17">
      <c r="Q2633" s="3"/>
    </row>
    <row r="2634" spans="17:17">
      <c r="Q2634" s="3"/>
    </row>
    <row r="2635" spans="17:17">
      <c r="Q2635" s="3"/>
    </row>
    <row r="2636" spans="17:17">
      <c r="Q2636" s="3"/>
    </row>
    <row r="2637" spans="17:17">
      <c r="Q2637" s="3"/>
    </row>
    <row r="2638" spans="17:17">
      <c r="Q2638" s="3"/>
    </row>
    <row r="2639" spans="17:17">
      <c r="Q2639" s="3"/>
    </row>
    <row r="2640" spans="17:17">
      <c r="Q2640" s="3"/>
    </row>
    <row r="2641" spans="17:17">
      <c r="Q2641" s="3"/>
    </row>
    <row r="2642" spans="17:17">
      <c r="Q2642" s="3"/>
    </row>
    <row r="2643" spans="17:17">
      <c r="Q2643" s="3"/>
    </row>
    <row r="2644" spans="17:17">
      <c r="Q2644" s="3"/>
    </row>
    <row r="2645" spans="17:17">
      <c r="Q2645" s="3"/>
    </row>
    <row r="2646" spans="17:17">
      <c r="Q2646" s="3"/>
    </row>
    <row r="2647" spans="17:17">
      <c r="Q2647" s="3"/>
    </row>
    <row r="2648" spans="17:17">
      <c r="Q2648" s="3"/>
    </row>
    <row r="2649" spans="17:17">
      <c r="Q2649" s="3"/>
    </row>
    <row r="2650" spans="17:17">
      <c r="Q2650" s="3"/>
    </row>
    <row r="2651" spans="17:17">
      <c r="Q2651" s="3"/>
    </row>
    <row r="2652" spans="17:17">
      <c r="Q2652" s="3"/>
    </row>
    <row r="2653" spans="17:17">
      <c r="Q2653" s="3"/>
    </row>
    <row r="2654" spans="17:17">
      <c r="Q2654" s="3"/>
    </row>
    <row r="2655" spans="17:17">
      <c r="Q2655" s="3"/>
    </row>
    <row r="2656" spans="17:17">
      <c r="Q2656" s="3"/>
    </row>
    <row r="2657" spans="17:17">
      <c r="Q2657" s="3"/>
    </row>
    <row r="2658" spans="17:17">
      <c r="Q2658" s="3"/>
    </row>
    <row r="2659" spans="17:17">
      <c r="Q2659" s="3"/>
    </row>
    <row r="2660" spans="17:17">
      <c r="Q2660" s="3"/>
    </row>
    <row r="2661" spans="17:17">
      <c r="Q2661" s="3"/>
    </row>
    <row r="2662" spans="17:17">
      <c r="Q2662" s="3"/>
    </row>
    <row r="2663" spans="17:17">
      <c r="Q2663" s="3"/>
    </row>
    <row r="2664" spans="17:17">
      <c r="Q2664" s="3"/>
    </row>
    <row r="2665" spans="17:17">
      <c r="Q2665" s="3"/>
    </row>
    <row r="2666" spans="17:17">
      <c r="Q2666" s="3"/>
    </row>
    <row r="2667" spans="17:17">
      <c r="Q2667" s="3"/>
    </row>
    <row r="2668" spans="17:17">
      <c r="Q2668" s="3"/>
    </row>
    <row r="2669" spans="17:17">
      <c r="Q2669" s="3"/>
    </row>
    <row r="2670" spans="17:17">
      <c r="Q2670" s="3"/>
    </row>
    <row r="2671" spans="17:17">
      <c r="Q2671" s="3"/>
    </row>
    <row r="2672" spans="17:17">
      <c r="Q2672" s="3"/>
    </row>
    <row r="2673" spans="17:17">
      <c r="Q2673" s="3"/>
    </row>
    <row r="2674" spans="17:17">
      <c r="Q2674" s="3"/>
    </row>
    <row r="2675" spans="17:17">
      <c r="Q2675" s="3"/>
    </row>
    <row r="2676" spans="17:17">
      <c r="Q2676" s="3"/>
    </row>
    <row r="2677" spans="17:17">
      <c r="Q2677" s="3"/>
    </row>
    <row r="2678" spans="17:17">
      <c r="Q2678" s="3"/>
    </row>
    <row r="2679" spans="17:17">
      <c r="Q2679" s="3"/>
    </row>
    <row r="2680" spans="17:17">
      <c r="Q2680" s="3"/>
    </row>
    <row r="2681" spans="17:17">
      <c r="Q2681" s="3"/>
    </row>
    <row r="2682" spans="17:17">
      <c r="Q2682" s="3"/>
    </row>
    <row r="2683" spans="17:17">
      <c r="Q2683" s="3"/>
    </row>
    <row r="2684" spans="17:17">
      <c r="Q2684" s="3"/>
    </row>
    <row r="2685" spans="17:17">
      <c r="Q2685" s="3"/>
    </row>
    <row r="2686" spans="17:17">
      <c r="Q2686" s="3"/>
    </row>
    <row r="2687" spans="17:17">
      <c r="Q2687" s="3"/>
    </row>
    <row r="2688" spans="17:17">
      <c r="Q2688" s="3"/>
    </row>
    <row r="2689" spans="17:17">
      <c r="Q2689" s="3"/>
    </row>
    <row r="2690" spans="17:17">
      <c r="Q2690" s="3"/>
    </row>
    <row r="2691" spans="17:17">
      <c r="Q2691" s="3"/>
    </row>
    <row r="2692" spans="17:17">
      <c r="Q2692" s="3"/>
    </row>
    <row r="2693" spans="17:17">
      <c r="Q2693" s="3"/>
    </row>
    <row r="2694" spans="17:17">
      <c r="Q2694" s="3"/>
    </row>
    <row r="2695" spans="17:17">
      <c r="Q2695" s="3"/>
    </row>
    <row r="2696" spans="17:17">
      <c r="Q2696" s="3"/>
    </row>
    <row r="2697" spans="17:17">
      <c r="Q2697" s="3"/>
    </row>
    <row r="2698" spans="17:17">
      <c r="Q2698" s="3"/>
    </row>
    <row r="2699" spans="17:17">
      <c r="Q2699" s="3"/>
    </row>
    <row r="2700" spans="17:17">
      <c r="Q2700" s="3"/>
    </row>
    <row r="2701" spans="17:17">
      <c r="Q2701" s="3"/>
    </row>
    <row r="2702" spans="17:17">
      <c r="Q2702" s="3"/>
    </row>
    <row r="2703" spans="17:17">
      <c r="Q2703" s="3"/>
    </row>
    <row r="2704" spans="17:17">
      <c r="Q2704" s="3"/>
    </row>
    <row r="2705" spans="17:17">
      <c r="Q2705" s="3"/>
    </row>
    <row r="2706" spans="17:17">
      <c r="Q2706" s="3"/>
    </row>
    <row r="2707" spans="17:17">
      <c r="Q2707" s="3"/>
    </row>
    <row r="2708" spans="17:17">
      <c r="Q2708" s="3"/>
    </row>
    <row r="2709" spans="17:17">
      <c r="Q2709" s="3"/>
    </row>
    <row r="2710" spans="17:17">
      <c r="Q2710" s="3"/>
    </row>
    <row r="2711" spans="17:17">
      <c r="Q2711" s="3"/>
    </row>
    <row r="2712" spans="17:17">
      <c r="Q2712" s="3"/>
    </row>
    <row r="2713" spans="17:17">
      <c r="Q2713" s="3"/>
    </row>
    <row r="2714" spans="17:17">
      <c r="Q2714" s="3"/>
    </row>
    <row r="2715" spans="17:17">
      <c r="Q2715" s="3"/>
    </row>
    <row r="2716" spans="17:17">
      <c r="Q2716" s="3"/>
    </row>
    <row r="2717" spans="17:17">
      <c r="Q2717" s="3"/>
    </row>
    <row r="2718" spans="17:17">
      <c r="Q2718" s="3"/>
    </row>
    <row r="2719" spans="17:17">
      <c r="Q2719" s="3"/>
    </row>
    <row r="2720" spans="17:17">
      <c r="Q2720" s="3"/>
    </row>
    <row r="2721" spans="17:17">
      <c r="Q2721" s="3"/>
    </row>
    <row r="2722" spans="17:17">
      <c r="Q2722" s="3"/>
    </row>
    <row r="2723" spans="17:17">
      <c r="Q2723" s="3"/>
    </row>
    <row r="2724" spans="17:17">
      <c r="Q2724" s="3"/>
    </row>
    <row r="2725" spans="17:17">
      <c r="Q2725" s="3"/>
    </row>
    <row r="2726" spans="17:17">
      <c r="Q2726" s="3"/>
    </row>
    <row r="2727" spans="17:17">
      <c r="Q2727" s="3"/>
    </row>
    <row r="2728" spans="17:17">
      <c r="Q2728" s="3"/>
    </row>
    <row r="2729" spans="17:17">
      <c r="Q2729" s="3"/>
    </row>
    <row r="2730" spans="17:17">
      <c r="Q2730" s="3"/>
    </row>
    <row r="2731" spans="17:17">
      <c r="Q2731" s="3"/>
    </row>
    <row r="2732" spans="17:17">
      <c r="Q2732" s="3"/>
    </row>
    <row r="2733" spans="17:17">
      <c r="Q2733" s="3"/>
    </row>
    <row r="2734" spans="17:17">
      <c r="Q2734" s="3"/>
    </row>
    <row r="2735" spans="17:17">
      <c r="Q2735" s="3"/>
    </row>
    <row r="2736" spans="17:17">
      <c r="Q2736" s="3"/>
    </row>
    <row r="2737" spans="17:17">
      <c r="Q2737" s="3"/>
    </row>
    <row r="2738" spans="17:17">
      <c r="Q2738" s="3"/>
    </row>
    <row r="2739" spans="17:17">
      <c r="Q2739" s="3"/>
    </row>
    <row r="2740" spans="17:17">
      <c r="Q2740" s="3"/>
    </row>
    <row r="2741" spans="17:17">
      <c r="Q2741" s="3"/>
    </row>
    <row r="2742" spans="17:17">
      <c r="Q2742" s="3"/>
    </row>
    <row r="2743" spans="17:17">
      <c r="Q2743" s="3"/>
    </row>
    <row r="2744" spans="17:17">
      <c r="Q2744" s="3"/>
    </row>
    <row r="2745" spans="17:17">
      <c r="Q2745" s="3"/>
    </row>
    <row r="2746" spans="17:17">
      <c r="Q2746" s="3"/>
    </row>
    <row r="2747" spans="17:17">
      <c r="Q2747" s="3"/>
    </row>
    <row r="2748" spans="17:17">
      <c r="Q2748" s="3"/>
    </row>
    <row r="2749" spans="17:17">
      <c r="Q2749" s="3"/>
    </row>
    <row r="2750" spans="17:17">
      <c r="Q2750" s="3"/>
    </row>
    <row r="2751" spans="17:17">
      <c r="Q2751" s="3"/>
    </row>
    <row r="2752" spans="17:17">
      <c r="Q2752" s="3"/>
    </row>
    <row r="2753" spans="17:17">
      <c r="Q2753" s="3"/>
    </row>
    <row r="2754" spans="17:17">
      <c r="Q2754" s="3"/>
    </row>
    <row r="2755" spans="17:17">
      <c r="Q2755" s="3"/>
    </row>
    <row r="2756" spans="17:17">
      <c r="Q2756" s="3"/>
    </row>
    <row r="2757" spans="17:17">
      <c r="Q2757" s="3"/>
    </row>
    <row r="2758" spans="17:17">
      <c r="Q2758" s="3"/>
    </row>
    <row r="2759" spans="17:17">
      <c r="Q2759" s="3"/>
    </row>
    <row r="2760" spans="17:17">
      <c r="Q2760" s="3"/>
    </row>
    <row r="2761" spans="17:17">
      <c r="Q2761" s="3"/>
    </row>
    <row r="2762" spans="17:17">
      <c r="Q2762" s="3"/>
    </row>
    <row r="2763" spans="17:17">
      <c r="Q2763" s="3"/>
    </row>
    <row r="2764" spans="17:17">
      <c r="Q2764" s="3"/>
    </row>
    <row r="2765" spans="17:17">
      <c r="Q2765" s="3"/>
    </row>
    <row r="2766" spans="17:17">
      <c r="Q2766" s="3"/>
    </row>
    <row r="2767" spans="17:17">
      <c r="Q2767" s="3"/>
    </row>
    <row r="2768" spans="17:17">
      <c r="Q2768" s="3"/>
    </row>
    <row r="2769" spans="17:17">
      <c r="Q2769" s="3"/>
    </row>
    <row r="2770" spans="17:17">
      <c r="Q2770" s="3"/>
    </row>
    <row r="2771" spans="17:17">
      <c r="Q2771" s="3"/>
    </row>
    <row r="2772" spans="17:17">
      <c r="Q2772" s="3"/>
    </row>
    <row r="2773" spans="17:17">
      <c r="Q2773" s="3"/>
    </row>
    <row r="2774" spans="17:17">
      <c r="Q2774" s="3"/>
    </row>
    <row r="2775" spans="17:17">
      <c r="Q2775" s="3"/>
    </row>
    <row r="2776" spans="17:17">
      <c r="Q2776" s="3"/>
    </row>
    <row r="2777" spans="17:17">
      <c r="Q2777" s="3"/>
    </row>
    <row r="2778" spans="17:17">
      <c r="Q2778" s="3"/>
    </row>
    <row r="2779" spans="17:17">
      <c r="Q2779" s="3"/>
    </row>
    <row r="2780" spans="17:17">
      <c r="Q2780" s="3"/>
    </row>
    <row r="2781" spans="17:17">
      <c r="Q2781" s="3"/>
    </row>
    <row r="2782" spans="17:17">
      <c r="Q2782" s="3"/>
    </row>
    <row r="2783" spans="17:17">
      <c r="Q2783" s="3"/>
    </row>
    <row r="2784" spans="17:17">
      <c r="Q2784" s="3"/>
    </row>
    <row r="2785" spans="17:17">
      <c r="Q2785" s="3"/>
    </row>
    <row r="2786" spans="17:17">
      <c r="Q2786" s="3"/>
    </row>
    <row r="2787" spans="17:17">
      <c r="Q2787" s="3"/>
    </row>
    <row r="2788" spans="17:17">
      <c r="Q2788" s="3"/>
    </row>
    <row r="2789" spans="17:17">
      <c r="Q2789" s="3"/>
    </row>
    <row r="2790" spans="17:17">
      <c r="Q2790" s="3"/>
    </row>
    <row r="2791" spans="17:17">
      <c r="Q2791" s="3"/>
    </row>
    <row r="2792" spans="17:17">
      <c r="Q2792" s="3"/>
    </row>
    <row r="2793" spans="17:17">
      <c r="Q2793" s="3"/>
    </row>
    <row r="2794" spans="17:17">
      <c r="Q2794" s="3"/>
    </row>
    <row r="2795" spans="17:17">
      <c r="Q2795" s="3"/>
    </row>
    <row r="2796" spans="17:17">
      <c r="Q2796" s="3"/>
    </row>
    <row r="2797" spans="17:17">
      <c r="Q2797" s="3"/>
    </row>
    <row r="2798" spans="17:17">
      <c r="Q2798" s="3"/>
    </row>
    <row r="2799" spans="17:17">
      <c r="Q2799" s="3"/>
    </row>
    <row r="2800" spans="17:17">
      <c r="Q2800" s="3"/>
    </row>
    <row r="2801" spans="17:17">
      <c r="Q2801" s="3"/>
    </row>
    <row r="2802" spans="17:17">
      <c r="Q2802" s="3"/>
    </row>
    <row r="2803" spans="17:17">
      <c r="Q2803" s="3"/>
    </row>
    <row r="2804" spans="17:17">
      <c r="Q2804" s="3"/>
    </row>
    <row r="2805" spans="17:17">
      <c r="Q2805" s="3"/>
    </row>
    <row r="2806" spans="17:17">
      <c r="Q2806" s="3"/>
    </row>
    <row r="2807" spans="17:17">
      <c r="Q2807" s="3"/>
    </row>
    <row r="2808" spans="17:17">
      <c r="Q2808" s="3"/>
    </row>
    <row r="2809" spans="17:17">
      <c r="Q2809" s="3"/>
    </row>
    <row r="2810" spans="17:17">
      <c r="Q2810" s="3"/>
    </row>
    <row r="2811" spans="17:17">
      <c r="Q2811" s="3"/>
    </row>
    <row r="2812" spans="17:17">
      <c r="Q2812" s="3"/>
    </row>
    <row r="2813" spans="17:17">
      <c r="Q2813" s="3"/>
    </row>
    <row r="2814" spans="17:17">
      <c r="Q2814" s="3"/>
    </row>
    <row r="2815" spans="17:17">
      <c r="Q2815" s="3"/>
    </row>
    <row r="2816" spans="17:17">
      <c r="Q2816" s="3"/>
    </row>
    <row r="2817" spans="17:17">
      <c r="Q2817" s="3"/>
    </row>
    <row r="2818" spans="17:17">
      <c r="Q2818" s="3"/>
    </row>
    <row r="2819" spans="17:17">
      <c r="Q2819" s="3"/>
    </row>
    <row r="2820" spans="17:17">
      <c r="Q2820" s="3"/>
    </row>
    <row r="2821" spans="17:17">
      <c r="Q2821" s="3"/>
    </row>
    <row r="2822" spans="17:17">
      <c r="Q2822" s="3"/>
    </row>
    <row r="2823" spans="17:17">
      <c r="Q2823" s="3"/>
    </row>
    <row r="2824" spans="17:17">
      <c r="Q2824" s="3"/>
    </row>
    <row r="2825" spans="17:17">
      <c r="Q2825" s="3"/>
    </row>
    <row r="2826" spans="17:17">
      <c r="Q2826" s="3"/>
    </row>
    <row r="2827" spans="17:17">
      <c r="Q2827" s="3"/>
    </row>
    <row r="2828" spans="17:17">
      <c r="Q2828" s="3"/>
    </row>
    <row r="2829" spans="17:17">
      <c r="Q2829" s="3"/>
    </row>
    <row r="2830" spans="17:17">
      <c r="Q2830" s="3"/>
    </row>
    <row r="2831" spans="17:17">
      <c r="Q2831" s="3"/>
    </row>
    <row r="2832" spans="17:17">
      <c r="Q2832" s="3"/>
    </row>
    <row r="2833" spans="17:17">
      <c r="Q2833" s="3"/>
    </row>
    <row r="2834" spans="17:17">
      <c r="Q2834" s="3"/>
    </row>
    <row r="2835" spans="17:17">
      <c r="Q2835" s="3"/>
    </row>
    <row r="2836" spans="17:17">
      <c r="Q2836" s="3"/>
    </row>
    <row r="2837" spans="17:17">
      <c r="Q2837" s="3"/>
    </row>
    <row r="2838" spans="17:17">
      <c r="Q2838" s="3"/>
    </row>
    <row r="2839" spans="17:17">
      <c r="Q2839" s="3"/>
    </row>
    <row r="2840" spans="17:17">
      <c r="Q2840" s="3"/>
    </row>
    <row r="2841" spans="17:17">
      <c r="Q2841" s="3"/>
    </row>
    <row r="2842" spans="17:17">
      <c r="Q2842" s="3"/>
    </row>
    <row r="2843" spans="17:17">
      <c r="Q2843" s="3"/>
    </row>
    <row r="2844" spans="17:17">
      <c r="Q2844" s="3"/>
    </row>
    <row r="2845" spans="17:17">
      <c r="Q2845" s="3"/>
    </row>
    <row r="2846" spans="17:17">
      <c r="Q2846" s="3"/>
    </row>
    <row r="2847" spans="17:17">
      <c r="Q2847" s="3"/>
    </row>
    <row r="2848" spans="17:17">
      <c r="Q2848" s="3"/>
    </row>
    <row r="2849" spans="17:17">
      <c r="Q2849" s="3"/>
    </row>
    <row r="2850" spans="17:17">
      <c r="Q2850" s="3"/>
    </row>
    <row r="2851" spans="17:17">
      <c r="Q2851" s="3"/>
    </row>
    <row r="2852" spans="17:17">
      <c r="Q2852" s="3"/>
    </row>
    <row r="2853" spans="17:17">
      <c r="Q2853" s="3"/>
    </row>
    <row r="2854" spans="17:17">
      <c r="Q2854" s="3"/>
    </row>
    <row r="2855" spans="17:17">
      <c r="Q2855" s="3"/>
    </row>
    <row r="2856" spans="17:17">
      <c r="Q2856" s="3"/>
    </row>
    <row r="2857" spans="17:17">
      <c r="Q2857" s="3"/>
    </row>
    <row r="2858" spans="17:17">
      <c r="Q2858" s="3"/>
    </row>
    <row r="2859" spans="17:17">
      <c r="Q2859" s="3"/>
    </row>
    <row r="2860" spans="17:17">
      <c r="Q2860" s="3"/>
    </row>
    <row r="2861" spans="17:17">
      <c r="Q2861" s="3"/>
    </row>
    <row r="2862" spans="17:17">
      <c r="Q2862" s="3"/>
    </row>
    <row r="2863" spans="17:17">
      <c r="Q2863" s="3"/>
    </row>
    <row r="2864" spans="17:17">
      <c r="Q2864" s="3"/>
    </row>
    <row r="2865" spans="17:17">
      <c r="Q2865" s="3"/>
    </row>
    <row r="2866" spans="17:17">
      <c r="Q2866" s="3"/>
    </row>
    <row r="2867" spans="17:17">
      <c r="Q2867" s="3"/>
    </row>
    <row r="2868" spans="17:17">
      <c r="Q2868" s="3"/>
    </row>
    <row r="2869" spans="17:17">
      <c r="Q2869" s="3"/>
    </row>
    <row r="2870" spans="17:17">
      <c r="Q2870" s="3"/>
    </row>
    <row r="2871" spans="17:17">
      <c r="Q2871" s="3"/>
    </row>
    <row r="2872" spans="17:17">
      <c r="Q2872" s="3"/>
    </row>
    <row r="2873" spans="17:17">
      <c r="Q2873" s="3"/>
    </row>
    <row r="2874" spans="17:17">
      <c r="Q2874" s="3"/>
    </row>
    <row r="2875" spans="17:17">
      <c r="Q2875" s="3"/>
    </row>
    <row r="2876" spans="17:17">
      <c r="Q2876" s="3"/>
    </row>
    <row r="2877" spans="17:17">
      <c r="Q2877" s="3"/>
    </row>
    <row r="2878" spans="17:17">
      <c r="Q2878" s="3"/>
    </row>
    <row r="2879" spans="17:17">
      <c r="Q2879" s="3"/>
    </row>
    <row r="2880" spans="17:17">
      <c r="Q2880" s="3"/>
    </row>
    <row r="2881" spans="17:17">
      <c r="Q2881" s="3"/>
    </row>
    <row r="2882" spans="17:17">
      <c r="Q2882" s="3"/>
    </row>
    <row r="2883" spans="17:17">
      <c r="Q2883" s="3"/>
    </row>
    <row r="2884" spans="17:17">
      <c r="Q2884" s="3"/>
    </row>
    <row r="2885" spans="17:17">
      <c r="Q2885" s="3"/>
    </row>
    <row r="2886" spans="17:17">
      <c r="Q2886" s="3"/>
    </row>
    <row r="2887" spans="17:17">
      <c r="Q2887" s="3"/>
    </row>
    <row r="2888" spans="17:17">
      <c r="Q2888" s="3"/>
    </row>
    <row r="2889" spans="17:17">
      <c r="Q2889" s="3"/>
    </row>
    <row r="2890" spans="17:17">
      <c r="Q2890" s="3"/>
    </row>
    <row r="2891" spans="17:17">
      <c r="Q2891" s="3"/>
    </row>
    <row r="2892" spans="17:17">
      <c r="Q2892" s="3"/>
    </row>
    <row r="2893" spans="17:17">
      <c r="Q2893" s="3"/>
    </row>
    <row r="2894" spans="17:17">
      <c r="Q2894" s="3"/>
    </row>
    <row r="2895" spans="17:17">
      <c r="Q2895" s="3"/>
    </row>
    <row r="2896" spans="17:17">
      <c r="Q2896" s="3"/>
    </row>
    <row r="2897" spans="17:17">
      <c r="Q2897" s="3"/>
    </row>
    <row r="2898" spans="17:17">
      <c r="Q2898" s="3"/>
    </row>
    <row r="2899" spans="17:17">
      <c r="Q2899" s="3"/>
    </row>
    <row r="2900" spans="17:17">
      <c r="Q2900" s="3"/>
    </row>
    <row r="2901" spans="17:17">
      <c r="Q2901" s="3"/>
    </row>
    <row r="2902" spans="17:17">
      <c r="Q2902" s="3"/>
    </row>
    <row r="2903" spans="17:17">
      <c r="Q2903" s="3"/>
    </row>
    <row r="2904" spans="17:17">
      <c r="Q2904" s="3"/>
    </row>
    <row r="2905" spans="17:17">
      <c r="Q2905" s="3"/>
    </row>
    <row r="2906" spans="17:17">
      <c r="Q2906" s="3"/>
    </row>
    <row r="2907" spans="17:17">
      <c r="Q2907" s="3"/>
    </row>
    <row r="2908" spans="17:17">
      <c r="Q2908" s="3"/>
    </row>
    <row r="2909" spans="17:17">
      <c r="Q2909" s="3"/>
    </row>
    <row r="2910" spans="17:17">
      <c r="Q2910" s="3"/>
    </row>
    <row r="2911" spans="17:17">
      <c r="Q2911" s="3"/>
    </row>
    <row r="2912" spans="17:17">
      <c r="Q2912" s="3"/>
    </row>
    <row r="2913" spans="17:17">
      <c r="Q2913" s="3"/>
    </row>
    <row r="2914" spans="17:17">
      <c r="Q2914" s="3"/>
    </row>
    <row r="2915" spans="17:17">
      <c r="Q2915" s="3"/>
    </row>
    <row r="2916" spans="17:17">
      <c r="Q2916" s="3"/>
    </row>
    <row r="2917" spans="17:17">
      <c r="Q2917" s="3"/>
    </row>
    <row r="2918" spans="17:17">
      <c r="Q2918" s="3"/>
    </row>
    <row r="2919" spans="17:17">
      <c r="Q2919" s="3"/>
    </row>
    <row r="2920" spans="17:17">
      <c r="Q2920" s="3"/>
    </row>
    <row r="2921" spans="17:17">
      <c r="Q2921" s="3"/>
    </row>
    <row r="2922" spans="17:17">
      <c r="Q2922" s="3"/>
    </row>
    <row r="2923" spans="17:17">
      <c r="Q2923" s="3"/>
    </row>
    <row r="2924" spans="17:17">
      <c r="Q2924" s="3"/>
    </row>
    <row r="2925" spans="17:17">
      <c r="Q2925" s="3"/>
    </row>
    <row r="2926" spans="17:17">
      <c r="Q2926" s="3"/>
    </row>
    <row r="2927" spans="17:17">
      <c r="Q2927" s="3"/>
    </row>
    <row r="2928" spans="17:17">
      <c r="Q2928" s="3"/>
    </row>
    <row r="2929" spans="17:17">
      <c r="Q2929" s="3"/>
    </row>
    <row r="2930" spans="17:17">
      <c r="Q2930" s="3"/>
    </row>
    <row r="2931" spans="17:17">
      <c r="Q2931" s="3"/>
    </row>
    <row r="2932" spans="17:17">
      <c r="Q2932" s="3"/>
    </row>
    <row r="2933" spans="17:17">
      <c r="Q2933" s="3"/>
    </row>
    <row r="2934" spans="17:17">
      <c r="Q2934" s="3"/>
    </row>
    <row r="2935" spans="17:17">
      <c r="Q2935" s="3"/>
    </row>
    <row r="2936" spans="17:17">
      <c r="Q2936" s="3"/>
    </row>
    <row r="2937" spans="17:17">
      <c r="Q2937" s="3"/>
    </row>
    <row r="2938" spans="17:17">
      <c r="Q2938" s="3"/>
    </row>
    <row r="2939" spans="17:17">
      <c r="Q2939" s="3"/>
    </row>
    <row r="2940" spans="17:17">
      <c r="Q2940" s="3"/>
    </row>
    <row r="2941" spans="17:17">
      <c r="Q2941" s="3"/>
    </row>
    <row r="2942" spans="17:17">
      <c r="Q2942" s="3"/>
    </row>
    <row r="2943" spans="17:17">
      <c r="Q2943" s="3"/>
    </row>
    <row r="2944" spans="17:17">
      <c r="Q2944" s="3"/>
    </row>
    <row r="2945" spans="17:17">
      <c r="Q2945" s="3"/>
    </row>
    <row r="2946" spans="17:17">
      <c r="Q2946" s="3"/>
    </row>
    <row r="2947" spans="17:17">
      <c r="Q2947" s="3"/>
    </row>
    <row r="2948" spans="17:17">
      <c r="Q2948" s="3"/>
    </row>
    <row r="2949" spans="17:17">
      <c r="Q2949" s="3"/>
    </row>
    <row r="2950" spans="17:17">
      <c r="Q2950" s="3"/>
    </row>
    <row r="2951" spans="17:17">
      <c r="Q2951" s="3"/>
    </row>
    <row r="2952" spans="17:17">
      <c r="Q2952" s="3"/>
    </row>
    <row r="2953" spans="17:17">
      <c r="Q2953" s="3"/>
    </row>
    <row r="2954" spans="17:17">
      <c r="Q2954" s="3"/>
    </row>
    <row r="2955" spans="17:17">
      <c r="Q2955" s="3"/>
    </row>
    <row r="2956" spans="17:17">
      <c r="Q2956" s="3"/>
    </row>
    <row r="2957" spans="17:17">
      <c r="Q2957" s="3"/>
    </row>
    <row r="2958" spans="17:17">
      <c r="Q2958" s="3"/>
    </row>
    <row r="2959" spans="17:17">
      <c r="Q2959" s="3"/>
    </row>
    <row r="2960" spans="17:17">
      <c r="Q2960" s="3"/>
    </row>
    <row r="2961" spans="17:17">
      <c r="Q2961" s="3"/>
    </row>
    <row r="2962" spans="17:17">
      <c r="Q2962" s="3"/>
    </row>
    <row r="2963" spans="17:17">
      <c r="Q2963" s="3"/>
    </row>
    <row r="2964" spans="17:17">
      <c r="Q2964" s="3"/>
    </row>
    <row r="2965" spans="17:17">
      <c r="Q2965" s="3"/>
    </row>
    <row r="2966" spans="17:17">
      <c r="Q2966" s="3"/>
    </row>
    <row r="2967" spans="17:17">
      <c r="Q2967" s="3"/>
    </row>
    <row r="2968" spans="17:17">
      <c r="Q2968" s="3"/>
    </row>
    <row r="2969" spans="17:17">
      <c r="Q2969" s="3"/>
    </row>
    <row r="2970" spans="17:17">
      <c r="Q2970" s="3"/>
    </row>
    <row r="2971" spans="17:17">
      <c r="Q2971" s="3"/>
    </row>
    <row r="2972" spans="17:17">
      <c r="Q2972" s="3"/>
    </row>
    <row r="2973" spans="17:17">
      <c r="Q2973" s="3"/>
    </row>
    <row r="2974" spans="17:17">
      <c r="Q2974" s="3"/>
    </row>
    <row r="2975" spans="17:17">
      <c r="Q2975" s="3"/>
    </row>
    <row r="2976" spans="17:17">
      <c r="Q2976" s="3"/>
    </row>
    <row r="2977" spans="17:17">
      <c r="Q2977" s="3"/>
    </row>
    <row r="2978" spans="17:17">
      <c r="Q2978" s="3"/>
    </row>
    <row r="2979" spans="17:17">
      <c r="Q2979" s="3"/>
    </row>
    <row r="2980" spans="17:17">
      <c r="Q2980" s="3"/>
    </row>
    <row r="2981" spans="17:17">
      <c r="Q2981" s="3"/>
    </row>
    <row r="2982" spans="17:17">
      <c r="Q2982" s="3"/>
    </row>
    <row r="2983" spans="17:17">
      <c r="Q2983" s="3"/>
    </row>
    <row r="2984" spans="17:17">
      <c r="Q2984" s="3"/>
    </row>
    <row r="2985" spans="17:17">
      <c r="Q2985" s="3"/>
    </row>
    <row r="2986" spans="17:17">
      <c r="Q2986" s="3"/>
    </row>
    <row r="2987" spans="17:17">
      <c r="Q2987" s="3"/>
    </row>
    <row r="2988" spans="17:17">
      <c r="Q2988" s="3"/>
    </row>
    <row r="2989" spans="17:17">
      <c r="Q2989" s="3"/>
    </row>
    <row r="2990" spans="17:17">
      <c r="Q2990" s="3"/>
    </row>
    <row r="2991" spans="17:17">
      <c r="Q2991" s="3"/>
    </row>
    <row r="2992" spans="17:17">
      <c r="Q2992" s="3"/>
    </row>
    <row r="2993" spans="17:17">
      <c r="Q2993" s="3"/>
    </row>
    <row r="2994" spans="17:17">
      <c r="Q2994" s="3"/>
    </row>
    <row r="2995" spans="17:17">
      <c r="Q2995" s="3"/>
    </row>
    <row r="2996" spans="17:17">
      <c r="Q2996" s="3"/>
    </row>
    <row r="2997" spans="17:17">
      <c r="Q2997" s="3"/>
    </row>
    <row r="2998" spans="17:17">
      <c r="Q2998" s="3"/>
    </row>
    <row r="2999" spans="17:17">
      <c r="Q2999" s="3"/>
    </row>
    <row r="3000" spans="17:17">
      <c r="Q3000" s="3"/>
    </row>
    <row r="3001" spans="17:17">
      <c r="Q3001" s="3"/>
    </row>
    <row r="3002" spans="17:17">
      <c r="Q3002" s="3"/>
    </row>
    <row r="3003" spans="17:17">
      <c r="Q3003" s="3"/>
    </row>
    <row r="3004" spans="17:17">
      <c r="Q3004" s="3"/>
    </row>
    <row r="3005" spans="17:17">
      <c r="Q3005" s="3"/>
    </row>
    <row r="3006" spans="17:17">
      <c r="Q3006" s="3"/>
    </row>
    <row r="3007" spans="17:17">
      <c r="Q3007" s="3"/>
    </row>
    <row r="3008" spans="17:17">
      <c r="Q3008" s="3"/>
    </row>
    <row r="3009" spans="17:17">
      <c r="Q3009" s="3"/>
    </row>
    <row r="3010" spans="17:17">
      <c r="Q3010" s="3"/>
    </row>
    <row r="3011" spans="17:17">
      <c r="Q3011" s="3"/>
    </row>
    <row r="3012" spans="17:17">
      <c r="Q3012" s="3"/>
    </row>
    <row r="3013" spans="17:17">
      <c r="Q3013" s="3"/>
    </row>
    <row r="3014" spans="17:17">
      <c r="Q3014" s="3"/>
    </row>
    <row r="3015" spans="17:17">
      <c r="Q3015" s="3"/>
    </row>
    <row r="3016" spans="17:17">
      <c r="Q3016" s="3"/>
    </row>
    <row r="3017" spans="17:17">
      <c r="Q3017" s="3"/>
    </row>
    <row r="3018" spans="17:17">
      <c r="Q3018" s="3"/>
    </row>
    <row r="3019" spans="17:17">
      <c r="Q3019" s="3"/>
    </row>
    <row r="3020" spans="17:17">
      <c r="Q3020" s="3"/>
    </row>
    <row r="3021" spans="17:17">
      <c r="Q3021" s="3"/>
    </row>
    <row r="3022" spans="17:17">
      <c r="Q3022" s="3"/>
    </row>
    <row r="3023" spans="17:17">
      <c r="Q3023" s="3"/>
    </row>
    <row r="3024" spans="17:17">
      <c r="Q3024" s="3"/>
    </row>
    <row r="3025" spans="17:17">
      <c r="Q3025" s="3"/>
    </row>
    <row r="3026" spans="17:17">
      <c r="Q3026" s="3"/>
    </row>
    <row r="3027" spans="17:17">
      <c r="Q3027" s="3"/>
    </row>
    <row r="3028" spans="17:17">
      <c r="Q3028" s="3"/>
    </row>
    <row r="3029" spans="17:17">
      <c r="Q3029" s="3"/>
    </row>
    <row r="3030" spans="17:17">
      <c r="Q3030" s="3"/>
    </row>
    <row r="3031" spans="17:17">
      <c r="Q3031" s="3"/>
    </row>
    <row r="3032" spans="17:17">
      <c r="Q3032" s="3"/>
    </row>
    <row r="3033" spans="17:17">
      <c r="Q3033" s="3"/>
    </row>
    <row r="3034" spans="17:17">
      <c r="Q3034" s="3"/>
    </row>
    <row r="3035" spans="17:17">
      <c r="Q3035" s="3"/>
    </row>
    <row r="3036" spans="17:17">
      <c r="Q3036" s="3"/>
    </row>
    <row r="3037" spans="17:17">
      <c r="Q3037" s="3"/>
    </row>
    <row r="3038" spans="17:17">
      <c r="Q3038" s="3"/>
    </row>
    <row r="3039" spans="17:17">
      <c r="Q3039" s="3"/>
    </row>
    <row r="3040" spans="17:17">
      <c r="Q3040" s="3"/>
    </row>
    <row r="3041" spans="17:17">
      <c r="Q3041" s="3"/>
    </row>
    <row r="3042" spans="17:17">
      <c r="Q3042" s="3"/>
    </row>
    <row r="3043" spans="17:17">
      <c r="Q3043" s="3"/>
    </row>
    <row r="3044" spans="17:17">
      <c r="Q3044" s="3"/>
    </row>
    <row r="3045" spans="17:17">
      <c r="Q3045" s="3"/>
    </row>
    <row r="3046" spans="17:17">
      <c r="Q3046" s="3"/>
    </row>
    <row r="3047" spans="17:17">
      <c r="Q3047" s="3"/>
    </row>
    <row r="3048" spans="17:17">
      <c r="Q3048" s="3"/>
    </row>
    <row r="3049" spans="17:17">
      <c r="Q3049" s="3"/>
    </row>
    <row r="3050" spans="17:17">
      <c r="Q3050" s="3"/>
    </row>
    <row r="3051" spans="17:17">
      <c r="Q3051" s="3"/>
    </row>
    <row r="3052" spans="17:17">
      <c r="Q3052" s="3"/>
    </row>
    <row r="3053" spans="17:17">
      <c r="Q3053" s="3"/>
    </row>
    <row r="3054" spans="17:17">
      <c r="Q3054" s="3"/>
    </row>
    <row r="3055" spans="17:17">
      <c r="Q3055" s="3"/>
    </row>
    <row r="3056" spans="17:17">
      <c r="Q3056" s="3"/>
    </row>
    <row r="3057" spans="17:17">
      <c r="Q3057" s="3"/>
    </row>
    <row r="3058" spans="17:17">
      <c r="Q3058" s="3"/>
    </row>
    <row r="3059" spans="17:17">
      <c r="Q3059" s="3"/>
    </row>
    <row r="3060" spans="17:17">
      <c r="Q3060" s="3"/>
    </row>
    <row r="3061" spans="17:17">
      <c r="Q3061" s="3"/>
    </row>
    <row r="3062" spans="17:17">
      <c r="Q3062" s="3"/>
    </row>
    <row r="3063" spans="17:17">
      <c r="Q3063" s="3"/>
    </row>
    <row r="3064" spans="17:17">
      <c r="Q3064" s="3"/>
    </row>
    <row r="3065" spans="17:17">
      <c r="Q3065" s="3"/>
    </row>
    <row r="3066" spans="17:17">
      <c r="Q3066" s="3"/>
    </row>
    <row r="3067" spans="17:17">
      <c r="Q3067" s="3"/>
    </row>
    <row r="3068" spans="17:17">
      <c r="Q3068" s="3"/>
    </row>
    <row r="3069" spans="17:17">
      <c r="Q3069" s="3"/>
    </row>
    <row r="3070" spans="17:17">
      <c r="Q3070" s="3"/>
    </row>
    <row r="3071" spans="17:17">
      <c r="Q3071" s="3"/>
    </row>
    <row r="3072" spans="17:17">
      <c r="Q3072" s="3"/>
    </row>
    <row r="3073" spans="17:17">
      <c r="Q3073" s="3"/>
    </row>
    <row r="3074" spans="17:17">
      <c r="Q3074" s="3"/>
    </row>
    <row r="3075" spans="17:17">
      <c r="Q3075" s="3"/>
    </row>
    <row r="3076" spans="17:17">
      <c r="Q3076" s="3"/>
    </row>
    <row r="3077" spans="17:17">
      <c r="Q3077" s="3"/>
    </row>
    <row r="3078" spans="17:17">
      <c r="Q3078" s="3"/>
    </row>
    <row r="3079" spans="17:17">
      <c r="Q3079" s="3"/>
    </row>
    <row r="3080" spans="17:17">
      <c r="Q3080" s="3"/>
    </row>
    <row r="3081" spans="17:17">
      <c r="Q3081" s="3"/>
    </row>
    <row r="3082" spans="17:17">
      <c r="Q3082" s="3"/>
    </row>
    <row r="3083" spans="17:17">
      <c r="Q3083" s="3"/>
    </row>
    <row r="3084" spans="17:17">
      <c r="Q3084" s="3"/>
    </row>
    <row r="3085" spans="17:17">
      <c r="Q3085" s="3"/>
    </row>
    <row r="3086" spans="17:17">
      <c r="Q3086" s="3"/>
    </row>
    <row r="3087" spans="17:17">
      <c r="Q3087" s="3"/>
    </row>
    <row r="3088" spans="17:17">
      <c r="Q3088" s="3"/>
    </row>
    <row r="3089" spans="17:17">
      <c r="Q3089" s="3"/>
    </row>
    <row r="3090" spans="17:17">
      <c r="Q3090" s="3"/>
    </row>
    <row r="3091" spans="17:17">
      <c r="Q3091" s="3"/>
    </row>
    <row r="3092" spans="17:17">
      <c r="Q3092" s="3"/>
    </row>
    <row r="3093" spans="17:17">
      <c r="Q3093" s="3"/>
    </row>
    <row r="3094" spans="17:17">
      <c r="Q3094" s="3"/>
    </row>
    <row r="3095" spans="17:17">
      <c r="Q3095" s="3"/>
    </row>
    <row r="3096" spans="17:17">
      <c r="Q3096" s="3"/>
    </row>
    <row r="3097" spans="17:17">
      <c r="Q3097" s="3"/>
    </row>
    <row r="3098" spans="17:17">
      <c r="Q3098" s="3"/>
    </row>
    <row r="3099" spans="17:17">
      <c r="Q3099" s="3"/>
    </row>
    <row r="3100" spans="17:17">
      <c r="Q3100" s="3"/>
    </row>
    <row r="3101" spans="17:17">
      <c r="Q3101" s="3"/>
    </row>
    <row r="3102" spans="17:17">
      <c r="Q3102" s="3"/>
    </row>
    <row r="3103" spans="17:17">
      <c r="Q3103" s="3"/>
    </row>
    <row r="3104" spans="17:17">
      <c r="Q3104" s="3"/>
    </row>
    <row r="3105" spans="17:17">
      <c r="Q3105" s="3"/>
    </row>
    <row r="3106" spans="17:17">
      <c r="Q3106" s="3"/>
    </row>
    <row r="3107" spans="17:17">
      <c r="Q3107" s="3"/>
    </row>
    <row r="3108" spans="17:17">
      <c r="Q3108" s="3"/>
    </row>
    <row r="3109" spans="17:17">
      <c r="Q3109" s="3"/>
    </row>
    <row r="3110" spans="17:17">
      <c r="Q3110" s="3"/>
    </row>
    <row r="3111" spans="17:17">
      <c r="Q3111" s="3"/>
    </row>
    <row r="3112" spans="17:17">
      <c r="Q3112" s="3"/>
    </row>
    <row r="3113" spans="17:17">
      <c r="Q3113" s="3"/>
    </row>
    <row r="3114" spans="17:17">
      <c r="Q3114" s="3"/>
    </row>
    <row r="3115" spans="17:17">
      <c r="Q3115" s="3"/>
    </row>
    <row r="3116" spans="17:17">
      <c r="Q3116" s="3"/>
    </row>
    <row r="3117" spans="17:17">
      <c r="Q3117" s="3"/>
    </row>
    <row r="3118" spans="17:17">
      <c r="Q3118" s="3"/>
    </row>
    <row r="3119" spans="17:17">
      <c r="Q3119" s="3"/>
    </row>
    <row r="3120" spans="17:17">
      <c r="Q3120" s="3"/>
    </row>
    <row r="3121" spans="17:17">
      <c r="Q3121" s="3"/>
    </row>
    <row r="3122" spans="17:17">
      <c r="Q3122" s="3"/>
    </row>
    <row r="3123" spans="17:17">
      <c r="Q3123" s="3"/>
    </row>
    <row r="3124" spans="17:17">
      <c r="Q3124" s="3"/>
    </row>
    <row r="3125" spans="17:17">
      <c r="Q3125" s="3"/>
    </row>
    <row r="3126" spans="17:17">
      <c r="Q3126" s="3"/>
    </row>
    <row r="3127" spans="17:17">
      <c r="Q3127" s="3"/>
    </row>
    <row r="3128" spans="17:17">
      <c r="Q3128" s="3"/>
    </row>
    <row r="3129" spans="17:17">
      <c r="Q3129" s="3"/>
    </row>
    <row r="3130" spans="17:17">
      <c r="Q3130" s="3"/>
    </row>
    <row r="3131" spans="17:17">
      <c r="Q3131" s="3"/>
    </row>
    <row r="3132" spans="17:17">
      <c r="Q3132" s="3"/>
    </row>
    <row r="3133" spans="17:17">
      <c r="Q3133" s="3"/>
    </row>
    <row r="3134" spans="17:17">
      <c r="Q3134" s="3"/>
    </row>
    <row r="3135" spans="17:17">
      <c r="Q3135" s="3"/>
    </row>
    <row r="3136" spans="17:17">
      <c r="Q3136" s="3"/>
    </row>
    <row r="3137" spans="17:17">
      <c r="Q3137" s="3"/>
    </row>
    <row r="3138" spans="17:17">
      <c r="Q3138" s="3"/>
    </row>
    <row r="3139" spans="17:17">
      <c r="Q3139" s="3"/>
    </row>
    <row r="3140" spans="17:17">
      <c r="Q3140" s="3"/>
    </row>
    <row r="3141" spans="17:17">
      <c r="Q3141" s="3"/>
    </row>
    <row r="3142" spans="17:17">
      <c r="Q3142" s="3"/>
    </row>
    <row r="3143" spans="17:17">
      <c r="Q3143" s="3"/>
    </row>
    <row r="3144" spans="17:17">
      <c r="Q3144" s="3"/>
    </row>
    <row r="3145" spans="17:17">
      <c r="Q3145" s="3"/>
    </row>
    <row r="3146" spans="17:17">
      <c r="Q3146" s="3"/>
    </row>
    <row r="3147" spans="17:17">
      <c r="Q3147" s="3"/>
    </row>
    <row r="3148" spans="17:17">
      <c r="Q3148" s="3"/>
    </row>
    <row r="3149" spans="17:17">
      <c r="Q3149" s="3"/>
    </row>
    <row r="3150" spans="17:17">
      <c r="Q3150" s="3"/>
    </row>
    <row r="3151" spans="17:17">
      <c r="Q3151" s="3"/>
    </row>
    <row r="3152" spans="17:17">
      <c r="Q3152" s="3"/>
    </row>
    <row r="3153" spans="17:17">
      <c r="Q3153" s="3"/>
    </row>
    <row r="3154" spans="17:17">
      <c r="Q3154" s="3"/>
    </row>
    <row r="3155" spans="17:17">
      <c r="Q3155" s="3"/>
    </row>
    <row r="3156" spans="17:17">
      <c r="Q3156" s="3"/>
    </row>
    <row r="3157" spans="17:17">
      <c r="Q3157" s="3"/>
    </row>
    <row r="3158" spans="17:17">
      <c r="Q3158" s="3"/>
    </row>
    <row r="3159" spans="17:17">
      <c r="Q3159" s="3"/>
    </row>
    <row r="3160" spans="17:17">
      <c r="Q3160" s="3"/>
    </row>
    <row r="3161" spans="17:17">
      <c r="Q3161" s="3"/>
    </row>
    <row r="3162" spans="17:17">
      <c r="Q3162" s="3"/>
    </row>
    <row r="3163" spans="17:17">
      <c r="Q3163" s="3"/>
    </row>
    <row r="3164" spans="17:17">
      <c r="Q3164" s="3"/>
    </row>
    <row r="3165" spans="17:17">
      <c r="Q3165" s="3"/>
    </row>
    <row r="3166" spans="17:17">
      <c r="Q3166" s="3"/>
    </row>
    <row r="3167" spans="17:17">
      <c r="Q3167" s="3"/>
    </row>
    <row r="3168" spans="17:17">
      <c r="Q3168" s="3"/>
    </row>
    <row r="3169" spans="17:17">
      <c r="Q3169" s="3"/>
    </row>
    <row r="3170" spans="17:17">
      <c r="Q3170" s="3"/>
    </row>
    <row r="3171" spans="17:17">
      <c r="Q3171" s="3"/>
    </row>
    <row r="3172" spans="17:17">
      <c r="Q3172" s="3"/>
    </row>
    <row r="3173" spans="17:17">
      <c r="Q3173" s="3"/>
    </row>
    <row r="3174" spans="17:17">
      <c r="Q3174" s="3"/>
    </row>
    <row r="3175" spans="17:17">
      <c r="Q3175" s="3"/>
    </row>
    <row r="3176" spans="17:17">
      <c r="Q3176" s="3"/>
    </row>
    <row r="3177" spans="17:17">
      <c r="Q3177" s="3"/>
    </row>
    <row r="3178" spans="17:17">
      <c r="Q3178" s="3"/>
    </row>
    <row r="3179" spans="17:17">
      <c r="Q3179" s="3"/>
    </row>
    <row r="3180" spans="17:17">
      <c r="Q3180" s="3"/>
    </row>
    <row r="3181" spans="17:17">
      <c r="Q3181" s="3"/>
    </row>
    <row r="3182" spans="17:17">
      <c r="Q3182" s="3"/>
    </row>
    <row r="3183" spans="17:17">
      <c r="Q3183" s="3"/>
    </row>
    <row r="3184" spans="17:17">
      <c r="Q3184" s="3"/>
    </row>
    <row r="3185" spans="17:17">
      <c r="Q3185" s="3"/>
    </row>
    <row r="3186" spans="17:17">
      <c r="Q3186" s="3"/>
    </row>
    <row r="3187" spans="17:17">
      <c r="Q3187" s="3"/>
    </row>
    <row r="3188" spans="17:17">
      <c r="Q3188" s="3"/>
    </row>
    <row r="3189" spans="17:17">
      <c r="Q3189" s="3"/>
    </row>
    <row r="3190" spans="17:17">
      <c r="Q3190" s="3"/>
    </row>
    <row r="3191" spans="17:17">
      <c r="Q3191" s="3"/>
    </row>
    <row r="3192" spans="17:17">
      <c r="Q3192" s="3"/>
    </row>
    <row r="3193" spans="17:17">
      <c r="Q3193" s="3"/>
    </row>
    <row r="3194" spans="17:17">
      <c r="Q3194" s="3"/>
    </row>
    <row r="3195" spans="17:17">
      <c r="Q3195" s="3"/>
    </row>
    <row r="3196" spans="17:17">
      <c r="Q3196" s="3"/>
    </row>
    <row r="3197" spans="17:17">
      <c r="Q3197" s="3"/>
    </row>
    <row r="3198" spans="17:17">
      <c r="Q3198" s="3"/>
    </row>
    <row r="3199" spans="17:17">
      <c r="Q3199" s="3"/>
    </row>
    <row r="3200" spans="17:17">
      <c r="Q3200" s="3"/>
    </row>
    <row r="3201" spans="17:17">
      <c r="Q3201" s="3"/>
    </row>
    <row r="3202" spans="17:17">
      <c r="Q3202" s="3"/>
    </row>
    <row r="3203" spans="17:17">
      <c r="Q3203" s="3"/>
    </row>
    <row r="3204" spans="17:17">
      <c r="Q3204" s="3"/>
    </row>
    <row r="3205" spans="17:17">
      <c r="Q3205" s="3"/>
    </row>
    <row r="3206" spans="17:17">
      <c r="Q3206" s="3"/>
    </row>
    <row r="3207" spans="17:17">
      <c r="Q3207" s="3"/>
    </row>
    <row r="3208" spans="17:17">
      <c r="Q3208" s="3"/>
    </row>
    <row r="3209" spans="17:17">
      <c r="Q3209" s="3"/>
    </row>
    <row r="3210" spans="17:17">
      <c r="Q3210" s="3"/>
    </row>
    <row r="3211" spans="17:17">
      <c r="Q3211" s="3"/>
    </row>
    <row r="3212" spans="17:17">
      <c r="Q3212" s="3"/>
    </row>
    <row r="3213" spans="17:17">
      <c r="Q3213" s="3"/>
    </row>
    <row r="3214" spans="17:17">
      <c r="Q3214" s="3"/>
    </row>
    <row r="3215" spans="17:17">
      <c r="Q3215" s="3"/>
    </row>
    <row r="3216" spans="17:17">
      <c r="Q3216" s="3"/>
    </row>
    <row r="3217" spans="17:17">
      <c r="Q3217" s="3"/>
    </row>
    <row r="3218" spans="17:17">
      <c r="Q3218" s="3"/>
    </row>
    <row r="3219" spans="17:17">
      <c r="Q3219" s="3"/>
    </row>
    <row r="3220" spans="17:17">
      <c r="Q3220" s="3"/>
    </row>
    <row r="3221" spans="17:17">
      <c r="Q3221" s="3"/>
    </row>
    <row r="3222" spans="17:17">
      <c r="Q3222" s="3"/>
    </row>
    <row r="3223" spans="17:17">
      <c r="Q3223" s="3"/>
    </row>
    <row r="3224" spans="17:17">
      <c r="Q3224" s="3"/>
    </row>
    <row r="3225" spans="17:17">
      <c r="Q3225" s="3"/>
    </row>
    <row r="3226" spans="17:17">
      <c r="Q3226" s="3"/>
    </row>
    <row r="3227" spans="17:17">
      <c r="Q3227" s="3"/>
    </row>
    <row r="3228" spans="17:17">
      <c r="Q3228" s="3"/>
    </row>
    <row r="3229" spans="17:17">
      <c r="Q3229" s="3"/>
    </row>
    <row r="3230" spans="17:17">
      <c r="Q3230" s="3"/>
    </row>
    <row r="3231" spans="17:17">
      <c r="Q3231" s="3"/>
    </row>
    <row r="3232" spans="17:17">
      <c r="Q3232" s="3"/>
    </row>
    <row r="3233" spans="17:17">
      <c r="Q3233" s="3"/>
    </row>
    <row r="3234" spans="17:17">
      <c r="Q3234" s="3"/>
    </row>
    <row r="3235" spans="17:17">
      <c r="Q3235" s="3"/>
    </row>
    <row r="3236" spans="17:17">
      <c r="Q3236" s="3"/>
    </row>
    <row r="3237" spans="17:17">
      <c r="Q3237" s="3"/>
    </row>
    <row r="3238" spans="17:17">
      <c r="Q3238" s="3"/>
    </row>
    <row r="3239" spans="17:17">
      <c r="Q3239" s="3"/>
    </row>
    <row r="3240" spans="17:17">
      <c r="Q3240" s="3"/>
    </row>
    <row r="3241" spans="17:17">
      <c r="Q3241" s="3"/>
    </row>
    <row r="3242" spans="17:17">
      <c r="Q3242" s="3"/>
    </row>
    <row r="3243" spans="17:17">
      <c r="Q3243" s="3"/>
    </row>
    <row r="3244" spans="17:17">
      <c r="Q3244" s="3"/>
    </row>
    <row r="3245" spans="17:17">
      <c r="Q3245" s="3"/>
    </row>
    <row r="3246" spans="17:17">
      <c r="Q3246" s="3"/>
    </row>
    <row r="3247" spans="17:17">
      <c r="Q3247" s="3"/>
    </row>
    <row r="3248" spans="17:17">
      <c r="Q3248" s="3"/>
    </row>
    <row r="3249" spans="17:17">
      <c r="Q3249" s="3"/>
    </row>
    <row r="3250" spans="17:17">
      <c r="Q3250" s="3"/>
    </row>
    <row r="3251" spans="17:17">
      <c r="Q3251" s="3"/>
    </row>
    <row r="3252" spans="17:17">
      <c r="Q3252" s="3"/>
    </row>
    <row r="3253" spans="17:17">
      <c r="Q3253" s="3"/>
    </row>
    <row r="3254" spans="17:17">
      <c r="Q3254" s="3"/>
    </row>
    <row r="3255" spans="17:17">
      <c r="Q3255" s="3"/>
    </row>
    <row r="3256" spans="17:17">
      <c r="Q3256" s="3"/>
    </row>
    <row r="3257" spans="17:17">
      <c r="Q3257" s="3"/>
    </row>
    <row r="3258" spans="17:17">
      <c r="Q3258" s="3"/>
    </row>
    <row r="3259" spans="17:17">
      <c r="Q3259" s="3"/>
    </row>
    <row r="3260" spans="17:17">
      <c r="Q3260" s="3"/>
    </row>
    <row r="3261" spans="17:17">
      <c r="Q3261" s="3"/>
    </row>
    <row r="3262" spans="17:17">
      <c r="Q3262" s="3"/>
    </row>
    <row r="3263" spans="17:17">
      <c r="Q3263" s="3"/>
    </row>
    <row r="3264" spans="17:17">
      <c r="Q3264" s="3"/>
    </row>
    <row r="3265" spans="17:17">
      <c r="Q3265" s="3"/>
    </row>
    <row r="3266" spans="17:17">
      <c r="Q3266" s="3"/>
    </row>
    <row r="3267" spans="17:17">
      <c r="Q3267" s="3"/>
    </row>
    <row r="3268" spans="17:17">
      <c r="Q3268" s="3"/>
    </row>
    <row r="3269" spans="17:17">
      <c r="Q3269" s="3"/>
    </row>
    <row r="3270" spans="17:17">
      <c r="Q3270" s="3"/>
    </row>
    <row r="3271" spans="17:17">
      <c r="Q3271" s="3"/>
    </row>
    <row r="3272" spans="17:17">
      <c r="Q3272" s="3"/>
    </row>
    <row r="3273" spans="17:17">
      <c r="Q3273" s="3"/>
    </row>
    <row r="3274" spans="17:17">
      <c r="Q3274" s="3"/>
    </row>
    <row r="3275" spans="17:17">
      <c r="Q3275" s="3"/>
    </row>
    <row r="3276" spans="17:17">
      <c r="Q3276" s="3"/>
    </row>
    <row r="3277" spans="17:17">
      <c r="Q3277" s="3"/>
    </row>
    <row r="3278" spans="17:17">
      <c r="Q3278" s="3"/>
    </row>
    <row r="3279" spans="17:17">
      <c r="Q3279" s="3"/>
    </row>
    <row r="3280" spans="17:17">
      <c r="Q3280" s="3"/>
    </row>
    <row r="3281" spans="17:17">
      <c r="Q3281" s="3"/>
    </row>
    <row r="3282" spans="17:17">
      <c r="Q3282" s="3"/>
    </row>
    <row r="3283" spans="17:17">
      <c r="Q3283" s="3"/>
    </row>
    <row r="3284" spans="17:17">
      <c r="Q3284" s="3"/>
    </row>
    <row r="3285" spans="17:17">
      <c r="Q3285" s="3"/>
    </row>
    <row r="3286" spans="17:17">
      <c r="Q3286" s="3"/>
    </row>
    <row r="3287" spans="17:17">
      <c r="Q3287" s="3"/>
    </row>
    <row r="3288" spans="17:17">
      <c r="Q3288" s="3"/>
    </row>
    <row r="3289" spans="17:17">
      <c r="Q3289" s="3"/>
    </row>
    <row r="3290" spans="17:17">
      <c r="Q3290" s="3"/>
    </row>
    <row r="3291" spans="17:17">
      <c r="Q3291" s="3"/>
    </row>
    <row r="3292" spans="17:17">
      <c r="Q3292" s="3"/>
    </row>
    <row r="3293" spans="17:17">
      <c r="Q3293" s="3"/>
    </row>
    <row r="3294" spans="17:17">
      <c r="Q3294" s="3"/>
    </row>
    <row r="3295" spans="17:17">
      <c r="Q3295" s="3"/>
    </row>
    <row r="3296" spans="17:17">
      <c r="Q3296" s="3"/>
    </row>
    <row r="3297" spans="17:17">
      <c r="Q3297" s="3"/>
    </row>
    <row r="3298" spans="17:17">
      <c r="Q3298" s="3"/>
    </row>
    <row r="3299" spans="17:17">
      <c r="Q3299" s="3"/>
    </row>
    <row r="3300" spans="17:17">
      <c r="Q3300" s="3"/>
    </row>
    <row r="3301" spans="17:17">
      <c r="Q3301" s="3"/>
    </row>
    <row r="3302" spans="17:17">
      <c r="Q3302" s="3"/>
    </row>
    <row r="3303" spans="17:17">
      <c r="Q3303" s="3"/>
    </row>
    <row r="3304" spans="17:17">
      <c r="Q3304" s="3"/>
    </row>
    <row r="3305" spans="17:17">
      <c r="Q3305" s="3"/>
    </row>
    <row r="3306" spans="17:17">
      <c r="Q3306" s="3"/>
    </row>
    <row r="3307" spans="17:17">
      <c r="Q3307" s="3"/>
    </row>
    <row r="3308" spans="17:17">
      <c r="Q3308" s="3"/>
    </row>
    <row r="3309" spans="17:17">
      <c r="Q3309" s="3"/>
    </row>
    <row r="3310" spans="17:17">
      <c r="Q3310" s="3"/>
    </row>
    <row r="3311" spans="17:17">
      <c r="Q3311" s="3"/>
    </row>
    <row r="3312" spans="17:17">
      <c r="Q3312" s="3"/>
    </row>
    <row r="3313" spans="17:17">
      <c r="Q3313" s="3"/>
    </row>
    <row r="3314" spans="17:17">
      <c r="Q3314" s="3"/>
    </row>
    <row r="3315" spans="17:17">
      <c r="Q3315" s="3"/>
    </row>
    <row r="3316" spans="17:17">
      <c r="Q3316" s="3"/>
    </row>
    <row r="3317" spans="17:17">
      <c r="Q3317" s="3"/>
    </row>
    <row r="3318" spans="17:17">
      <c r="Q3318" s="3"/>
    </row>
    <row r="3319" spans="17:17">
      <c r="Q3319" s="3"/>
    </row>
    <row r="3320" spans="17:17">
      <c r="Q3320" s="3"/>
    </row>
    <row r="3321" spans="17:17">
      <c r="Q3321" s="3"/>
    </row>
    <row r="3322" spans="17:17">
      <c r="Q3322" s="3"/>
    </row>
    <row r="3323" spans="17:17">
      <c r="Q3323" s="3"/>
    </row>
    <row r="3324" spans="17:17">
      <c r="Q3324" s="3"/>
    </row>
    <row r="3325" spans="17:17">
      <c r="Q3325" s="3"/>
    </row>
    <row r="3326" spans="17:17">
      <c r="Q3326" s="3"/>
    </row>
    <row r="3327" spans="17:17">
      <c r="Q3327" s="3"/>
    </row>
    <row r="3328" spans="17:17">
      <c r="Q3328" s="3"/>
    </row>
    <row r="3329" spans="17:17">
      <c r="Q3329" s="3"/>
    </row>
    <row r="3330" spans="17:17">
      <c r="Q3330" s="3"/>
    </row>
    <row r="3331" spans="17:17">
      <c r="Q3331" s="3"/>
    </row>
    <row r="3332" spans="17:17">
      <c r="Q3332" s="3"/>
    </row>
    <row r="3333" spans="17:17">
      <c r="Q3333" s="3"/>
    </row>
    <row r="3334" spans="17:17">
      <c r="Q3334" s="3"/>
    </row>
    <row r="3335" spans="17:17">
      <c r="Q3335" s="3"/>
    </row>
    <row r="3336" spans="17:17">
      <c r="Q3336" s="3"/>
    </row>
    <row r="3337" spans="17:17">
      <c r="Q3337" s="3"/>
    </row>
    <row r="3338" spans="17:17">
      <c r="Q3338" s="3"/>
    </row>
    <row r="3339" spans="17:17">
      <c r="Q3339" s="3"/>
    </row>
    <row r="3340" spans="17:17">
      <c r="Q3340" s="3"/>
    </row>
    <row r="3341" spans="17:17">
      <c r="Q3341" s="3"/>
    </row>
    <row r="3342" spans="17:17">
      <c r="Q3342" s="3"/>
    </row>
    <row r="3343" spans="17:17">
      <c r="Q3343" s="3"/>
    </row>
    <row r="3344" spans="17:17">
      <c r="Q3344" s="3"/>
    </row>
    <row r="3345" spans="17:17">
      <c r="Q3345" s="3"/>
    </row>
    <row r="3346" spans="17:17">
      <c r="Q3346" s="3"/>
    </row>
    <row r="3347" spans="17:17">
      <c r="Q3347" s="3"/>
    </row>
    <row r="3348" spans="17:17">
      <c r="Q3348" s="3"/>
    </row>
    <row r="3349" spans="17:17">
      <c r="Q3349" s="3"/>
    </row>
    <row r="3350" spans="17:17">
      <c r="Q3350" s="3"/>
    </row>
    <row r="3351" spans="17:17">
      <c r="Q3351" s="3"/>
    </row>
    <row r="3352" spans="17:17">
      <c r="Q3352" s="3"/>
    </row>
    <row r="3353" spans="17:17">
      <c r="Q3353" s="3"/>
    </row>
    <row r="3354" spans="17:17">
      <c r="Q3354" s="3"/>
    </row>
    <row r="3355" spans="17:17">
      <c r="Q3355" s="3"/>
    </row>
    <row r="3356" spans="17:17">
      <c r="Q3356" s="3"/>
    </row>
    <row r="3357" spans="17:17">
      <c r="Q3357" s="3"/>
    </row>
    <row r="3358" spans="17:17">
      <c r="Q3358" s="3"/>
    </row>
    <row r="3359" spans="17:17">
      <c r="Q3359" s="3"/>
    </row>
    <row r="3360" spans="17:17">
      <c r="Q3360" s="3"/>
    </row>
    <row r="3361" spans="17:17">
      <c r="Q3361" s="3"/>
    </row>
    <row r="3362" spans="17:17">
      <c r="Q3362" s="3"/>
    </row>
    <row r="3363" spans="17:17">
      <c r="Q3363" s="3"/>
    </row>
    <row r="3364" spans="17:17">
      <c r="Q3364" s="3"/>
    </row>
    <row r="3365" spans="17:17">
      <c r="Q3365" s="3"/>
    </row>
    <row r="3366" spans="17:17">
      <c r="Q3366" s="3"/>
    </row>
    <row r="3367" spans="17:17">
      <c r="Q3367" s="3"/>
    </row>
    <row r="3368" spans="17:17">
      <c r="Q3368" s="3"/>
    </row>
    <row r="3369" spans="17:17">
      <c r="Q3369" s="3"/>
    </row>
    <row r="3370" spans="17:17">
      <c r="Q3370" s="3"/>
    </row>
    <row r="3371" spans="17:17">
      <c r="Q3371" s="3"/>
    </row>
    <row r="3372" spans="17:17">
      <c r="Q3372" s="3"/>
    </row>
    <row r="3373" spans="17:17">
      <c r="Q3373" s="3"/>
    </row>
    <row r="3374" spans="17:17">
      <c r="Q3374" s="3"/>
    </row>
    <row r="3375" spans="17:17">
      <c r="Q3375" s="3"/>
    </row>
    <row r="3376" spans="17:17">
      <c r="Q3376" s="3"/>
    </row>
    <row r="3377" spans="17:17">
      <c r="Q3377" s="3"/>
    </row>
    <row r="3378" spans="17:17">
      <c r="Q3378" s="3"/>
    </row>
    <row r="3379" spans="17:17">
      <c r="Q3379" s="3"/>
    </row>
    <row r="3380" spans="17:17">
      <c r="Q3380" s="3"/>
    </row>
    <row r="3381" spans="17:17">
      <c r="Q3381" s="3"/>
    </row>
    <row r="3382" spans="17:17">
      <c r="Q3382" s="3"/>
    </row>
    <row r="3383" spans="17:17">
      <c r="Q3383" s="3"/>
    </row>
    <row r="3384" spans="17:17">
      <c r="Q3384" s="3"/>
    </row>
    <row r="3385" spans="17:17">
      <c r="Q3385" s="3"/>
    </row>
    <row r="3386" spans="17:17">
      <c r="Q3386" s="3"/>
    </row>
    <row r="3387" spans="17:17">
      <c r="Q3387" s="3"/>
    </row>
    <row r="3388" spans="17:17">
      <c r="Q3388" s="3"/>
    </row>
    <row r="3389" spans="17:17">
      <c r="Q3389" s="3"/>
    </row>
    <row r="3390" spans="17:17">
      <c r="Q3390" s="3"/>
    </row>
    <row r="3391" spans="17:17">
      <c r="Q3391" s="3"/>
    </row>
    <row r="3392" spans="17:17">
      <c r="Q3392" s="3"/>
    </row>
    <row r="3393" spans="17:17">
      <c r="Q3393" s="3"/>
    </row>
    <row r="3394" spans="17:17">
      <c r="Q3394" s="3"/>
    </row>
    <row r="3395" spans="17:17">
      <c r="Q3395" s="3"/>
    </row>
    <row r="3396" spans="17:17">
      <c r="Q3396" s="3"/>
    </row>
    <row r="3397" spans="17:17">
      <c r="Q3397" s="3"/>
    </row>
    <row r="3398" spans="17:17">
      <c r="Q3398" s="3"/>
    </row>
    <row r="3399" spans="17:17">
      <c r="Q3399" s="3"/>
    </row>
    <row r="3400" spans="17:17">
      <c r="Q3400" s="3"/>
    </row>
    <row r="3401" spans="17:17">
      <c r="Q3401" s="3"/>
    </row>
    <row r="3402" spans="17:17">
      <c r="Q3402" s="3"/>
    </row>
    <row r="3403" spans="17:17">
      <c r="Q3403" s="3"/>
    </row>
    <row r="3404" spans="17:17">
      <c r="Q3404" s="3"/>
    </row>
    <row r="3405" spans="17:17">
      <c r="Q3405" s="3"/>
    </row>
    <row r="3406" spans="17:17">
      <c r="Q3406" s="3"/>
    </row>
    <row r="3407" spans="17:17">
      <c r="Q3407" s="3"/>
    </row>
    <row r="3408" spans="17:17">
      <c r="Q3408" s="3"/>
    </row>
    <row r="3409" spans="17:17">
      <c r="Q3409" s="3"/>
    </row>
    <row r="3410" spans="17:17">
      <c r="Q3410" s="3"/>
    </row>
    <row r="3411" spans="17:17">
      <c r="Q3411" s="3"/>
    </row>
    <row r="3412" spans="17:17">
      <c r="Q3412" s="3"/>
    </row>
    <row r="3413" spans="17:17">
      <c r="Q3413" s="3"/>
    </row>
    <row r="3414" spans="17:17">
      <c r="Q3414" s="3"/>
    </row>
    <row r="3415" spans="17:17">
      <c r="Q3415" s="3"/>
    </row>
    <row r="3416" spans="17:17">
      <c r="Q3416" s="3"/>
    </row>
    <row r="3417" spans="17:17">
      <c r="Q3417" s="3"/>
    </row>
    <row r="3418" spans="17:17">
      <c r="Q3418" s="3"/>
    </row>
    <row r="3419" spans="17:17">
      <c r="Q3419" s="3"/>
    </row>
    <row r="3420" spans="17:17">
      <c r="Q3420" s="3"/>
    </row>
    <row r="3421" spans="17:17">
      <c r="Q3421" s="3"/>
    </row>
    <row r="3422" spans="17:17">
      <c r="Q3422" s="3"/>
    </row>
    <row r="3423" spans="17:17">
      <c r="Q3423" s="3"/>
    </row>
    <row r="3424" spans="17:17">
      <c r="Q3424" s="3"/>
    </row>
    <row r="3425" spans="17:17">
      <c r="Q3425" s="3"/>
    </row>
    <row r="3426" spans="17:17">
      <c r="Q3426" s="3"/>
    </row>
    <row r="3427" spans="17:17">
      <c r="Q3427" s="3"/>
    </row>
    <row r="3428" spans="17:17">
      <c r="Q3428" s="3"/>
    </row>
    <row r="3429" spans="17:17">
      <c r="Q3429" s="3"/>
    </row>
    <row r="3430" spans="17:17">
      <c r="Q3430" s="3"/>
    </row>
    <row r="3431" spans="17:17">
      <c r="Q3431" s="3"/>
    </row>
    <row r="3432" spans="17:17">
      <c r="Q3432" s="3"/>
    </row>
    <row r="3433" spans="17:17">
      <c r="Q3433" s="3"/>
    </row>
    <row r="3434" spans="17:17">
      <c r="Q3434" s="3"/>
    </row>
    <row r="3435" spans="17:17">
      <c r="Q3435" s="3"/>
    </row>
    <row r="3436" spans="17:17">
      <c r="Q3436" s="3"/>
    </row>
    <row r="3437" spans="17:17">
      <c r="Q3437" s="3"/>
    </row>
    <row r="3438" spans="17:17">
      <c r="Q3438" s="3"/>
    </row>
    <row r="3439" spans="17:17">
      <c r="Q3439" s="3"/>
    </row>
    <row r="3440" spans="17:17">
      <c r="Q3440" s="3"/>
    </row>
    <row r="3441" spans="17:17">
      <c r="Q3441" s="3"/>
    </row>
    <row r="3442" spans="17:17">
      <c r="Q3442" s="3"/>
    </row>
    <row r="3443" spans="17:17">
      <c r="Q3443" s="3"/>
    </row>
    <row r="3444" spans="17:17">
      <c r="Q3444" s="3"/>
    </row>
    <row r="3445" spans="17:17">
      <c r="Q3445" s="3"/>
    </row>
    <row r="3446" spans="17:17">
      <c r="Q3446" s="3"/>
    </row>
    <row r="3447" spans="17:17">
      <c r="Q3447" s="3"/>
    </row>
    <row r="3448" spans="17:17">
      <c r="Q3448" s="3"/>
    </row>
    <row r="3449" spans="17:17">
      <c r="Q3449" s="3"/>
    </row>
    <row r="3450" spans="17:17">
      <c r="Q3450" s="3"/>
    </row>
    <row r="3451" spans="17:17">
      <c r="Q3451" s="3"/>
    </row>
    <row r="3452" spans="17:17">
      <c r="Q3452" s="3"/>
    </row>
    <row r="3453" spans="17:17">
      <c r="Q3453" s="3"/>
    </row>
    <row r="3454" spans="17:17">
      <c r="Q3454" s="3"/>
    </row>
    <row r="3455" spans="17:17">
      <c r="Q3455" s="3"/>
    </row>
    <row r="3456" spans="17:17">
      <c r="Q3456" s="3"/>
    </row>
    <row r="3457" spans="17:17">
      <c r="Q3457" s="3"/>
    </row>
    <row r="3458" spans="17:17">
      <c r="Q3458" s="3"/>
    </row>
    <row r="3459" spans="17:17">
      <c r="Q3459" s="3"/>
    </row>
    <row r="3460" spans="17:17">
      <c r="Q3460" s="3"/>
    </row>
    <row r="3461" spans="17:17">
      <c r="Q3461" s="3"/>
    </row>
    <row r="3462" spans="17:17">
      <c r="Q3462" s="3"/>
    </row>
    <row r="3463" spans="17:17">
      <c r="Q3463" s="3"/>
    </row>
    <row r="3464" spans="17:17">
      <c r="Q3464" s="3"/>
    </row>
    <row r="3465" spans="17:17">
      <c r="Q3465" s="3"/>
    </row>
    <row r="3466" spans="17:17">
      <c r="Q3466" s="3"/>
    </row>
    <row r="3467" spans="17:17">
      <c r="Q3467" s="3"/>
    </row>
    <row r="3468" spans="17:17">
      <c r="Q3468" s="3"/>
    </row>
    <row r="3469" spans="17:17">
      <c r="Q3469" s="3"/>
    </row>
    <row r="3470" spans="17:17">
      <c r="Q3470" s="3"/>
    </row>
    <row r="3471" spans="17:17">
      <c r="Q3471" s="3"/>
    </row>
    <row r="3472" spans="17:17">
      <c r="Q3472" s="3"/>
    </row>
    <row r="3473" spans="17:17">
      <c r="Q3473" s="3"/>
    </row>
    <row r="3474" spans="17:17">
      <c r="Q3474" s="3"/>
    </row>
    <row r="3475" spans="17:17">
      <c r="Q3475" s="3"/>
    </row>
    <row r="3476" spans="17:17">
      <c r="Q3476" s="3"/>
    </row>
    <row r="3477" spans="17:17">
      <c r="Q3477" s="3"/>
    </row>
    <row r="3478" spans="17:17">
      <c r="Q3478" s="3"/>
    </row>
    <row r="3479" spans="17:17">
      <c r="Q3479" s="3"/>
    </row>
    <row r="3480" spans="17:17">
      <c r="Q3480" s="3"/>
    </row>
    <row r="3481" spans="17:17">
      <c r="Q3481" s="3"/>
    </row>
    <row r="3482" spans="17:17">
      <c r="Q3482" s="3"/>
    </row>
    <row r="3483" spans="17:17">
      <c r="Q3483" s="3"/>
    </row>
    <row r="3484" spans="17:17">
      <c r="Q3484" s="3"/>
    </row>
    <row r="3485" spans="17:17">
      <c r="Q3485" s="3"/>
    </row>
    <row r="3486" spans="17:17">
      <c r="Q3486" s="3"/>
    </row>
    <row r="3487" spans="17:17">
      <c r="Q3487" s="3"/>
    </row>
    <row r="3488" spans="17:17">
      <c r="Q3488" s="3"/>
    </row>
    <row r="3489" spans="17:17">
      <c r="Q3489" s="3"/>
    </row>
    <row r="3490" spans="17:17">
      <c r="Q3490" s="3"/>
    </row>
    <row r="3491" spans="17:17">
      <c r="Q3491" s="3"/>
    </row>
    <row r="3492" spans="17:17">
      <c r="Q3492" s="3"/>
    </row>
    <row r="3493" spans="17:17">
      <c r="Q3493" s="3"/>
    </row>
    <row r="3494" spans="17:17">
      <c r="Q3494" s="3"/>
    </row>
    <row r="3495" spans="17:17">
      <c r="Q3495" s="3"/>
    </row>
    <row r="3496" spans="17:17">
      <c r="Q3496" s="3"/>
    </row>
    <row r="3497" spans="17:17">
      <c r="Q3497" s="3"/>
    </row>
    <row r="3498" spans="17:17">
      <c r="Q3498" s="3"/>
    </row>
    <row r="3499" spans="17:17">
      <c r="Q3499" s="3"/>
    </row>
    <row r="3500" spans="17:17">
      <c r="Q3500" s="3"/>
    </row>
    <row r="3501" spans="17:17">
      <c r="Q3501" s="3"/>
    </row>
    <row r="3502" spans="17:17">
      <c r="Q3502" s="3"/>
    </row>
    <row r="3503" spans="17:17">
      <c r="Q3503" s="3"/>
    </row>
    <row r="3504" spans="17:17">
      <c r="Q3504" s="3"/>
    </row>
    <row r="3505" spans="17:17">
      <c r="Q3505" s="3"/>
    </row>
    <row r="3506" spans="17:17">
      <c r="Q3506" s="3"/>
    </row>
    <row r="3507" spans="17:17">
      <c r="Q3507" s="3"/>
    </row>
    <row r="3508" spans="17:17">
      <c r="Q3508" s="3"/>
    </row>
    <row r="3509" spans="17:17">
      <c r="Q3509" s="3"/>
    </row>
    <row r="3510" spans="17:17">
      <c r="Q3510" s="3"/>
    </row>
    <row r="3511" spans="17:17">
      <c r="Q3511" s="3"/>
    </row>
    <row r="3512" spans="17:17">
      <c r="Q3512" s="3"/>
    </row>
    <row r="3513" spans="17:17">
      <c r="Q3513" s="3"/>
    </row>
    <row r="3514" spans="17:17">
      <c r="Q3514" s="3"/>
    </row>
    <row r="3515" spans="17:17">
      <c r="Q3515" s="3"/>
    </row>
    <row r="3516" spans="17:17">
      <c r="Q3516" s="3"/>
    </row>
    <row r="3517" spans="17:17">
      <c r="Q3517" s="3"/>
    </row>
    <row r="3518" spans="17:17">
      <c r="Q3518" s="3"/>
    </row>
    <row r="3519" spans="17:17">
      <c r="Q3519" s="3"/>
    </row>
    <row r="3520" spans="17:17">
      <c r="Q3520" s="3"/>
    </row>
    <row r="3521" spans="17:17">
      <c r="Q3521" s="3"/>
    </row>
    <row r="3522" spans="17:17">
      <c r="Q3522" s="3"/>
    </row>
    <row r="3523" spans="17:17">
      <c r="Q3523" s="3"/>
    </row>
    <row r="3524" spans="17:17">
      <c r="Q3524" s="3"/>
    </row>
    <row r="3525" spans="17:17">
      <c r="Q3525" s="3"/>
    </row>
    <row r="3526" spans="17:17">
      <c r="Q3526" s="3"/>
    </row>
    <row r="3527" spans="17:17">
      <c r="Q3527" s="3"/>
    </row>
    <row r="3528" spans="17:17">
      <c r="Q3528" s="3"/>
    </row>
    <row r="3529" spans="17:17">
      <c r="Q3529" s="3"/>
    </row>
    <row r="3530" spans="17:17">
      <c r="Q3530" s="3"/>
    </row>
    <row r="3531" spans="17:17">
      <c r="Q3531" s="3"/>
    </row>
    <row r="3532" spans="17:17">
      <c r="Q3532" s="3"/>
    </row>
    <row r="3533" spans="17:17">
      <c r="Q3533" s="3"/>
    </row>
    <row r="3534" spans="17:17">
      <c r="Q3534" s="3"/>
    </row>
    <row r="3535" spans="17:17">
      <c r="Q3535" s="3"/>
    </row>
    <row r="3536" spans="17:17">
      <c r="Q3536" s="3"/>
    </row>
    <row r="3537" spans="17:17">
      <c r="Q3537" s="3"/>
    </row>
    <row r="3538" spans="17:17">
      <c r="Q3538" s="3"/>
    </row>
    <row r="3539" spans="17:17">
      <c r="Q3539" s="3"/>
    </row>
    <row r="3540" spans="17:17">
      <c r="Q3540" s="3"/>
    </row>
    <row r="3541" spans="17:17">
      <c r="Q3541" s="3"/>
    </row>
    <row r="3542" spans="17:17">
      <c r="Q3542" s="3"/>
    </row>
    <row r="3543" spans="17:17">
      <c r="Q3543" s="3"/>
    </row>
    <row r="3544" spans="17:17">
      <c r="Q3544" s="3"/>
    </row>
    <row r="3545" spans="17:17">
      <c r="Q3545" s="3"/>
    </row>
    <row r="3546" spans="17:17">
      <c r="Q3546" s="3"/>
    </row>
    <row r="3547" spans="17:17">
      <c r="Q3547" s="3"/>
    </row>
    <row r="3548" spans="17:17">
      <c r="Q3548" s="3"/>
    </row>
    <row r="3549" spans="17:17">
      <c r="Q3549" s="3"/>
    </row>
    <row r="3550" spans="17:17">
      <c r="Q3550" s="3"/>
    </row>
    <row r="3551" spans="17:17">
      <c r="Q3551" s="3"/>
    </row>
    <row r="3552" spans="17:17">
      <c r="Q3552" s="3"/>
    </row>
    <row r="3553" spans="17:17">
      <c r="Q3553" s="3"/>
    </row>
    <row r="3554" spans="17:17">
      <c r="Q3554" s="3"/>
    </row>
    <row r="3555" spans="17:17">
      <c r="Q3555" s="3"/>
    </row>
    <row r="3556" spans="17:17">
      <c r="Q3556" s="3"/>
    </row>
    <row r="3557" spans="17:17">
      <c r="Q3557" s="3"/>
    </row>
    <row r="3558" spans="17:17">
      <c r="Q3558" s="3"/>
    </row>
    <row r="3559" spans="17:17">
      <c r="Q3559" s="3"/>
    </row>
    <row r="3560" spans="17:17">
      <c r="Q3560" s="3"/>
    </row>
    <row r="3561" spans="17:17">
      <c r="Q3561" s="3"/>
    </row>
    <row r="3562" spans="17:17">
      <c r="Q3562" s="3"/>
    </row>
    <row r="3563" spans="17:17">
      <c r="Q3563" s="3"/>
    </row>
    <row r="3564" spans="17:17">
      <c r="Q3564" s="3"/>
    </row>
    <row r="3565" spans="17:17">
      <c r="Q3565" s="3"/>
    </row>
    <row r="3566" spans="17:17">
      <c r="Q3566" s="3"/>
    </row>
    <row r="3567" spans="17:17">
      <c r="Q3567" s="3"/>
    </row>
    <row r="3568" spans="17:17">
      <c r="Q3568" s="3"/>
    </row>
    <row r="3569" spans="17:17">
      <c r="Q3569" s="3"/>
    </row>
    <row r="3570" spans="17:17">
      <c r="Q3570" s="3"/>
    </row>
    <row r="3571" spans="17:17">
      <c r="Q3571" s="3"/>
    </row>
    <row r="3572" spans="17:17">
      <c r="Q3572" s="3"/>
    </row>
    <row r="3573" spans="17:17">
      <c r="Q3573" s="3"/>
    </row>
    <row r="3574" spans="17:17">
      <c r="Q3574" s="3"/>
    </row>
    <row r="3575" spans="17:17">
      <c r="Q3575" s="3"/>
    </row>
    <row r="3576" spans="17:17">
      <c r="Q3576" s="3"/>
    </row>
    <row r="3577" spans="17:17">
      <c r="Q3577" s="3"/>
    </row>
    <row r="3578" spans="17:17">
      <c r="Q3578" s="3"/>
    </row>
    <row r="3579" spans="17:17">
      <c r="Q3579" s="3"/>
    </row>
    <row r="3580" spans="17:17">
      <c r="Q3580" s="3"/>
    </row>
    <row r="3581" spans="17:17">
      <c r="Q3581" s="3"/>
    </row>
    <row r="3582" spans="17:17">
      <c r="Q3582" s="3"/>
    </row>
    <row r="3583" spans="17:17">
      <c r="Q3583" s="3"/>
    </row>
    <row r="3584" spans="17:17">
      <c r="Q3584" s="3"/>
    </row>
    <row r="3585" spans="17:17">
      <c r="Q3585" s="3"/>
    </row>
    <row r="3586" spans="17:17">
      <c r="Q3586" s="3"/>
    </row>
    <row r="3587" spans="17:17">
      <c r="Q3587" s="3"/>
    </row>
    <row r="3588" spans="17:17">
      <c r="Q3588" s="3"/>
    </row>
    <row r="3589" spans="17:17">
      <c r="Q3589" s="3"/>
    </row>
    <row r="3590" spans="17:17">
      <c r="Q3590" s="3"/>
    </row>
    <row r="3591" spans="17:17">
      <c r="Q3591" s="3"/>
    </row>
    <row r="3592" spans="17:17">
      <c r="Q3592" s="3"/>
    </row>
    <row r="3593" spans="17:17">
      <c r="Q3593" s="3"/>
    </row>
    <row r="3594" spans="17:17">
      <c r="Q3594" s="3"/>
    </row>
    <row r="3595" spans="17:17">
      <c r="Q3595" s="3"/>
    </row>
    <row r="3596" spans="17:17">
      <c r="Q3596" s="3"/>
    </row>
    <row r="3597" spans="17:17">
      <c r="Q3597" s="3"/>
    </row>
    <row r="3598" spans="17:17">
      <c r="Q3598" s="3"/>
    </row>
    <row r="3599" spans="17:17">
      <c r="Q3599" s="3"/>
    </row>
    <row r="3600" spans="17:17">
      <c r="Q3600" s="3"/>
    </row>
    <row r="3601" spans="17:17">
      <c r="Q3601" s="3"/>
    </row>
    <row r="3602" spans="17:17">
      <c r="Q3602" s="3"/>
    </row>
    <row r="3603" spans="17:17">
      <c r="Q3603" s="3"/>
    </row>
    <row r="3604" spans="17:17">
      <c r="Q3604" s="3"/>
    </row>
    <row r="3605" spans="17:17">
      <c r="Q3605" s="3"/>
    </row>
    <row r="3606" spans="17:17">
      <c r="Q3606" s="3"/>
    </row>
    <row r="3607" spans="17:17">
      <c r="Q3607" s="3"/>
    </row>
    <row r="3608" spans="17:17">
      <c r="Q3608" s="3"/>
    </row>
    <row r="3609" spans="17:17">
      <c r="Q3609" s="3"/>
    </row>
    <row r="3610" spans="17:17">
      <c r="Q3610" s="3"/>
    </row>
    <row r="3611" spans="17:17">
      <c r="Q3611" s="3"/>
    </row>
    <row r="3612" spans="17:17">
      <c r="Q3612" s="3"/>
    </row>
    <row r="3613" spans="17:17">
      <c r="Q3613" s="3"/>
    </row>
    <row r="3614" spans="17:17">
      <c r="Q3614" s="3"/>
    </row>
    <row r="3615" spans="17:17">
      <c r="Q3615" s="3"/>
    </row>
    <row r="3616" spans="17:17">
      <c r="Q3616" s="3"/>
    </row>
    <row r="3617" spans="17:17">
      <c r="Q3617" s="3"/>
    </row>
    <row r="3618" spans="17:17">
      <c r="Q3618" s="3"/>
    </row>
    <row r="3619" spans="17:17">
      <c r="Q3619" s="3"/>
    </row>
    <row r="3620" spans="17:17">
      <c r="Q3620" s="3"/>
    </row>
    <row r="3621" spans="17:17">
      <c r="Q3621" s="3"/>
    </row>
    <row r="3622" spans="17:17">
      <c r="Q3622" s="3"/>
    </row>
    <row r="3623" spans="17:17">
      <c r="Q3623" s="3"/>
    </row>
    <row r="3624" spans="17:17">
      <c r="Q3624" s="3"/>
    </row>
    <row r="3625" spans="17:17">
      <c r="Q3625" s="3"/>
    </row>
    <row r="3626" spans="17:17">
      <c r="Q3626" s="3"/>
    </row>
    <row r="3627" spans="17:17">
      <c r="Q3627" s="3"/>
    </row>
    <row r="3628" spans="17:17">
      <c r="Q3628" s="3"/>
    </row>
    <row r="3629" spans="17:17">
      <c r="Q3629" s="3"/>
    </row>
    <row r="3630" spans="17:17">
      <c r="Q3630" s="3"/>
    </row>
    <row r="3631" spans="17:17">
      <c r="Q3631" s="3"/>
    </row>
    <row r="3632" spans="17:17">
      <c r="Q3632" s="3"/>
    </row>
    <row r="3633" spans="17:17">
      <c r="Q3633" s="3"/>
    </row>
    <row r="3634" spans="17:17">
      <c r="Q3634" s="3"/>
    </row>
    <row r="3635" spans="17:17">
      <c r="Q3635" s="3"/>
    </row>
    <row r="3636" spans="17:17">
      <c r="Q3636" s="3"/>
    </row>
    <row r="3637" spans="17:17">
      <c r="Q3637" s="3"/>
    </row>
    <row r="3638" spans="17:17">
      <c r="Q3638" s="3"/>
    </row>
    <row r="3639" spans="17:17">
      <c r="Q3639" s="3"/>
    </row>
    <row r="3640" spans="17:17">
      <c r="Q3640" s="3"/>
    </row>
    <row r="3641" spans="17:17">
      <c r="Q3641" s="3"/>
    </row>
    <row r="3642" spans="17:17">
      <c r="Q3642" s="3"/>
    </row>
    <row r="3643" spans="17:17">
      <c r="Q3643" s="3"/>
    </row>
    <row r="3644" spans="17:17">
      <c r="Q3644" s="3"/>
    </row>
    <row r="3645" spans="17:17">
      <c r="Q3645" s="3"/>
    </row>
    <row r="3646" spans="17:17">
      <c r="Q3646" s="3"/>
    </row>
    <row r="3647" spans="17:17">
      <c r="Q3647" s="3"/>
    </row>
    <row r="3648" spans="17:17">
      <c r="Q3648" s="3"/>
    </row>
    <row r="3649" spans="17:17">
      <c r="Q3649" s="3"/>
    </row>
    <row r="3650" spans="17:17">
      <c r="Q3650" s="3"/>
    </row>
    <row r="3651" spans="17:17">
      <c r="Q3651" s="3"/>
    </row>
    <row r="3652" spans="17:17">
      <c r="Q3652" s="3"/>
    </row>
    <row r="3653" spans="17:17">
      <c r="Q3653" s="3"/>
    </row>
    <row r="3654" spans="17:17">
      <c r="Q3654" s="3"/>
    </row>
    <row r="3655" spans="17:17">
      <c r="Q3655" s="3"/>
    </row>
    <row r="3656" spans="17:17">
      <c r="Q3656" s="3"/>
    </row>
    <row r="3657" spans="17:17">
      <c r="Q3657" s="3"/>
    </row>
    <row r="3658" spans="17:17">
      <c r="Q3658" s="3"/>
    </row>
    <row r="3659" spans="17:17">
      <c r="Q3659" s="3"/>
    </row>
    <row r="3660" spans="17:17">
      <c r="Q3660" s="3"/>
    </row>
    <row r="3661" spans="17:17">
      <c r="Q3661" s="3"/>
    </row>
    <row r="3662" spans="17:17">
      <c r="Q3662" s="3"/>
    </row>
    <row r="3663" spans="17:17">
      <c r="Q3663" s="3"/>
    </row>
    <row r="3664" spans="17:17">
      <c r="Q3664" s="3"/>
    </row>
    <row r="3665" spans="17:17">
      <c r="Q3665" s="3"/>
    </row>
    <row r="3666" spans="17:17">
      <c r="Q3666" s="3"/>
    </row>
    <row r="3667" spans="17:17">
      <c r="Q3667" s="3"/>
    </row>
    <row r="3668" spans="17:17">
      <c r="Q3668" s="3"/>
    </row>
    <row r="3669" spans="17:17">
      <c r="Q3669" s="3"/>
    </row>
    <row r="3670" spans="17:17">
      <c r="Q3670" s="3"/>
    </row>
    <row r="3671" spans="17:17">
      <c r="Q3671" s="3"/>
    </row>
    <row r="3672" spans="17:17">
      <c r="Q3672" s="3"/>
    </row>
    <row r="3673" spans="17:17">
      <c r="Q3673" s="3"/>
    </row>
    <row r="3674" spans="17:17">
      <c r="Q3674" s="3"/>
    </row>
    <row r="3675" spans="17:17">
      <c r="Q3675" s="3"/>
    </row>
    <row r="3676" spans="17:17">
      <c r="Q3676" s="3"/>
    </row>
    <row r="3677" spans="17:17">
      <c r="Q3677" s="3"/>
    </row>
    <row r="3678" spans="17:17">
      <c r="Q3678" s="3"/>
    </row>
    <row r="3679" spans="17:17">
      <c r="Q3679" s="3"/>
    </row>
    <row r="3680" spans="17:17">
      <c r="Q3680" s="3"/>
    </row>
    <row r="3681" spans="17:17">
      <c r="Q3681" s="3"/>
    </row>
    <row r="3682" spans="17:17">
      <c r="Q3682" s="3"/>
    </row>
    <row r="3683" spans="17:17">
      <c r="Q3683" s="3"/>
    </row>
    <row r="3684" spans="17:17">
      <c r="Q3684" s="3"/>
    </row>
    <row r="3685" spans="17:17">
      <c r="Q3685" s="3"/>
    </row>
    <row r="3686" spans="17:17">
      <c r="Q3686" s="3"/>
    </row>
    <row r="3687" spans="17:17">
      <c r="Q3687" s="3"/>
    </row>
    <row r="3688" spans="17:17">
      <c r="Q3688" s="3"/>
    </row>
    <row r="3689" spans="17:17">
      <c r="Q3689" s="3"/>
    </row>
    <row r="3690" spans="17:17">
      <c r="Q3690" s="3"/>
    </row>
    <row r="3691" spans="17:17">
      <c r="Q3691" s="3"/>
    </row>
    <row r="3692" spans="17:17">
      <c r="Q3692" s="3"/>
    </row>
    <row r="3693" spans="17:17">
      <c r="Q3693" s="3"/>
    </row>
    <row r="3694" spans="17:17">
      <c r="Q3694" s="3"/>
    </row>
    <row r="3695" spans="17:17">
      <c r="Q3695" s="3"/>
    </row>
    <row r="3696" spans="17:17">
      <c r="Q3696" s="3"/>
    </row>
    <row r="3697" spans="17:17">
      <c r="Q3697" s="3"/>
    </row>
    <row r="3698" spans="17:17">
      <c r="Q3698" s="3"/>
    </row>
    <row r="3699" spans="17:17">
      <c r="Q3699" s="3"/>
    </row>
    <row r="3700" spans="17:17">
      <c r="Q3700" s="3"/>
    </row>
    <row r="3701" spans="17:17">
      <c r="Q3701" s="3"/>
    </row>
    <row r="3702" spans="17:17">
      <c r="Q3702" s="3"/>
    </row>
    <row r="3703" spans="17:17">
      <c r="Q3703" s="3"/>
    </row>
    <row r="3704" spans="17:17">
      <c r="Q3704" s="3"/>
    </row>
    <row r="3705" spans="17:17">
      <c r="Q3705" s="3"/>
    </row>
    <row r="3706" spans="17:17">
      <c r="Q3706" s="3"/>
    </row>
    <row r="3707" spans="17:17">
      <c r="Q3707" s="3"/>
    </row>
    <row r="3708" spans="17:17">
      <c r="Q3708" s="3"/>
    </row>
    <row r="3709" spans="17:17">
      <c r="Q3709" s="3"/>
    </row>
    <row r="3710" spans="17:17">
      <c r="Q3710" s="3"/>
    </row>
    <row r="3711" spans="17:17">
      <c r="Q3711" s="3"/>
    </row>
    <row r="3712" spans="17:17">
      <c r="Q3712" s="3"/>
    </row>
    <row r="3713" spans="17:17">
      <c r="Q3713" s="3"/>
    </row>
    <row r="3714" spans="17:17">
      <c r="Q3714" s="3"/>
    </row>
    <row r="3715" spans="17:17">
      <c r="Q3715" s="3"/>
    </row>
    <row r="3716" spans="17:17">
      <c r="Q3716" s="3"/>
    </row>
    <row r="3717" spans="17:17">
      <c r="Q3717" s="3"/>
    </row>
    <row r="3718" spans="17:17">
      <c r="Q3718" s="3"/>
    </row>
    <row r="3719" spans="17:17">
      <c r="Q3719" s="3"/>
    </row>
    <row r="3720" spans="17:17">
      <c r="Q3720" s="3"/>
    </row>
    <row r="3721" spans="17:17">
      <c r="Q3721" s="3"/>
    </row>
    <row r="3722" spans="17:17">
      <c r="Q3722" s="3"/>
    </row>
    <row r="3723" spans="17:17">
      <c r="Q3723" s="3"/>
    </row>
    <row r="3724" spans="17:17">
      <c r="Q3724" s="3"/>
    </row>
    <row r="3725" spans="17:17">
      <c r="Q3725" s="3"/>
    </row>
    <row r="3726" spans="17:17">
      <c r="Q3726" s="3"/>
    </row>
    <row r="3727" spans="17:17">
      <c r="Q3727" s="3"/>
    </row>
    <row r="3728" spans="17:17">
      <c r="Q3728" s="3"/>
    </row>
    <row r="3729" spans="17:17">
      <c r="Q3729" s="3"/>
    </row>
    <row r="3730" spans="17:17">
      <c r="Q3730" s="3"/>
    </row>
    <row r="3731" spans="17:17">
      <c r="Q3731" s="3"/>
    </row>
    <row r="3732" spans="17:17">
      <c r="Q3732" s="3"/>
    </row>
    <row r="3733" spans="17:17">
      <c r="Q3733" s="3"/>
    </row>
    <row r="3734" spans="17:17">
      <c r="Q3734" s="3"/>
    </row>
    <row r="3735" spans="17:17">
      <c r="Q3735" s="3"/>
    </row>
    <row r="3736" spans="17:17">
      <c r="Q3736" s="3"/>
    </row>
    <row r="3737" spans="17:17">
      <c r="Q3737" s="3"/>
    </row>
    <row r="3738" spans="17:17">
      <c r="Q3738" s="3"/>
    </row>
    <row r="3739" spans="17:17">
      <c r="Q3739" s="3"/>
    </row>
    <row r="3740" spans="17:17">
      <c r="Q3740" s="3"/>
    </row>
    <row r="3741" spans="17:17">
      <c r="Q3741" s="3"/>
    </row>
    <row r="3742" spans="17:17">
      <c r="Q3742" s="3"/>
    </row>
    <row r="3743" spans="17:17">
      <c r="Q3743" s="3"/>
    </row>
    <row r="3744" spans="17:17">
      <c r="Q3744" s="3"/>
    </row>
    <row r="3745" spans="17:17">
      <c r="Q3745" s="3"/>
    </row>
    <row r="3746" spans="17:17">
      <c r="Q3746" s="3"/>
    </row>
    <row r="3747" spans="17:17">
      <c r="Q3747" s="3"/>
    </row>
    <row r="3748" spans="17:17">
      <c r="Q3748" s="3"/>
    </row>
    <row r="3749" spans="17:17">
      <c r="Q3749" s="3"/>
    </row>
    <row r="3750" spans="17:17">
      <c r="Q3750" s="3"/>
    </row>
    <row r="3751" spans="17:17">
      <c r="Q3751" s="3"/>
    </row>
    <row r="3752" spans="17:17">
      <c r="Q3752" s="3"/>
    </row>
    <row r="3753" spans="17:17">
      <c r="Q3753" s="3"/>
    </row>
    <row r="3754" spans="17:17">
      <c r="Q3754" s="3"/>
    </row>
    <row r="3755" spans="17:17">
      <c r="Q3755" s="3"/>
    </row>
    <row r="3756" spans="17:17">
      <c r="Q3756" s="3"/>
    </row>
    <row r="3757" spans="17:17">
      <c r="Q3757" s="3"/>
    </row>
    <row r="3758" spans="17:17">
      <c r="Q3758" s="3"/>
    </row>
    <row r="3759" spans="17:17">
      <c r="Q3759" s="3"/>
    </row>
    <row r="3760" spans="17:17">
      <c r="Q3760" s="3"/>
    </row>
    <row r="3761" spans="17:17">
      <c r="Q3761" s="3"/>
    </row>
    <row r="3762" spans="17:17">
      <c r="Q3762" s="3"/>
    </row>
    <row r="3763" spans="17:17">
      <c r="Q3763" s="3"/>
    </row>
    <row r="3764" spans="17:17">
      <c r="Q3764" s="3"/>
    </row>
    <row r="3765" spans="17:17">
      <c r="Q3765" s="3"/>
    </row>
    <row r="3766" spans="17:17">
      <c r="Q3766" s="3"/>
    </row>
    <row r="3767" spans="17:17">
      <c r="Q3767" s="3"/>
    </row>
    <row r="3768" spans="17:17">
      <c r="Q3768" s="3"/>
    </row>
    <row r="3769" spans="17:17">
      <c r="Q3769" s="3"/>
    </row>
    <row r="3770" spans="17:17">
      <c r="Q3770" s="3"/>
    </row>
    <row r="3771" spans="17:17">
      <c r="Q3771" s="3"/>
    </row>
    <row r="3772" spans="17:17">
      <c r="Q3772" s="3"/>
    </row>
    <row r="3773" spans="17:17">
      <c r="Q3773" s="3"/>
    </row>
    <row r="3774" spans="17:17">
      <c r="Q3774" s="3"/>
    </row>
    <row r="3775" spans="17:17">
      <c r="Q3775" s="3"/>
    </row>
    <row r="3776" spans="17:17">
      <c r="Q3776" s="3"/>
    </row>
    <row r="3777" spans="17:17">
      <c r="Q3777" s="3"/>
    </row>
    <row r="3778" spans="17:17">
      <c r="Q3778" s="3"/>
    </row>
    <row r="3779" spans="17:17">
      <c r="Q3779" s="3"/>
    </row>
    <row r="3780" spans="17:17">
      <c r="Q3780" s="3"/>
    </row>
    <row r="3781" spans="17:17">
      <c r="Q3781" s="3"/>
    </row>
    <row r="3782" spans="17:17">
      <c r="Q3782" s="3"/>
    </row>
    <row r="3783" spans="17:17">
      <c r="Q3783" s="3"/>
    </row>
    <row r="3784" spans="17:17">
      <c r="Q3784" s="3"/>
    </row>
    <row r="3785" spans="17:17">
      <c r="Q3785" s="3"/>
    </row>
    <row r="3786" spans="17:17">
      <c r="Q3786" s="3"/>
    </row>
    <row r="3787" spans="17:17">
      <c r="Q3787" s="3"/>
    </row>
    <row r="3788" spans="17:17">
      <c r="Q3788" s="3"/>
    </row>
    <row r="3789" spans="17:17">
      <c r="Q3789" s="3"/>
    </row>
    <row r="3790" spans="17:17">
      <c r="Q3790" s="3"/>
    </row>
    <row r="3791" spans="17:17">
      <c r="Q3791" s="3"/>
    </row>
    <row r="3792" spans="17:17">
      <c r="Q3792" s="3"/>
    </row>
    <row r="3793" spans="17:17">
      <c r="Q3793" s="3"/>
    </row>
    <row r="3794" spans="17:17">
      <c r="Q3794" s="3"/>
    </row>
    <row r="3795" spans="17:17">
      <c r="Q3795" s="3"/>
    </row>
    <row r="3796" spans="17:17">
      <c r="Q3796" s="3"/>
    </row>
    <row r="3797" spans="17:17">
      <c r="Q3797" s="3"/>
    </row>
    <row r="3798" spans="17:17">
      <c r="Q3798" s="3"/>
    </row>
    <row r="3799" spans="17:17">
      <c r="Q3799" s="3"/>
    </row>
    <row r="3800" spans="17:17">
      <c r="Q3800" s="3"/>
    </row>
    <row r="3801" spans="17:17">
      <c r="Q3801" s="3"/>
    </row>
    <row r="3802" spans="17:17">
      <c r="Q3802" s="3"/>
    </row>
    <row r="3803" spans="17:17">
      <c r="Q3803" s="3"/>
    </row>
    <row r="3804" spans="17:17">
      <c r="Q3804" s="3"/>
    </row>
    <row r="3805" spans="17:17">
      <c r="Q3805" s="3"/>
    </row>
    <row r="3806" spans="17:17">
      <c r="Q3806" s="3"/>
    </row>
    <row r="3807" spans="17:17">
      <c r="Q3807" s="3"/>
    </row>
    <row r="3808" spans="17:17">
      <c r="Q3808" s="3"/>
    </row>
    <row r="3809" spans="17:17">
      <c r="Q3809" s="3"/>
    </row>
    <row r="3810" spans="17:17">
      <c r="Q3810" s="3"/>
    </row>
    <row r="3811" spans="17:17">
      <c r="Q3811" s="3"/>
    </row>
    <row r="3812" spans="17:17">
      <c r="Q3812" s="3"/>
    </row>
    <row r="3813" spans="17:17">
      <c r="Q3813" s="3"/>
    </row>
    <row r="3814" spans="17:17">
      <c r="Q3814" s="3"/>
    </row>
    <row r="3815" spans="17:17">
      <c r="Q3815" s="3"/>
    </row>
    <row r="3816" spans="17:17">
      <c r="Q3816" s="3"/>
    </row>
    <row r="3817" spans="17:17">
      <c r="Q3817" s="3"/>
    </row>
    <row r="3818" spans="17:17">
      <c r="Q3818" s="3"/>
    </row>
    <row r="3819" spans="17:17">
      <c r="Q3819" s="3"/>
    </row>
    <row r="3820" spans="17:17">
      <c r="Q3820" s="3"/>
    </row>
    <row r="3821" spans="17:17">
      <c r="Q3821" s="3"/>
    </row>
    <row r="3822" spans="17:17">
      <c r="Q3822" s="3"/>
    </row>
    <row r="3823" spans="17:17">
      <c r="Q3823" s="3"/>
    </row>
    <row r="3824" spans="17:17">
      <c r="Q3824" s="3"/>
    </row>
    <row r="3825" spans="17:17">
      <c r="Q3825" s="3"/>
    </row>
    <row r="3826" spans="17:17">
      <c r="Q3826" s="3"/>
    </row>
    <row r="3827" spans="17:17">
      <c r="Q3827" s="3"/>
    </row>
    <row r="3828" spans="17:17">
      <c r="Q3828" s="3"/>
    </row>
    <row r="3829" spans="17:17">
      <c r="Q3829" s="3"/>
    </row>
    <row r="3830" spans="17:17">
      <c r="Q3830" s="3"/>
    </row>
    <row r="3831" spans="17:17">
      <c r="Q3831" s="3"/>
    </row>
    <row r="3832" spans="17:17">
      <c r="Q3832" s="3"/>
    </row>
    <row r="3833" spans="17:17">
      <c r="Q3833" s="3"/>
    </row>
    <row r="3834" spans="17:17">
      <c r="Q3834" s="3"/>
    </row>
    <row r="3835" spans="17:17">
      <c r="Q3835" s="3"/>
    </row>
    <row r="3836" spans="17:17">
      <c r="Q3836" s="3"/>
    </row>
    <row r="3837" spans="17:17">
      <c r="Q3837" s="3"/>
    </row>
    <row r="3838" spans="17:17">
      <c r="Q3838" s="3"/>
    </row>
    <row r="3839" spans="17:17">
      <c r="Q3839" s="3"/>
    </row>
    <row r="3840" spans="17:17">
      <c r="Q3840" s="3"/>
    </row>
    <row r="3841" spans="17:17">
      <c r="Q3841" s="3"/>
    </row>
    <row r="3842" spans="17:17">
      <c r="Q3842" s="3"/>
    </row>
    <row r="3843" spans="17:17">
      <c r="Q3843" s="3"/>
    </row>
    <row r="3844" spans="17:17">
      <c r="Q3844" s="3"/>
    </row>
    <row r="3845" spans="17:17">
      <c r="Q3845" s="3"/>
    </row>
    <row r="3846" spans="17:17">
      <c r="Q3846" s="3"/>
    </row>
    <row r="3847" spans="17:17">
      <c r="Q3847" s="3"/>
    </row>
    <row r="3848" spans="17:17">
      <c r="Q3848" s="3"/>
    </row>
    <row r="3849" spans="17:17">
      <c r="Q3849" s="3"/>
    </row>
    <row r="3850" spans="17:17">
      <c r="Q3850" s="3"/>
    </row>
    <row r="3851" spans="17:17">
      <c r="Q3851" s="3"/>
    </row>
    <row r="3852" spans="17:17">
      <c r="Q3852" s="3"/>
    </row>
    <row r="3853" spans="17:17">
      <c r="Q3853" s="3"/>
    </row>
    <row r="3854" spans="17:17">
      <c r="Q3854" s="3"/>
    </row>
    <row r="3855" spans="17:17">
      <c r="Q3855" s="3"/>
    </row>
    <row r="3856" spans="17:17">
      <c r="Q3856" s="3"/>
    </row>
    <row r="3857" spans="17:17">
      <c r="Q3857" s="3"/>
    </row>
    <row r="3858" spans="17:17">
      <c r="Q3858" s="3"/>
    </row>
    <row r="3859" spans="17:17">
      <c r="Q3859" s="3"/>
    </row>
    <row r="3860" spans="17:17">
      <c r="Q3860" s="3"/>
    </row>
    <row r="3861" spans="17:17">
      <c r="Q3861" s="3"/>
    </row>
    <row r="3862" spans="17:17">
      <c r="Q3862" s="3"/>
    </row>
    <row r="3863" spans="17:17">
      <c r="Q3863" s="3"/>
    </row>
    <row r="3864" spans="17:17">
      <c r="Q3864" s="3"/>
    </row>
    <row r="3865" spans="17:17">
      <c r="Q3865" s="3"/>
    </row>
    <row r="3866" spans="17:17">
      <c r="Q3866" s="3"/>
    </row>
    <row r="3867" spans="17:17">
      <c r="Q3867" s="3"/>
    </row>
    <row r="3868" spans="17:17">
      <c r="Q3868" s="3"/>
    </row>
    <row r="3869" spans="17:17">
      <c r="Q3869" s="3"/>
    </row>
    <row r="3870" spans="17:17">
      <c r="Q3870" s="3"/>
    </row>
    <row r="3871" spans="17:17">
      <c r="Q3871" s="3"/>
    </row>
    <row r="3872" spans="17:17">
      <c r="Q3872" s="3"/>
    </row>
    <row r="3873" spans="17:17">
      <c r="Q3873" s="3"/>
    </row>
    <row r="3874" spans="17:17">
      <c r="Q3874" s="3"/>
    </row>
    <row r="3875" spans="17:17">
      <c r="Q3875" s="3"/>
    </row>
    <row r="3876" spans="17:17">
      <c r="Q3876" s="3"/>
    </row>
    <row r="3877" spans="17:17">
      <c r="Q3877" s="3"/>
    </row>
    <row r="3878" spans="17:17">
      <c r="Q3878" s="3"/>
    </row>
    <row r="3879" spans="17:17">
      <c r="Q3879" s="3"/>
    </row>
    <row r="3880" spans="17:17">
      <c r="Q3880" s="3"/>
    </row>
    <row r="3881" spans="17:17">
      <c r="Q3881" s="3"/>
    </row>
    <row r="3882" spans="17:17">
      <c r="Q3882" s="3"/>
    </row>
    <row r="3883" spans="17:17">
      <c r="Q3883" s="3"/>
    </row>
    <row r="3884" spans="17:17">
      <c r="Q3884" s="3"/>
    </row>
    <row r="3885" spans="17:17">
      <c r="Q3885" s="3"/>
    </row>
    <row r="3886" spans="17:17">
      <c r="Q3886" s="3"/>
    </row>
    <row r="3887" spans="17:17">
      <c r="Q3887" s="3"/>
    </row>
    <row r="3888" spans="17:17">
      <c r="Q3888" s="3"/>
    </row>
    <row r="3889" spans="17:17">
      <c r="Q3889" s="3"/>
    </row>
    <row r="3890" spans="17:17">
      <c r="Q3890" s="3"/>
    </row>
    <row r="3891" spans="17:17">
      <c r="Q3891" s="3"/>
    </row>
    <row r="3892" spans="17:17">
      <c r="Q3892" s="3"/>
    </row>
    <row r="3893" spans="17:17">
      <c r="Q3893" s="3"/>
    </row>
    <row r="3894" spans="17:17">
      <c r="Q3894" s="3"/>
    </row>
    <row r="3895" spans="17:17">
      <c r="Q3895" s="3"/>
    </row>
    <row r="3896" spans="17:17">
      <c r="Q3896" s="3"/>
    </row>
    <row r="3897" spans="17:17">
      <c r="Q3897" s="3"/>
    </row>
    <row r="3898" spans="17:17">
      <c r="Q3898" s="3"/>
    </row>
    <row r="3899" spans="17:17">
      <c r="Q3899" s="3"/>
    </row>
    <row r="3900" spans="17:17">
      <c r="Q3900" s="3"/>
    </row>
    <row r="3901" spans="17:17">
      <c r="Q3901" s="3"/>
    </row>
    <row r="3902" spans="17:17">
      <c r="Q3902" s="3"/>
    </row>
    <row r="3903" spans="17:17">
      <c r="Q3903" s="3"/>
    </row>
    <row r="3904" spans="17:17">
      <c r="Q3904" s="3"/>
    </row>
    <row r="3905" spans="17:17">
      <c r="Q3905" s="3"/>
    </row>
    <row r="3906" spans="17:17">
      <c r="Q3906" s="3"/>
    </row>
    <row r="3907" spans="17:17">
      <c r="Q3907" s="3"/>
    </row>
    <row r="3908" spans="17:17">
      <c r="Q3908" s="3"/>
    </row>
    <row r="3909" spans="17:17">
      <c r="Q3909" s="3"/>
    </row>
    <row r="3910" spans="17:17">
      <c r="Q3910" s="3"/>
    </row>
    <row r="3911" spans="17:17">
      <c r="Q3911" s="3"/>
    </row>
    <row r="3912" spans="17:17">
      <c r="Q3912" s="3"/>
    </row>
    <row r="3913" spans="17:17">
      <c r="Q3913" s="3"/>
    </row>
    <row r="3914" spans="17:17">
      <c r="Q3914" s="3"/>
    </row>
    <row r="3915" spans="17:17">
      <c r="Q3915" s="3"/>
    </row>
    <row r="3916" spans="17:17">
      <c r="Q3916" s="3"/>
    </row>
    <row r="3917" spans="17:17">
      <c r="Q3917" s="3"/>
    </row>
    <row r="3918" spans="17:17">
      <c r="Q3918" s="3"/>
    </row>
    <row r="3919" spans="17:17">
      <c r="Q3919" s="3"/>
    </row>
    <row r="3920" spans="17:17">
      <c r="Q3920" s="3"/>
    </row>
    <row r="3921" spans="17:17">
      <c r="Q3921" s="3"/>
    </row>
    <row r="3922" spans="17:17">
      <c r="Q3922" s="3"/>
    </row>
    <row r="3923" spans="17:17">
      <c r="Q3923" s="3"/>
    </row>
    <row r="3924" spans="17:17">
      <c r="Q3924" s="3"/>
    </row>
    <row r="3925" spans="17:17">
      <c r="Q3925" s="3"/>
    </row>
    <row r="3926" spans="17:17">
      <c r="Q3926" s="3"/>
    </row>
    <row r="3927" spans="17:17">
      <c r="Q3927" s="3"/>
    </row>
    <row r="3928" spans="17:17">
      <c r="Q3928" s="3"/>
    </row>
    <row r="3929" spans="17:17">
      <c r="Q3929" s="3"/>
    </row>
    <row r="3930" spans="17:17">
      <c r="Q3930" s="3"/>
    </row>
    <row r="3931" spans="17:17">
      <c r="Q3931" s="3"/>
    </row>
    <row r="3932" spans="17:17">
      <c r="Q3932" s="3"/>
    </row>
    <row r="3933" spans="17:17">
      <c r="Q3933" s="3"/>
    </row>
    <row r="3934" spans="17:17">
      <c r="Q3934" s="3"/>
    </row>
    <row r="3935" spans="17:17">
      <c r="Q3935" s="3"/>
    </row>
    <row r="3936" spans="17:17">
      <c r="Q3936" s="3"/>
    </row>
    <row r="3937" spans="17:17">
      <c r="Q3937" s="3"/>
    </row>
    <row r="3938" spans="17:17">
      <c r="Q3938" s="3"/>
    </row>
    <row r="3939" spans="17:17">
      <c r="Q3939" s="3"/>
    </row>
    <row r="3940" spans="17:17">
      <c r="Q3940" s="3"/>
    </row>
    <row r="3941" spans="17:17">
      <c r="Q3941" s="3"/>
    </row>
    <row r="3942" spans="17:17">
      <c r="Q3942" s="3"/>
    </row>
    <row r="3943" spans="17:17">
      <c r="Q3943" s="3"/>
    </row>
    <row r="3944" spans="17:17">
      <c r="Q3944" s="3"/>
    </row>
    <row r="3945" spans="17:17">
      <c r="Q3945" s="3"/>
    </row>
    <row r="3946" spans="17:17">
      <c r="Q3946" s="3"/>
    </row>
    <row r="3947" spans="17:17">
      <c r="Q3947" s="3"/>
    </row>
    <row r="3948" spans="17:17">
      <c r="Q3948" s="3"/>
    </row>
    <row r="3949" spans="17:17">
      <c r="Q3949" s="3"/>
    </row>
    <row r="3950" spans="17:17">
      <c r="Q3950" s="3"/>
    </row>
    <row r="3951" spans="17:17">
      <c r="Q3951" s="3"/>
    </row>
    <row r="3952" spans="17:17">
      <c r="Q3952" s="3"/>
    </row>
    <row r="3953" spans="17:17">
      <c r="Q3953" s="3"/>
    </row>
    <row r="3954" spans="17:17">
      <c r="Q3954" s="3"/>
    </row>
    <row r="3955" spans="17:17">
      <c r="Q3955" s="3"/>
    </row>
    <row r="3956" spans="17:17">
      <c r="Q3956" s="3"/>
    </row>
    <row r="3957" spans="17:17">
      <c r="Q3957" s="3"/>
    </row>
    <row r="3958" spans="17:17">
      <c r="Q3958" s="3"/>
    </row>
    <row r="3959" spans="17:17">
      <c r="Q3959" s="3"/>
    </row>
    <row r="3960" spans="17:17">
      <c r="Q3960" s="3"/>
    </row>
    <row r="3961" spans="17:17">
      <c r="Q3961" s="3"/>
    </row>
    <row r="3962" spans="17:17">
      <c r="Q3962" s="3"/>
    </row>
    <row r="3963" spans="17:17">
      <c r="Q3963" s="3"/>
    </row>
    <row r="3964" spans="17:17">
      <c r="Q3964" s="3"/>
    </row>
    <row r="3965" spans="17:17">
      <c r="Q3965" s="3"/>
    </row>
    <row r="3966" spans="17:17">
      <c r="Q3966" s="3"/>
    </row>
    <row r="3967" spans="17:17">
      <c r="Q3967" s="3"/>
    </row>
    <row r="3968" spans="17:17">
      <c r="Q3968" s="3"/>
    </row>
    <row r="3969" spans="17:17">
      <c r="Q3969" s="3"/>
    </row>
    <row r="3970" spans="17:17">
      <c r="Q3970" s="3"/>
    </row>
    <row r="3971" spans="17:17">
      <c r="Q3971" s="3"/>
    </row>
    <row r="3972" spans="17:17">
      <c r="Q3972" s="3"/>
    </row>
    <row r="3973" spans="17:17">
      <c r="Q3973" s="3"/>
    </row>
    <row r="3974" spans="17:17">
      <c r="Q3974" s="3"/>
    </row>
    <row r="3975" spans="17:17">
      <c r="Q3975" s="3"/>
    </row>
    <row r="3976" spans="17:17">
      <c r="Q3976" s="3"/>
    </row>
    <row r="3977" spans="17:17">
      <c r="Q3977" s="3"/>
    </row>
    <row r="3978" spans="17:17">
      <c r="Q3978" s="3"/>
    </row>
    <row r="3979" spans="17:17">
      <c r="Q3979" s="3"/>
    </row>
    <row r="3980" spans="17:17">
      <c r="Q3980" s="3"/>
    </row>
    <row r="3981" spans="17:17">
      <c r="Q3981" s="3"/>
    </row>
    <row r="3982" spans="17:17">
      <c r="Q3982" s="3"/>
    </row>
    <row r="3983" spans="17:17">
      <c r="Q3983" s="3"/>
    </row>
    <row r="3984" spans="17:17">
      <c r="Q3984" s="3"/>
    </row>
    <row r="3985" spans="17:17">
      <c r="Q3985" s="3"/>
    </row>
    <row r="3986" spans="17:17">
      <c r="Q3986" s="3"/>
    </row>
    <row r="3987" spans="17:17">
      <c r="Q3987" s="3"/>
    </row>
    <row r="3988" spans="17:17">
      <c r="Q3988" s="3"/>
    </row>
    <row r="3989" spans="17:17">
      <c r="Q3989" s="3"/>
    </row>
    <row r="3990" spans="17:17">
      <c r="Q3990" s="3"/>
    </row>
    <row r="3991" spans="17:17">
      <c r="Q3991" s="3"/>
    </row>
    <row r="3992" spans="17:17">
      <c r="Q3992" s="3"/>
    </row>
    <row r="3993" spans="17:17">
      <c r="Q3993" s="3"/>
    </row>
    <row r="3994" spans="17:17">
      <c r="Q3994" s="3"/>
    </row>
    <row r="3995" spans="17:17">
      <c r="Q3995" s="3"/>
    </row>
    <row r="3996" spans="17:17">
      <c r="Q3996" s="3"/>
    </row>
    <row r="3997" spans="17:17">
      <c r="Q3997" s="3"/>
    </row>
    <row r="3998" spans="17:17">
      <c r="Q3998" s="3"/>
    </row>
    <row r="3999" spans="17:17">
      <c r="Q3999" s="3"/>
    </row>
    <row r="4000" spans="17:17">
      <c r="Q4000" s="3"/>
    </row>
  </sheetData>
  <phoneticPr fontId="7" type="noConversion"/>
  <conditionalFormatting sqref="W7:W8 W10:W11 W4:W5">
    <cfRule type="cellIs" dxfId="737" priority="1661" operator="greaterThan">
      <formula>0</formula>
    </cfRule>
    <cfRule type="cellIs" dxfId="736" priority="1662" operator="lessThan">
      <formula>0</formula>
    </cfRule>
  </conditionalFormatting>
  <conditionalFormatting sqref="W7:W8 W10:W11 W4:W5">
    <cfRule type="cellIs" dxfId="735" priority="1659" operator="greaterThan">
      <formula>0</formula>
    </cfRule>
  </conditionalFormatting>
  <conditionalFormatting sqref="W6">
    <cfRule type="cellIs" dxfId="734" priority="1156" operator="greaterThan">
      <formula>0</formula>
    </cfRule>
  </conditionalFormatting>
  <conditionalFormatting sqref="W6">
    <cfRule type="cellIs" dxfId="733" priority="1153" operator="greaterThan">
      <formula>0</formula>
    </cfRule>
    <cfRule type="cellIs" dxfId="732" priority="1154" operator="lessThan">
      <formula>0</formula>
    </cfRule>
  </conditionalFormatting>
  <conditionalFormatting sqref="W6">
    <cfRule type="cellIs" dxfId="731" priority="1145" operator="greaterThan">
      <formula>0</formula>
    </cfRule>
    <cfRule type="cellIs" dxfId="730" priority="1146" operator="lessThan">
      <formula>0</formula>
    </cfRule>
  </conditionalFormatting>
  <conditionalFormatting sqref="W3:W5">
    <cfRule type="cellIs" dxfId="729" priority="1040" operator="greaterThan">
      <formula>0</formula>
    </cfRule>
  </conditionalFormatting>
  <conditionalFormatting sqref="W3:W5">
    <cfRule type="cellIs" dxfId="728" priority="1037" operator="greaterThan">
      <formula>0</formula>
    </cfRule>
    <cfRule type="cellIs" dxfId="727" priority="1038" operator="lessThan">
      <formula>0</formula>
    </cfRule>
  </conditionalFormatting>
  <conditionalFormatting sqref="P3:P11">
    <cfRule type="cellIs" dxfId="726" priority="1034" operator="greaterThan">
      <formula>100</formula>
    </cfRule>
  </conditionalFormatting>
  <conditionalFormatting sqref="W3:W5">
    <cfRule type="cellIs" dxfId="725" priority="1029" operator="greaterThan">
      <formula>0</formula>
    </cfRule>
    <cfRule type="cellIs" dxfId="724" priority="1030" operator="lessThan">
      <formula>0</formula>
    </cfRule>
  </conditionalFormatting>
  <conditionalFormatting sqref="P3:P11">
    <cfRule type="cellIs" dxfId="723" priority="1026" operator="greaterThan">
      <formula>100</formula>
    </cfRule>
  </conditionalFormatting>
  <conditionalFormatting sqref="W10">
    <cfRule type="cellIs" dxfId="722" priority="1000" operator="greaterThan">
      <formula>0</formula>
    </cfRule>
  </conditionalFormatting>
  <conditionalFormatting sqref="W10">
    <cfRule type="cellIs" dxfId="721" priority="997" operator="greaterThan">
      <formula>0</formula>
    </cfRule>
    <cfRule type="cellIs" dxfId="720" priority="998" operator="lessThan">
      <formula>0</formula>
    </cfRule>
  </conditionalFormatting>
  <conditionalFormatting sqref="W10">
    <cfRule type="cellIs" dxfId="719" priority="989" operator="greaterThan">
      <formula>0</formula>
    </cfRule>
    <cfRule type="cellIs" dxfId="718" priority="990" operator="lessThan">
      <formula>0</formula>
    </cfRule>
  </conditionalFormatting>
  <conditionalFormatting sqref="W11">
    <cfRule type="cellIs" dxfId="717" priority="939" operator="greaterThan">
      <formula>0</formula>
    </cfRule>
    <cfRule type="cellIs" dxfId="716" priority="940" operator="lessThan">
      <formula>0</formula>
    </cfRule>
  </conditionalFormatting>
  <conditionalFormatting sqref="W11">
    <cfRule type="cellIs" dxfId="715" priority="937" operator="greaterThan">
      <formula>0</formula>
    </cfRule>
  </conditionalFormatting>
  <conditionalFormatting sqref="D14:D16 D86 D3:D11">
    <cfRule type="expression" dxfId="714" priority="928">
      <formula>VALUE($D3)&lt;0</formula>
    </cfRule>
  </conditionalFormatting>
  <conditionalFormatting sqref="E14:E16 E86 E3:E11">
    <cfRule type="expression" dxfId="713" priority="927">
      <formula>VALUE($E3)&lt;0</formula>
    </cfRule>
  </conditionalFormatting>
  <conditionalFormatting sqref="W5">
    <cfRule type="cellIs" dxfId="712" priority="923" operator="greaterThan">
      <formula>0</formula>
    </cfRule>
  </conditionalFormatting>
  <conditionalFormatting sqref="W5">
    <cfRule type="cellIs" dxfId="711" priority="920" operator="greaterThan">
      <formula>0</formula>
    </cfRule>
    <cfRule type="cellIs" dxfId="710" priority="921" operator="lessThan">
      <formula>0</formula>
    </cfRule>
  </conditionalFormatting>
  <conditionalFormatting sqref="W5">
    <cfRule type="cellIs" dxfId="709" priority="912" operator="greaterThan">
      <formula>0</formula>
    </cfRule>
    <cfRule type="cellIs" dxfId="708" priority="913" operator="lessThan">
      <formula>0</formula>
    </cfRule>
  </conditionalFormatting>
  <conditionalFormatting sqref="W9">
    <cfRule type="cellIs" dxfId="707" priority="903" operator="greaterThan">
      <formula>0</formula>
    </cfRule>
  </conditionalFormatting>
  <conditionalFormatting sqref="W9">
    <cfRule type="cellIs" dxfId="706" priority="900" operator="greaterThan">
      <formula>0</formula>
    </cfRule>
    <cfRule type="cellIs" dxfId="705" priority="901" operator="lessThan">
      <formula>0</formula>
    </cfRule>
  </conditionalFormatting>
  <conditionalFormatting sqref="W9">
    <cfRule type="cellIs" dxfId="704" priority="892" operator="greaterThan">
      <formula>0</formula>
    </cfRule>
    <cfRule type="cellIs" dxfId="703" priority="893" operator="lessThan">
      <formula>0</formula>
    </cfRule>
  </conditionalFormatting>
  <conditionalFormatting sqref="W15">
    <cfRule type="cellIs" dxfId="702" priority="800" operator="greaterThan">
      <formula>0</formula>
    </cfRule>
    <cfRule type="cellIs" dxfId="701" priority="801" operator="lessThan">
      <formula>0</formula>
    </cfRule>
  </conditionalFormatting>
  <conditionalFormatting sqref="W15">
    <cfRule type="cellIs" dxfId="700" priority="799" operator="greaterThan">
      <formula>0</formula>
    </cfRule>
  </conditionalFormatting>
  <conditionalFormatting sqref="P15">
    <cfRule type="cellIs" dxfId="699" priority="798" operator="greaterThan">
      <formula>100</formula>
    </cfRule>
  </conditionalFormatting>
  <conditionalFormatting sqref="W15">
    <cfRule type="cellIs" dxfId="698" priority="794" operator="greaterThan">
      <formula>0</formula>
    </cfRule>
    <cfRule type="cellIs" dxfId="697" priority="795" operator="lessThan">
      <formula>0</formula>
    </cfRule>
  </conditionalFormatting>
  <conditionalFormatting sqref="W15">
    <cfRule type="cellIs" dxfId="696" priority="793" operator="greaterThan">
      <formula>0</formula>
    </cfRule>
  </conditionalFormatting>
  <conditionalFormatting sqref="P15">
    <cfRule type="cellIs" dxfId="695" priority="792" operator="greaterThan">
      <formula>100</formula>
    </cfRule>
  </conditionalFormatting>
  <conditionalFormatting sqref="W14:W15">
    <cfRule type="cellIs" dxfId="694" priority="786" operator="greaterThan">
      <formula>0</formula>
    </cfRule>
    <cfRule type="cellIs" dxfId="693" priority="787" operator="lessThan">
      <formula>0</formula>
    </cfRule>
  </conditionalFormatting>
  <conditionalFormatting sqref="W14:W15">
    <cfRule type="cellIs" dxfId="692" priority="785" operator="greaterThan">
      <formula>0</formula>
    </cfRule>
  </conditionalFormatting>
  <conditionalFormatting sqref="P14:P15">
    <cfRule type="cellIs" dxfId="691" priority="784" operator="greaterThan">
      <formula>100</formula>
    </cfRule>
  </conditionalFormatting>
  <conditionalFormatting sqref="W14:W15">
    <cfRule type="cellIs" dxfId="690" priority="780" operator="greaterThan">
      <formula>0</formula>
    </cfRule>
    <cfRule type="cellIs" dxfId="689" priority="781" operator="lessThan">
      <formula>0</formula>
    </cfRule>
  </conditionalFormatting>
  <conditionalFormatting sqref="W14:W15">
    <cfRule type="cellIs" dxfId="688" priority="779" operator="greaterThan">
      <formula>0</formula>
    </cfRule>
  </conditionalFormatting>
  <conditionalFormatting sqref="P14:P15">
    <cfRule type="cellIs" dxfId="687" priority="778" operator="greaterThan">
      <formula>100</formula>
    </cfRule>
  </conditionalFormatting>
  <conditionalFormatting sqref="W16">
    <cfRule type="cellIs" dxfId="686" priority="772" operator="greaterThan">
      <formula>0</formula>
    </cfRule>
    <cfRule type="cellIs" dxfId="685" priority="773" operator="lessThan">
      <formula>0</formula>
    </cfRule>
  </conditionalFormatting>
  <conditionalFormatting sqref="W16">
    <cfRule type="cellIs" dxfId="684" priority="771" operator="greaterThan">
      <formula>0</formula>
    </cfRule>
  </conditionalFormatting>
  <conditionalFormatting sqref="P16">
    <cfRule type="cellIs" dxfId="683" priority="770" operator="greaterThan">
      <formula>100</formula>
    </cfRule>
  </conditionalFormatting>
  <conditionalFormatting sqref="W16">
    <cfRule type="cellIs" dxfId="682" priority="766" operator="greaterThan">
      <formula>0</formula>
    </cfRule>
    <cfRule type="cellIs" dxfId="681" priority="767" operator="lessThan">
      <formula>0</formula>
    </cfRule>
  </conditionalFormatting>
  <conditionalFormatting sqref="W16">
    <cfRule type="cellIs" dxfId="680" priority="765" operator="greaterThan">
      <formula>0</formula>
    </cfRule>
  </conditionalFormatting>
  <conditionalFormatting sqref="P16">
    <cfRule type="cellIs" dxfId="679" priority="764" operator="greaterThan">
      <formula>100</formula>
    </cfRule>
  </conditionalFormatting>
  <conditionalFormatting sqref="D87">
    <cfRule type="expression" dxfId="678" priority="759">
      <formula>VALUE($D87)&lt;0</formula>
    </cfRule>
  </conditionalFormatting>
  <conditionalFormatting sqref="E87">
    <cfRule type="expression" dxfId="677" priority="758">
      <formula>VALUE($E87)&lt;0</formula>
    </cfRule>
  </conditionalFormatting>
  <conditionalFormatting sqref="W87">
    <cfRule type="cellIs" dxfId="676" priority="756" operator="greaterThan">
      <formula>0</formula>
    </cfRule>
    <cfRule type="cellIs" dxfId="675" priority="757" operator="lessThan">
      <formula>0</formula>
    </cfRule>
  </conditionalFormatting>
  <conditionalFormatting sqref="W87">
    <cfRule type="cellIs" dxfId="674" priority="755" operator="greaterThan">
      <formula>0</formula>
    </cfRule>
  </conditionalFormatting>
  <conditionalFormatting sqref="P87">
    <cfRule type="cellIs" dxfId="673" priority="754" operator="greaterThan">
      <formula>100</formula>
    </cfRule>
  </conditionalFormatting>
  <conditionalFormatting sqref="W87">
    <cfRule type="cellIs" dxfId="672" priority="750" operator="greaterThan">
      <formula>0</formula>
    </cfRule>
    <cfRule type="cellIs" dxfId="671" priority="751" operator="lessThan">
      <formula>0</formula>
    </cfRule>
  </conditionalFormatting>
  <conditionalFormatting sqref="W87">
    <cfRule type="cellIs" dxfId="670" priority="749" operator="greaterThan">
      <formula>0</formula>
    </cfRule>
  </conditionalFormatting>
  <conditionalFormatting sqref="P87">
    <cfRule type="cellIs" dxfId="669" priority="748" operator="greaterThan">
      <formula>100</formula>
    </cfRule>
  </conditionalFormatting>
  <conditionalFormatting sqref="W86">
    <cfRule type="cellIs" dxfId="668" priority="742" operator="greaterThan">
      <formula>0</formula>
    </cfRule>
    <cfRule type="cellIs" dxfId="667" priority="743" operator="lessThan">
      <formula>0</formula>
    </cfRule>
  </conditionalFormatting>
  <conditionalFormatting sqref="W86">
    <cfRule type="cellIs" dxfId="666" priority="741" operator="greaterThan">
      <formula>0</formula>
    </cfRule>
  </conditionalFormatting>
  <conditionalFormatting sqref="P86">
    <cfRule type="cellIs" dxfId="665" priority="740" operator="greaterThan">
      <formula>100</formula>
    </cfRule>
  </conditionalFormatting>
  <conditionalFormatting sqref="W86">
    <cfRule type="cellIs" dxfId="664" priority="736" operator="greaterThan">
      <formula>0</formula>
    </cfRule>
    <cfRule type="cellIs" dxfId="663" priority="737" operator="lessThan">
      <formula>0</formula>
    </cfRule>
  </conditionalFormatting>
  <conditionalFormatting sqref="W86">
    <cfRule type="cellIs" dxfId="662" priority="735" operator="greaterThan">
      <formula>0</formula>
    </cfRule>
  </conditionalFormatting>
  <conditionalFormatting sqref="P86">
    <cfRule type="cellIs" dxfId="661" priority="734" operator="greaterThan">
      <formula>100</formula>
    </cfRule>
  </conditionalFormatting>
  <conditionalFormatting sqref="D88">
    <cfRule type="expression" dxfId="660" priority="731">
      <formula>VALUE($D88)&lt;0</formula>
    </cfRule>
  </conditionalFormatting>
  <conditionalFormatting sqref="E88">
    <cfRule type="expression" dxfId="659" priority="730">
      <formula>VALUE($E88)&lt;0</formula>
    </cfRule>
  </conditionalFormatting>
  <conditionalFormatting sqref="W88">
    <cfRule type="cellIs" dxfId="658" priority="728" operator="greaterThan">
      <formula>0</formula>
    </cfRule>
    <cfRule type="cellIs" dxfId="657" priority="729" operator="lessThan">
      <formula>0</formula>
    </cfRule>
  </conditionalFormatting>
  <conditionalFormatting sqref="W88">
    <cfRule type="cellIs" dxfId="656" priority="727" operator="greaterThan">
      <formula>0</formula>
    </cfRule>
  </conditionalFormatting>
  <conditionalFormatting sqref="P88">
    <cfRule type="cellIs" dxfId="655" priority="726" operator="greaterThan">
      <formula>100</formula>
    </cfRule>
  </conditionalFormatting>
  <conditionalFormatting sqref="W88">
    <cfRule type="cellIs" dxfId="654" priority="722" operator="greaterThan">
      <formula>0</formula>
    </cfRule>
    <cfRule type="cellIs" dxfId="653" priority="723" operator="lessThan">
      <formula>0</formula>
    </cfRule>
  </conditionalFormatting>
  <conditionalFormatting sqref="W88">
    <cfRule type="cellIs" dxfId="652" priority="721" operator="greaterThan">
      <formula>0</formula>
    </cfRule>
  </conditionalFormatting>
  <conditionalFormatting sqref="P88">
    <cfRule type="cellIs" dxfId="651" priority="720" operator="greaterThan">
      <formula>100</formula>
    </cfRule>
  </conditionalFormatting>
  <conditionalFormatting sqref="D89">
    <cfRule type="expression" dxfId="650" priority="717">
      <formula>VALUE($D89)&lt;0</formula>
    </cfRule>
  </conditionalFormatting>
  <conditionalFormatting sqref="E89">
    <cfRule type="expression" dxfId="649" priority="716">
      <formula>VALUE($E89)&lt;0</formula>
    </cfRule>
  </conditionalFormatting>
  <conditionalFormatting sqref="W89">
    <cfRule type="cellIs" dxfId="648" priority="714" operator="greaterThan">
      <formula>0</formula>
    </cfRule>
    <cfRule type="cellIs" dxfId="647" priority="715" operator="lessThan">
      <formula>0</formula>
    </cfRule>
  </conditionalFormatting>
  <conditionalFormatting sqref="W89">
    <cfRule type="cellIs" dxfId="646" priority="713" operator="greaterThan">
      <formula>0</formula>
    </cfRule>
  </conditionalFormatting>
  <conditionalFormatting sqref="P89">
    <cfRule type="cellIs" dxfId="645" priority="712" operator="greaterThan">
      <formula>100</formula>
    </cfRule>
  </conditionalFormatting>
  <conditionalFormatting sqref="W89">
    <cfRule type="cellIs" dxfId="644" priority="708" operator="greaterThan">
      <formula>0</formula>
    </cfRule>
    <cfRule type="cellIs" dxfId="643" priority="709" operator="lessThan">
      <formula>0</formula>
    </cfRule>
  </conditionalFormatting>
  <conditionalFormatting sqref="W89">
    <cfRule type="cellIs" dxfId="642" priority="707" operator="greaterThan">
      <formula>0</formula>
    </cfRule>
  </conditionalFormatting>
  <conditionalFormatting sqref="P89">
    <cfRule type="cellIs" dxfId="641" priority="706" operator="greaterThan">
      <formula>100</formula>
    </cfRule>
  </conditionalFormatting>
  <conditionalFormatting sqref="D90">
    <cfRule type="expression" dxfId="640" priority="703">
      <formula>VALUE($D90)&lt;0</formula>
    </cfRule>
  </conditionalFormatting>
  <conditionalFormatting sqref="E90">
    <cfRule type="expression" dxfId="639" priority="702">
      <formula>VALUE($E90)&lt;0</formula>
    </cfRule>
  </conditionalFormatting>
  <conditionalFormatting sqref="W90">
    <cfRule type="cellIs" dxfId="638" priority="700" operator="greaterThan">
      <formula>0</formula>
    </cfRule>
    <cfRule type="cellIs" dxfId="637" priority="701" operator="lessThan">
      <formula>0</formula>
    </cfRule>
  </conditionalFormatting>
  <conditionalFormatting sqref="W90">
    <cfRule type="cellIs" dxfId="636" priority="699" operator="greaterThan">
      <formula>0</formula>
    </cfRule>
  </conditionalFormatting>
  <conditionalFormatting sqref="P90">
    <cfRule type="cellIs" dxfId="635" priority="698" operator="greaterThan">
      <formula>100</formula>
    </cfRule>
  </conditionalFormatting>
  <conditionalFormatting sqref="W90">
    <cfRule type="cellIs" dxfId="634" priority="694" operator="greaterThan">
      <formula>0</formula>
    </cfRule>
    <cfRule type="cellIs" dxfId="633" priority="695" operator="lessThan">
      <formula>0</formula>
    </cfRule>
  </conditionalFormatting>
  <conditionalFormatting sqref="W90">
    <cfRule type="cellIs" dxfId="632" priority="693" operator="greaterThan">
      <formula>0</formula>
    </cfRule>
  </conditionalFormatting>
  <conditionalFormatting sqref="P90">
    <cfRule type="cellIs" dxfId="631" priority="692" operator="greaterThan">
      <formula>100</formula>
    </cfRule>
  </conditionalFormatting>
  <conditionalFormatting sqref="D91">
    <cfRule type="expression" dxfId="630" priority="689">
      <formula>VALUE($D91)&lt;0</formula>
    </cfRule>
  </conditionalFormatting>
  <conditionalFormatting sqref="E91">
    <cfRule type="expression" dxfId="629" priority="688">
      <formula>VALUE($E91)&lt;0</formula>
    </cfRule>
  </conditionalFormatting>
  <conditionalFormatting sqref="W91">
    <cfRule type="cellIs" dxfId="628" priority="686" operator="greaterThan">
      <formula>0</formula>
    </cfRule>
    <cfRule type="cellIs" dxfId="627" priority="687" operator="lessThan">
      <formula>0</formula>
    </cfRule>
  </conditionalFormatting>
  <conditionalFormatting sqref="W91">
    <cfRule type="cellIs" dxfId="626" priority="685" operator="greaterThan">
      <formula>0</formula>
    </cfRule>
  </conditionalFormatting>
  <conditionalFormatting sqref="P91">
    <cfRule type="cellIs" dxfId="625" priority="684" operator="greaterThan">
      <formula>100</formula>
    </cfRule>
  </conditionalFormatting>
  <conditionalFormatting sqref="W91">
    <cfRule type="cellIs" dxfId="624" priority="680" operator="greaterThan">
      <formula>0</formula>
    </cfRule>
    <cfRule type="cellIs" dxfId="623" priority="681" operator="lessThan">
      <formula>0</formula>
    </cfRule>
  </conditionalFormatting>
  <conditionalFormatting sqref="W91">
    <cfRule type="cellIs" dxfId="622" priority="679" operator="greaterThan">
      <formula>0</formula>
    </cfRule>
  </conditionalFormatting>
  <conditionalFormatting sqref="P91">
    <cfRule type="cellIs" dxfId="621" priority="678" operator="greaterThan">
      <formula>100</formula>
    </cfRule>
  </conditionalFormatting>
  <conditionalFormatting sqref="D19">
    <cfRule type="expression" dxfId="620" priority="675">
      <formula>VALUE($D19)&lt;0</formula>
    </cfRule>
  </conditionalFormatting>
  <conditionalFormatting sqref="E19">
    <cfRule type="expression" dxfId="619" priority="674">
      <formula>VALUE($E19)&lt;0</formula>
    </cfRule>
  </conditionalFormatting>
  <conditionalFormatting sqref="W19">
    <cfRule type="cellIs" dxfId="618" priority="672" operator="greaterThan">
      <formula>0</formula>
    </cfRule>
    <cfRule type="cellIs" dxfId="617" priority="673" operator="lessThan">
      <formula>0</formula>
    </cfRule>
  </conditionalFormatting>
  <conditionalFormatting sqref="W19">
    <cfRule type="cellIs" dxfId="616" priority="671" operator="greaterThan">
      <formula>0</formula>
    </cfRule>
  </conditionalFormatting>
  <conditionalFormatting sqref="P19">
    <cfRule type="cellIs" dxfId="615" priority="670" operator="greaterThan">
      <formula>100</formula>
    </cfRule>
  </conditionalFormatting>
  <conditionalFormatting sqref="W19">
    <cfRule type="cellIs" dxfId="614" priority="666" operator="greaterThan">
      <formula>0</formula>
    </cfRule>
    <cfRule type="cellIs" dxfId="613" priority="667" operator="lessThan">
      <formula>0</formula>
    </cfRule>
  </conditionalFormatting>
  <conditionalFormatting sqref="W19">
    <cfRule type="cellIs" dxfId="612" priority="665" operator="greaterThan">
      <formula>0</formula>
    </cfRule>
  </conditionalFormatting>
  <conditionalFormatting sqref="P19">
    <cfRule type="cellIs" dxfId="611" priority="664" operator="greaterThan">
      <formula>100</formula>
    </cfRule>
  </conditionalFormatting>
  <conditionalFormatting sqref="D20">
    <cfRule type="expression" dxfId="610" priority="661">
      <formula>VALUE($D20)&lt;0</formula>
    </cfRule>
  </conditionalFormatting>
  <conditionalFormatting sqref="E20">
    <cfRule type="expression" dxfId="609" priority="660">
      <formula>VALUE($E20)&lt;0</formula>
    </cfRule>
  </conditionalFormatting>
  <conditionalFormatting sqref="W20">
    <cfRule type="cellIs" dxfId="608" priority="658" operator="greaterThan">
      <formula>0</formula>
    </cfRule>
    <cfRule type="cellIs" dxfId="607" priority="659" operator="lessThan">
      <formula>0</formula>
    </cfRule>
  </conditionalFormatting>
  <conditionalFormatting sqref="W20">
    <cfRule type="cellIs" dxfId="606" priority="657" operator="greaterThan">
      <formula>0</formula>
    </cfRule>
  </conditionalFormatting>
  <conditionalFormatting sqref="P20">
    <cfRule type="cellIs" dxfId="605" priority="656" operator="greaterThan">
      <formula>100</formula>
    </cfRule>
  </conditionalFormatting>
  <conditionalFormatting sqref="W20">
    <cfRule type="cellIs" dxfId="604" priority="652" operator="greaterThan">
      <formula>0</formula>
    </cfRule>
    <cfRule type="cellIs" dxfId="603" priority="653" operator="lessThan">
      <formula>0</formula>
    </cfRule>
  </conditionalFormatting>
  <conditionalFormatting sqref="W20">
    <cfRule type="cellIs" dxfId="602" priority="651" operator="greaterThan">
      <formula>0</formula>
    </cfRule>
  </conditionalFormatting>
  <conditionalFormatting sqref="P20">
    <cfRule type="cellIs" dxfId="601" priority="650" operator="greaterThan">
      <formula>100</formula>
    </cfRule>
  </conditionalFormatting>
  <conditionalFormatting sqref="D21">
    <cfRule type="expression" dxfId="600" priority="647">
      <formula>VALUE($D21)&lt;0</formula>
    </cfRule>
  </conditionalFormatting>
  <conditionalFormatting sqref="E21">
    <cfRule type="expression" dxfId="599" priority="646">
      <formula>VALUE($E21)&lt;0</formula>
    </cfRule>
  </conditionalFormatting>
  <conditionalFormatting sqref="W21">
    <cfRule type="cellIs" dxfId="598" priority="644" operator="greaterThan">
      <formula>0</formula>
    </cfRule>
    <cfRule type="cellIs" dxfId="597" priority="645" operator="lessThan">
      <formula>0</formula>
    </cfRule>
  </conditionalFormatting>
  <conditionalFormatting sqref="W21">
    <cfRule type="cellIs" dxfId="596" priority="643" operator="greaterThan">
      <formula>0</formula>
    </cfRule>
  </conditionalFormatting>
  <conditionalFormatting sqref="P21">
    <cfRule type="cellIs" dxfId="595" priority="642" operator="greaterThan">
      <formula>100</formula>
    </cfRule>
  </conditionalFormatting>
  <conditionalFormatting sqref="W21">
    <cfRule type="cellIs" dxfId="594" priority="638" operator="greaterThan">
      <formula>0</formula>
    </cfRule>
    <cfRule type="cellIs" dxfId="593" priority="639" operator="lessThan">
      <formula>0</formula>
    </cfRule>
  </conditionalFormatting>
  <conditionalFormatting sqref="W21">
    <cfRule type="cellIs" dxfId="592" priority="637" operator="greaterThan">
      <formula>0</formula>
    </cfRule>
  </conditionalFormatting>
  <conditionalFormatting sqref="P21">
    <cfRule type="cellIs" dxfId="591" priority="636" operator="greaterThan">
      <formula>100</formula>
    </cfRule>
  </conditionalFormatting>
  <conditionalFormatting sqref="D22">
    <cfRule type="expression" dxfId="590" priority="633">
      <formula>VALUE($D22)&lt;0</formula>
    </cfRule>
  </conditionalFormatting>
  <conditionalFormatting sqref="E22">
    <cfRule type="expression" dxfId="589" priority="632">
      <formula>VALUE($E22)&lt;0</formula>
    </cfRule>
  </conditionalFormatting>
  <conditionalFormatting sqref="W22">
    <cfRule type="cellIs" dxfId="588" priority="630" operator="greaterThan">
      <formula>0</formula>
    </cfRule>
    <cfRule type="cellIs" dxfId="587" priority="631" operator="lessThan">
      <formula>0</formula>
    </cfRule>
  </conditionalFormatting>
  <conditionalFormatting sqref="W22">
    <cfRule type="cellIs" dxfId="586" priority="629" operator="greaterThan">
      <formula>0</formula>
    </cfRule>
  </conditionalFormatting>
  <conditionalFormatting sqref="P22">
    <cfRule type="cellIs" dxfId="585" priority="628" operator="greaterThan">
      <formula>100</formula>
    </cfRule>
  </conditionalFormatting>
  <conditionalFormatting sqref="W22">
    <cfRule type="cellIs" dxfId="584" priority="624" operator="greaterThan">
      <formula>0</formula>
    </cfRule>
    <cfRule type="cellIs" dxfId="583" priority="625" operator="lessThan">
      <formula>0</formula>
    </cfRule>
  </conditionalFormatting>
  <conditionalFormatting sqref="W22">
    <cfRule type="cellIs" dxfId="582" priority="623" operator="greaterThan">
      <formula>0</formula>
    </cfRule>
  </conditionalFormatting>
  <conditionalFormatting sqref="P22">
    <cfRule type="cellIs" dxfId="581" priority="622" operator="greaterThan">
      <formula>100</formula>
    </cfRule>
  </conditionalFormatting>
  <conditionalFormatting sqref="D23">
    <cfRule type="expression" dxfId="580" priority="605">
      <formula>VALUE($D23)&lt;0</formula>
    </cfRule>
  </conditionalFormatting>
  <conditionalFormatting sqref="E23">
    <cfRule type="expression" dxfId="579" priority="604">
      <formula>VALUE($E23)&lt;0</formula>
    </cfRule>
  </conditionalFormatting>
  <conditionalFormatting sqref="W23">
    <cfRule type="cellIs" dxfId="578" priority="602" operator="greaterThan">
      <formula>0</formula>
    </cfRule>
    <cfRule type="cellIs" dxfId="577" priority="603" operator="lessThan">
      <formula>0</formula>
    </cfRule>
  </conditionalFormatting>
  <conditionalFormatting sqref="W23">
    <cfRule type="cellIs" dxfId="576" priority="601" operator="greaterThan">
      <formula>0</formula>
    </cfRule>
  </conditionalFormatting>
  <conditionalFormatting sqref="P23">
    <cfRule type="cellIs" dxfId="575" priority="600" operator="greaterThan">
      <formula>100</formula>
    </cfRule>
  </conditionalFormatting>
  <conditionalFormatting sqref="W23">
    <cfRule type="cellIs" dxfId="574" priority="596" operator="greaterThan">
      <formula>0</formula>
    </cfRule>
    <cfRule type="cellIs" dxfId="573" priority="597" operator="lessThan">
      <formula>0</formula>
    </cfRule>
  </conditionalFormatting>
  <conditionalFormatting sqref="W23">
    <cfRule type="cellIs" dxfId="572" priority="595" operator="greaterThan">
      <formula>0</formula>
    </cfRule>
  </conditionalFormatting>
  <conditionalFormatting sqref="P23">
    <cfRule type="cellIs" dxfId="571" priority="594" operator="greaterThan">
      <formula>100</formula>
    </cfRule>
  </conditionalFormatting>
  <conditionalFormatting sqref="D24:D26">
    <cfRule type="expression" dxfId="570" priority="591">
      <formula>VALUE($D24)&lt;0</formula>
    </cfRule>
  </conditionalFormatting>
  <conditionalFormatting sqref="E24:E26">
    <cfRule type="expression" dxfId="569" priority="590">
      <formula>VALUE($E24)&lt;0</formula>
    </cfRule>
  </conditionalFormatting>
  <conditionalFormatting sqref="W24">
    <cfRule type="cellIs" dxfId="568" priority="588" operator="greaterThan">
      <formula>0</formula>
    </cfRule>
    <cfRule type="cellIs" dxfId="567" priority="589" operator="lessThan">
      <formula>0</formula>
    </cfRule>
  </conditionalFormatting>
  <conditionalFormatting sqref="W24">
    <cfRule type="cellIs" dxfId="566" priority="587" operator="greaterThan">
      <formula>0</formula>
    </cfRule>
  </conditionalFormatting>
  <conditionalFormatting sqref="P24:P26">
    <cfRule type="cellIs" dxfId="565" priority="586" operator="greaterThan">
      <formula>100</formula>
    </cfRule>
  </conditionalFormatting>
  <conditionalFormatting sqref="W24">
    <cfRule type="cellIs" dxfId="564" priority="582" operator="greaterThan">
      <formula>0</formula>
    </cfRule>
    <cfRule type="cellIs" dxfId="563" priority="583" operator="lessThan">
      <formula>0</formula>
    </cfRule>
  </conditionalFormatting>
  <conditionalFormatting sqref="W24">
    <cfRule type="cellIs" dxfId="562" priority="581" operator="greaterThan">
      <formula>0</formula>
    </cfRule>
  </conditionalFormatting>
  <conditionalFormatting sqref="P24:P26">
    <cfRule type="cellIs" dxfId="561" priority="580" operator="greaterThan">
      <formula>100</formula>
    </cfRule>
  </conditionalFormatting>
  <conditionalFormatting sqref="D27:D29">
    <cfRule type="expression" dxfId="560" priority="577">
      <formula>VALUE($D27)&lt;0</formula>
    </cfRule>
  </conditionalFormatting>
  <conditionalFormatting sqref="E27:E29">
    <cfRule type="expression" dxfId="559" priority="576">
      <formula>VALUE($E27)&lt;0</formula>
    </cfRule>
  </conditionalFormatting>
  <conditionalFormatting sqref="W27:W29">
    <cfRule type="cellIs" dxfId="558" priority="574" operator="greaterThan">
      <formula>0</formula>
    </cfRule>
    <cfRule type="cellIs" dxfId="557" priority="575" operator="lessThan">
      <formula>0</formula>
    </cfRule>
  </conditionalFormatting>
  <conditionalFormatting sqref="W27:W29">
    <cfRule type="cellIs" dxfId="556" priority="573" operator="greaterThan">
      <formula>0</formula>
    </cfRule>
  </conditionalFormatting>
  <conditionalFormatting sqref="P27:P29">
    <cfRule type="cellIs" dxfId="555" priority="572" operator="greaterThan">
      <formula>100</formula>
    </cfRule>
  </conditionalFormatting>
  <conditionalFormatting sqref="W27:W29">
    <cfRule type="cellIs" dxfId="554" priority="570" operator="greaterThan">
      <formula>0</formula>
    </cfRule>
    <cfRule type="cellIs" dxfId="553" priority="571" operator="lessThan">
      <formula>0</formula>
    </cfRule>
  </conditionalFormatting>
  <conditionalFormatting sqref="W27:W29">
    <cfRule type="cellIs" dxfId="552" priority="569" operator="greaterThan">
      <formula>0</formula>
    </cfRule>
  </conditionalFormatting>
  <conditionalFormatting sqref="P27:P29">
    <cfRule type="cellIs" dxfId="551" priority="568" operator="greaterThan">
      <formula>100</formula>
    </cfRule>
  </conditionalFormatting>
  <conditionalFormatting sqref="D30">
    <cfRule type="expression" dxfId="550" priority="567">
      <formula>VALUE($D30)&lt;0</formula>
    </cfRule>
  </conditionalFormatting>
  <conditionalFormatting sqref="E30">
    <cfRule type="expression" dxfId="549" priority="566">
      <formula>VALUE($E30)&lt;0</formula>
    </cfRule>
  </conditionalFormatting>
  <conditionalFormatting sqref="W30">
    <cfRule type="cellIs" dxfId="548" priority="564" operator="greaterThan">
      <formula>0</formula>
    </cfRule>
    <cfRule type="cellIs" dxfId="547" priority="565" operator="lessThan">
      <formula>0</formula>
    </cfRule>
  </conditionalFormatting>
  <conditionalFormatting sqref="W30">
    <cfRule type="cellIs" dxfId="546" priority="563" operator="greaterThan">
      <formula>0</formula>
    </cfRule>
  </conditionalFormatting>
  <conditionalFormatting sqref="P30">
    <cfRule type="cellIs" dxfId="545" priority="562" operator="greaterThan">
      <formula>100</formula>
    </cfRule>
  </conditionalFormatting>
  <conditionalFormatting sqref="W30">
    <cfRule type="cellIs" dxfId="544" priority="560" operator="greaterThan">
      <formula>0</formula>
    </cfRule>
    <cfRule type="cellIs" dxfId="543" priority="561" operator="lessThan">
      <formula>0</formula>
    </cfRule>
  </conditionalFormatting>
  <conditionalFormatting sqref="W30">
    <cfRule type="cellIs" dxfId="542" priority="559" operator="greaterThan">
      <formula>0</formula>
    </cfRule>
  </conditionalFormatting>
  <conditionalFormatting sqref="P30">
    <cfRule type="cellIs" dxfId="541" priority="558" operator="greaterThan">
      <formula>100</formula>
    </cfRule>
  </conditionalFormatting>
  <conditionalFormatting sqref="D31">
    <cfRule type="expression" dxfId="540" priority="547">
      <formula>VALUE($D31)&lt;0</formula>
    </cfRule>
  </conditionalFormatting>
  <conditionalFormatting sqref="E31">
    <cfRule type="expression" dxfId="539" priority="546">
      <formula>VALUE($E31)&lt;0</formula>
    </cfRule>
  </conditionalFormatting>
  <conditionalFormatting sqref="W31">
    <cfRule type="cellIs" dxfId="538" priority="544" operator="greaterThan">
      <formula>0</formula>
    </cfRule>
    <cfRule type="cellIs" dxfId="537" priority="545" operator="lessThan">
      <formula>0</formula>
    </cfRule>
  </conditionalFormatting>
  <conditionalFormatting sqref="W31">
    <cfRule type="cellIs" dxfId="536" priority="543" operator="greaterThan">
      <formula>0</formula>
    </cfRule>
  </conditionalFormatting>
  <conditionalFormatting sqref="P31">
    <cfRule type="cellIs" dxfId="535" priority="542" operator="greaterThan">
      <formula>100</formula>
    </cfRule>
  </conditionalFormatting>
  <conditionalFormatting sqref="W31">
    <cfRule type="cellIs" dxfId="534" priority="540" operator="greaterThan">
      <formula>0</formula>
    </cfRule>
    <cfRule type="cellIs" dxfId="533" priority="541" operator="lessThan">
      <formula>0</formula>
    </cfRule>
  </conditionalFormatting>
  <conditionalFormatting sqref="W31">
    <cfRule type="cellIs" dxfId="532" priority="539" operator="greaterThan">
      <formula>0</formula>
    </cfRule>
  </conditionalFormatting>
  <conditionalFormatting sqref="P31">
    <cfRule type="cellIs" dxfId="531" priority="538" operator="greaterThan">
      <formula>100</formula>
    </cfRule>
  </conditionalFormatting>
  <conditionalFormatting sqref="D32">
    <cfRule type="expression" dxfId="530" priority="527">
      <formula>VALUE($D32)&lt;0</formula>
    </cfRule>
  </conditionalFormatting>
  <conditionalFormatting sqref="E32">
    <cfRule type="expression" dxfId="529" priority="526">
      <formula>VALUE($E32)&lt;0</formula>
    </cfRule>
  </conditionalFormatting>
  <conditionalFormatting sqref="W32">
    <cfRule type="cellIs" dxfId="528" priority="524" operator="greaterThan">
      <formula>0</formula>
    </cfRule>
    <cfRule type="cellIs" dxfId="527" priority="525" operator="lessThan">
      <formula>0</formula>
    </cfRule>
  </conditionalFormatting>
  <conditionalFormatting sqref="W32">
    <cfRule type="cellIs" dxfId="526" priority="523" operator="greaterThan">
      <formula>0</formula>
    </cfRule>
  </conditionalFormatting>
  <conditionalFormatting sqref="P32">
    <cfRule type="cellIs" dxfId="525" priority="522" operator="greaterThan">
      <formula>100</formula>
    </cfRule>
  </conditionalFormatting>
  <conditionalFormatting sqref="W32">
    <cfRule type="cellIs" dxfId="524" priority="520" operator="greaterThan">
      <formula>0</formula>
    </cfRule>
    <cfRule type="cellIs" dxfId="523" priority="521" operator="lessThan">
      <formula>0</formula>
    </cfRule>
  </conditionalFormatting>
  <conditionalFormatting sqref="W32">
    <cfRule type="cellIs" dxfId="522" priority="519" operator="greaterThan">
      <formula>0</formula>
    </cfRule>
  </conditionalFormatting>
  <conditionalFormatting sqref="P32">
    <cfRule type="cellIs" dxfId="521" priority="518" operator="greaterThan">
      <formula>100</formula>
    </cfRule>
  </conditionalFormatting>
  <conditionalFormatting sqref="D33">
    <cfRule type="expression" dxfId="520" priority="517">
      <formula>VALUE($D33)&lt;0</formula>
    </cfRule>
  </conditionalFormatting>
  <conditionalFormatting sqref="E33">
    <cfRule type="expression" dxfId="519" priority="516">
      <formula>VALUE($E33)&lt;0</formula>
    </cfRule>
  </conditionalFormatting>
  <conditionalFormatting sqref="W33">
    <cfRule type="cellIs" dxfId="518" priority="514" operator="greaterThan">
      <formula>0</formula>
    </cfRule>
    <cfRule type="cellIs" dxfId="517" priority="515" operator="lessThan">
      <formula>0</formula>
    </cfRule>
  </conditionalFormatting>
  <conditionalFormatting sqref="W33">
    <cfRule type="cellIs" dxfId="516" priority="513" operator="greaterThan">
      <formula>0</formula>
    </cfRule>
  </conditionalFormatting>
  <conditionalFormatting sqref="P33">
    <cfRule type="cellIs" dxfId="515" priority="512" operator="greaterThan">
      <formula>100</formula>
    </cfRule>
  </conditionalFormatting>
  <conditionalFormatting sqref="W33">
    <cfRule type="cellIs" dxfId="514" priority="510" operator="greaterThan">
      <formula>0</formula>
    </cfRule>
    <cfRule type="cellIs" dxfId="513" priority="511" operator="lessThan">
      <formula>0</formula>
    </cfRule>
  </conditionalFormatting>
  <conditionalFormatting sqref="W33">
    <cfRule type="cellIs" dxfId="512" priority="509" operator="greaterThan">
      <formula>0</formula>
    </cfRule>
  </conditionalFormatting>
  <conditionalFormatting sqref="P33">
    <cfRule type="cellIs" dxfId="511" priority="508" operator="greaterThan">
      <formula>100</formula>
    </cfRule>
  </conditionalFormatting>
  <conditionalFormatting sqref="D34">
    <cfRule type="expression" dxfId="510" priority="507">
      <formula>VALUE($D34)&lt;0</formula>
    </cfRule>
  </conditionalFormatting>
  <conditionalFormatting sqref="E34">
    <cfRule type="expression" dxfId="509" priority="506">
      <formula>VALUE($E34)&lt;0</formula>
    </cfRule>
  </conditionalFormatting>
  <conditionalFormatting sqref="W34">
    <cfRule type="cellIs" dxfId="508" priority="504" operator="greaterThan">
      <formula>0</formula>
    </cfRule>
    <cfRule type="cellIs" dxfId="507" priority="505" operator="lessThan">
      <formula>0</formula>
    </cfRule>
  </conditionalFormatting>
  <conditionalFormatting sqref="W34">
    <cfRule type="cellIs" dxfId="506" priority="503" operator="greaterThan">
      <formula>0</formula>
    </cfRule>
  </conditionalFormatting>
  <conditionalFormatting sqref="P34">
    <cfRule type="cellIs" dxfId="505" priority="502" operator="greaterThan">
      <formula>100</formula>
    </cfRule>
  </conditionalFormatting>
  <conditionalFormatting sqref="W34">
    <cfRule type="cellIs" dxfId="504" priority="500" operator="greaterThan">
      <formula>0</formula>
    </cfRule>
    <cfRule type="cellIs" dxfId="503" priority="501" operator="lessThan">
      <formula>0</formula>
    </cfRule>
  </conditionalFormatting>
  <conditionalFormatting sqref="W34">
    <cfRule type="cellIs" dxfId="502" priority="499" operator="greaterThan">
      <formula>0</formula>
    </cfRule>
  </conditionalFormatting>
  <conditionalFormatting sqref="P34">
    <cfRule type="cellIs" dxfId="501" priority="498" operator="greaterThan">
      <formula>100</formula>
    </cfRule>
  </conditionalFormatting>
  <conditionalFormatting sqref="D35">
    <cfRule type="expression" dxfId="500" priority="497">
      <formula>VALUE($D35)&lt;0</formula>
    </cfRule>
  </conditionalFormatting>
  <conditionalFormatting sqref="E35">
    <cfRule type="expression" dxfId="499" priority="496">
      <formula>VALUE($E35)&lt;0</formula>
    </cfRule>
  </conditionalFormatting>
  <conditionalFormatting sqref="W35">
    <cfRule type="cellIs" dxfId="498" priority="494" operator="greaterThan">
      <formula>0</formula>
    </cfRule>
    <cfRule type="cellIs" dxfId="497" priority="495" operator="lessThan">
      <formula>0</formula>
    </cfRule>
  </conditionalFormatting>
  <conditionalFormatting sqref="W35">
    <cfRule type="cellIs" dxfId="496" priority="493" operator="greaterThan">
      <formula>0</formula>
    </cfRule>
  </conditionalFormatting>
  <conditionalFormatting sqref="P35">
    <cfRule type="cellIs" dxfId="495" priority="492" operator="greaterThan">
      <formula>100</formula>
    </cfRule>
  </conditionalFormatting>
  <conditionalFormatting sqref="W35">
    <cfRule type="cellIs" dxfId="494" priority="490" operator="greaterThan">
      <formula>0</formula>
    </cfRule>
    <cfRule type="cellIs" dxfId="493" priority="491" operator="lessThan">
      <formula>0</formula>
    </cfRule>
  </conditionalFormatting>
  <conditionalFormatting sqref="W35">
    <cfRule type="cellIs" dxfId="492" priority="489" operator="greaterThan">
      <formula>0</formula>
    </cfRule>
  </conditionalFormatting>
  <conditionalFormatting sqref="P35">
    <cfRule type="cellIs" dxfId="491" priority="488" operator="greaterThan">
      <formula>100</formula>
    </cfRule>
  </conditionalFormatting>
  <conditionalFormatting sqref="D36">
    <cfRule type="expression" dxfId="490" priority="487">
      <formula>VALUE($D36)&lt;0</formula>
    </cfRule>
  </conditionalFormatting>
  <conditionalFormatting sqref="E36">
    <cfRule type="expression" dxfId="489" priority="486">
      <formula>VALUE($E36)&lt;0</formula>
    </cfRule>
  </conditionalFormatting>
  <conditionalFormatting sqref="W36">
    <cfRule type="cellIs" dxfId="488" priority="484" operator="greaterThan">
      <formula>0</formula>
    </cfRule>
    <cfRule type="cellIs" dxfId="487" priority="485" operator="lessThan">
      <formula>0</formula>
    </cfRule>
  </conditionalFormatting>
  <conditionalFormatting sqref="W36">
    <cfRule type="cellIs" dxfId="486" priority="483" operator="greaterThan">
      <formula>0</formula>
    </cfRule>
  </conditionalFormatting>
  <conditionalFormatting sqref="P36">
    <cfRule type="cellIs" dxfId="485" priority="482" operator="greaterThan">
      <formula>100</formula>
    </cfRule>
  </conditionalFormatting>
  <conditionalFormatting sqref="W36">
    <cfRule type="cellIs" dxfId="484" priority="480" operator="greaterThan">
      <formula>0</formula>
    </cfRule>
    <cfRule type="cellIs" dxfId="483" priority="481" operator="lessThan">
      <formula>0</formula>
    </cfRule>
  </conditionalFormatting>
  <conditionalFormatting sqref="W36">
    <cfRule type="cellIs" dxfId="482" priority="479" operator="greaterThan">
      <formula>0</formula>
    </cfRule>
  </conditionalFormatting>
  <conditionalFormatting sqref="P36">
    <cfRule type="cellIs" dxfId="481" priority="478" operator="greaterThan">
      <formula>100</formula>
    </cfRule>
  </conditionalFormatting>
  <conditionalFormatting sqref="D37">
    <cfRule type="expression" dxfId="480" priority="477">
      <formula>VALUE($D37)&lt;0</formula>
    </cfRule>
  </conditionalFormatting>
  <conditionalFormatting sqref="E37">
    <cfRule type="expression" dxfId="479" priority="476">
      <formula>VALUE($E37)&lt;0</formula>
    </cfRule>
  </conditionalFormatting>
  <conditionalFormatting sqref="W37">
    <cfRule type="cellIs" dxfId="478" priority="474" operator="greaterThan">
      <formula>0</formula>
    </cfRule>
    <cfRule type="cellIs" dxfId="477" priority="475" operator="lessThan">
      <formula>0</formula>
    </cfRule>
  </conditionalFormatting>
  <conditionalFormatting sqref="W37">
    <cfRule type="cellIs" dxfId="476" priority="473" operator="greaterThan">
      <formula>0</formula>
    </cfRule>
  </conditionalFormatting>
  <conditionalFormatting sqref="P37">
    <cfRule type="cellIs" dxfId="475" priority="472" operator="greaterThan">
      <formula>100</formula>
    </cfRule>
  </conditionalFormatting>
  <conditionalFormatting sqref="W37">
    <cfRule type="cellIs" dxfId="474" priority="470" operator="greaterThan">
      <formula>0</formula>
    </cfRule>
    <cfRule type="cellIs" dxfId="473" priority="471" operator="lessThan">
      <formula>0</formula>
    </cfRule>
  </conditionalFormatting>
  <conditionalFormatting sqref="W37">
    <cfRule type="cellIs" dxfId="472" priority="469" operator="greaterThan">
      <formula>0</formula>
    </cfRule>
  </conditionalFormatting>
  <conditionalFormatting sqref="P37">
    <cfRule type="cellIs" dxfId="471" priority="468" operator="greaterThan">
      <formula>100</formula>
    </cfRule>
  </conditionalFormatting>
  <conditionalFormatting sqref="D38">
    <cfRule type="expression" dxfId="470" priority="467">
      <formula>VALUE($D38)&lt;0</formula>
    </cfRule>
  </conditionalFormatting>
  <conditionalFormatting sqref="E38">
    <cfRule type="expression" dxfId="469" priority="466">
      <formula>VALUE($E38)&lt;0</formula>
    </cfRule>
  </conditionalFormatting>
  <conditionalFormatting sqref="W38">
    <cfRule type="cellIs" dxfId="468" priority="464" operator="greaterThan">
      <formula>0</formula>
    </cfRule>
    <cfRule type="cellIs" dxfId="467" priority="465" operator="lessThan">
      <formula>0</formula>
    </cfRule>
  </conditionalFormatting>
  <conditionalFormatting sqref="W38">
    <cfRule type="cellIs" dxfId="466" priority="463" operator="greaterThan">
      <formula>0</formula>
    </cfRule>
  </conditionalFormatting>
  <conditionalFormatting sqref="P38">
    <cfRule type="cellIs" dxfId="465" priority="462" operator="greaterThan">
      <formula>100</formula>
    </cfRule>
  </conditionalFormatting>
  <conditionalFormatting sqref="W38">
    <cfRule type="cellIs" dxfId="464" priority="460" operator="greaterThan">
      <formula>0</formula>
    </cfRule>
    <cfRule type="cellIs" dxfId="463" priority="461" operator="lessThan">
      <formula>0</formula>
    </cfRule>
  </conditionalFormatting>
  <conditionalFormatting sqref="W38">
    <cfRule type="cellIs" dxfId="462" priority="459" operator="greaterThan">
      <formula>0</formula>
    </cfRule>
  </conditionalFormatting>
  <conditionalFormatting sqref="P38">
    <cfRule type="cellIs" dxfId="461" priority="458" operator="greaterThan">
      <formula>100</formula>
    </cfRule>
  </conditionalFormatting>
  <conditionalFormatting sqref="D41">
    <cfRule type="expression" dxfId="460" priority="457">
      <formula>VALUE($D41)&lt;0</formula>
    </cfRule>
  </conditionalFormatting>
  <conditionalFormatting sqref="E41">
    <cfRule type="expression" dxfId="459" priority="456">
      <formula>VALUE($E41)&lt;0</formula>
    </cfRule>
  </conditionalFormatting>
  <conditionalFormatting sqref="W41">
    <cfRule type="cellIs" dxfId="458" priority="454" operator="greaterThan">
      <formula>0</formula>
    </cfRule>
    <cfRule type="cellIs" dxfId="457" priority="455" operator="lessThan">
      <formula>0</formula>
    </cfRule>
  </conditionalFormatting>
  <conditionalFormatting sqref="W41">
    <cfRule type="cellIs" dxfId="456" priority="453" operator="greaterThan">
      <formula>0</formula>
    </cfRule>
  </conditionalFormatting>
  <conditionalFormatting sqref="P41">
    <cfRule type="cellIs" dxfId="455" priority="452" operator="greaterThan">
      <formula>100</formula>
    </cfRule>
  </conditionalFormatting>
  <conditionalFormatting sqref="W41">
    <cfRule type="cellIs" dxfId="454" priority="450" operator="greaterThan">
      <formula>0</formula>
    </cfRule>
    <cfRule type="cellIs" dxfId="453" priority="451" operator="lessThan">
      <formula>0</formula>
    </cfRule>
  </conditionalFormatting>
  <conditionalFormatting sqref="W41">
    <cfRule type="cellIs" dxfId="452" priority="449" operator="greaterThan">
      <formula>0</formula>
    </cfRule>
  </conditionalFormatting>
  <conditionalFormatting sqref="P41">
    <cfRule type="cellIs" dxfId="451" priority="448" operator="greaterThan">
      <formula>100</formula>
    </cfRule>
  </conditionalFormatting>
  <conditionalFormatting sqref="F3:F11">
    <cfRule type="expression" dxfId="450" priority="444">
      <formula>VALUE($F3)&lt;0</formula>
    </cfRule>
  </conditionalFormatting>
  <conditionalFormatting sqref="F19:F24">
    <cfRule type="expression" dxfId="449" priority="442">
      <formula>VALUE($F19)&lt;0</formula>
    </cfRule>
  </conditionalFormatting>
  <conditionalFormatting sqref="F30:F38">
    <cfRule type="expression" dxfId="448" priority="441">
      <formula>VALUE($F30)&lt;0</formula>
    </cfRule>
  </conditionalFormatting>
  <conditionalFormatting sqref="F86:F91">
    <cfRule type="expression" dxfId="447" priority="440">
      <formula>VALUE($F86)&lt;0</formula>
    </cfRule>
  </conditionalFormatting>
  <conditionalFormatting sqref="H86:H91">
    <cfRule type="expression" dxfId="446" priority="439">
      <formula>VALUE($H86)&lt;0</formula>
    </cfRule>
  </conditionalFormatting>
  <conditionalFormatting sqref="H3:H11">
    <cfRule type="expression" dxfId="445" priority="438">
      <formula>VALUE($H3)&lt;0</formula>
    </cfRule>
  </conditionalFormatting>
  <conditionalFormatting sqref="F41">
    <cfRule type="expression" dxfId="444" priority="437">
      <formula>VALUE($F41)&lt;0</formula>
    </cfRule>
  </conditionalFormatting>
  <conditionalFormatting sqref="C19:C24">
    <cfRule type="expression" dxfId="443" priority="436">
      <formula>VALUE($C19)&lt;0</formula>
    </cfRule>
  </conditionalFormatting>
  <conditionalFormatting sqref="C30:C38">
    <cfRule type="expression" dxfId="442" priority="435">
      <formula>VALUE($C30)&lt;0</formula>
    </cfRule>
  </conditionalFormatting>
  <conditionalFormatting sqref="C86:C91">
    <cfRule type="expression" dxfId="441" priority="434">
      <formula>VALUE($C86)&lt;0</formula>
    </cfRule>
  </conditionalFormatting>
  <conditionalFormatting sqref="D42">
    <cfRule type="expression" dxfId="440" priority="433">
      <formula>VALUE($D42)&lt;0</formula>
    </cfRule>
  </conditionalFormatting>
  <conditionalFormatting sqref="E42">
    <cfRule type="expression" dxfId="439" priority="432">
      <formula>VALUE($E42)&lt;0</formula>
    </cfRule>
  </conditionalFormatting>
  <conditionalFormatting sqref="W42">
    <cfRule type="cellIs" dxfId="438" priority="430" operator="greaterThan">
      <formula>0</formula>
    </cfRule>
    <cfRule type="cellIs" dxfId="437" priority="431" operator="lessThan">
      <formula>0</formula>
    </cfRule>
  </conditionalFormatting>
  <conditionalFormatting sqref="W42">
    <cfRule type="cellIs" dxfId="436" priority="429" operator="greaterThan">
      <formula>0</formula>
    </cfRule>
  </conditionalFormatting>
  <conditionalFormatting sqref="P42">
    <cfRule type="cellIs" dxfId="435" priority="428" operator="greaterThan">
      <formula>100</formula>
    </cfRule>
  </conditionalFormatting>
  <conditionalFormatting sqref="W42">
    <cfRule type="cellIs" dxfId="434" priority="426" operator="greaterThan">
      <formula>0</formula>
    </cfRule>
    <cfRule type="cellIs" dxfId="433" priority="427" operator="lessThan">
      <formula>0</formula>
    </cfRule>
  </conditionalFormatting>
  <conditionalFormatting sqref="W42">
    <cfRule type="cellIs" dxfId="432" priority="425" operator="greaterThan">
      <formula>0</formula>
    </cfRule>
  </conditionalFormatting>
  <conditionalFormatting sqref="P42">
    <cfRule type="cellIs" dxfId="431" priority="424" operator="greaterThan">
      <formula>100</formula>
    </cfRule>
  </conditionalFormatting>
  <conditionalFormatting sqref="F42">
    <cfRule type="expression" dxfId="430" priority="423">
      <formula>VALUE($F42)&lt;0</formula>
    </cfRule>
  </conditionalFormatting>
  <conditionalFormatting sqref="D43">
    <cfRule type="expression" dxfId="429" priority="422">
      <formula>VALUE($D43)&lt;0</formula>
    </cfRule>
  </conditionalFormatting>
  <conditionalFormatting sqref="E43">
    <cfRule type="expression" dxfId="428" priority="421">
      <formula>VALUE($E43)&lt;0</formula>
    </cfRule>
  </conditionalFormatting>
  <conditionalFormatting sqref="W43">
    <cfRule type="cellIs" dxfId="427" priority="419" operator="greaterThan">
      <formula>0</formula>
    </cfRule>
    <cfRule type="cellIs" dxfId="426" priority="420" operator="lessThan">
      <formula>0</formula>
    </cfRule>
  </conditionalFormatting>
  <conditionalFormatting sqref="W43">
    <cfRule type="cellIs" dxfId="425" priority="418" operator="greaterThan">
      <formula>0</formula>
    </cfRule>
  </conditionalFormatting>
  <conditionalFormatting sqref="P43">
    <cfRule type="cellIs" dxfId="424" priority="417" operator="greaterThan">
      <formula>100</formula>
    </cfRule>
  </conditionalFormatting>
  <conditionalFormatting sqref="W43">
    <cfRule type="cellIs" dxfId="423" priority="415" operator="greaterThan">
      <formula>0</formula>
    </cfRule>
    <cfRule type="cellIs" dxfId="422" priority="416" operator="lessThan">
      <formula>0</formula>
    </cfRule>
  </conditionalFormatting>
  <conditionalFormatting sqref="W43">
    <cfRule type="cellIs" dxfId="421" priority="414" operator="greaterThan">
      <formula>0</formula>
    </cfRule>
  </conditionalFormatting>
  <conditionalFormatting sqref="P43">
    <cfRule type="cellIs" dxfId="420" priority="413" operator="greaterThan">
      <formula>100</formula>
    </cfRule>
  </conditionalFormatting>
  <conditionalFormatting sqref="F43">
    <cfRule type="expression" dxfId="419" priority="412">
      <formula>VALUE($F43)&lt;0</formula>
    </cfRule>
  </conditionalFormatting>
  <conditionalFormatting sqref="D44">
    <cfRule type="expression" dxfId="418" priority="411">
      <formula>VALUE($D44)&lt;0</formula>
    </cfRule>
  </conditionalFormatting>
  <conditionalFormatting sqref="E44">
    <cfRule type="expression" dxfId="417" priority="410">
      <formula>VALUE($E44)&lt;0</formula>
    </cfRule>
  </conditionalFormatting>
  <conditionalFormatting sqref="W44">
    <cfRule type="cellIs" dxfId="416" priority="408" operator="greaterThan">
      <formula>0</formula>
    </cfRule>
    <cfRule type="cellIs" dxfId="415" priority="409" operator="lessThan">
      <formula>0</formula>
    </cfRule>
  </conditionalFormatting>
  <conditionalFormatting sqref="W44">
    <cfRule type="cellIs" dxfId="414" priority="407" operator="greaterThan">
      <formula>0</formula>
    </cfRule>
  </conditionalFormatting>
  <conditionalFormatting sqref="P44">
    <cfRule type="cellIs" dxfId="413" priority="406" operator="greaterThan">
      <formula>100</formula>
    </cfRule>
  </conditionalFormatting>
  <conditionalFormatting sqref="W44">
    <cfRule type="cellIs" dxfId="412" priority="404" operator="greaterThan">
      <formula>0</formula>
    </cfRule>
    <cfRule type="cellIs" dxfId="411" priority="405" operator="lessThan">
      <formula>0</formula>
    </cfRule>
  </conditionalFormatting>
  <conditionalFormatting sqref="W44">
    <cfRule type="cellIs" dxfId="410" priority="403" operator="greaterThan">
      <formula>0</formula>
    </cfRule>
  </conditionalFormatting>
  <conditionalFormatting sqref="P44">
    <cfRule type="cellIs" dxfId="409" priority="402" operator="greaterThan">
      <formula>100</formula>
    </cfRule>
  </conditionalFormatting>
  <conditionalFormatting sqref="F44">
    <cfRule type="expression" dxfId="408" priority="401">
      <formula>VALUE($F44)&lt;0</formula>
    </cfRule>
  </conditionalFormatting>
  <conditionalFormatting sqref="D45">
    <cfRule type="expression" dxfId="407" priority="400">
      <formula>VALUE($D45)&lt;0</formula>
    </cfRule>
  </conditionalFormatting>
  <conditionalFormatting sqref="E45">
    <cfRule type="expression" dxfId="406" priority="399">
      <formula>VALUE($E45)&lt;0</formula>
    </cfRule>
  </conditionalFormatting>
  <conditionalFormatting sqref="W45">
    <cfRule type="cellIs" dxfId="405" priority="397" operator="greaterThan">
      <formula>0</formula>
    </cfRule>
    <cfRule type="cellIs" dxfId="404" priority="398" operator="lessThan">
      <formula>0</formula>
    </cfRule>
  </conditionalFormatting>
  <conditionalFormatting sqref="W45">
    <cfRule type="cellIs" dxfId="403" priority="396" operator="greaterThan">
      <formula>0</formula>
    </cfRule>
  </conditionalFormatting>
  <conditionalFormatting sqref="P45">
    <cfRule type="cellIs" dxfId="402" priority="395" operator="greaterThan">
      <formula>100</formula>
    </cfRule>
  </conditionalFormatting>
  <conditionalFormatting sqref="W45">
    <cfRule type="cellIs" dxfId="401" priority="393" operator="greaterThan">
      <formula>0</formula>
    </cfRule>
    <cfRule type="cellIs" dxfId="400" priority="394" operator="lessThan">
      <formula>0</formula>
    </cfRule>
  </conditionalFormatting>
  <conditionalFormatting sqref="W45">
    <cfRule type="cellIs" dxfId="399" priority="392" operator="greaterThan">
      <formula>0</formula>
    </cfRule>
  </conditionalFormatting>
  <conditionalFormatting sqref="P45">
    <cfRule type="cellIs" dxfId="398" priority="391" operator="greaterThan">
      <formula>100</formula>
    </cfRule>
  </conditionalFormatting>
  <conditionalFormatting sqref="F45">
    <cfRule type="expression" dxfId="397" priority="390">
      <formula>VALUE($F45)&lt;0</formula>
    </cfRule>
  </conditionalFormatting>
  <conditionalFormatting sqref="F46">
    <cfRule type="expression" dxfId="396" priority="379">
      <formula>VALUE($F46)&lt;0</formula>
    </cfRule>
  </conditionalFormatting>
  <conditionalFormatting sqref="D46">
    <cfRule type="expression" dxfId="395" priority="389">
      <formula>VALUE($D46)&lt;0</formula>
    </cfRule>
  </conditionalFormatting>
  <conditionalFormatting sqref="E46">
    <cfRule type="expression" dxfId="394" priority="388">
      <formula>VALUE($E46)&lt;0</formula>
    </cfRule>
  </conditionalFormatting>
  <conditionalFormatting sqref="W46">
    <cfRule type="cellIs" dxfId="393" priority="386" operator="greaterThan">
      <formula>0</formula>
    </cfRule>
    <cfRule type="cellIs" dxfId="392" priority="387" operator="lessThan">
      <formula>0</formula>
    </cfRule>
  </conditionalFormatting>
  <conditionalFormatting sqref="W46">
    <cfRule type="cellIs" dxfId="391" priority="385" operator="greaterThan">
      <formula>0</formula>
    </cfRule>
  </conditionalFormatting>
  <conditionalFormatting sqref="P46">
    <cfRule type="cellIs" dxfId="390" priority="384" operator="greaterThan">
      <formula>100</formula>
    </cfRule>
  </conditionalFormatting>
  <conditionalFormatting sqref="W46">
    <cfRule type="cellIs" dxfId="389" priority="382" operator="greaterThan">
      <formula>0</formula>
    </cfRule>
    <cfRule type="cellIs" dxfId="388" priority="383" operator="lessThan">
      <formula>0</formula>
    </cfRule>
  </conditionalFormatting>
  <conditionalFormatting sqref="W46">
    <cfRule type="cellIs" dxfId="387" priority="381" operator="greaterThan">
      <formula>0</formula>
    </cfRule>
  </conditionalFormatting>
  <conditionalFormatting sqref="P46">
    <cfRule type="cellIs" dxfId="386" priority="380" operator="greaterThan">
      <formula>100</formula>
    </cfRule>
  </conditionalFormatting>
  <conditionalFormatting sqref="F47">
    <cfRule type="expression" dxfId="385" priority="368">
      <formula>VALUE($F47)&lt;0</formula>
    </cfRule>
  </conditionalFormatting>
  <conditionalFormatting sqref="F48">
    <cfRule type="expression" dxfId="384" priority="357">
      <formula>VALUE($F48)&lt;0</formula>
    </cfRule>
  </conditionalFormatting>
  <conditionalFormatting sqref="D47">
    <cfRule type="expression" dxfId="383" priority="378">
      <formula>VALUE($D47)&lt;0</formula>
    </cfRule>
  </conditionalFormatting>
  <conditionalFormatting sqref="E47">
    <cfRule type="expression" dxfId="382" priority="377">
      <formula>VALUE($E47)&lt;0</formula>
    </cfRule>
  </conditionalFormatting>
  <conditionalFormatting sqref="W47">
    <cfRule type="cellIs" dxfId="381" priority="375" operator="greaterThan">
      <formula>0</formula>
    </cfRule>
    <cfRule type="cellIs" dxfId="380" priority="376" operator="lessThan">
      <formula>0</formula>
    </cfRule>
  </conditionalFormatting>
  <conditionalFormatting sqref="W47">
    <cfRule type="cellIs" dxfId="379" priority="374" operator="greaterThan">
      <formula>0</formula>
    </cfRule>
  </conditionalFormatting>
  <conditionalFormatting sqref="P47">
    <cfRule type="cellIs" dxfId="378" priority="373" operator="greaterThan">
      <formula>100</formula>
    </cfRule>
  </conditionalFormatting>
  <conditionalFormatting sqref="W47">
    <cfRule type="cellIs" dxfId="377" priority="371" operator="greaterThan">
      <formula>0</formula>
    </cfRule>
    <cfRule type="cellIs" dxfId="376" priority="372" operator="lessThan">
      <formula>0</formula>
    </cfRule>
  </conditionalFormatting>
  <conditionalFormatting sqref="W47">
    <cfRule type="cellIs" dxfId="375" priority="370" operator="greaterThan">
      <formula>0</formula>
    </cfRule>
  </conditionalFormatting>
  <conditionalFormatting sqref="P47">
    <cfRule type="cellIs" dxfId="374" priority="369" operator="greaterThan">
      <formula>100</formula>
    </cfRule>
  </conditionalFormatting>
  <conditionalFormatting sqref="F49">
    <cfRule type="expression" dxfId="373" priority="346">
      <formula>VALUE($F49)&lt;0</formula>
    </cfRule>
  </conditionalFormatting>
  <conditionalFormatting sqref="D48">
    <cfRule type="expression" dxfId="372" priority="367">
      <formula>VALUE($D48)&lt;0</formula>
    </cfRule>
  </conditionalFormatting>
  <conditionalFormatting sqref="E48">
    <cfRule type="expression" dxfId="371" priority="366">
      <formula>VALUE($E48)&lt;0</formula>
    </cfRule>
  </conditionalFormatting>
  <conditionalFormatting sqref="W48">
    <cfRule type="cellIs" dxfId="370" priority="364" operator="greaterThan">
      <formula>0</formula>
    </cfRule>
    <cfRule type="cellIs" dxfId="369" priority="365" operator="lessThan">
      <formula>0</formula>
    </cfRule>
  </conditionalFormatting>
  <conditionalFormatting sqref="W48">
    <cfRule type="cellIs" dxfId="368" priority="363" operator="greaterThan">
      <formula>0</formula>
    </cfRule>
  </conditionalFormatting>
  <conditionalFormatting sqref="P48">
    <cfRule type="cellIs" dxfId="367" priority="362" operator="greaterThan">
      <formula>100</formula>
    </cfRule>
  </conditionalFormatting>
  <conditionalFormatting sqref="W48">
    <cfRule type="cellIs" dxfId="366" priority="360" operator="greaterThan">
      <formula>0</formula>
    </cfRule>
    <cfRule type="cellIs" dxfId="365" priority="361" operator="lessThan">
      <formula>0</formula>
    </cfRule>
  </conditionalFormatting>
  <conditionalFormatting sqref="W48">
    <cfRule type="cellIs" dxfId="364" priority="359" operator="greaterThan">
      <formula>0</formula>
    </cfRule>
  </conditionalFormatting>
  <conditionalFormatting sqref="P48">
    <cfRule type="cellIs" dxfId="363" priority="358" operator="greaterThan">
      <formula>100</formula>
    </cfRule>
  </conditionalFormatting>
  <conditionalFormatting sqref="F50">
    <cfRule type="expression" dxfId="362" priority="335">
      <formula>VALUE($F50)&lt;0</formula>
    </cfRule>
  </conditionalFormatting>
  <conditionalFormatting sqref="D49">
    <cfRule type="expression" dxfId="361" priority="356">
      <formula>VALUE($D49)&lt;0</formula>
    </cfRule>
  </conditionalFormatting>
  <conditionalFormatting sqref="E49">
    <cfRule type="expression" dxfId="360" priority="355">
      <formula>VALUE($E49)&lt;0</formula>
    </cfRule>
  </conditionalFormatting>
  <conditionalFormatting sqref="W49">
    <cfRule type="cellIs" dxfId="359" priority="353" operator="greaterThan">
      <formula>0</formula>
    </cfRule>
    <cfRule type="cellIs" dxfId="358" priority="354" operator="lessThan">
      <formula>0</formula>
    </cfRule>
  </conditionalFormatting>
  <conditionalFormatting sqref="W49">
    <cfRule type="cellIs" dxfId="357" priority="352" operator="greaterThan">
      <formula>0</formula>
    </cfRule>
  </conditionalFormatting>
  <conditionalFormatting sqref="P49">
    <cfRule type="cellIs" dxfId="356" priority="351" operator="greaterThan">
      <formula>100</formula>
    </cfRule>
  </conditionalFormatting>
  <conditionalFormatting sqref="W49">
    <cfRule type="cellIs" dxfId="355" priority="349" operator="greaterThan">
      <formula>0</formula>
    </cfRule>
    <cfRule type="cellIs" dxfId="354" priority="350" operator="lessThan">
      <formula>0</formula>
    </cfRule>
  </conditionalFormatting>
  <conditionalFormatting sqref="W49">
    <cfRule type="cellIs" dxfId="353" priority="348" operator="greaterThan">
      <formula>0</formula>
    </cfRule>
  </conditionalFormatting>
  <conditionalFormatting sqref="P49">
    <cfRule type="cellIs" dxfId="352" priority="347" operator="greaterThan">
      <formula>100</formula>
    </cfRule>
  </conditionalFormatting>
  <conditionalFormatting sqref="F51">
    <cfRule type="expression" dxfId="351" priority="324">
      <formula>VALUE($F51)&lt;0</formula>
    </cfRule>
  </conditionalFormatting>
  <conditionalFormatting sqref="D50">
    <cfRule type="expression" dxfId="350" priority="345">
      <formula>VALUE($D50)&lt;0</formula>
    </cfRule>
  </conditionalFormatting>
  <conditionalFormatting sqref="E50">
    <cfRule type="expression" dxfId="349" priority="344">
      <formula>VALUE($E50)&lt;0</formula>
    </cfRule>
  </conditionalFormatting>
  <conditionalFormatting sqref="W50">
    <cfRule type="cellIs" dxfId="348" priority="342" operator="greaterThan">
      <formula>0</formula>
    </cfRule>
    <cfRule type="cellIs" dxfId="347" priority="343" operator="lessThan">
      <formula>0</formula>
    </cfRule>
  </conditionalFormatting>
  <conditionalFormatting sqref="W50">
    <cfRule type="cellIs" dxfId="346" priority="341" operator="greaterThan">
      <formula>0</formula>
    </cfRule>
  </conditionalFormatting>
  <conditionalFormatting sqref="P50">
    <cfRule type="cellIs" dxfId="345" priority="340" operator="greaterThan">
      <formula>100</formula>
    </cfRule>
  </conditionalFormatting>
  <conditionalFormatting sqref="W50">
    <cfRule type="cellIs" dxfId="344" priority="338" operator="greaterThan">
      <formula>0</formula>
    </cfRule>
    <cfRule type="cellIs" dxfId="343" priority="339" operator="lessThan">
      <formula>0</formula>
    </cfRule>
  </conditionalFormatting>
  <conditionalFormatting sqref="W50">
    <cfRule type="cellIs" dxfId="342" priority="337" operator="greaterThan">
      <formula>0</formula>
    </cfRule>
  </conditionalFormatting>
  <conditionalFormatting sqref="P50">
    <cfRule type="cellIs" dxfId="341" priority="336" operator="greaterThan">
      <formula>100</formula>
    </cfRule>
  </conditionalFormatting>
  <conditionalFormatting sqref="F52">
    <cfRule type="expression" dxfId="340" priority="313">
      <formula>VALUE($F52)&lt;0</formula>
    </cfRule>
  </conditionalFormatting>
  <conditionalFormatting sqref="D51">
    <cfRule type="expression" dxfId="339" priority="334">
      <formula>VALUE($D51)&lt;0</formula>
    </cfRule>
  </conditionalFormatting>
  <conditionalFormatting sqref="E51">
    <cfRule type="expression" dxfId="338" priority="333">
      <formula>VALUE($E51)&lt;0</formula>
    </cfRule>
  </conditionalFormatting>
  <conditionalFormatting sqref="W51">
    <cfRule type="cellIs" dxfId="337" priority="331" operator="greaterThan">
      <formula>0</formula>
    </cfRule>
    <cfRule type="cellIs" dxfId="336" priority="332" operator="lessThan">
      <formula>0</formula>
    </cfRule>
  </conditionalFormatting>
  <conditionalFormatting sqref="W51">
    <cfRule type="cellIs" dxfId="335" priority="330" operator="greaterThan">
      <formula>0</formula>
    </cfRule>
  </conditionalFormatting>
  <conditionalFormatting sqref="P51">
    <cfRule type="cellIs" dxfId="334" priority="329" operator="greaterThan">
      <formula>100</formula>
    </cfRule>
  </conditionalFormatting>
  <conditionalFormatting sqref="W51">
    <cfRule type="cellIs" dxfId="333" priority="327" operator="greaterThan">
      <formula>0</formula>
    </cfRule>
    <cfRule type="cellIs" dxfId="332" priority="328" operator="lessThan">
      <formula>0</formula>
    </cfRule>
  </conditionalFormatting>
  <conditionalFormatting sqref="W51">
    <cfRule type="cellIs" dxfId="331" priority="326" operator="greaterThan">
      <formula>0</formula>
    </cfRule>
  </conditionalFormatting>
  <conditionalFormatting sqref="P51">
    <cfRule type="cellIs" dxfId="330" priority="325" operator="greaterThan">
      <formula>100</formula>
    </cfRule>
  </conditionalFormatting>
  <conditionalFormatting sqref="D52">
    <cfRule type="expression" dxfId="329" priority="323">
      <formula>VALUE($D52)&lt;0</formula>
    </cfRule>
  </conditionalFormatting>
  <conditionalFormatting sqref="E52">
    <cfRule type="expression" dxfId="328" priority="322">
      <formula>VALUE($E52)&lt;0</formula>
    </cfRule>
  </conditionalFormatting>
  <conditionalFormatting sqref="W52">
    <cfRule type="cellIs" dxfId="327" priority="320" operator="greaterThan">
      <formula>0</formula>
    </cfRule>
    <cfRule type="cellIs" dxfId="326" priority="321" operator="lessThan">
      <formula>0</formula>
    </cfRule>
  </conditionalFormatting>
  <conditionalFormatting sqref="W52">
    <cfRule type="cellIs" dxfId="325" priority="319" operator="greaterThan">
      <formula>0</formula>
    </cfRule>
  </conditionalFormatting>
  <conditionalFormatting sqref="P52">
    <cfRule type="cellIs" dxfId="324" priority="318" operator="greaterThan">
      <formula>100</formula>
    </cfRule>
  </conditionalFormatting>
  <conditionalFormatting sqref="W52">
    <cfRule type="cellIs" dxfId="323" priority="316" operator="greaterThan">
      <formula>0</formula>
    </cfRule>
    <cfRule type="cellIs" dxfId="322" priority="317" operator="lessThan">
      <formula>0</formula>
    </cfRule>
  </conditionalFormatting>
  <conditionalFormatting sqref="W52">
    <cfRule type="cellIs" dxfId="321" priority="315" operator="greaterThan">
      <formula>0</formula>
    </cfRule>
  </conditionalFormatting>
  <conditionalFormatting sqref="P52">
    <cfRule type="cellIs" dxfId="320" priority="314" operator="greaterThan">
      <formula>100</formula>
    </cfRule>
  </conditionalFormatting>
  <conditionalFormatting sqref="F55">
    <cfRule type="expression" dxfId="319" priority="302">
      <formula>VALUE($F55)&lt;0</formula>
    </cfRule>
  </conditionalFormatting>
  <conditionalFormatting sqref="D55">
    <cfRule type="expression" dxfId="318" priority="312">
      <formula>VALUE($D55)&lt;0</formula>
    </cfRule>
  </conditionalFormatting>
  <conditionalFormatting sqref="E55">
    <cfRule type="expression" dxfId="317" priority="311">
      <formula>VALUE($E55)&lt;0</formula>
    </cfRule>
  </conditionalFormatting>
  <conditionalFormatting sqref="W55">
    <cfRule type="cellIs" dxfId="316" priority="309" operator="greaterThan">
      <formula>0</formula>
    </cfRule>
    <cfRule type="cellIs" dxfId="315" priority="310" operator="lessThan">
      <formula>0</formula>
    </cfRule>
  </conditionalFormatting>
  <conditionalFormatting sqref="W55">
    <cfRule type="cellIs" dxfId="314" priority="308" operator="greaterThan">
      <formula>0</formula>
    </cfRule>
  </conditionalFormatting>
  <conditionalFormatting sqref="P55">
    <cfRule type="cellIs" dxfId="313" priority="307" operator="greaterThan">
      <formula>100</formula>
    </cfRule>
  </conditionalFormatting>
  <conditionalFormatting sqref="W55">
    <cfRule type="cellIs" dxfId="312" priority="305" operator="greaterThan">
      <formula>0</formula>
    </cfRule>
    <cfRule type="cellIs" dxfId="311" priority="306" operator="lessThan">
      <formula>0</formula>
    </cfRule>
  </conditionalFormatting>
  <conditionalFormatting sqref="W55">
    <cfRule type="cellIs" dxfId="310" priority="304" operator="greaterThan">
      <formula>0</formula>
    </cfRule>
  </conditionalFormatting>
  <conditionalFormatting sqref="P55">
    <cfRule type="cellIs" dxfId="309" priority="303" operator="greaterThan">
      <formula>100</formula>
    </cfRule>
  </conditionalFormatting>
  <conditionalFormatting sqref="F56">
    <cfRule type="expression" dxfId="308" priority="291">
      <formula>VALUE($F56)&lt;0</formula>
    </cfRule>
  </conditionalFormatting>
  <conditionalFormatting sqref="D56">
    <cfRule type="expression" dxfId="307" priority="301">
      <formula>VALUE($D56)&lt;0</formula>
    </cfRule>
  </conditionalFormatting>
  <conditionalFormatting sqref="E56">
    <cfRule type="expression" dxfId="306" priority="300">
      <formula>VALUE($E56)&lt;0</formula>
    </cfRule>
  </conditionalFormatting>
  <conditionalFormatting sqref="W56">
    <cfRule type="cellIs" dxfId="305" priority="298" operator="greaterThan">
      <formula>0</formula>
    </cfRule>
    <cfRule type="cellIs" dxfId="304" priority="299" operator="lessThan">
      <formula>0</formula>
    </cfRule>
  </conditionalFormatting>
  <conditionalFormatting sqref="W56">
    <cfRule type="cellIs" dxfId="303" priority="297" operator="greaterThan">
      <formula>0</formula>
    </cfRule>
  </conditionalFormatting>
  <conditionalFormatting sqref="P56">
    <cfRule type="cellIs" dxfId="302" priority="296" operator="greaterThan">
      <formula>100</formula>
    </cfRule>
  </conditionalFormatting>
  <conditionalFormatting sqref="W56">
    <cfRule type="cellIs" dxfId="301" priority="294" operator="greaterThan">
      <formula>0</formula>
    </cfRule>
    <cfRule type="cellIs" dxfId="300" priority="295" operator="lessThan">
      <formula>0</formula>
    </cfRule>
  </conditionalFormatting>
  <conditionalFormatting sqref="W56">
    <cfRule type="cellIs" dxfId="299" priority="293" operator="greaterThan">
      <formula>0</formula>
    </cfRule>
  </conditionalFormatting>
  <conditionalFormatting sqref="P56">
    <cfRule type="cellIs" dxfId="298" priority="292" operator="greaterThan">
      <formula>100</formula>
    </cfRule>
  </conditionalFormatting>
  <conditionalFormatting sqref="F57">
    <cfRule type="expression" dxfId="297" priority="280">
      <formula>VALUE($F57)&lt;0</formula>
    </cfRule>
  </conditionalFormatting>
  <conditionalFormatting sqref="D57">
    <cfRule type="expression" dxfId="296" priority="290">
      <formula>VALUE($D57)&lt;0</formula>
    </cfRule>
  </conditionalFormatting>
  <conditionalFormatting sqref="E57">
    <cfRule type="expression" dxfId="295" priority="289">
      <formula>VALUE($E57)&lt;0</formula>
    </cfRule>
  </conditionalFormatting>
  <conditionalFormatting sqref="W57">
    <cfRule type="cellIs" dxfId="294" priority="287" operator="greaterThan">
      <formula>0</formula>
    </cfRule>
    <cfRule type="cellIs" dxfId="293" priority="288" operator="lessThan">
      <formula>0</formula>
    </cfRule>
  </conditionalFormatting>
  <conditionalFormatting sqref="W57">
    <cfRule type="cellIs" dxfId="292" priority="286" operator="greaterThan">
      <formula>0</formula>
    </cfRule>
  </conditionalFormatting>
  <conditionalFormatting sqref="P57">
    <cfRule type="cellIs" dxfId="291" priority="285" operator="greaterThan">
      <formula>100</formula>
    </cfRule>
  </conditionalFormatting>
  <conditionalFormatting sqref="W57">
    <cfRule type="cellIs" dxfId="290" priority="283" operator="greaterThan">
      <formula>0</formula>
    </cfRule>
    <cfRule type="cellIs" dxfId="289" priority="284" operator="lessThan">
      <formula>0</formula>
    </cfRule>
  </conditionalFormatting>
  <conditionalFormatting sqref="W57">
    <cfRule type="cellIs" dxfId="288" priority="282" operator="greaterThan">
      <formula>0</formula>
    </cfRule>
  </conditionalFormatting>
  <conditionalFormatting sqref="P57">
    <cfRule type="cellIs" dxfId="287" priority="281" operator="greaterThan">
      <formula>100</formula>
    </cfRule>
  </conditionalFormatting>
  <conditionalFormatting sqref="F58">
    <cfRule type="expression" dxfId="286" priority="269">
      <formula>VALUE($F58)&lt;0</formula>
    </cfRule>
  </conditionalFormatting>
  <conditionalFormatting sqref="D58">
    <cfRule type="expression" dxfId="285" priority="279">
      <formula>VALUE($D58)&lt;0</formula>
    </cfRule>
  </conditionalFormatting>
  <conditionalFormatting sqref="E58">
    <cfRule type="expression" dxfId="284" priority="278">
      <formula>VALUE($E58)&lt;0</formula>
    </cfRule>
  </conditionalFormatting>
  <conditionalFormatting sqref="W58">
    <cfRule type="cellIs" dxfId="283" priority="276" operator="greaterThan">
      <formula>0</formula>
    </cfRule>
    <cfRule type="cellIs" dxfId="282" priority="277" operator="lessThan">
      <formula>0</formula>
    </cfRule>
  </conditionalFormatting>
  <conditionalFormatting sqref="W58">
    <cfRule type="cellIs" dxfId="281" priority="275" operator="greaterThan">
      <formula>0</formula>
    </cfRule>
  </conditionalFormatting>
  <conditionalFormatting sqref="P58">
    <cfRule type="cellIs" dxfId="280" priority="274" operator="greaterThan">
      <formula>100</formula>
    </cfRule>
  </conditionalFormatting>
  <conditionalFormatting sqref="W58">
    <cfRule type="cellIs" dxfId="279" priority="272" operator="greaterThan">
      <formula>0</formula>
    </cfRule>
    <cfRule type="cellIs" dxfId="278" priority="273" operator="lessThan">
      <formula>0</formula>
    </cfRule>
  </conditionalFormatting>
  <conditionalFormatting sqref="W58">
    <cfRule type="cellIs" dxfId="277" priority="271" operator="greaterThan">
      <formula>0</formula>
    </cfRule>
  </conditionalFormatting>
  <conditionalFormatting sqref="P58">
    <cfRule type="cellIs" dxfId="276" priority="270" operator="greaterThan">
      <formula>100</formula>
    </cfRule>
  </conditionalFormatting>
  <conditionalFormatting sqref="F59">
    <cfRule type="expression" dxfId="275" priority="258">
      <formula>VALUE($F59)&lt;0</formula>
    </cfRule>
  </conditionalFormatting>
  <conditionalFormatting sqref="D59">
    <cfRule type="expression" dxfId="274" priority="268">
      <formula>VALUE($D59)&lt;0</formula>
    </cfRule>
  </conditionalFormatting>
  <conditionalFormatting sqref="E59">
    <cfRule type="expression" dxfId="273" priority="267">
      <formula>VALUE($E59)&lt;0</formula>
    </cfRule>
  </conditionalFormatting>
  <conditionalFormatting sqref="W59">
    <cfRule type="cellIs" dxfId="272" priority="265" operator="greaterThan">
      <formula>0</formula>
    </cfRule>
    <cfRule type="cellIs" dxfId="271" priority="266" operator="lessThan">
      <formula>0</formula>
    </cfRule>
  </conditionalFormatting>
  <conditionalFormatting sqref="W59">
    <cfRule type="cellIs" dxfId="270" priority="264" operator="greaterThan">
      <formula>0</formula>
    </cfRule>
  </conditionalFormatting>
  <conditionalFormatting sqref="P59">
    <cfRule type="cellIs" dxfId="269" priority="263" operator="greaterThan">
      <formula>100</formula>
    </cfRule>
  </conditionalFormatting>
  <conditionalFormatting sqref="W59">
    <cfRule type="cellIs" dxfId="268" priority="261" operator="greaterThan">
      <formula>0</formula>
    </cfRule>
    <cfRule type="cellIs" dxfId="267" priority="262" operator="lessThan">
      <formula>0</formula>
    </cfRule>
  </conditionalFormatting>
  <conditionalFormatting sqref="W59">
    <cfRule type="cellIs" dxfId="266" priority="260" operator="greaterThan">
      <formula>0</formula>
    </cfRule>
  </conditionalFormatting>
  <conditionalFormatting sqref="P59">
    <cfRule type="cellIs" dxfId="265" priority="259" operator="greaterThan">
      <formula>100</formula>
    </cfRule>
  </conditionalFormatting>
  <conditionalFormatting sqref="F63">
    <cfRule type="expression" dxfId="264" priority="247">
      <formula>VALUE($F63)&lt;0</formula>
    </cfRule>
  </conditionalFormatting>
  <conditionalFormatting sqref="D63">
    <cfRule type="expression" dxfId="263" priority="257">
      <formula>VALUE($D63)&lt;0</formula>
    </cfRule>
  </conditionalFormatting>
  <conditionalFormatting sqref="E63">
    <cfRule type="expression" dxfId="262" priority="256">
      <formula>VALUE($E63)&lt;0</formula>
    </cfRule>
  </conditionalFormatting>
  <conditionalFormatting sqref="W63">
    <cfRule type="cellIs" dxfId="261" priority="254" operator="greaterThan">
      <formula>0</formula>
    </cfRule>
    <cfRule type="cellIs" dxfId="260" priority="255" operator="lessThan">
      <formula>0</formula>
    </cfRule>
  </conditionalFormatting>
  <conditionalFormatting sqref="W63">
    <cfRule type="cellIs" dxfId="259" priority="253" operator="greaterThan">
      <formula>0</formula>
    </cfRule>
  </conditionalFormatting>
  <conditionalFormatting sqref="P63">
    <cfRule type="cellIs" dxfId="258" priority="252" operator="greaterThan">
      <formula>100</formula>
    </cfRule>
  </conditionalFormatting>
  <conditionalFormatting sqref="W63">
    <cfRule type="cellIs" dxfId="257" priority="250" operator="greaterThan">
      <formula>0</formula>
    </cfRule>
    <cfRule type="cellIs" dxfId="256" priority="251" operator="lessThan">
      <formula>0</formula>
    </cfRule>
  </conditionalFormatting>
  <conditionalFormatting sqref="W63">
    <cfRule type="cellIs" dxfId="255" priority="249" operator="greaterThan">
      <formula>0</formula>
    </cfRule>
  </conditionalFormatting>
  <conditionalFormatting sqref="P63">
    <cfRule type="cellIs" dxfId="254" priority="248" operator="greaterThan">
      <formula>100</formula>
    </cfRule>
  </conditionalFormatting>
  <conditionalFormatting sqref="F60">
    <cfRule type="expression" dxfId="253" priority="236">
      <formula>VALUE($F60)&lt;0</formula>
    </cfRule>
  </conditionalFormatting>
  <conditionalFormatting sqref="D60">
    <cfRule type="expression" dxfId="252" priority="246">
      <formula>VALUE($D60)&lt;0</formula>
    </cfRule>
  </conditionalFormatting>
  <conditionalFormatting sqref="E60">
    <cfRule type="expression" dxfId="251" priority="245">
      <formula>VALUE($E60)&lt;0</formula>
    </cfRule>
  </conditionalFormatting>
  <conditionalFormatting sqref="W60">
    <cfRule type="cellIs" dxfId="250" priority="243" operator="greaterThan">
      <formula>0</formula>
    </cfRule>
    <cfRule type="cellIs" dxfId="249" priority="244" operator="lessThan">
      <formula>0</formula>
    </cfRule>
  </conditionalFormatting>
  <conditionalFormatting sqref="W60">
    <cfRule type="cellIs" dxfId="248" priority="242" operator="greaterThan">
      <formula>0</formula>
    </cfRule>
  </conditionalFormatting>
  <conditionalFormatting sqref="P60">
    <cfRule type="cellIs" dxfId="247" priority="241" operator="greaterThan">
      <formula>100</formula>
    </cfRule>
  </conditionalFormatting>
  <conditionalFormatting sqref="W60">
    <cfRule type="cellIs" dxfId="246" priority="239" operator="greaterThan">
      <formula>0</formula>
    </cfRule>
    <cfRule type="cellIs" dxfId="245" priority="240" operator="lessThan">
      <formula>0</formula>
    </cfRule>
  </conditionalFormatting>
  <conditionalFormatting sqref="W60">
    <cfRule type="cellIs" dxfId="244" priority="238" operator="greaterThan">
      <formula>0</formula>
    </cfRule>
  </conditionalFormatting>
  <conditionalFormatting sqref="P60">
    <cfRule type="cellIs" dxfId="243" priority="237" operator="greaterThan">
      <formula>100</formula>
    </cfRule>
  </conditionalFormatting>
  <conditionalFormatting sqref="F61">
    <cfRule type="expression" dxfId="242" priority="225">
      <formula>VALUE($F61)&lt;0</formula>
    </cfRule>
  </conditionalFormatting>
  <conditionalFormatting sqref="D61">
    <cfRule type="expression" dxfId="241" priority="235">
      <formula>VALUE($D61)&lt;0</formula>
    </cfRule>
  </conditionalFormatting>
  <conditionalFormatting sqref="E61">
    <cfRule type="expression" dxfId="240" priority="234">
      <formula>VALUE($E61)&lt;0</formula>
    </cfRule>
  </conditionalFormatting>
  <conditionalFormatting sqref="W61">
    <cfRule type="cellIs" dxfId="239" priority="232" operator="greaterThan">
      <formula>0</formula>
    </cfRule>
    <cfRule type="cellIs" dxfId="238" priority="233" operator="lessThan">
      <formula>0</formula>
    </cfRule>
  </conditionalFormatting>
  <conditionalFormatting sqref="W61">
    <cfRule type="cellIs" dxfId="237" priority="231" operator="greaterThan">
      <formula>0</formula>
    </cfRule>
  </conditionalFormatting>
  <conditionalFormatting sqref="P61">
    <cfRule type="cellIs" dxfId="236" priority="230" operator="greaterThan">
      <formula>100</formula>
    </cfRule>
  </conditionalFormatting>
  <conditionalFormatting sqref="W61">
    <cfRule type="cellIs" dxfId="235" priority="228" operator="greaterThan">
      <formula>0</formula>
    </cfRule>
    <cfRule type="cellIs" dxfId="234" priority="229" operator="lessThan">
      <formula>0</formula>
    </cfRule>
  </conditionalFormatting>
  <conditionalFormatting sqref="W61">
    <cfRule type="cellIs" dxfId="233" priority="227" operator="greaterThan">
      <formula>0</formula>
    </cfRule>
  </conditionalFormatting>
  <conditionalFormatting sqref="P61">
    <cfRule type="cellIs" dxfId="232" priority="226" operator="greaterThan">
      <formula>100</formula>
    </cfRule>
  </conditionalFormatting>
  <conditionalFormatting sqref="F62">
    <cfRule type="expression" dxfId="231" priority="214">
      <formula>VALUE($F62)&lt;0</formula>
    </cfRule>
  </conditionalFormatting>
  <conditionalFormatting sqref="D62">
    <cfRule type="expression" dxfId="230" priority="224">
      <formula>VALUE($D62)&lt;0</formula>
    </cfRule>
  </conditionalFormatting>
  <conditionalFormatting sqref="E62">
    <cfRule type="expression" dxfId="229" priority="223">
      <formula>VALUE($E62)&lt;0</formula>
    </cfRule>
  </conditionalFormatting>
  <conditionalFormatting sqref="W62">
    <cfRule type="cellIs" dxfId="228" priority="221" operator="greaterThan">
      <formula>0</formula>
    </cfRule>
    <cfRule type="cellIs" dxfId="227" priority="222" operator="lessThan">
      <formula>0</formula>
    </cfRule>
  </conditionalFormatting>
  <conditionalFormatting sqref="W62">
    <cfRule type="cellIs" dxfId="226" priority="220" operator="greaterThan">
      <formula>0</formula>
    </cfRule>
  </conditionalFormatting>
  <conditionalFormatting sqref="P62">
    <cfRule type="cellIs" dxfId="225" priority="219" operator="greaterThan">
      <formula>100</formula>
    </cfRule>
  </conditionalFormatting>
  <conditionalFormatting sqref="W62">
    <cfRule type="cellIs" dxfId="224" priority="217" operator="greaterThan">
      <formula>0</formula>
    </cfRule>
    <cfRule type="cellIs" dxfId="223" priority="218" operator="lessThan">
      <formula>0</formula>
    </cfRule>
  </conditionalFormatting>
  <conditionalFormatting sqref="W62">
    <cfRule type="cellIs" dxfId="222" priority="216" operator="greaterThan">
      <formula>0</formula>
    </cfRule>
  </conditionalFormatting>
  <conditionalFormatting sqref="P62">
    <cfRule type="cellIs" dxfId="221" priority="215" operator="greaterThan">
      <formula>100</formula>
    </cfRule>
  </conditionalFormatting>
  <conditionalFormatting sqref="F64">
    <cfRule type="expression" dxfId="220" priority="203">
      <formula>VALUE($F64)&lt;0</formula>
    </cfRule>
  </conditionalFormatting>
  <conditionalFormatting sqref="D64">
    <cfRule type="expression" dxfId="219" priority="213">
      <formula>VALUE($D64)&lt;0</formula>
    </cfRule>
  </conditionalFormatting>
  <conditionalFormatting sqref="E64">
    <cfRule type="expression" dxfId="218" priority="212">
      <formula>VALUE($E64)&lt;0</formula>
    </cfRule>
  </conditionalFormatting>
  <conditionalFormatting sqref="W64">
    <cfRule type="cellIs" dxfId="217" priority="210" operator="greaterThan">
      <formula>0</formula>
    </cfRule>
    <cfRule type="cellIs" dxfId="216" priority="211" operator="lessThan">
      <formula>0</formula>
    </cfRule>
  </conditionalFormatting>
  <conditionalFormatting sqref="W64">
    <cfRule type="cellIs" dxfId="215" priority="209" operator="greaterThan">
      <formula>0</formula>
    </cfRule>
  </conditionalFormatting>
  <conditionalFormatting sqref="P64">
    <cfRule type="cellIs" dxfId="214" priority="208" operator="greaterThan">
      <formula>100</formula>
    </cfRule>
  </conditionalFormatting>
  <conditionalFormatting sqref="W64">
    <cfRule type="cellIs" dxfId="213" priority="206" operator="greaterThan">
      <formula>0</formula>
    </cfRule>
    <cfRule type="cellIs" dxfId="212" priority="207" operator="lessThan">
      <formula>0</formula>
    </cfRule>
  </conditionalFormatting>
  <conditionalFormatting sqref="W64">
    <cfRule type="cellIs" dxfId="211" priority="205" operator="greaterThan">
      <formula>0</formula>
    </cfRule>
  </conditionalFormatting>
  <conditionalFormatting sqref="P64">
    <cfRule type="cellIs" dxfId="210" priority="204" operator="greaterThan">
      <formula>100</formula>
    </cfRule>
  </conditionalFormatting>
  <conditionalFormatting sqref="F65">
    <cfRule type="expression" dxfId="209" priority="192">
      <formula>VALUE($F65)&lt;0</formula>
    </cfRule>
  </conditionalFormatting>
  <conditionalFormatting sqref="D65">
    <cfRule type="expression" dxfId="208" priority="202">
      <formula>VALUE($D65)&lt;0</formula>
    </cfRule>
  </conditionalFormatting>
  <conditionalFormatting sqref="E65">
    <cfRule type="expression" dxfId="207" priority="201">
      <formula>VALUE($E65)&lt;0</formula>
    </cfRule>
  </conditionalFormatting>
  <conditionalFormatting sqref="W65">
    <cfRule type="cellIs" dxfId="206" priority="199" operator="greaterThan">
      <formula>0</formula>
    </cfRule>
    <cfRule type="cellIs" dxfId="205" priority="200" operator="lessThan">
      <formula>0</formula>
    </cfRule>
  </conditionalFormatting>
  <conditionalFormatting sqref="W65">
    <cfRule type="cellIs" dxfId="204" priority="198" operator="greaterThan">
      <formula>0</formula>
    </cfRule>
  </conditionalFormatting>
  <conditionalFormatting sqref="P65">
    <cfRule type="cellIs" dxfId="203" priority="197" operator="greaterThan">
      <formula>100</formula>
    </cfRule>
  </conditionalFormatting>
  <conditionalFormatting sqref="W65">
    <cfRule type="cellIs" dxfId="202" priority="195" operator="greaterThan">
      <formula>0</formula>
    </cfRule>
    <cfRule type="cellIs" dxfId="201" priority="196" operator="lessThan">
      <formula>0</formula>
    </cfRule>
  </conditionalFormatting>
  <conditionalFormatting sqref="W65">
    <cfRule type="cellIs" dxfId="200" priority="194" operator="greaterThan">
      <formula>0</formula>
    </cfRule>
  </conditionalFormatting>
  <conditionalFormatting sqref="P65">
    <cfRule type="cellIs" dxfId="199" priority="193" operator="greaterThan">
      <formula>100</formula>
    </cfRule>
  </conditionalFormatting>
  <conditionalFormatting sqref="F68">
    <cfRule type="expression" dxfId="198" priority="181">
      <formula>VALUE($F68)&lt;0</formula>
    </cfRule>
  </conditionalFormatting>
  <conditionalFormatting sqref="D68">
    <cfRule type="expression" dxfId="197" priority="191">
      <formula>VALUE($D68)&lt;0</formula>
    </cfRule>
  </conditionalFormatting>
  <conditionalFormatting sqref="E68">
    <cfRule type="expression" dxfId="196" priority="190">
      <formula>VALUE($E68)&lt;0</formula>
    </cfRule>
  </conditionalFormatting>
  <conditionalFormatting sqref="W68">
    <cfRule type="cellIs" dxfId="195" priority="188" operator="greaterThan">
      <formula>0</formula>
    </cfRule>
    <cfRule type="cellIs" dxfId="194" priority="189" operator="lessThan">
      <formula>0</formula>
    </cfRule>
  </conditionalFormatting>
  <conditionalFormatting sqref="W68">
    <cfRule type="cellIs" dxfId="193" priority="187" operator="greaterThan">
      <formula>0</formula>
    </cfRule>
  </conditionalFormatting>
  <conditionalFormatting sqref="P68">
    <cfRule type="cellIs" dxfId="192" priority="186" operator="greaterThan">
      <formula>100</formula>
    </cfRule>
  </conditionalFormatting>
  <conditionalFormatting sqref="W68">
    <cfRule type="cellIs" dxfId="191" priority="184" operator="greaterThan">
      <formula>0</formula>
    </cfRule>
    <cfRule type="cellIs" dxfId="190" priority="185" operator="lessThan">
      <formula>0</formula>
    </cfRule>
  </conditionalFormatting>
  <conditionalFormatting sqref="W68">
    <cfRule type="cellIs" dxfId="189" priority="183" operator="greaterThan">
      <formula>0</formula>
    </cfRule>
  </conditionalFormatting>
  <conditionalFormatting sqref="P68">
    <cfRule type="cellIs" dxfId="188" priority="182" operator="greaterThan">
      <formula>100</formula>
    </cfRule>
  </conditionalFormatting>
  <conditionalFormatting sqref="F69:F70">
    <cfRule type="expression" dxfId="187" priority="170">
      <formula>VALUE($F69)&lt;0</formula>
    </cfRule>
  </conditionalFormatting>
  <conditionalFormatting sqref="D69:D70">
    <cfRule type="expression" dxfId="186" priority="180">
      <formula>VALUE($D69)&lt;0</formula>
    </cfRule>
  </conditionalFormatting>
  <conditionalFormatting sqref="E69:E70">
    <cfRule type="expression" dxfId="185" priority="179">
      <formula>VALUE($E69)&lt;0</formula>
    </cfRule>
  </conditionalFormatting>
  <conditionalFormatting sqref="W69">
    <cfRule type="cellIs" dxfId="184" priority="177" operator="greaterThan">
      <formula>0</formula>
    </cfRule>
    <cfRule type="cellIs" dxfId="183" priority="178" operator="lessThan">
      <formula>0</formula>
    </cfRule>
  </conditionalFormatting>
  <conditionalFormatting sqref="W69">
    <cfRule type="cellIs" dxfId="182" priority="176" operator="greaterThan">
      <formula>0</formula>
    </cfRule>
  </conditionalFormatting>
  <conditionalFormatting sqref="P69:P70">
    <cfRule type="cellIs" dxfId="181" priority="175" operator="greaterThan">
      <formula>100</formula>
    </cfRule>
  </conditionalFormatting>
  <conditionalFormatting sqref="W69">
    <cfRule type="cellIs" dxfId="180" priority="173" operator="greaterThan">
      <formula>0</formula>
    </cfRule>
    <cfRule type="cellIs" dxfId="179" priority="174" operator="lessThan">
      <formula>0</formula>
    </cfRule>
  </conditionalFormatting>
  <conditionalFormatting sqref="W69">
    <cfRule type="cellIs" dxfId="178" priority="172" operator="greaterThan">
      <formula>0</formula>
    </cfRule>
  </conditionalFormatting>
  <conditionalFormatting sqref="P69:P70">
    <cfRule type="cellIs" dxfId="177" priority="171" operator="greaterThan">
      <formula>100</formula>
    </cfRule>
  </conditionalFormatting>
  <conditionalFormatting sqref="D95">
    <cfRule type="expression" dxfId="176" priority="169">
      <formula>VALUE($D95)&lt;0</formula>
    </cfRule>
  </conditionalFormatting>
  <conditionalFormatting sqref="E95">
    <cfRule type="expression" dxfId="175" priority="168">
      <formula>VALUE($E95)&lt;0</formula>
    </cfRule>
  </conditionalFormatting>
  <conditionalFormatting sqref="W95">
    <cfRule type="cellIs" dxfId="174" priority="166" operator="greaterThan">
      <formula>0</formula>
    </cfRule>
    <cfRule type="cellIs" dxfId="173" priority="167" operator="lessThan">
      <formula>0</formula>
    </cfRule>
  </conditionalFormatting>
  <conditionalFormatting sqref="W95">
    <cfRule type="cellIs" dxfId="172" priority="165" operator="greaterThan">
      <formula>0</formula>
    </cfRule>
  </conditionalFormatting>
  <conditionalFormatting sqref="P95">
    <cfRule type="cellIs" dxfId="171" priority="164" operator="greaterThan">
      <formula>100</formula>
    </cfRule>
  </conditionalFormatting>
  <conditionalFormatting sqref="W95">
    <cfRule type="cellIs" dxfId="170" priority="162" operator="greaterThan">
      <formula>0</formula>
    </cfRule>
    <cfRule type="cellIs" dxfId="169" priority="163" operator="lessThan">
      <formula>0</formula>
    </cfRule>
  </conditionalFormatting>
  <conditionalFormatting sqref="W95">
    <cfRule type="cellIs" dxfId="168" priority="161" operator="greaterThan">
      <formula>0</formula>
    </cfRule>
  </conditionalFormatting>
  <conditionalFormatting sqref="P95">
    <cfRule type="cellIs" dxfId="167" priority="160" operator="greaterThan">
      <formula>100</formula>
    </cfRule>
  </conditionalFormatting>
  <conditionalFormatting sqref="F95">
    <cfRule type="expression" dxfId="166" priority="159">
      <formula>VALUE($F95)&lt;0</formula>
    </cfRule>
  </conditionalFormatting>
  <conditionalFormatting sqref="H95">
    <cfRule type="expression" dxfId="165" priority="158">
      <formula>VALUE($H95)&lt;0</formula>
    </cfRule>
  </conditionalFormatting>
  <conditionalFormatting sqref="C95">
    <cfRule type="expression" dxfId="164" priority="157">
      <formula>VALUE($C95)&lt;0</formula>
    </cfRule>
  </conditionalFormatting>
  <conditionalFormatting sqref="D96">
    <cfRule type="expression" dxfId="163" priority="156">
      <formula>VALUE($D96)&lt;0</formula>
    </cfRule>
  </conditionalFormatting>
  <conditionalFormatting sqref="E96">
    <cfRule type="expression" dxfId="162" priority="155">
      <formula>VALUE($E96)&lt;0</formula>
    </cfRule>
  </conditionalFormatting>
  <conditionalFormatting sqref="W96">
    <cfRule type="cellIs" dxfId="161" priority="153" operator="greaterThan">
      <formula>0</formula>
    </cfRule>
    <cfRule type="cellIs" dxfId="160" priority="154" operator="lessThan">
      <formula>0</formula>
    </cfRule>
  </conditionalFormatting>
  <conditionalFormatting sqref="W96">
    <cfRule type="cellIs" dxfId="159" priority="152" operator="greaterThan">
      <formula>0</formula>
    </cfRule>
  </conditionalFormatting>
  <conditionalFormatting sqref="P96">
    <cfRule type="cellIs" dxfId="158" priority="151" operator="greaterThan">
      <formula>100</formula>
    </cfRule>
  </conditionalFormatting>
  <conditionalFormatting sqref="W96">
    <cfRule type="cellIs" dxfId="157" priority="149" operator="greaterThan">
      <formula>0</formula>
    </cfRule>
    <cfRule type="cellIs" dxfId="156" priority="150" operator="lessThan">
      <formula>0</formula>
    </cfRule>
  </conditionalFormatting>
  <conditionalFormatting sqref="W96">
    <cfRule type="cellIs" dxfId="155" priority="148" operator="greaterThan">
      <formula>0</formula>
    </cfRule>
  </conditionalFormatting>
  <conditionalFormatting sqref="P96">
    <cfRule type="cellIs" dxfId="154" priority="147" operator="greaterThan">
      <formula>100</formula>
    </cfRule>
  </conditionalFormatting>
  <conditionalFormatting sqref="F96">
    <cfRule type="expression" dxfId="153" priority="146">
      <formula>VALUE($F96)&lt;0</formula>
    </cfRule>
  </conditionalFormatting>
  <conditionalFormatting sqref="H96">
    <cfRule type="expression" dxfId="152" priority="145">
      <formula>VALUE($H96)&lt;0</formula>
    </cfRule>
  </conditionalFormatting>
  <conditionalFormatting sqref="C96">
    <cfRule type="expression" dxfId="151" priority="144">
      <formula>VALUE($C96)&lt;0</formula>
    </cfRule>
  </conditionalFormatting>
  <conditionalFormatting sqref="F72">
    <cfRule type="expression" dxfId="150" priority="133">
      <formula>VALUE($F72)&lt;0</formula>
    </cfRule>
  </conditionalFormatting>
  <conditionalFormatting sqref="D72">
    <cfRule type="expression" dxfId="149" priority="143">
      <formula>VALUE($D72)&lt;0</formula>
    </cfRule>
  </conditionalFormatting>
  <conditionalFormatting sqref="E72">
    <cfRule type="expression" dxfId="148" priority="142">
      <formula>VALUE($E72)&lt;0</formula>
    </cfRule>
  </conditionalFormatting>
  <conditionalFormatting sqref="W72">
    <cfRule type="cellIs" dxfId="147" priority="140" operator="greaterThan">
      <formula>0</formula>
    </cfRule>
    <cfRule type="cellIs" dxfId="146" priority="141" operator="lessThan">
      <formula>0</formula>
    </cfRule>
  </conditionalFormatting>
  <conditionalFormatting sqref="W72">
    <cfRule type="cellIs" dxfId="145" priority="139" operator="greaterThan">
      <formula>0</formula>
    </cfRule>
  </conditionalFormatting>
  <conditionalFormatting sqref="P72">
    <cfRule type="cellIs" dxfId="144" priority="138" operator="greaterThan">
      <formula>100</formula>
    </cfRule>
  </conditionalFormatting>
  <conditionalFormatting sqref="W72">
    <cfRule type="cellIs" dxfId="143" priority="136" operator="greaterThan">
      <formula>0</formula>
    </cfRule>
    <cfRule type="cellIs" dxfId="142" priority="137" operator="lessThan">
      <formula>0</formula>
    </cfRule>
  </conditionalFormatting>
  <conditionalFormatting sqref="W72">
    <cfRule type="cellIs" dxfId="141" priority="135" operator="greaterThan">
      <formula>0</formula>
    </cfRule>
  </conditionalFormatting>
  <conditionalFormatting sqref="P72">
    <cfRule type="cellIs" dxfId="140" priority="134" operator="greaterThan">
      <formula>100</formula>
    </cfRule>
  </conditionalFormatting>
  <conditionalFormatting sqref="F73">
    <cfRule type="expression" dxfId="139" priority="122">
      <formula>VALUE($F73)&lt;0</formula>
    </cfRule>
  </conditionalFormatting>
  <conditionalFormatting sqref="D73">
    <cfRule type="expression" dxfId="138" priority="132">
      <formula>VALUE($D73)&lt;0</formula>
    </cfRule>
  </conditionalFormatting>
  <conditionalFormatting sqref="E73">
    <cfRule type="expression" dxfId="137" priority="131">
      <formula>VALUE($E73)&lt;0</formula>
    </cfRule>
  </conditionalFormatting>
  <conditionalFormatting sqref="W73">
    <cfRule type="cellIs" dxfId="136" priority="129" operator="greaterThan">
      <formula>0</formula>
    </cfRule>
    <cfRule type="cellIs" dxfId="135" priority="130" operator="lessThan">
      <formula>0</formula>
    </cfRule>
  </conditionalFormatting>
  <conditionalFormatting sqref="W73">
    <cfRule type="cellIs" dxfId="134" priority="128" operator="greaterThan">
      <formula>0</formula>
    </cfRule>
  </conditionalFormatting>
  <conditionalFormatting sqref="P73">
    <cfRule type="cellIs" dxfId="133" priority="127" operator="greaterThan">
      <formula>100</formula>
    </cfRule>
  </conditionalFormatting>
  <conditionalFormatting sqref="W73">
    <cfRule type="cellIs" dxfId="132" priority="125" operator="greaterThan">
      <formula>0</formula>
    </cfRule>
    <cfRule type="cellIs" dxfId="131" priority="126" operator="lessThan">
      <formula>0</formula>
    </cfRule>
  </conditionalFormatting>
  <conditionalFormatting sqref="W73">
    <cfRule type="cellIs" dxfId="130" priority="124" operator="greaterThan">
      <formula>0</formula>
    </cfRule>
  </conditionalFormatting>
  <conditionalFormatting sqref="P73">
    <cfRule type="cellIs" dxfId="129" priority="123" operator="greaterThan">
      <formula>100</formula>
    </cfRule>
  </conditionalFormatting>
  <conditionalFormatting sqref="F74">
    <cfRule type="expression" dxfId="128" priority="111">
      <formula>VALUE($F74)&lt;0</formula>
    </cfRule>
  </conditionalFormatting>
  <conditionalFormatting sqref="D74">
    <cfRule type="expression" dxfId="127" priority="121">
      <formula>VALUE($D74)&lt;0</formula>
    </cfRule>
  </conditionalFormatting>
  <conditionalFormatting sqref="E74">
    <cfRule type="expression" dxfId="126" priority="120">
      <formula>VALUE($E74)&lt;0</formula>
    </cfRule>
  </conditionalFormatting>
  <conditionalFormatting sqref="W74">
    <cfRule type="cellIs" dxfId="125" priority="118" operator="greaterThan">
      <formula>0</formula>
    </cfRule>
    <cfRule type="cellIs" dxfId="124" priority="119" operator="lessThan">
      <formula>0</formula>
    </cfRule>
  </conditionalFormatting>
  <conditionalFormatting sqref="W74">
    <cfRule type="cellIs" dxfId="123" priority="117" operator="greaterThan">
      <formula>0</formula>
    </cfRule>
  </conditionalFormatting>
  <conditionalFormatting sqref="P74">
    <cfRule type="cellIs" dxfId="122" priority="116" operator="greaterThan">
      <formula>100</formula>
    </cfRule>
  </conditionalFormatting>
  <conditionalFormatting sqref="W74">
    <cfRule type="cellIs" dxfId="121" priority="114" operator="greaterThan">
      <formula>0</formula>
    </cfRule>
    <cfRule type="cellIs" dxfId="120" priority="115" operator="lessThan">
      <formula>0</formula>
    </cfRule>
  </conditionalFormatting>
  <conditionalFormatting sqref="W74">
    <cfRule type="cellIs" dxfId="119" priority="113" operator="greaterThan">
      <formula>0</formula>
    </cfRule>
  </conditionalFormatting>
  <conditionalFormatting sqref="P74">
    <cfRule type="cellIs" dxfId="118" priority="112" operator="greaterThan">
      <formula>100</formula>
    </cfRule>
  </conditionalFormatting>
  <conditionalFormatting sqref="F75">
    <cfRule type="expression" dxfId="117" priority="89">
      <formula>VALUE($F75)&lt;0</formula>
    </cfRule>
  </conditionalFormatting>
  <conditionalFormatting sqref="D75">
    <cfRule type="expression" dxfId="116" priority="99">
      <formula>VALUE($D75)&lt;0</formula>
    </cfRule>
  </conditionalFormatting>
  <conditionalFormatting sqref="E75">
    <cfRule type="expression" dxfId="115" priority="98">
      <formula>VALUE($E75)&lt;0</formula>
    </cfRule>
  </conditionalFormatting>
  <conditionalFormatting sqref="W75">
    <cfRule type="cellIs" dxfId="114" priority="96" operator="greaterThan">
      <formula>0</formula>
    </cfRule>
    <cfRule type="cellIs" dxfId="113" priority="97" operator="lessThan">
      <formula>0</formula>
    </cfRule>
  </conditionalFormatting>
  <conditionalFormatting sqref="W75">
    <cfRule type="cellIs" dxfId="112" priority="95" operator="greaterThan">
      <formula>0</formula>
    </cfRule>
  </conditionalFormatting>
  <conditionalFormatting sqref="P75">
    <cfRule type="cellIs" dxfId="111" priority="94" operator="greaterThan">
      <formula>100</formula>
    </cfRule>
  </conditionalFormatting>
  <conditionalFormatting sqref="W75">
    <cfRule type="cellIs" dxfId="110" priority="92" operator="greaterThan">
      <formula>0</formula>
    </cfRule>
    <cfRule type="cellIs" dxfId="109" priority="93" operator="lessThan">
      <formula>0</formula>
    </cfRule>
  </conditionalFormatting>
  <conditionalFormatting sqref="W75">
    <cfRule type="cellIs" dxfId="108" priority="91" operator="greaterThan">
      <formula>0</formula>
    </cfRule>
  </conditionalFormatting>
  <conditionalFormatting sqref="P75">
    <cfRule type="cellIs" dxfId="107" priority="90" operator="greaterThan">
      <formula>100</formula>
    </cfRule>
  </conditionalFormatting>
  <conditionalFormatting sqref="F76">
    <cfRule type="expression" dxfId="106" priority="78">
      <formula>VALUE($F76)&lt;0</formula>
    </cfRule>
  </conditionalFormatting>
  <conditionalFormatting sqref="D76">
    <cfRule type="expression" dxfId="105" priority="88">
      <formula>VALUE($D76)&lt;0</formula>
    </cfRule>
  </conditionalFormatting>
  <conditionalFormatting sqref="E76">
    <cfRule type="expression" dxfId="104" priority="87">
      <formula>VALUE($E76)&lt;0</formula>
    </cfRule>
  </conditionalFormatting>
  <conditionalFormatting sqref="W76">
    <cfRule type="cellIs" dxfId="103" priority="85" operator="greaterThan">
      <formula>0</formula>
    </cfRule>
    <cfRule type="cellIs" dxfId="102" priority="86" operator="lessThan">
      <formula>0</formula>
    </cfRule>
  </conditionalFormatting>
  <conditionalFormatting sqref="W76">
    <cfRule type="cellIs" dxfId="101" priority="84" operator="greaterThan">
      <formula>0</formula>
    </cfRule>
  </conditionalFormatting>
  <conditionalFormatting sqref="P76">
    <cfRule type="cellIs" dxfId="100" priority="83" operator="greaterThan">
      <formula>100</formula>
    </cfRule>
  </conditionalFormatting>
  <conditionalFormatting sqref="W76">
    <cfRule type="cellIs" dxfId="99" priority="81" operator="greaterThan">
      <formula>0</formula>
    </cfRule>
    <cfRule type="cellIs" dxfId="98" priority="82" operator="lessThan">
      <formula>0</formula>
    </cfRule>
  </conditionalFormatting>
  <conditionalFormatting sqref="W76">
    <cfRule type="cellIs" dxfId="97" priority="80" operator="greaterThan">
      <formula>0</formula>
    </cfRule>
  </conditionalFormatting>
  <conditionalFormatting sqref="P76">
    <cfRule type="cellIs" dxfId="96" priority="79" operator="greaterThan">
      <formula>100</formula>
    </cfRule>
  </conditionalFormatting>
  <conditionalFormatting sqref="F77">
    <cfRule type="expression" dxfId="95" priority="56">
      <formula>VALUE($F77)&lt;0</formula>
    </cfRule>
  </conditionalFormatting>
  <conditionalFormatting sqref="D77">
    <cfRule type="expression" dxfId="94" priority="66">
      <formula>VALUE($D77)&lt;0</formula>
    </cfRule>
  </conditionalFormatting>
  <conditionalFormatting sqref="E77">
    <cfRule type="expression" dxfId="93" priority="65">
      <formula>VALUE($E77)&lt;0</formula>
    </cfRule>
  </conditionalFormatting>
  <conditionalFormatting sqref="W77">
    <cfRule type="cellIs" dxfId="92" priority="63" operator="greaterThan">
      <formula>0</formula>
    </cfRule>
    <cfRule type="cellIs" dxfId="91" priority="64" operator="lessThan">
      <formula>0</formula>
    </cfRule>
  </conditionalFormatting>
  <conditionalFormatting sqref="W77">
    <cfRule type="cellIs" dxfId="90" priority="62" operator="greaterThan">
      <formula>0</formula>
    </cfRule>
  </conditionalFormatting>
  <conditionalFormatting sqref="P77">
    <cfRule type="cellIs" dxfId="89" priority="61" operator="greaterThan">
      <formula>100</formula>
    </cfRule>
  </conditionalFormatting>
  <conditionalFormatting sqref="W77">
    <cfRule type="cellIs" dxfId="88" priority="59" operator="greaterThan">
      <formula>0</formula>
    </cfRule>
    <cfRule type="cellIs" dxfId="87" priority="60" operator="lessThan">
      <formula>0</formula>
    </cfRule>
  </conditionalFormatting>
  <conditionalFormatting sqref="W77">
    <cfRule type="cellIs" dxfId="86" priority="58" operator="greaterThan">
      <formula>0</formula>
    </cfRule>
  </conditionalFormatting>
  <conditionalFormatting sqref="P77">
    <cfRule type="cellIs" dxfId="85" priority="57" operator="greaterThan">
      <formula>100</formula>
    </cfRule>
  </conditionalFormatting>
  <conditionalFormatting sqref="F78">
    <cfRule type="expression" dxfId="84" priority="45">
      <formula>VALUE($F78)&lt;0</formula>
    </cfRule>
  </conditionalFormatting>
  <conditionalFormatting sqref="D78">
    <cfRule type="expression" dxfId="83" priority="55">
      <formula>VALUE($D78)&lt;0</formula>
    </cfRule>
  </conditionalFormatting>
  <conditionalFormatting sqref="E78">
    <cfRule type="expression" dxfId="82" priority="54">
      <formula>VALUE($E78)&lt;0</formula>
    </cfRule>
  </conditionalFormatting>
  <conditionalFormatting sqref="W78">
    <cfRule type="cellIs" dxfId="81" priority="52" operator="greaterThan">
      <formula>0</formula>
    </cfRule>
    <cfRule type="cellIs" dxfId="80" priority="53" operator="lessThan">
      <formula>0</formula>
    </cfRule>
  </conditionalFormatting>
  <conditionalFormatting sqref="W78">
    <cfRule type="cellIs" dxfId="79" priority="51" operator="greaterThan">
      <formula>0</formula>
    </cfRule>
  </conditionalFormatting>
  <conditionalFormatting sqref="P78">
    <cfRule type="cellIs" dxfId="78" priority="50" operator="greaterThan">
      <formula>100</formula>
    </cfRule>
  </conditionalFormatting>
  <conditionalFormatting sqref="W78">
    <cfRule type="cellIs" dxfId="77" priority="48" operator="greaterThan">
      <formula>0</formula>
    </cfRule>
    <cfRule type="cellIs" dxfId="76" priority="49" operator="lessThan">
      <formula>0</formula>
    </cfRule>
  </conditionalFormatting>
  <conditionalFormatting sqref="W78">
    <cfRule type="cellIs" dxfId="75" priority="47" operator="greaterThan">
      <formula>0</formula>
    </cfRule>
  </conditionalFormatting>
  <conditionalFormatting sqref="P78">
    <cfRule type="cellIs" dxfId="74" priority="46" operator="greaterThan">
      <formula>100</formula>
    </cfRule>
  </conditionalFormatting>
  <conditionalFormatting sqref="F79">
    <cfRule type="expression" dxfId="73" priority="34">
      <formula>VALUE($F79)&lt;0</formula>
    </cfRule>
  </conditionalFormatting>
  <conditionalFormatting sqref="D79">
    <cfRule type="expression" dxfId="72" priority="44">
      <formula>VALUE($D79)&lt;0</formula>
    </cfRule>
  </conditionalFormatting>
  <conditionalFormatting sqref="E79">
    <cfRule type="expression" dxfId="71" priority="43">
      <formula>VALUE($E79)&lt;0</formula>
    </cfRule>
  </conditionalFormatting>
  <conditionalFormatting sqref="W79">
    <cfRule type="cellIs" dxfId="70" priority="41" operator="greaterThan">
      <formula>0</formula>
    </cfRule>
    <cfRule type="cellIs" dxfId="69" priority="42" operator="lessThan">
      <formula>0</formula>
    </cfRule>
  </conditionalFormatting>
  <conditionalFormatting sqref="W79">
    <cfRule type="cellIs" dxfId="68" priority="40" operator="greaterThan">
      <formula>0</formula>
    </cfRule>
  </conditionalFormatting>
  <conditionalFormatting sqref="P79">
    <cfRule type="cellIs" dxfId="67" priority="39" operator="greaterThan">
      <formula>100</formula>
    </cfRule>
  </conditionalFormatting>
  <conditionalFormatting sqref="W79">
    <cfRule type="cellIs" dxfId="66" priority="37" operator="greaterThan">
      <formula>0</formula>
    </cfRule>
    <cfRule type="cellIs" dxfId="65" priority="38" operator="lessThan">
      <formula>0</formula>
    </cfRule>
  </conditionalFormatting>
  <conditionalFormatting sqref="W79">
    <cfRule type="cellIs" dxfId="64" priority="36" operator="greaterThan">
      <formula>0</formula>
    </cfRule>
  </conditionalFormatting>
  <conditionalFormatting sqref="P79">
    <cfRule type="cellIs" dxfId="63" priority="35" operator="greaterThan">
      <formula>100</formula>
    </cfRule>
  </conditionalFormatting>
  <conditionalFormatting sqref="F81">
    <cfRule type="expression" dxfId="62" priority="23">
      <formula>VALUE($F81)&lt;0</formula>
    </cfRule>
  </conditionalFormatting>
  <conditionalFormatting sqref="D81">
    <cfRule type="expression" dxfId="61" priority="33">
      <formula>VALUE($D81)&lt;0</formula>
    </cfRule>
  </conditionalFormatting>
  <conditionalFormatting sqref="E81">
    <cfRule type="expression" dxfId="60" priority="32">
      <formula>VALUE($E81)&lt;0</formula>
    </cfRule>
  </conditionalFormatting>
  <conditionalFormatting sqref="W81">
    <cfRule type="cellIs" dxfId="59" priority="30" operator="greaterThan">
      <formula>0</formula>
    </cfRule>
    <cfRule type="cellIs" dxfId="58" priority="31" operator="lessThan">
      <formula>0</formula>
    </cfRule>
  </conditionalFormatting>
  <conditionalFormatting sqref="W81">
    <cfRule type="cellIs" dxfId="57" priority="29" operator="greaterThan">
      <formula>0</formula>
    </cfRule>
  </conditionalFormatting>
  <conditionalFormatting sqref="P81">
    <cfRule type="cellIs" dxfId="56" priority="28" operator="greaterThan">
      <formula>100</formula>
    </cfRule>
  </conditionalFormatting>
  <conditionalFormatting sqref="W81">
    <cfRule type="cellIs" dxfId="55" priority="26" operator="greaterThan">
      <formula>0</formula>
    </cfRule>
    <cfRule type="cellIs" dxfId="54" priority="27" operator="lessThan">
      <formula>0</formula>
    </cfRule>
  </conditionalFormatting>
  <conditionalFormatting sqref="W81">
    <cfRule type="cellIs" dxfId="53" priority="25" operator="greaterThan">
      <formula>0</formula>
    </cfRule>
  </conditionalFormatting>
  <conditionalFormatting sqref="P81">
    <cfRule type="cellIs" dxfId="52" priority="24" operator="greaterThan">
      <formula>100</formula>
    </cfRule>
  </conditionalFormatting>
  <conditionalFormatting sqref="F80">
    <cfRule type="expression" dxfId="51" priority="12">
      <formula>VALUE($F80)&lt;0</formula>
    </cfRule>
  </conditionalFormatting>
  <conditionalFormatting sqref="D80">
    <cfRule type="expression" dxfId="50" priority="22">
      <formula>VALUE($D80)&lt;0</formula>
    </cfRule>
  </conditionalFormatting>
  <conditionalFormatting sqref="E80">
    <cfRule type="expression" dxfId="49" priority="21">
      <formula>VALUE($E80)&lt;0</formula>
    </cfRule>
  </conditionalFormatting>
  <conditionalFormatting sqref="W80">
    <cfRule type="cellIs" dxfId="48" priority="19" operator="greaterThan">
      <formula>0</formula>
    </cfRule>
    <cfRule type="cellIs" dxfId="47" priority="20" operator="lessThan">
      <formula>0</formula>
    </cfRule>
  </conditionalFormatting>
  <conditionalFormatting sqref="W80">
    <cfRule type="cellIs" dxfId="46" priority="18" operator="greaterThan">
      <formula>0</formula>
    </cfRule>
  </conditionalFormatting>
  <conditionalFormatting sqref="P80">
    <cfRule type="cellIs" dxfId="45" priority="17" operator="greaterThan">
      <formula>100</formula>
    </cfRule>
  </conditionalFormatting>
  <conditionalFormatting sqref="W80">
    <cfRule type="cellIs" dxfId="44" priority="15" operator="greaterThan">
      <formula>0</formula>
    </cfRule>
    <cfRule type="cellIs" dxfId="43" priority="16" operator="lessThan">
      <formula>0</formula>
    </cfRule>
  </conditionalFormatting>
  <conditionalFormatting sqref="W80">
    <cfRule type="cellIs" dxfId="42" priority="14" operator="greaterThan">
      <formula>0</formula>
    </cfRule>
  </conditionalFormatting>
  <conditionalFormatting sqref="P80">
    <cfRule type="cellIs" dxfId="41" priority="13" operator="greaterThan">
      <formula>100</formula>
    </cfRule>
  </conditionalFormatting>
  <conditionalFormatting sqref="F82:F83">
    <cfRule type="expression" dxfId="40" priority="1">
      <formula>VALUE($F82)&lt;0</formula>
    </cfRule>
  </conditionalFormatting>
  <conditionalFormatting sqref="D82:D83">
    <cfRule type="expression" dxfId="39" priority="11">
      <formula>VALUE($D82)&lt;0</formula>
    </cfRule>
  </conditionalFormatting>
  <conditionalFormatting sqref="E82:E83">
    <cfRule type="expression" dxfId="38" priority="10">
      <formula>VALUE($E82)&lt;0</formula>
    </cfRule>
  </conditionalFormatting>
  <conditionalFormatting sqref="W82">
    <cfRule type="cellIs" dxfId="37" priority="8" operator="greaterThan">
      <formula>0</formula>
    </cfRule>
    <cfRule type="cellIs" dxfId="36" priority="9" operator="lessThan">
      <formula>0</formula>
    </cfRule>
  </conditionalFormatting>
  <conditionalFormatting sqref="W82">
    <cfRule type="cellIs" dxfId="35" priority="7" operator="greaterThan">
      <formula>0</formula>
    </cfRule>
  </conditionalFormatting>
  <conditionalFormatting sqref="P82:P83">
    <cfRule type="cellIs" dxfId="34" priority="6" operator="greaterThan">
      <formula>100</formula>
    </cfRule>
  </conditionalFormatting>
  <conditionalFormatting sqref="W82">
    <cfRule type="cellIs" dxfId="33" priority="4" operator="greaterThan">
      <formula>0</formula>
    </cfRule>
    <cfRule type="cellIs" dxfId="32" priority="5" operator="lessThan">
      <formula>0</formula>
    </cfRule>
  </conditionalFormatting>
  <conditionalFormatting sqref="W82">
    <cfRule type="cellIs" dxfId="31" priority="3" operator="greaterThan">
      <formula>0</formula>
    </cfRule>
  </conditionalFormatting>
  <conditionalFormatting sqref="P82:P83">
    <cfRule type="cellIs" dxfId="30" priority="2" operator="greaterThan">
      <formula>100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9ABEB-BF78-4B0C-8DB1-9D584EFD9D66}">
  <sheetPr codeName="工作表13"/>
  <dimension ref="B2:L22"/>
  <sheetViews>
    <sheetView topLeftCell="B1" workbookViewId="0">
      <selection activeCell="E30" sqref="E30"/>
    </sheetView>
  </sheetViews>
  <sheetFormatPr defaultRowHeight="16.2"/>
  <cols>
    <col min="2" max="2" width="12.88671875" bestFit="1" customWidth="1"/>
    <col min="3" max="4" width="10.44140625" bestFit="1" customWidth="1"/>
    <col min="5" max="5" width="10.44140625" style="60" bestFit="1" customWidth="1"/>
    <col min="7" max="7" width="10.44140625" bestFit="1" customWidth="1"/>
    <col min="9" max="10" width="10.44140625" style="60" bestFit="1" customWidth="1"/>
    <col min="11" max="12" width="10.44140625" bestFit="1" customWidth="1"/>
  </cols>
  <sheetData>
    <row r="2" spans="2:12">
      <c r="B2" s="55"/>
      <c r="D2" s="56"/>
      <c r="E2" s="56"/>
      <c r="F2" s="55"/>
      <c r="H2" s="56"/>
      <c r="I2" s="56"/>
      <c r="J2" s="56"/>
    </row>
    <row r="3" spans="2:12">
      <c r="B3" s="67" t="s">
        <v>5494</v>
      </c>
      <c r="C3" s="66" t="s">
        <v>5488</v>
      </c>
      <c r="D3" s="68" t="s">
        <v>5485</v>
      </c>
      <c r="E3" s="66" t="s">
        <v>5489</v>
      </c>
      <c r="F3" s="69" t="s">
        <v>5486</v>
      </c>
      <c r="G3" s="66" t="s">
        <v>5487</v>
      </c>
      <c r="I3" s="64" t="s">
        <v>5492</v>
      </c>
      <c r="J3" s="64" t="s">
        <v>5493</v>
      </c>
      <c r="K3" s="65" t="s">
        <v>5490</v>
      </c>
      <c r="L3" s="64" t="s">
        <v>5491</v>
      </c>
    </row>
    <row r="4" spans="2:12">
      <c r="B4" s="71">
        <f>(盈利勝率*(平均獲利/平均損失))-(損失勝率*(平均獲利/平均損失))</f>
        <v>0.2763434571649685</v>
      </c>
      <c r="C4" s="66">
        <v>81</v>
      </c>
      <c r="D4" s="66">
        <v>1693423</v>
      </c>
      <c r="E4" s="66">
        <v>43</v>
      </c>
      <c r="F4" s="66">
        <v>996923</v>
      </c>
      <c r="G4" s="66">
        <v>200000</v>
      </c>
      <c r="I4" s="63">
        <f>$C$4/($C$4+$E$4)</f>
        <v>0.65322580645161288</v>
      </c>
      <c r="J4" s="63">
        <f>$E$4/($C$4+$E$4)</f>
        <v>0.34677419354838712</v>
      </c>
      <c r="K4" s="70">
        <f>$D$4/$C$4</f>
        <v>20906.456790123455</v>
      </c>
      <c r="L4" s="70">
        <f>$F$4/$E$4</f>
        <v>23184.255813953489</v>
      </c>
    </row>
    <row r="6" spans="2:12" s="94" customFormat="1">
      <c r="B6" s="132"/>
      <c r="C6" s="132" t="s">
        <v>5678</v>
      </c>
      <c r="D6" s="132" t="s">
        <v>5679</v>
      </c>
      <c r="E6" s="134" t="s">
        <v>5680</v>
      </c>
      <c r="F6" s="134" t="s">
        <v>5681</v>
      </c>
      <c r="G6" s="135" t="s">
        <v>5682</v>
      </c>
    </row>
    <row r="7" spans="2:12" s="94" customFormat="1">
      <c r="B7" s="132" t="s">
        <v>5671</v>
      </c>
      <c r="C7" s="132">
        <f>COUNTIF(量大股!$J$2:$J$101,"&gt;0")</f>
        <v>35</v>
      </c>
      <c r="D7" s="132">
        <f>COUNTIF(量大股!$J$2:$J$101,"&lt;0")</f>
        <v>8</v>
      </c>
      <c r="E7" s="134">
        <f>SUMIF(量大股!$I$2:$I$101,"&gt;0")</f>
        <v>825.94999999999993</v>
      </c>
      <c r="F7" s="134">
        <f>SUMIF(量大股!$I$2:$I$101,"&lt;0")</f>
        <v>-52.899999999999991</v>
      </c>
      <c r="G7" s="139">
        <f>$E7+$F7</f>
        <v>773.05</v>
      </c>
    </row>
    <row r="8" spans="2:12" s="94" customFormat="1">
      <c r="B8" s="132" t="s">
        <v>5672</v>
      </c>
      <c r="C8" s="132">
        <f>COUNTIF(量放大股!$J$2:$J$101,"&gt;0")</f>
        <v>14</v>
      </c>
      <c r="D8" s="132">
        <f>COUNTIF(量放大股!$J$2:$J$101,"&lt;0")</f>
        <v>4</v>
      </c>
      <c r="E8" s="134">
        <f>SUMIF(量放大股!$I$2:$I$101,"&gt;0")</f>
        <v>149.55000000000001</v>
      </c>
      <c r="F8" s="134">
        <f>SUMIF(量放大股!$I$2:$I$101,"&lt;0")</f>
        <v>-14.649999999999984</v>
      </c>
      <c r="G8" s="139">
        <f t="shared" ref="G8:G16" si="0">$E8+$F8</f>
        <v>134.90000000000003</v>
      </c>
    </row>
    <row r="9" spans="2:12" s="94" customFormat="1">
      <c r="B9" s="132" t="s">
        <v>5673</v>
      </c>
      <c r="C9" s="132">
        <f>COUNTIF(成交重心股!$J$2:$J$101,"&gt;0")</f>
        <v>35</v>
      </c>
      <c r="D9" s="132">
        <f>COUNTIF(成交重心股!$J$2:$J$101,"&lt;0")</f>
        <v>8</v>
      </c>
      <c r="E9" s="134">
        <f>SUMIF(成交重心股!$I$2:$I$101,"&gt;0")</f>
        <v>825.94999999999993</v>
      </c>
      <c r="F9" s="134">
        <f>SUMIF(成交重心股!$I$2:$I$101,"&lt;0")</f>
        <v>-52.899999999999991</v>
      </c>
      <c r="G9" s="139">
        <f t="shared" si="0"/>
        <v>773.05</v>
      </c>
    </row>
    <row r="10" spans="2:12" s="94" customFormat="1">
      <c r="B10" s="132" t="s">
        <v>5674</v>
      </c>
      <c r="C10" s="132">
        <f>COUNTIF(強勢股!$J$2:$J$101,"&gt;0")</f>
        <v>14</v>
      </c>
      <c r="D10" s="132">
        <f>COUNTIF(強勢股!$J$2:$J$101,"&lt;0")</f>
        <v>6</v>
      </c>
      <c r="E10" s="134">
        <f>SUMIF(強勢股!$I$2:$I$101,"&gt;0")</f>
        <v>226.1</v>
      </c>
      <c r="F10" s="134">
        <f>SUMIF(強勢股!$I$2:$I$101,"&lt;0")</f>
        <v>-41.25</v>
      </c>
      <c r="G10" s="139">
        <f t="shared" si="0"/>
        <v>184.85</v>
      </c>
    </row>
    <row r="11" spans="2:12" s="94" customFormat="1">
      <c r="B11" s="132" t="s">
        <v>5675</v>
      </c>
      <c r="C11" s="132">
        <f>COUNTIF(五日強勢股!$J$2:$J$101,"&gt;0")</f>
        <v>15</v>
      </c>
      <c r="D11" s="132">
        <f>COUNTIF(五日強勢股!$J$2:$J$101,"&lt;0")</f>
        <v>7</v>
      </c>
      <c r="E11" s="134">
        <f>SUMIF(五日強勢股!$I$2:$I$101,"&gt;0")</f>
        <v>253.65000000000003</v>
      </c>
      <c r="F11" s="134">
        <f>SUMIF(五日強勢股!$I$2:$I$101,"&lt;0")</f>
        <v>-48.999999999999993</v>
      </c>
      <c r="G11" s="139">
        <f t="shared" si="0"/>
        <v>204.65000000000003</v>
      </c>
    </row>
    <row r="12" spans="2:12" s="94" customFormat="1">
      <c r="B12" s="132" t="s">
        <v>5676</v>
      </c>
      <c r="C12" s="132">
        <f>COUNTIF(弱勢股!$J$2:$J$101,"&gt;0")</f>
        <v>16</v>
      </c>
      <c r="D12" s="132">
        <f>COUNTIF(弱勢股!$J$2:$J$101,"&lt;0")</f>
        <v>5</v>
      </c>
      <c r="E12" s="134">
        <f>SUMIF(弱勢股!$I$2:$I$101,"&gt;0")</f>
        <v>257.75</v>
      </c>
      <c r="F12" s="134">
        <f>SUMIF(弱勢股!$I$2:$I$101,"&lt;0")</f>
        <v>-6.6499999999999986</v>
      </c>
      <c r="G12" s="139">
        <f t="shared" si="0"/>
        <v>251.1</v>
      </c>
    </row>
    <row r="13" spans="2:12" s="94" customFormat="1">
      <c r="B13" s="132" t="s">
        <v>5677</v>
      </c>
      <c r="C13" s="132">
        <f>COUNTIF(五日弱勢股!$J$2:$J$101,"&gt;0")</f>
        <v>10</v>
      </c>
      <c r="D13" s="132">
        <f>COUNTIF(五日弱勢股!$J$2:$J$101,"&lt;0")</f>
        <v>6</v>
      </c>
      <c r="E13" s="134">
        <f>SUMIF(五日弱勢股!$I$2:$I$101,"&gt;0")</f>
        <v>163.49999999999997</v>
      </c>
      <c r="F13" s="134">
        <f>SUMIF(五日弱勢股!$I$2:$I$101,"&lt;0")</f>
        <v>-5.1999999999999993</v>
      </c>
      <c r="G13" s="139">
        <f t="shared" si="0"/>
        <v>158.29999999999998</v>
      </c>
    </row>
    <row r="14" spans="2:12" s="94" customFormat="1">
      <c r="B14" s="132" t="s">
        <v>5683</v>
      </c>
      <c r="C14" s="132">
        <f>COUNTIF(主力買進!$J$2:$J$101,"&gt;0")</f>
        <v>29</v>
      </c>
      <c r="D14" s="132">
        <f>COUNTIF(主力買進!$J$2:$J$101,"&lt;0")</f>
        <v>7</v>
      </c>
      <c r="E14" s="134">
        <f>SUMIF(主力買進!$I$2:$I$101,"&gt;0")</f>
        <v>192.45</v>
      </c>
      <c r="F14" s="134">
        <f>SUMIF(主力買進!$I$2:$I$101,"&lt;0")</f>
        <v>-17.850000000000001</v>
      </c>
      <c r="G14" s="139">
        <f t="shared" si="0"/>
        <v>174.6</v>
      </c>
    </row>
    <row r="15" spans="2:12" s="94" customFormat="1">
      <c r="B15" s="132" t="s">
        <v>5684</v>
      </c>
      <c r="C15" s="132">
        <f>COUNTIF(主力賣出!$J$2:$J$101,"&gt;0")</f>
        <v>20</v>
      </c>
      <c r="D15" s="132">
        <f>COUNTIF(主力賣出!$J$2:$J$101,"&lt;0")</f>
        <v>10</v>
      </c>
      <c r="E15" s="134">
        <f>SUMIF(主力賣出!$I$2:$I$101,"&gt;0")</f>
        <v>130.55000000000001</v>
      </c>
      <c r="F15" s="134">
        <f>SUMIF(主力賣出!$I$2:$I$101,"&lt;0")</f>
        <v>-6.7999999999999972</v>
      </c>
      <c r="G15" s="139">
        <f t="shared" si="0"/>
        <v>123.75000000000001</v>
      </c>
    </row>
    <row r="16" spans="2:12" s="94" customFormat="1">
      <c r="B16" s="132" t="s">
        <v>5685</v>
      </c>
      <c r="C16" s="132">
        <f>COUNTIF(權值股!$K$2:$K$101,"&gt;0")</f>
        <v>32</v>
      </c>
      <c r="D16" s="132">
        <f>COUNTIF(權值股!$K$2:$K$101,"&lt;0")</f>
        <v>7</v>
      </c>
      <c r="E16" s="134">
        <f>SUMIF(權值股!$J$2:$J$101,"&gt;0")</f>
        <v>244.22999999999996</v>
      </c>
      <c r="F16" s="134">
        <f>SUMIF(權值股!$J$2:$J$101,"&lt;0")</f>
        <v>-4.8000000000000007</v>
      </c>
      <c r="G16" s="139">
        <f t="shared" si="0"/>
        <v>239.42999999999995</v>
      </c>
    </row>
    <row r="18" spans="2:8" s="60" customFormat="1" ht="17.399999999999999">
      <c r="B18" s="132"/>
      <c r="C18" s="132" t="s">
        <v>5678</v>
      </c>
      <c r="D18" s="132" t="s">
        <v>5679</v>
      </c>
      <c r="E18" s="133" t="s">
        <v>5696</v>
      </c>
      <c r="F18" s="133" t="s">
        <v>5697</v>
      </c>
      <c r="G18" s="155" t="s">
        <v>5682</v>
      </c>
    </row>
    <row r="19" spans="2:8">
      <c r="B19" s="132" t="s">
        <v>5685</v>
      </c>
      <c r="C19" s="132">
        <f>COUNTIF(權值股!$M$2:$M$101,"&gt;0")</f>
        <v>33</v>
      </c>
      <c r="D19" s="132">
        <f>COUNTIF(權值股!$M$2:$M$101,"&lt;0")</f>
        <v>6</v>
      </c>
      <c r="E19" s="132">
        <f>COUNTIF(權值股!$M$2:$M$101,"=0")</f>
        <v>51</v>
      </c>
      <c r="F19" s="134">
        <f>$C19-$D19</f>
        <v>27</v>
      </c>
      <c r="G19" s="156" t="e">
        <f>SUM(權值股!M$2:M$101)</f>
        <v>#VALUE!</v>
      </c>
      <c r="H19" s="140"/>
    </row>
    <row r="20" spans="2:8">
      <c r="B20" s="132" t="s">
        <v>5688</v>
      </c>
      <c r="C20" s="132">
        <f>COUNTIF(STOCKS昨天!$G$2:$G$1744,"&gt;0")</f>
        <v>158</v>
      </c>
      <c r="D20" s="132">
        <f>COUNTIF(STOCKS昨天!$G$2:$G$1744,"&lt;0")</f>
        <v>40</v>
      </c>
      <c r="E20" s="132">
        <f>COUNTIF(STOCKS昨天!$G$2:$G$1744,"=0")</f>
        <v>1545</v>
      </c>
      <c r="F20" s="134">
        <f t="shared" ref="F20:F22" si="1">$C20-$D20</f>
        <v>118</v>
      </c>
      <c r="G20" s="156">
        <f>SUM(STOCKS昨天!$G$2:$G$1744)</f>
        <v>1.8707885089612859</v>
      </c>
      <c r="H20" s="63"/>
    </row>
    <row r="21" spans="2:8">
      <c r="B21" s="132" t="s">
        <v>5689</v>
      </c>
      <c r="C21" s="132">
        <f>COUNTIF(STOCKS昨天!$G$2:$G$952,"&gt;0")</f>
        <v>121</v>
      </c>
      <c r="D21" s="132">
        <f>COUNTIF(STOCKS昨天!$G$2:$G$952,"&lt;0")</f>
        <v>29</v>
      </c>
      <c r="E21" s="132">
        <f>COUNTIF(STOCKS昨天!$G$2:$G$952,"=0")</f>
        <v>801</v>
      </c>
      <c r="F21" s="134">
        <f t="shared" si="1"/>
        <v>92</v>
      </c>
      <c r="G21" s="156">
        <f>SUM(STOCKS昨天!$G$2:$G$952)</f>
        <v>1.2503290082604814</v>
      </c>
    </row>
    <row r="22" spans="2:8">
      <c r="B22" s="132" t="s">
        <v>5690</v>
      </c>
      <c r="C22" s="132">
        <f>COUNTIF(STOCKS昨天!$G$953:$G$1744,"&gt;0")</f>
        <v>37</v>
      </c>
      <c r="D22" s="132">
        <f>COUNTIF(STOCKS昨天!$G$953:$G$1744,"&lt;0")</f>
        <v>11</v>
      </c>
      <c r="E22" s="132">
        <f>COUNTIF(STOCKS昨天!$G$953:$G$1744,"=0")</f>
        <v>744</v>
      </c>
      <c r="F22" s="134">
        <f t="shared" si="1"/>
        <v>26</v>
      </c>
      <c r="G22" s="156">
        <f>SUM(STOCKS昨天!$G$953:$G$1744)</f>
        <v>0.62045950070080458</v>
      </c>
    </row>
  </sheetData>
  <phoneticPr fontId="7" type="noConversion"/>
  <conditionalFormatting sqref="C2">
    <cfRule type="expression" dxfId="29" priority="13">
      <formula>$C$2&lt;$D$2</formula>
    </cfRule>
    <cfRule type="expression" dxfId="28" priority="14">
      <formula>$C$2&gt;$D$2</formula>
    </cfRule>
  </conditionalFormatting>
  <conditionalFormatting sqref="G2">
    <cfRule type="expression" dxfId="27" priority="9">
      <formula>$G$2&lt;$H$2</formula>
    </cfRule>
    <cfRule type="expression" dxfId="26" priority="10">
      <formula>$G$2&gt;$H$2</formula>
    </cfRule>
    <cfRule type="expression" dxfId="25" priority="11">
      <formula>$C$2&lt;$D$2</formula>
    </cfRule>
    <cfRule type="expression" dxfId="24" priority="12">
      <formula>$C$2&gt;$D$2</formula>
    </cfRule>
  </conditionalFormatting>
  <conditionalFormatting sqref="E7:F16">
    <cfRule type="cellIs" dxfId="23" priority="7" operator="equal">
      <formula>"空"</formula>
    </cfRule>
    <cfRule type="cellIs" dxfId="22" priority="8" operator="equal">
      <formula>"多"</formula>
    </cfRule>
  </conditionalFormatting>
  <conditionalFormatting sqref="F19:F22">
    <cfRule type="cellIs" dxfId="21" priority="1" operator="equal">
      <formula>"空"</formula>
    </cfRule>
    <cfRule type="cellIs" dxfId="20" priority="2" operator="equal">
      <formula>"多"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F1423-49A2-4777-A9D9-69A12BF90305}">
  <sheetPr codeName="工作表6"/>
  <dimension ref="A1:J101"/>
  <sheetViews>
    <sheetView workbookViewId="0"/>
  </sheetViews>
  <sheetFormatPr defaultRowHeight="16.2"/>
  <cols>
    <col min="6" max="6" width="8.88671875" style="55"/>
    <col min="7" max="7" width="10.44140625" style="60" bestFit="1" customWidth="1"/>
    <col min="10" max="10" width="8.88671875" style="63"/>
  </cols>
  <sheetData>
    <row r="1" spans="1:10" s="94" customFormat="1">
      <c r="A1" s="64" t="s">
        <v>3</v>
      </c>
      <c r="B1" s="64" t="s">
        <v>6</v>
      </c>
      <c r="C1" s="64" t="s">
        <v>5</v>
      </c>
      <c r="D1" s="64" t="s">
        <v>4</v>
      </c>
      <c r="E1" s="64" t="s">
        <v>0</v>
      </c>
      <c r="F1" s="131" t="s">
        <v>1</v>
      </c>
      <c r="G1" s="64" t="s">
        <v>5545</v>
      </c>
      <c r="H1" s="64" t="s">
        <v>2</v>
      </c>
      <c r="I1" s="64" t="s">
        <v>5667</v>
      </c>
      <c r="J1" s="130" t="s">
        <v>5668</v>
      </c>
    </row>
    <row r="2" spans="1:10">
      <c r="A2" s="118">
        <v>529.08000000000004</v>
      </c>
      <c r="B2" s="118">
        <v>2783.03</v>
      </c>
      <c r="C2" s="118">
        <v>-1.78</v>
      </c>
      <c r="D2" s="118">
        <v>153.84</v>
      </c>
      <c r="E2" s="118">
        <v>2603</v>
      </c>
      <c r="F2" s="55" t="s">
        <v>3536</v>
      </c>
      <c r="G2" s="28" t="str">
        <f>VLOOKUP($E2,STOCKS!$D$2:$E$2035,2,0)</f>
        <v>--</v>
      </c>
      <c r="H2">
        <v>99.5</v>
      </c>
      <c r="I2" s="129" t="e">
        <f>$G2-$H2</f>
        <v>#VALUE!</v>
      </c>
      <c r="J2" s="63" t="e">
        <f>$I2/$H2</f>
        <v>#VALUE!</v>
      </c>
    </row>
    <row r="3" spans="1:10">
      <c r="A3" s="118">
        <v>24.86</v>
      </c>
      <c r="B3" s="118">
        <v>225.76</v>
      </c>
      <c r="C3" s="118">
        <v>14.84</v>
      </c>
      <c r="D3" s="118">
        <v>67.650000000000006</v>
      </c>
      <c r="E3" s="118">
        <v>3035</v>
      </c>
      <c r="F3" s="55" t="s">
        <v>3966</v>
      </c>
      <c r="G3" s="28" t="str">
        <f>VLOOKUP($E3,STOCKS!$D$2:$E$2035,2,0)</f>
        <v>--</v>
      </c>
      <c r="H3">
        <v>201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0">
      <c r="A4" s="118">
        <v>150.47</v>
      </c>
      <c r="B4" s="118">
        <v>152.74</v>
      </c>
      <c r="C4" s="118">
        <v>-1.21</v>
      </c>
      <c r="D4" s="118">
        <v>19.309999999999999</v>
      </c>
      <c r="E4" s="118">
        <v>3037</v>
      </c>
      <c r="F4" s="55" t="s">
        <v>4181</v>
      </c>
      <c r="G4" s="28">
        <f>VLOOKUP($E4,STOCKS!$D$2:$E$2035,2,0)</f>
        <v>195.5</v>
      </c>
      <c r="H4">
        <v>190</v>
      </c>
      <c r="I4" s="129">
        <f t="shared" si="0"/>
        <v>5.5</v>
      </c>
      <c r="J4" s="63">
        <f t="shared" si="1"/>
        <v>2.8947368421052631E-2</v>
      </c>
    </row>
    <row r="5" spans="1:10">
      <c r="A5" s="118">
        <v>2593.04</v>
      </c>
      <c r="B5" s="118">
        <v>15.24</v>
      </c>
      <c r="C5" s="118">
        <v>11.1</v>
      </c>
      <c r="D5" s="118">
        <v>19.670000000000002</v>
      </c>
      <c r="E5" s="118">
        <v>2330</v>
      </c>
      <c r="F5" s="55" t="s">
        <v>3944</v>
      </c>
      <c r="G5" s="28">
        <f>VLOOKUP($E5,STOCKS!$D$2:$E$2035,2,0)</f>
        <v>610</v>
      </c>
      <c r="H5">
        <v>590</v>
      </c>
      <c r="I5" s="129">
        <f t="shared" si="0"/>
        <v>20</v>
      </c>
      <c r="J5" s="63">
        <f t="shared" si="1"/>
        <v>3.3898305084745763E-2</v>
      </c>
    </row>
    <row r="6" spans="1:10">
      <c r="A6" s="118">
        <v>349.21</v>
      </c>
      <c r="B6" s="118">
        <v>7708.77</v>
      </c>
      <c r="C6" s="118">
        <v>1.32</v>
      </c>
      <c r="D6" s="118">
        <v>145.04</v>
      </c>
      <c r="E6" s="118">
        <v>2609</v>
      </c>
      <c r="F6" s="55" t="s">
        <v>3567</v>
      </c>
      <c r="G6" s="28">
        <f>VLOOKUP($E6,STOCKS!$D$2:$E$2035,2,0)</f>
        <v>111.5</v>
      </c>
      <c r="H6">
        <v>96.5</v>
      </c>
      <c r="I6" s="129">
        <f t="shared" si="0"/>
        <v>15</v>
      </c>
      <c r="J6" s="63">
        <f t="shared" si="1"/>
        <v>0.15544041450777202</v>
      </c>
    </row>
    <row r="7" spans="1:10">
      <c r="A7" s="118">
        <v>1242.33</v>
      </c>
      <c r="B7" s="118">
        <v>140.06</v>
      </c>
      <c r="C7" s="118">
        <v>-0.21</v>
      </c>
      <c r="D7" s="118">
        <v>29.01</v>
      </c>
      <c r="E7" s="118">
        <v>2303</v>
      </c>
      <c r="F7" s="55" t="s">
        <v>3942</v>
      </c>
      <c r="G7" s="28">
        <f>VLOOKUP($E7,STOCKS!$D$2:$E$2035,2,0)</f>
        <v>63.1</v>
      </c>
      <c r="H7">
        <v>58</v>
      </c>
      <c r="I7" s="129">
        <f t="shared" si="0"/>
        <v>5.1000000000000014</v>
      </c>
      <c r="J7" s="63">
        <f t="shared" si="1"/>
        <v>8.7931034482758644E-2</v>
      </c>
    </row>
    <row r="8" spans="1:10">
      <c r="A8" s="118">
        <v>32.340000000000003</v>
      </c>
      <c r="B8" s="118">
        <v>134.12</v>
      </c>
      <c r="C8" s="118">
        <v>2.06</v>
      </c>
      <c r="D8" s="118">
        <v>37.1</v>
      </c>
      <c r="E8" s="118">
        <v>3707</v>
      </c>
      <c r="F8" s="55" t="s">
        <v>3626</v>
      </c>
      <c r="G8" s="28" t="str">
        <f>VLOOKUP($E8,STOCKS!$D$2:$E$2035,2,0)</f>
        <v>--</v>
      </c>
      <c r="H8">
        <v>152.5</v>
      </c>
      <c r="I8" s="129" t="e">
        <f t="shared" si="0"/>
        <v>#VALUE!</v>
      </c>
      <c r="J8" s="63" t="e">
        <f t="shared" si="1"/>
        <v>#VALUE!</v>
      </c>
    </row>
    <row r="9" spans="1:10">
      <c r="A9" s="118">
        <v>45.08</v>
      </c>
      <c r="B9" s="118">
        <v>394.05</v>
      </c>
      <c r="C9" s="118">
        <v>1.65</v>
      </c>
      <c r="D9" s="118">
        <v>47.19</v>
      </c>
      <c r="E9" s="118">
        <v>3189</v>
      </c>
      <c r="F9" s="55" t="s">
        <v>3675</v>
      </c>
      <c r="G9" s="28" t="str">
        <f>VLOOKUP($E9,STOCKS!$D$2:$E$2035,2,0)</f>
        <v>--</v>
      </c>
      <c r="H9">
        <v>244</v>
      </c>
      <c r="I9" s="129" t="e">
        <f t="shared" si="0"/>
        <v>#VALUE!</v>
      </c>
      <c r="J9" s="63" t="e">
        <f t="shared" si="1"/>
        <v>#VALUE!</v>
      </c>
    </row>
    <row r="10" spans="1:10">
      <c r="A10" s="118">
        <v>42.4</v>
      </c>
      <c r="B10" s="118">
        <v>-37.229999999999997</v>
      </c>
      <c r="C10" s="118">
        <v>2.08</v>
      </c>
      <c r="D10" s="118">
        <v>3.67</v>
      </c>
      <c r="E10" s="118">
        <v>3105</v>
      </c>
      <c r="F10" s="55" t="s">
        <v>3618</v>
      </c>
      <c r="G10" s="28" t="str">
        <f>VLOOKUP($E10,STOCKS!$D$2:$E$2035,2,0)</f>
        <v>--</v>
      </c>
      <c r="H10">
        <v>357.5</v>
      </c>
      <c r="I10" s="129" t="e">
        <f t="shared" si="0"/>
        <v>#VALUE!</v>
      </c>
      <c r="J10" s="63" t="e">
        <f t="shared" si="1"/>
        <v>#VALUE!</v>
      </c>
    </row>
    <row r="11" spans="1:10">
      <c r="A11" s="118">
        <v>244.01</v>
      </c>
      <c r="B11" s="118">
        <v>1798.15</v>
      </c>
      <c r="C11" s="118">
        <v>4.46</v>
      </c>
      <c r="D11" s="118">
        <v>264.76</v>
      </c>
      <c r="E11" s="118">
        <v>2615</v>
      </c>
      <c r="F11" s="55" t="s">
        <v>4349</v>
      </c>
      <c r="G11" s="28" t="str">
        <f>VLOOKUP($E11,STOCKS!$D$2:$E$2035,2,0)</f>
        <v>--</v>
      </c>
      <c r="H11">
        <v>160</v>
      </c>
      <c r="I11" s="129" t="e">
        <f t="shared" si="0"/>
        <v>#VALUE!</v>
      </c>
      <c r="J11" s="63" t="e">
        <f t="shared" si="1"/>
        <v>#VALUE!</v>
      </c>
    </row>
    <row r="12" spans="1:10">
      <c r="A12" s="118">
        <v>17.32</v>
      </c>
      <c r="B12" s="118">
        <v>59.57</v>
      </c>
      <c r="C12" s="118">
        <v>1.29</v>
      </c>
      <c r="D12" s="118">
        <v>13.25</v>
      </c>
      <c r="E12" s="118">
        <v>6509</v>
      </c>
      <c r="F12" s="55" t="s">
        <v>4572</v>
      </c>
      <c r="G12" s="28">
        <f>VLOOKUP($E12,STOCKS!$D$2:$E$2035,2,0)</f>
        <v>70.2</v>
      </c>
      <c r="H12">
        <v>80.099999999999994</v>
      </c>
      <c r="I12" s="129">
        <f t="shared" si="0"/>
        <v>-9.8999999999999915</v>
      </c>
      <c r="J12" s="63">
        <f t="shared" si="1"/>
        <v>-0.12359550561797743</v>
      </c>
    </row>
    <row r="13" spans="1:10">
      <c r="A13" s="118">
        <v>38.28</v>
      </c>
      <c r="B13" s="118">
        <v>114</v>
      </c>
      <c r="C13" s="118">
        <v>1.52</v>
      </c>
      <c r="D13" s="118">
        <v>26.27</v>
      </c>
      <c r="E13" s="118">
        <v>2481</v>
      </c>
      <c r="F13" s="55" t="s">
        <v>3962</v>
      </c>
      <c r="G13" s="28">
        <f>VLOOKUP($E13,STOCKS!$D$2:$E$2035,2,0)</f>
        <v>110.5</v>
      </c>
      <c r="H13">
        <v>112.5</v>
      </c>
      <c r="I13" s="129">
        <f t="shared" si="0"/>
        <v>-2</v>
      </c>
      <c r="J13" s="63">
        <f t="shared" si="1"/>
        <v>-1.7777777777777778E-2</v>
      </c>
    </row>
    <row r="14" spans="1:10">
      <c r="A14" s="118">
        <v>10.7</v>
      </c>
      <c r="B14" s="118">
        <v>706.87</v>
      </c>
      <c r="C14" s="118">
        <v>7.07</v>
      </c>
      <c r="D14" s="118">
        <v>36.81</v>
      </c>
      <c r="E14" s="118">
        <v>4739</v>
      </c>
      <c r="F14" s="55" t="s">
        <v>3851</v>
      </c>
      <c r="G14" s="28">
        <f>VLOOKUP($E14,STOCKS!$D$2:$E$2035,2,0)</f>
        <v>149</v>
      </c>
      <c r="H14">
        <v>171.5</v>
      </c>
      <c r="I14" s="129">
        <f t="shared" si="0"/>
        <v>-22.5</v>
      </c>
      <c r="J14" s="63">
        <f t="shared" si="1"/>
        <v>-0.13119533527696792</v>
      </c>
    </row>
    <row r="15" spans="1:10">
      <c r="A15" s="118">
        <v>7.54</v>
      </c>
      <c r="B15" s="118">
        <v>605.25</v>
      </c>
      <c r="C15" s="118">
        <v>9.6999999999999993</v>
      </c>
      <c r="D15" s="118">
        <v>109.47</v>
      </c>
      <c r="E15" s="118">
        <v>3141</v>
      </c>
      <c r="F15" s="55" t="s">
        <v>4662</v>
      </c>
      <c r="G15" s="28">
        <f>VLOOKUP($E15,STOCKS!$D$2:$E$2035,2,0)</f>
        <v>259.5</v>
      </c>
      <c r="H15">
        <v>216</v>
      </c>
      <c r="I15" s="129">
        <f t="shared" si="0"/>
        <v>43.5</v>
      </c>
      <c r="J15" s="63">
        <f t="shared" si="1"/>
        <v>0.2013888888888889</v>
      </c>
    </row>
    <row r="16" spans="1:10">
      <c r="A16" s="118">
        <v>64.62</v>
      </c>
      <c r="B16" s="118">
        <v>201.13</v>
      </c>
      <c r="C16" s="118">
        <v>-4.59</v>
      </c>
      <c r="D16" s="118">
        <v>29.1</v>
      </c>
      <c r="E16" s="118">
        <v>8046</v>
      </c>
      <c r="F16" s="55" t="s">
        <v>4226</v>
      </c>
      <c r="G16" s="28" t="str">
        <f>VLOOKUP($E16,STOCKS!$D$2:$E$2035,2,0)</f>
        <v>--</v>
      </c>
      <c r="H16">
        <v>490.5</v>
      </c>
      <c r="I16" s="129" t="e">
        <f t="shared" si="0"/>
        <v>#VALUE!</v>
      </c>
      <c r="J16" s="63" t="e">
        <f t="shared" si="1"/>
        <v>#VALUE!</v>
      </c>
    </row>
    <row r="17" spans="1:10">
      <c r="A17" s="118">
        <v>7.43</v>
      </c>
      <c r="B17" s="118">
        <v>587.76</v>
      </c>
      <c r="C17" s="118">
        <v>-14.14</v>
      </c>
      <c r="D17" s="118">
        <v>89.81</v>
      </c>
      <c r="E17" s="118">
        <v>6531</v>
      </c>
      <c r="F17" s="55" t="s">
        <v>5513</v>
      </c>
      <c r="G17" s="28" t="str">
        <f>VLOOKUP($E17,STOCKS!$D$2:$E$2035,2,0)</f>
        <v>--</v>
      </c>
      <c r="H17">
        <v>538</v>
      </c>
      <c r="I17" s="129" t="e">
        <f t="shared" si="0"/>
        <v>#VALUE!</v>
      </c>
      <c r="J17" s="63" t="e">
        <f t="shared" si="1"/>
        <v>#VALUE!</v>
      </c>
    </row>
    <row r="18" spans="1:10">
      <c r="A18" s="118">
        <v>159.88</v>
      </c>
      <c r="B18" s="118">
        <v>306.89999999999998</v>
      </c>
      <c r="C18" s="118">
        <v>11.91</v>
      </c>
      <c r="D18" s="118">
        <v>26.51</v>
      </c>
      <c r="E18" s="118">
        <v>2454</v>
      </c>
      <c r="F18" s="55" t="s">
        <v>3960</v>
      </c>
      <c r="G18" s="28" t="str">
        <f>VLOOKUP($E18,STOCKS!$D$2:$E$2035,2,0)</f>
        <v>--</v>
      </c>
      <c r="H18">
        <v>913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962.42</v>
      </c>
      <c r="B19" s="118">
        <v>453.03</v>
      </c>
      <c r="C19" s="118">
        <v>0.88</v>
      </c>
      <c r="D19" s="118">
        <v>26.54</v>
      </c>
      <c r="E19" s="118">
        <v>2409</v>
      </c>
      <c r="F19" s="55" t="s">
        <v>4055</v>
      </c>
      <c r="G19" s="28">
        <f>VLOOKUP($E19,STOCKS!$D$2:$E$2035,2,0)</f>
        <v>21.2</v>
      </c>
      <c r="H19">
        <v>19.2</v>
      </c>
      <c r="I19" s="129">
        <f t="shared" si="0"/>
        <v>2</v>
      </c>
      <c r="J19" s="63">
        <f t="shared" si="1"/>
        <v>0.10416666666666667</v>
      </c>
    </row>
    <row r="20" spans="1:10">
      <c r="A20" s="118">
        <v>26.99</v>
      </c>
      <c r="B20" s="118">
        <v>217.94</v>
      </c>
      <c r="C20" s="118">
        <v>16.79</v>
      </c>
      <c r="D20" s="118">
        <v>106.02</v>
      </c>
      <c r="E20" s="118">
        <v>5351</v>
      </c>
      <c r="F20" s="55" t="s">
        <v>4690</v>
      </c>
      <c r="G20" s="28">
        <f>VLOOKUP($E20,STOCKS!$D$2:$E$2035,2,0)</f>
        <v>88.8</v>
      </c>
      <c r="H20">
        <v>59.4</v>
      </c>
      <c r="I20" s="129">
        <f t="shared" si="0"/>
        <v>29.4</v>
      </c>
      <c r="J20" s="63">
        <f t="shared" si="1"/>
        <v>0.49494949494949492</v>
      </c>
    </row>
    <row r="21" spans="1:10">
      <c r="A21" s="118">
        <v>1055.96</v>
      </c>
      <c r="B21" s="118">
        <v>428.54</v>
      </c>
      <c r="C21" s="118">
        <v>-6.15</v>
      </c>
      <c r="D21" s="118">
        <v>11.76</v>
      </c>
      <c r="E21" s="118">
        <v>3481</v>
      </c>
      <c r="F21" s="55" t="s">
        <v>4075</v>
      </c>
      <c r="G21" s="28">
        <f>VLOOKUP($E21,STOCKS!$D$2:$E$2035,2,0)</f>
        <v>18.75</v>
      </c>
      <c r="H21">
        <v>16.7</v>
      </c>
      <c r="I21" s="129">
        <f t="shared" si="0"/>
        <v>2.0500000000000007</v>
      </c>
      <c r="J21" s="63">
        <f t="shared" si="1"/>
        <v>0.12275449101796412</v>
      </c>
    </row>
    <row r="22" spans="1:10">
      <c r="A22" s="118">
        <v>9.15</v>
      </c>
      <c r="B22" s="118">
        <v>1187.48</v>
      </c>
      <c r="C22" s="118">
        <v>20.57</v>
      </c>
      <c r="D22" s="118">
        <v>-6.49</v>
      </c>
      <c r="E22" s="118">
        <v>8255</v>
      </c>
      <c r="F22" s="55" t="s">
        <v>4557</v>
      </c>
      <c r="G22" s="28" t="str">
        <f>VLOOKUP($E22,STOCKS!$D$2:$E$2035,2,0)</f>
        <v>--</v>
      </c>
      <c r="H22">
        <v>259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7.5</v>
      </c>
      <c r="B23" s="118">
        <v>127.26</v>
      </c>
      <c r="C23" s="118">
        <v>20.239999999999998</v>
      </c>
      <c r="D23" s="118">
        <v>162.86000000000001</v>
      </c>
      <c r="E23" s="118">
        <v>4721</v>
      </c>
      <c r="F23" s="55" t="s">
        <v>4567</v>
      </c>
      <c r="G23" s="28" t="str">
        <f>VLOOKUP($E23,STOCKS!$D$2:$E$2035,2,0)</f>
        <v>--</v>
      </c>
      <c r="H23">
        <v>170.5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28.62</v>
      </c>
      <c r="B24" s="118">
        <v>227.38</v>
      </c>
      <c r="C24" s="118">
        <v>-2.8</v>
      </c>
      <c r="D24" s="118">
        <v>44.27</v>
      </c>
      <c r="E24" s="118">
        <v>3006</v>
      </c>
      <c r="F24" s="55" t="s">
        <v>3625</v>
      </c>
      <c r="G24" s="28">
        <f>VLOOKUP($E24,STOCKS!$D$2:$E$2035,2,0)</f>
        <v>162</v>
      </c>
      <c r="H24">
        <v>142.5</v>
      </c>
      <c r="I24" s="129">
        <f t="shared" si="0"/>
        <v>19.5</v>
      </c>
      <c r="J24" s="63">
        <f t="shared" si="1"/>
        <v>0.1368421052631579</v>
      </c>
    </row>
    <row r="25" spans="1:10">
      <c r="A25" s="118">
        <v>9.0299999999999994</v>
      </c>
      <c r="B25" s="118">
        <v>-5.37</v>
      </c>
      <c r="C25" s="118">
        <v>14.7</v>
      </c>
      <c r="D25" s="118">
        <v>41.15</v>
      </c>
      <c r="E25" s="118">
        <v>6104</v>
      </c>
      <c r="F25" s="55" t="s">
        <v>3630</v>
      </c>
      <c r="G25" s="28">
        <f>VLOOKUP($E25,STOCKS!$D$2:$E$2035,2,0)</f>
        <v>189.5</v>
      </c>
      <c r="H25">
        <v>144</v>
      </c>
      <c r="I25" s="129">
        <f t="shared" si="0"/>
        <v>45.5</v>
      </c>
      <c r="J25" s="63">
        <f t="shared" si="1"/>
        <v>0.31597222222222221</v>
      </c>
    </row>
    <row r="26" spans="1:10">
      <c r="A26" s="118">
        <v>26.51</v>
      </c>
      <c r="B26" s="118">
        <v>61.77</v>
      </c>
      <c r="C26" s="118">
        <v>11.24</v>
      </c>
      <c r="D26" s="118">
        <v>32.04</v>
      </c>
      <c r="E26" s="118">
        <v>5425</v>
      </c>
      <c r="F26" s="55" t="s">
        <v>4691</v>
      </c>
      <c r="G26" s="28" t="str">
        <f>VLOOKUP($E26,STOCKS!$D$2:$E$2035,2,0)</f>
        <v>--</v>
      </c>
      <c r="H26">
        <v>81.2</v>
      </c>
      <c r="I26" s="129" t="e">
        <f t="shared" si="0"/>
        <v>#VALUE!</v>
      </c>
      <c r="J26" s="63" t="e">
        <f t="shared" si="1"/>
        <v>#VALUE!</v>
      </c>
    </row>
    <row r="27" spans="1:10">
      <c r="A27" s="118">
        <v>1180.5</v>
      </c>
      <c r="B27" s="118">
        <v>138.12</v>
      </c>
      <c r="C27" s="118">
        <v>-25.61</v>
      </c>
      <c r="D27" s="118">
        <v>33.450000000000003</v>
      </c>
      <c r="E27" s="118">
        <v>2881</v>
      </c>
      <c r="F27" s="55" t="s">
        <v>4392</v>
      </c>
      <c r="G27" s="28">
        <f>VLOOKUP($E27,STOCKS!$D$2:$E$2035,2,0)</f>
        <v>74.900000000000006</v>
      </c>
      <c r="H27">
        <v>73.599999999999994</v>
      </c>
      <c r="I27" s="129">
        <f t="shared" si="0"/>
        <v>1.3000000000000114</v>
      </c>
      <c r="J27" s="63">
        <f t="shared" si="1"/>
        <v>1.7663043478261024E-2</v>
      </c>
    </row>
    <row r="28" spans="1:10">
      <c r="A28" s="118">
        <v>440.34</v>
      </c>
      <c r="B28" s="118">
        <v>71.989999999999995</v>
      </c>
      <c r="C28" s="118">
        <v>6.51</v>
      </c>
      <c r="D28" s="118">
        <v>22.33</v>
      </c>
      <c r="E28" s="118">
        <v>3711</v>
      </c>
      <c r="F28" s="55" t="s">
        <v>3655</v>
      </c>
      <c r="G28" s="28" t="str">
        <f>VLOOKUP($E28,STOCKS!$D$2:$E$2035,2,0)</f>
        <v>--</v>
      </c>
      <c r="H28">
        <v>99.8</v>
      </c>
      <c r="I28" s="129" t="e">
        <f t="shared" si="0"/>
        <v>#VALUE!</v>
      </c>
      <c r="J28" s="63" t="e">
        <f t="shared" si="1"/>
        <v>#VALUE!</v>
      </c>
    </row>
    <row r="29" spans="1:10">
      <c r="A29" s="118">
        <v>21.68</v>
      </c>
      <c r="B29" s="118">
        <v>1729.51</v>
      </c>
      <c r="C29" s="118">
        <v>-0.88</v>
      </c>
      <c r="D29" s="118">
        <v>55.17</v>
      </c>
      <c r="E29" s="118">
        <v>3545</v>
      </c>
      <c r="F29" s="55" t="s">
        <v>3973</v>
      </c>
      <c r="G29" s="28">
        <f>VLOOKUP($E29,STOCKS!$D$2:$E$2035,2,0)</f>
        <v>170.5</v>
      </c>
      <c r="H29">
        <v>160</v>
      </c>
      <c r="I29" s="129">
        <f t="shared" si="0"/>
        <v>10.5</v>
      </c>
      <c r="J29" s="63">
        <f t="shared" si="1"/>
        <v>6.5625000000000003E-2</v>
      </c>
    </row>
    <row r="30" spans="1:10">
      <c r="A30" s="118">
        <v>51.66</v>
      </c>
      <c r="B30" s="118">
        <v>-74.260000000000005</v>
      </c>
      <c r="C30" s="118">
        <v>-0.25</v>
      </c>
      <c r="D30" s="118">
        <v>2.2000000000000002</v>
      </c>
      <c r="E30" s="118">
        <v>6282</v>
      </c>
      <c r="F30" s="55" t="s">
        <v>4221</v>
      </c>
      <c r="G30" s="28" t="str">
        <f>VLOOKUP($E30,STOCKS!$D$2:$E$2035,2,0)</f>
        <v>--</v>
      </c>
      <c r="H30">
        <v>34.6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54.09</v>
      </c>
      <c r="B31" s="118">
        <v>111.3</v>
      </c>
      <c r="C31" s="118">
        <v>2.42</v>
      </c>
      <c r="D31" s="118">
        <v>46.21</v>
      </c>
      <c r="E31" s="118">
        <v>6182</v>
      </c>
      <c r="F31" s="55" t="s">
        <v>4699</v>
      </c>
      <c r="G31" s="28">
        <f>VLOOKUP($E31,STOCKS!$D$2:$E$2035,2,0)</f>
        <v>76.400000000000006</v>
      </c>
      <c r="H31">
        <v>64.2</v>
      </c>
      <c r="I31" s="129">
        <f t="shared" si="0"/>
        <v>12.200000000000003</v>
      </c>
      <c r="J31" s="63">
        <f t="shared" si="1"/>
        <v>0.19003115264797513</v>
      </c>
    </row>
    <row r="32" spans="1:10">
      <c r="A32" s="118">
        <v>43.86</v>
      </c>
      <c r="B32" s="118">
        <v>123.5</v>
      </c>
      <c r="C32" s="118">
        <v>2.59</v>
      </c>
      <c r="D32" s="118">
        <v>-9.73</v>
      </c>
      <c r="E32" s="118">
        <v>2340</v>
      </c>
      <c r="F32" s="55" t="s">
        <v>4052</v>
      </c>
      <c r="G32" s="28">
        <f>VLOOKUP($E32,STOCKS!$D$2:$E$2035,2,0)</f>
        <v>60.4</v>
      </c>
      <c r="H32">
        <v>42.9</v>
      </c>
      <c r="I32" s="129">
        <f t="shared" si="0"/>
        <v>17.5</v>
      </c>
      <c r="J32" s="63">
        <f t="shared" si="1"/>
        <v>0.40792540792540793</v>
      </c>
    </row>
    <row r="33" spans="1:10">
      <c r="A33" s="118">
        <v>18.21</v>
      </c>
      <c r="B33" s="118">
        <v>189.33</v>
      </c>
      <c r="C33" s="118">
        <v>1.7</v>
      </c>
      <c r="D33" s="118">
        <v>29.36</v>
      </c>
      <c r="E33" s="118">
        <v>2351</v>
      </c>
      <c r="F33" s="55" t="s">
        <v>3642</v>
      </c>
      <c r="G33" s="28" t="str">
        <f>VLOOKUP($E33,STOCKS!$D$2:$E$2035,2,0)</f>
        <v>--</v>
      </c>
      <c r="H33">
        <v>166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5.07</v>
      </c>
      <c r="B34" s="118">
        <v>258.24</v>
      </c>
      <c r="C34" s="118">
        <v>-47.77</v>
      </c>
      <c r="D34" s="118">
        <v>0.54</v>
      </c>
      <c r="E34" s="118">
        <v>6533</v>
      </c>
      <c r="F34" s="55" t="s">
        <v>3989</v>
      </c>
      <c r="G34" s="28" t="str">
        <f>VLOOKUP($E34,STOCKS!$D$2:$E$2035,2,0)</f>
        <v>--</v>
      </c>
      <c r="H34">
        <v>504</v>
      </c>
      <c r="I34" s="129" t="e">
        <f t="shared" si="0"/>
        <v>#VALUE!</v>
      </c>
      <c r="J34" s="63" t="e">
        <f t="shared" si="1"/>
        <v>#VALUE!</v>
      </c>
    </row>
    <row r="35" spans="1:10">
      <c r="A35" s="118">
        <v>49.45</v>
      </c>
      <c r="B35" s="118">
        <v>3015.2</v>
      </c>
      <c r="C35" s="118">
        <v>11.78</v>
      </c>
      <c r="D35" s="118">
        <v>-3.68</v>
      </c>
      <c r="E35" s="118">
        <v>2388</v>
      </c>
      <c r="F35" s="55" t="s">
        <v>3952</v>
      </c>
      <c r="G35" s="28">
        <f>VLOOKUP($E35,STOCKS!$D$2:$E$2035,2,0)</f>
        <v>86.9</v>
      </c>
      <c r="H35">
        <v>62.1</v>
      </c>
      <c r="I35" s="129">
        <f t="shared" si="0"/>
        <v>24.800000000000004</v>
      </c>
      <c r="J35" s="63">
        <f t="shared" si="1"/>
        <v>0.39935587761674723</v>
      </c>
    </row>
    <row r="36" spans="1:10">
      <c r="A36" s="118">
        <v>63.57</v>
      </c>
      <c r="B36" s="118">
        <v>229.97</v>
      </c>
      <c r="C36" s="118">
        <v>23.28</v>
      </c>
      <c r="D36" s="118">
        <v>60.58</v>
      </c>
      <c r="E36" s="118">
        <v>2376</v>
      </c>
      <c r="F36" s="55" t="s">
        <v>3690</v>
      </c>
      <c r="G36" s="28">
        <f>VLOOKUP($E36,STOCKS!$D$2:$E$2035,2,0)</f>
        <v>135</v>
      </c>
      <c r="H36">
        <v>112.5</v>
      </c>
      <c r="I36" s="129">
        <f t="shared" si="0"/>
        <v>22.5</v>
      </c>
      <c r="J36" s="63">
        <f t="shared" si="1"/>
        <v>0.2</v>
      </c>
    </row>
    <row r="37" spans="1:10">
      <c r="A37" s="118">
        <v>11.41</v>
      </c>
      <c r="B37" s="118">
        <v>108.39</v>
      </c>
      <c r="C37" s="118">
        <v>41.66</v>
      </c>
      <c r="D37" s="118">
        <v>13.6</v>
      </c>
      <c r="E37" s="118">
        <v>3504</v>
      </c>
      <c r="F37" s="55" t="s">
        <v>4076</v>
      </c>
      <c r="G37" s="28" t="str">
        <f>VLOOKUP($E37,STOCKS!$D$2:$E$2035,2,0)</f>
        <v>--</v>
      </c>
      <c r="H37">
        <v>131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259.75</v>
      </c>
      <c r="B38" s="118">
        <v>11.51</v>
      </c>
      <c r="C38" s="118">
        <v>5.48</v>
      </c>
      <c r="D38" s="118">
        <v>2.02</v>
      </c>
      <c r="E38" s="118">
        <v>2308</v>
      </c>
      <c r="F38" s="55" t="s">
        <v>4147</v>
      </c>
      <c r="G38" s="28">
        <f>VLOOKUP($E38,STOCKS!$D$2:$E$2035,2,0)</f>
        <v>258</v>
      </c>
      <c r="H38">
        <v>245</v>
      </c>
      <c r="I38" s="129">
        <f t="shared" si="0"/>
        <v>13</v>
      </c>
      <c r="J38" s="63">
        <f t="shared" si="1"/>
        <v>5.3061224489795916E-2</v>
      </c>
    </row>
    <row r="39" spans="1:10">
      <c r="A39" s="118">
        <v>60.85</v>
      </c>
      <c r="B39" s="118">
        <v>228.48</v>
      </c>
      <c r="C39" s="118">
        <v>0.13</v>
      </c>
      <c r="D39" s="118">
        <v>62.17</v>
      </c>
      <c r="E39" s="118">
        <v>3034</v>
      </c>
      <c r="F39" s="55" t="s">
        <v>3965</v>
      </c>
      <c r="G39" s="28">
        <f>VLOOKUP($E39,STOCKS!$D$2:$E$2035,2,0)</f>
        <v>487.5</v>
      </c>
      <c r="H39">
        <v>415.5</v>
      </c>
      <c r="I39" s="129">
        <f t="shared" si="0"/>
        <v>72</v>
      </c>
      <c r="J39" s="63">
        <f t="shared" si="1"/>
        <v>0.17328519855595667</v>
      </c>
    </row>
    <row r="40" spans="1:10">
      <c r="A40" s="118">
        <v>32.07</v>
      </c>
      <c r="B40" s="118">
        <v>303.04000000000002</v>
      </c>
      <c r="C40" s="118">
        <v>-5.07</v>
      </c>
      <c r="D40" s="118">
        <v>1.03</v>
      </c>
      <c r="E40" s="118">
        <v>8215</v>
      </c>
      <c r="F40" s="55" t="s">
        <v>4107</v>
      </c>
      <c r="G40" s="28" t="str">
        <f>VLOOKUP($E40,STOCKS!$D$2:$E$2035,2,0)</f>
        <v>--</v>
      </c>
      <c r="H40">
        <v>39.35</v>
      </c>
      <c r="I40" s="129" t="e">
        <f t="shared" si="0"/>
        <v>#VALUE!</v>
      </c>
      <c r="J40" s="63" t="e">
        <f t="shared" si="1"/>
        <v>#VALUE!</v>
      </c>
    </row>
    <row r="41" spans="1:10">
      <c r="A41" s="118">
        <v>43.73</v>
      </c>
      <c r="B41" s="118">
        <v>5.85</v>
      </c>
      <c r="C41" s="118">
        <v>4.5999999999999996</v>
      </c>
      <c r="D41" s="118">
        <v>5.64</v>
      </c>
      <c r="E41" s="118">
        <v>6488</v>
      </c>
      <c r="F41" s="55" t="s">
        <v>3520</v>
      </c>
      <c r="G41" s="28" t="str">
        <f>VLOOKUP($E41,STOCKS!$D$2:$E$2035,2,0)</f>
        <v>--</v>
      </c>
      <c r="H41">
        <v>760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18.649999999999999</v>
      </c>
      <c r="B42" s="118">
        <v>2372.63</v>
      </c>
      <c r="C42" s="118">
        <v>1.97</v>
      </c>
      <c r="D42" s="118">
        <v>110.81</v>
      </c>
      <c r="E42" s="118">
        <v>4961</v>
      </c>
      <c r="F42" s="55" t="s">
        <v>3979</v>
      </c>
      <c r="G42" s="28">
        <f>VLOOKUP($E42,STOCKS!$D$2:$E$2035,2,0)</f>
        <v>260</v>
      </c>
      <c r="H42">
        <v>213</v>
      </c>
      <c r="I42" s="129">
        <f t="shared" si="0"/>
        <v>47</v>
      </c>
      <c r="J42" s="63">
        <f t="shared" si="1"/>
        <v>0.22065727699530516</v>
      </c>
    </row>
    <row r="43" spans="1:10">
      <c r="A43" s="118">
        <v>17.87</v>
      </c>
      <c r="B43" s="118">
        <v>94.24</v>
      </c>
      <c r="C43" s="118">
        <v>7.75</v>
      </c>
      <c r="D43" s="118">
        <v>25.01</v>
      </c>
      <c r="E43" s="118">
        <v>6271</v>
      </c>
      <c r="F43" s="55" t="s">
        <v>3986</v>
      </c>
      <c r="G43" s="28">
        <f>VLOOKUP($E43,STOCKS!$D$2:$E$2035,2,0)</f>
        <v>317</v>
      </c>
      <c r="H43">
        <v>264</v>
      </c>
      <c r="I43" s="129">
        <f t="shared" si="0"/>
        <v>53</v>
      </c>
      <c r="J43" s="63">
        <f t="shared" si="1"/>
        <v>0.20075757575757575</v>
      </c>
    </row>
    <row r="44" spans="1:10">
      <c r="A44" s="118">
        <v>28.23</v>
      </c>
      <c r="B44" s="118">
        <v>210.33</v>
      </c>
      <c r="C44" s="118">
        <v>1.5</v>
      </c>
      <c r="D44" s="118">
        <v>36.909999999999997</v>
      </c>
      <c r="E44" s="118">
        <v>3016</v>
      </c>
      <c r="F44" s="55" t="s">
        <v>3964</v>
      </c>
      <c r="G44" s="28" t="str">
        <f>VLOOKUP($E44,STOCKS!$D$2:$E$2035,2,0)</f>
        <v>--</v>
      </c>
      <c r="H44">
        <v>95.3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1386.3</v>
      </c>
      <c r="B45" s="118">
        <v>129.41</v>
      </c>
      <c r="C45" s="118">
        <v>46.41</v>
      </c>
      <c r="D45" s="118">
        <v>25.6</v>
      </c>
      <c r="E45" s="118">
        <v>2317</v>
      </c>
      <c r="F45" s="55" t="s">
        <v>4264</v>
      </c>
      <c r="G45" s="28">
        <f>VLOOKUP($E45,STOCKS!$D$2:$E$2035,2,0)</f>
        <v>105.5</v>
      </c>
      <c r="H45">
        <v>107</v>
      </c>
      <c r="I45" s="129">
        <f t="shared" si="0"/>
        <v>-1.5</v>
      </c>
      <c r="J45" s="63">
        <f t="shared" si="1"/>
        <v>-1.4018691588785047E-2</v>
      </c>
    </row>
    <row r="46" spans="1:10">
      <c r="A46" s="118">
        <v>9.15</v>
      </c>
      <c r="B46" s="118">
        <v>68.84</v>
      </c>
      <c r="C46" s="118">
        <v>-2.08</v>
      </c>
      <c r="D46" s="118">
        <v>17.670000000000002</v>
      </c>
      <c r="E46" s="118">
        <v>6411</v>
      </c>
      <c r="F46" s="55" t="s">
        <v>4706</v>
      </c>
      <c r="G46" s="28">
        <f>VLOOKUP($E46,STOCKS!$D$2:$E$2035,2,0)</f>
        <v>263</v>
      </c>
      <c r="H46">
        <v>204</v>
      </c>
      <c r="I46" s="129">
        <f t="shared" si="0"/>
        <v>59</v>
      </c>
      <c r="J46" s="63">
        <f t="shared" si="1"/>
        <v>0.28921568627450983</v>
      </c>
    </row>
    <row r="47" spans="1:10">
      <c r="A47" s="118">
        <v>18.489999999999998</v>
      </c>
      <c r="B47" s="118">
        <v>64.819999999999993</v>
      </c>
      <c r="C47" s="118">
        <v>8.42</v>
      </c>
      <c r="D47" s="118">
        <v>55.24</v>
      </c>
      <c r="E47" s="118">
        <v>2455</v>
      </c>
      <c r="F47" s="55" t="s">
        <v>4117</v>
      </c>
      <c r="G47" s="28">
        <f>VLOOKUP($E47,STOCKS!$D$2:$E$2035,2,0)</f>
        <v>146</v>
      </c>
      <c r="H47">
        <v>140.5</v>
      </c>
      <c r="I47" s="129">
        <f t="shared" si="0"/>
        <v>5.5</v>
      </c>
      <c r="J47" s="63">
        <f t="shared" si="1"/>
        <v>3.9145907473309607E-2</v>
      </c>
    </row>
    <row r="48" spans="1:10">
      <c r="A48" s="118">
        <v>12.01</v>
      </c>
      <c r="B48" s="118">
        <v>204.97</v>
      </c>
      <c r="C48" s="118">
        <v>-2.4500000000000002</v>
      </c>
      <c r="D48" s="118">
        <v>66.2</v>
      </c>
      <c r="E48" s="118">
        <v>8016</v>
      </c>
      <c r="F48" s="55" t="s">
        <v>3993</v>
      </c>
      <c r="G48" s="28" t="str">
        <f>VLOOKUP($E48,STOCKS!$D$2:$E$2035,2,0)</f>
        <v>--</v>
      </c>
      <c r="H48">
        <v>266.5</v>
      </c>
      <c r="I48" s="129" t="e">
        <f t="shared" si="0"/>
        <v>#VALUE!</v>
      </c>
      <c r="J48" s="63" t="e">
        <f t="shared" si="1"/>
        <v>#VALUE!</v>
      </c>
    </row>
    <row r="49" spans="1:10">
      <c r="A49" s="118">
        <v>19.649999999999999</v>
      </c>
      <c r="B49" s="118">
        <v>14.94</v>
      </c>
      <c r="C49" s="118">
        <v>2.57</v>
      </c>
      <c r="D49" s="118">
        <v>40.97</v>
      </c>
      <c r="E49" s="118">
        <v>8086</v>
      </c>
      <c r="F49" s="55" t="s">
        <v>4726</v>
      </c>
      <c r="G49" s="28">
        <f>VLOOKUP($E49,STOCKS!$D$2:$E$2035,2,0)</f>
        <v>150.5</v>
      </c>
      <c r="H49">
        <v>159.5</v>
      </c>
      <c r="I49" s="129">
        <f t="shared" si="0"/>
        <v>-9</v>
      </c>
      <c r="J49" s="63">
        <f t="shared" si="1"/>
        <v>-5.6426332288401257E-2</v>
      </c>
    </row>
    <row r="50" spans="1:10">
      <c r="A50" s="118">
        <v>10.17</v>
      </c>
      <c r="B50" s="118">
        <v>502.77</v>
      </c>
      <c r="C50" s="118">
        <v>3.15</v>
      </c>
      <c r="D50" s="118">
        <v>48.38</v>
      </c>
      <c r="E50" s="118">
        <v>5285</v>
      </c>
      <c r="F50" s="55" t="s">
        <v>3982</v>
      </c>
      <c r="G50" s="28" t="str">
        <f>VLOOKUP($E50,STOCKS!$D$2:$E$2035,2,0)</f>
        <v>--</v>
      </c>
      <c r="H50">
        <v>122</v>
      </c>
      <c r="I50" s="129" t="e">
        <f t="shared" si="0"/>
        <v>#VALUE!</v>
      </c>
      <c r="J50" s="63" t="e">
        <f t="shared" si="1"/>
        <v>#VALUE!</v>
      </c>
    </row>
    <row r="51" spans="1:10">
      <c r="A51" s="118">
        <v>58.62</v>
      </c>
      <c r="B51" s="118">
        <v>14.46</v>
      </c>
      <c r="C51" s="118">
        <v>7.34</v>
      </c>
      <c r="D51" s="118">
        <v>13.2</v>
      </c>
      <c r="E51" s="118">
        <v>5483</v>
      </c>
      <c r="F51" s="55" t="s">
        <v>4693</v>
      </c>
      <c r="G51" s="28" t="str">
        <f>VLOOKUP($E51,STOCKS!$D$2:$E$2035,2,0)</f>
        <v>--</v>
      </c>
      <c r="H51">
        <v>189.5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13.4</v>
      </c>
      <c r="B52" s="118">
        <v>290.64</v>
      </c>
      <c r="C52" s="118">
        <v>25.57</v>
      </c>
      <c r="D52" s="118">
        <v>-6.67</v>
      </c>
      <c r="E52" s="118">
        <v>3443</v>
      </c>
      <c r="F52" s="55" t="s">
        <v>3652</v>
      </c>
      <c r="G52" s="28" t="str">
        <f>VLOOKUP($E52,STOCKS!$D$2:$E$2035,2,0)</f>
        <v>--</v>
      </c>
      <c r="H52">
        <v>598</v>
      </c>
      <c r="I52" s="129" t="e">
        <f t="shared" si="0"/>
        <v>#VALUE!</v>
      </c>
      <c r="J52" s="63" t="e">
        <f t="shared" si="1"/>
        <v>#VALUE!</v>
      </c>
    </row>
    <row r="53" spans="1:10">
      <c r="A53" s="118">
        <v>46.63</v>
      </c>
      <c r="B53" s="118">
        <v>-122.97</v>
      </c>
      <c r="C53" s="118">
        <v>-3</v>
      </c>
      <c r="D53" s="118">
        <v>7.41</v>
      </c>
      <c r="E53" s="118">
        <v>4128</v>
      </c>
      <c r="F53" s="55" t="s">
        <v>4591</v>
      </c>
      <c r="G53" s="28">
        <f>VLOOKUP($E53,STOCKS!$D$2:$E$2035,2,0)</f>
        <v>66.099999999999994</v>
      </c>
      <c r="H53">
        <v>63.3</v>
      </c>
      <c r="I53" s="129">
        <f t="shared" si="0"/>
        <v>2.7999999999999972</v>
      </c>
      <c r="J53" s="63">
        <f t="shared" si="1"/>
        <v>4.4233807266982582E-2</v>
      </c>
    </row>
    <row r="54" spans="1:10">
      <c r="A54" s="118">
        <v>8.1300000000000008</v>
      </c>
      <c r="B54" s="118">
        <v>262.61</v>
      </c>
      <c r="C54" s="118">
        <v>2.48</v>
      </c>
      <c r="D54" s="118">
        <v>11.98</v>
      </c>
      <c r="E54" s="118">
        <v>8261</v>
      </c>
      <c r="F54" s="55" t="s">
        <v>3998</v>
      </c>
      <c r="G54" s="28" t="str">
        <f>VLOOKUP($E54,STOCKS!$D$2:$E$2035,2,0)</f>
        <v>--</v>
      </c>
      <c r="H54">
        <v>104.5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6.22</v>
      </c>
      <c r="B55" s="118">
        <v>50.07</v>
      </c>
      <c r="C55" s="118">
        <v>3.26</v>
      </c>
      <c r="D55" s="118">
        <v>23.19</v>
      </c>
      <c r="E55" s="118">
        <v>3491</v>
      </c>
      <c r="F55" s="55" t="s">
        <v>4826</v>
      </c>
      <c r="G55" s="28" t="str">
        <f>VLOOKUP($E55,STOCKS!$D$2:$E$2035,2,0)</f>
        <v>--</v>
      </c>
      <c r="H55">
        <v>124.5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33.29</v>
      </c>
      <c r="B56" s="118">
        <v>47.52</v>
      </c>
      <c r="C56" s="118">
        <v>-3.9</v>
      </c>
      <c r="D56" s="118">
        <v>35.33</v>
      </c>
      <c r="E56" s="118">
        <v>2383</v>
      </c>
      <c r="F56" s="55" t="s">
        <v>3673</v>
      </c>
      <c r="G56" s="28">
        <f>VLOOKUP($E56,STOCKS!$D$2:$E$2035,2,0)</f>
        <v>237</v>
      </c>
      <c r="H56">
        <v>240.5</v>
      </c>
      <c r="I56" s="129">
        <f t="shared" si="0"/>
        <v>-3.5</v>
      </c>
      <c r="J56" s="63">
        <f t="shared" si="1"/>
        <v>-1.4553014553014554E-2</v>
      </c>
    </row>
    <row r="57" spans="1:10">
      <c r="A57" s="118">
        <v>233.95</v>
      </c>
      <c r="B57" s="118">
        <v>109.31</v>
      </c>
      <c r="C57" s="118">
        <v>4.46</v>
      </c>
      <c r="D57" s="118">
        <v>17.84</v>
      </c>
      <c r="E57" s="118">
        <v>2371</v>
      </c>
      <c r="F57" s="55" t="s">
        <v>3799</v>
      </c>
      <c r="G57" s="28" t="str">
        <f>VLOOKUP($E57,STOCKS!$D$2:$E$2035,2,0)</f>
        <v>--</v>
      </c>
      <c r="H57">
        <v>34.4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7.04</v>
      </c>
      <c r="B58" s="118">
        <v>112.18</v>
      </c>
      <c r="C58" s="118">
        <v>7.67</v>
      </c>
      <c r="D58" s="118">
        <v>38.75</v>
      </c>
      <c r="E58" s="118">
        <v>3661</v>
      </c>
      <c r="F58" s="55" t="s">
        <v>3976</v>
      </c>
      <c r="G58" s="28" t="str">
        <f>VLOOKUP($E58,STOCKS!$D$2:$E$2035,2,0)</f>
        <v>--</v>
      </c>
      <c r="H58">
        <v>1030</v>
      </c>
      <c r="I58" s="129" t="e">
        <f t="shared" si="0"/>
        <v>#VALUE!</v>
      </c>
      <c r="J58" s="63" t="e">
        <f t="shared" si="1"/>
        <v>#VALUE!</v>
      </c>
    </row>
    <row r="59" spans="1:10">
      <c r="A59" s="118">
        <v>18.78</v>
      </c>
      <c r="B59" s="118">
        <v>289.57</v>
      </c>
      <c r="C59" s="118">
        <v>3.78</v>
      </c>
      <c r="D59" s="118">
        <v>36.96</v>
      </c>
      <c r="E59" s="118">
        <v>2476</v>
      </c>
      <c r="F59" s="55" t="s">
        <v>4168</v>
      </c>
      <c r="G59" s="28" t="str">
        <f>VLOOKUP($E59,STOCKS!$D$2:$E$2035,2,0)</f>
        <v>--</v>
      </c>
      <c r="H59">
        <v>66.3</v>
      </c>
      <c r="I59" s="129" t="e">
        <f t="shared" si="0"/>
        <v>#VALUE!</v>
      </c>
      <c r="J59" s="63" t="e">
        <f t="shared" si="1"/>
        <v>#VALUE!</v>
      </c>
    </row>
    <row r="60" spans="1:10">
      <c r="A60" s="118">
        <v>6.75</v>
      </c>
      <c r="B60" s="118">
        <v>150.62</v>
      </c>
      <c r="C60" s="118">
        <v>0.7</v>
      </c>
      <c r="D60" s="118">
        <v>76.73</v>
      </c>
      <c r="E60" s="118">
        <v>6756</v>
      </c>
      <c r="F60" s="55" t="s">
        <v>3992</v>
      </c>
      <c r="G60" s="28">
        <f>VLOOKUP($E60,STOCKS!$D$2:$E$2035,2,0)</f>
        <v>570</v>
      </c>
      <c r="H60">
        <v>469</v>
      </c>
      <c r="I60" s="129">
        <f t="shared" si="0"/>
        <v>101</v>
      </c>
      <c r="J60" s="63">
        <f t="shared" si="1"/>
        <v>0.21535181236673773</v>
      </c>
    </row>
    <row r="61" spans="1:10">
      <c r="A61" s="118">
        <v>32.86</v>
      </c>
      <c r="B61" s="118">
        <v>-321.67</v>
      </c>
      <c r="C61" s="118">
        <v>17.36</v>
      </c>
      <c r="D61" s="118">
        <v>-15.11</v>
      </c>
      <c r="E61" s="118">
        <v>3062</v>
      </c>
      <c r="F61" s="55" t="s">
        <v>4123</v>
      </c>
      <c r="G61" s="28" t="str">
        <f>VLOOKUP($E61,STOCKS!$D$2:$E$2035,2,0)</f>
        <v>--</v>
      </c>
      <c r="H61">
        <v>26.45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163.9</v>
      </c>
      <c r="B62" s="118">
        <v>62.82</v>
      </c>
      <c r="C62" s="118">
        <v>3.53</v>
      </c>
      <c r="D62" s="118">
        <v>46.36</v>
      </c>
      <c r="E62" s="118">
        <v>5347</v>
      </c>
      <c r="F62" s="55" t="s">
        <v>4689</v>
      </c>
      <c r="G62" s="28" t="str">
        <f>VLOOKUP($E62,STOCKS!$D$2:$E$2035,2,0)</f>
        <v>--</v>
      </c>
      <c r="H62">
        <v>144.5</v>
      </c>
      <c r="I62" s="129" t="e">
        <f t="shared" si="0"/>
        <v>#VALUE!</v>
      </c>
      <c r="J62" s="63" t="e">
        <f t="shared" si="1"/>
        <v>#VALUE!</v>
      </c>
    </row>
    <row r="63" spans="1:10">
      <c r="A63" s="118">
        <v>4.09</v>
      </c>
      <c r="B63" s="118">
        <v>8206.14</v>
      </c>
      <c r="C63" s="118">
        <v>3.98</v>
      </c>
      <c r="D63" s="118">
        <v>100.66</v>
      </c>
      <c r="E63" s="118">
        <v>6485</v>
      </c>
      <c r="F63" s="55" t="s">
        <v>4710</v>
      </c>
      <c r="G63" s="28" t="str">
        <f>VLOOKUP($E63,STOCKS!$D$2:$E$2035,2,0)</f>
        <v>--</v>
      </c>
      <c r="H63">
        <v>131.5</v>
      </c>
      <c r="I63" s="129" t="e">
        <f t="shared" si="0"/>
        <v>#VALUE!</v>
      </c>
      <c r="J63" s="63" t="e">
        <f t="shared" si="1"/>
        <v>#VALUE!</v>
      </c>
    </row>
    <row r="64" spans="1:10">
      <c r="A64" s="118">
        <v>114.04</v>
      </c>
      <c r="B64" s="118">
        <v>43.65</v>
      </c>
      <c r="C64" s="118">
        <v>117.29</v>
      </c>
      <c r="D64" s="118">
        <v>21.92</v>
      </c>
      <c r="E64" s="118">
        <v>8069</v>
      </c>
      <c r="F64" s="55" t="s">
        <v>3688</v>
      </c>
      <c r="G64" s="28">
        <f>VLOOKUP($E64,STOCKS!$D$2:$E$2035,2,0)</f>
        <v>127</v>
      </c>
      <c r="H64">
        <v>91.9</v>
      </c>
      <c r="I64" s="129">
        <f t="shared" si="0"/>
        <v>35.099999999999994</v>
      </c>
      <c r="J64" s="63">
        <f t="shared" si="1"/>
        <v>0.38193688792165387</v>
      </c>
    </row>
    <row r="65" spans="1:10">
      <c r="A65" s="118">
        <v>22.2</v>
      </c>
      <c r="B65" s="118">
        <v>400.58</v>
      </c>
      <c r="C65" s="118">
        <v>0.91</v>
      </c>
      <c r="D65" s="118">
        <v>33.869999999999997</v>
      </c>
      <c r="E65" s="118">
        <v>2486</v>
      </c>
      <c r="F65" s="55" t="s">
        <v>4059</v>
      </c>
      <c r="G65" s="28">
        <f>VLOOKUP($E65,STOCKS!$D$2:$E$2035,2,0)</f>
        <v>56.2</v>
      </c>
      <c r="H65">
        <v>58.7</v>
      </c>
      <c r="I65" s="129">
        <f t="shared" si="0"/>
        <v>-2.5</v>
      </c>
      <c r="J65" s="63">
        <f t="shared" si="1"/>
        <v>-4.2589437819420782E-2</v>
      </c>
    </row>
    <row r="66" spans="1:10">
      <c r="A66" s="118">
        <v>13.83</v>
      </c>
      <c r="B66" s="118">
        <v>450.96</v>
      </c>
      <c r="C66" s="118">
        <v>13.49</v>
      </c>
      <c r="D66" s="118">
        <v>33.58</v>
      </c>
      <c r="E66" s="118">
        <v>3305</v>
      </c>
      <c r="F66" s="55" t="s">
        <v>4280</v>
      </c>
      <c r="G66" s="28" t="str">
        <f>VLOOKUP($E66,STOCKS!$D$2:$E$2035,2,0)</f>
        <v>--</v>
      </c>
      <c r="H66">
        <v>70.7</v>
      </c>
      <c r="I66" s="129" t="e">
        <f t="shared" si="0"/>
        <v>#VALUE!</v>
      </c>
      <c r="J66" s="63" t="e">
        <f t="shared" si="1"/>
        <v>#VALUE!</v>
      </c>
    </row>
    <row r="67" spans="1:10">
      <c r="A67" s="118">
        <v>41.72</v>
      </c>
      <c r="B67" s="118">
        <v>251.79</v>
      </c>
      <c r="C67" s="118">
        <v>11.81</v>
      </c>
      <c r="D67" s="118">
        <v>7.82</v>
      </c>
      <c r="E67" s="118">
        <v>4919</v>
      </c>
      <c r="F67" s="55" t="s">
        <v>3977</v>
      </c>
      <c r="G67" s="28" t="str">
        <f>VLOOKUP($E67,STOCKS!$D$2:$E$2035,2,0)</f>
        <v>--</v>
      </c>
      <c r="H67">
        <v>128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18.21</v>
      </c>
      <c r="B68" s="118">
        <v>82.68</v>
      </c>
      <c r="C68" s="118">
        <v>-9.89</v>
      </c>
      <c r="D68" s="118">
        <v>31.24</v>
      </c>
      <c r="E68" s="118">
        <v>8454</v>
      </c>
      <c r="F68" s="55" t="s">
        <v>4427</v>
      </c>
      <c r="G68" s="28" t="str">
        <f>VLOOKUP($E68,STOCKS!$D$2:$E$2035,2,0)</f>
        <v>--</v>
      </c>
      <c r="H68">
        <v>1790</v>
      </c>
      <c r="I68" s="129" t="e">
        <f t="shared" si="2"/>
        <v>#VALUE!</v>
      </c>
      <c r="J68" s="63" t="e">
        <f t="shared" si="3"/>
        <v>#VALUE!</v>
      </c>
    </row>
    <row r="69" spans="1:10">
      <c r="A69" s="118">
        <v>8.01</v>
      </c>
      <c r="B69" s="118">
        <v>1912.35</v>
      </c>
      <c r="C69" s="118">
        <v>-58.54</v>
      </c>
      <c r="D69" s="118">
        <v>-23.17</v>
      </c>
      <c r="E69" s="118">
        <v>6237</v>
      </c>
      <c r="F69" s="55" t="s">
        <v>3672</v>
      </c>
      <c r="G69" s="28">
        <f>VLOOKUP($E69,STOCKS!$D$2:$E$2035,2,0)</f>
        <v>110</v>
      </c>
      <c r="H69">
        <v>102</v>
      </c>
      <c r="I69" s="129">
        <f t="shared" si="2"/>
        <v>8</v>
      </c>
      <c r="J69" s="63">
        <f t="shared" si="3"/>
        <v>7.8431372549019607E-2</v>
      </c>
    </row>
    <row r="70" spans="1:10">
      <c r="A70" s="118">
        <v>7.61</v>
      </c>
      <c r="B70" s="118">
        <v>57.09</v>
      </c>
      <c r="C70" s="118">
        <v>-65.290000000000006</v>
      </c>
      <c r="D70" s="118">
        <v>26.33</v>
      </c>
      <c r="E70" s="118">
        <v>3529</v>
      </c>
      <c r="F70" s="55" t="s">
        <v>4674</v>
      </c>
      <c r="G70" s="28" t="str">
        <f>VLOOKUP($E70,STOCKS!$D$2:$E$2035,2,0)</f>
        <v>--</v>
      </c>
      <c r="H70">
        <v>2300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636.57000000000005</v>
      </c>
      <c r="B71" s="118">
        <v>3535.54</v>
      </c>
      <c r="C71" s="118">
        <v>-7.45</v>
      </c>
      <c r="D71" s="118">
        <v>35.35</v>
      </c>
      <c r="E71" s="118">
        <v>1301</v>
      </c>
      <c r="F71" s="55" t="s">
        <v>3721</v>
      </c>
      <c r="G71" s="28">
        <f>VLOOKUP($E71,STOCKS!$D$2:$E$2035,2,0)</f>
        <v>105.5</v>
      </c>
      <c r="H71">
        <v>107.5</v>
      </c>
      <c r="I71" s="129">
        <f t="shared" si="2"/>
        <v>-2</v>
      </c>
      <c r="J71" s="63">
        <f t="shared" si="3"/>
        <v>-1.8604651162790697E-2</v>
      </c>
    </row>
    <row r="72" spans="1:10">
      <c r="A72" s="118">
        <v>574.04999999999995</v>
      </c>
      <c r="B72" s="118">
        <v>-9.26</v>
      </c>
      <c r="C72" s="118">
        <v>16.79</v>
      </c>
      <c r="D72" s="118">
        <v>47.36</v>
      </c>
      <c r="E72" s="118">
        <v>2610</v>
      </c>
      <c r="F72" s="55" t="s">
        <v>4347</v>
      </c>
      <c r="G72" s="28">
        <f>VLOOKUP($E72,STOCKS!$D$2:$E$2035,2,0)</f>
        <v>28.4</v>
      </c>
      <c r="H72">
        <v>17.2</v>
      </c>
      <c r="I72" s="129">
        <f t="shared" si="2"/>
        <v>11.2</v>
      </c>
      <c r="J72" s="63">
        <f t="shared" si="3"/>
        <v>0.65116279069767435</v>
      </c>
    </row>
    <row r="73" spans="1:10">
      <c r="A73" s="118">
        <v>81.95</v>
      </c>
      <c r="B73" s="118">
        <v>54.66</v>
      </c>
      <c r="C73" s="118">
        <v>64.03</v>
      </c>
      <c r="D73" s="118">
        <v>-26.43</v>
      </c>
      <c r="E73" s="118">
        <v>2498</v>
      </c>
      <c r="F73" s="55" t="s">
        <v>4118</v>
      </c>
      <c r="G73" s="28">
        <f>VLOOKUP($E73,STOCKS!$D$2:$E$2035,2,0)</f>
        <v>79.7</v>
      </c>
      <c r="H73">
        <v>65.599999999999994</v>
      </c>
      <c r="I73" s="129">
        <f t="shared" si="2"/>
        <v>14.100000000000009</v>
      </c>
      <c r="J73" s="63">
        <f t="shared" si="3"/>
        <v>0.21493902439024404</v>
      </c>
    </row>
    <row r="74" spans="1:10">
      <c r="A74" s="118">
        <v>49.59</v>
      </c>
      <c r="B74" s="118">
        <v>100.98</v>
      </c>
      <c r="C74" s="118">
        <v>0.06</v>
      </c>
      <c r="D74" s="118">
        <v>28.03</v>
      </c>
      <c r="E74" s="118">
        <v>2327</v>
      </c>
      <c r="F74" s="55" t="s">
        <v>3645</v>
      </c>
      <c r="G74" s="28" t="str">
        <f>VLOOKUP($E74,STOCKS!$D$2:$E$2035,2,0)</f>
        <v>--</v>
      </c>
      <c r="H74">
        <v>434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8.09</v>
      </c>
      <c r="B75" s="118">
        <v>48.34</v>
      </c>
      <c r="C75" s="118">
        <v>5.55</v>
      </c>
      <c r="D75" s="118">
        <v>21.7</v>
      </c>
      <c r="E75" s="118">
        <v>4966</v>
      </c>
      <c r="F75" s="55" t="s">
        <v>4682</v>
      </c>
      <c r="G75" s="28" t="str">
        <f>VLOOKUP($E75,STOCKS!$D$2:$E$2035,2,0)</f>
        <v>--</v>
      </c>
      <c r="H75">
        <v>1785</v>
      </c>
      <c r="I75" s="129" t="e">
        <f t="shared" si="2"/>
        <v>#VALUE!</v>
      </c>
      <c r="J75" s="63" t="e">
        <f t="shared" si="3"/>
        <v>#VALUE!</v>
      </c>
    </row>
    <row r="76" spans="1:10">
      <c r="A76" s="118">
        <v>145.04</v>
      </c>
      <c r="B76" s="118">
        <v>33.42</v>
      </c>
      <c r="C76" s="118">
        <v>-0.57999999999999996</v>
      </c>
      <c r="D76" s="118">
        <v>16.670000000000002</v>
      </c>
      <c r="E76" s="118">
        <v>5871</v>
      </c>
      <c r="F76" s="55" t="s">
        <v>3654</v>
      </c>
      <c r="G76" s="28" t="str">
        <f>VLOOKUP($E76,STOCKS!$D$2:$E$2035,2,0)</f>
        <v>--</v>
      </c>
      <c r="H76">
        <v>266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6.92</v>
      </c>
      <c r="B77" s="118">
        <v>12.29</v>
      </c>
      <c r="C77" s="118">
        <v>-1.65</v>
      </c>
      <c r="D77" s="118">
        <v>-31.62</v>
      </c>
      <c r="E77" s="118">
        <v>5269</v>
      </c>
      <c r="F77" s="55" t="s">
        <v>3519</v>
      </c>
      <c r="G77" s="28" t="str">
        <f>VLOOKUP($E77,STOCKS!$D$2:$E$2035,2,0)</f>
        <v>--</v>
      </c>
      <c r="H77">
        <v>1625</v>
      </c>
      <c r="I77" s="129" t="e">
        <f t="shared" si="2"/>
        <v>#VALUE!</v>
      </c>
      <c r="J77" s="63" t="e">
        <f t="shared" si="3"/>
        <v>#VALUE!</v>
      </c>
    </row>
    <row r="78" spans="1:10">
      <c r="A78" s="118">
        <v>9.39</v>
      </c>
      <c r="B78" s="118">
        <v>79.31</v>
      </c>
      <c r="C78" s="118">
        <v>9.6</v>
      </c>
      <c r="D78" s="118">
        <v>62.03</v>
      </c>
      <c r="E78" s="118">
        <v>6415</v>
      </c>
      <c r="F78" s="55" t="s">
        <v>3987</v>
      </c>
      <c r="G78" s="28" t="str">
        <f>VLOOKUP($E78,STOCKS!$D$2:$E$2035,2,0)</f>
        <v>--</v>
      </c>
      <c r="H78">
        <v>4580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3.28</v>
      </c>
      <c r="B79" s="118">
        <v>-12.5</v>
      </c>
      <c r="C79" s="118">
        <v>1.91</v>
      </c>
      <c r="D79" s="118">
        <v>-3.71</v>
      </c>
      <c r="E79" s="118">
        <v>6510</v>
      </c>
      <c r="F79" s="55" t="s">
        <v>4712</v>
      </c>
      <c r="G79" s="28" t="str">
        <f>VLOOKUP($E79,STOCKS!$D$2:$E$2035,2,0)</f>
        <v>--</v>
      </c>
      <c r="H79">
        <v>793</v>
      </c>
      <c r="I79" s="129" t="e">
        <f t="shared" si="2"/>
        <v>#VALUE!</v>
      </c>
      <c r="J79" s="63" t="e">
        <f t="shared" si="3"/>
        <v>#VALUE!</v>
      </c>
    </row>
    <row r="80" spans="1:10">
      <c r="A80" s="118">
        <v>1573.49</v>
      </c>
      <c r="B80" s="118">
        <v>946.75</v>
      </c>
      <c r="C80" s="118">
        <v>0.64</v>
      </c>
      <c r="D80" s="118">
        <v>60.68</v>
      </c>
      <c r="E80" s="118">
        <v>2002</v>
      </c>
      <c r="F80" s="55" t="s">
        <v>3633</v>
      </c>
      <c r="G80" s="28" t="str">
        <f>VLOOKUP($E80,STOCKS!$D$2:$E$2035,2,0)</f>
        <v>--</v>
      </c>
      <c r="H80">
        <v>33.6</v>
      </c>
      <c r="I80" s="129" t="e">
        <f t="shared" si="2"/>
        <v>#VALUE!</v>
      </c>
      <c r="J80" s="63" t="e">
        <f t="shared" si="3"/>
        <v>#VALUE!</v>
      </c>
    </row>
    <row r="81" spans="1:10">
      <c r="A81" s="118">
        <v>200.85</v>
      </c>
      <c r="B81" s="118">
        <v>757.86</v>
      </c>
      <c r="C81" s="118">
        <v>-1.68</v>
      </c>
      <c r="D81" s="118">
        <v>74.16</v>
      </c>
      <c r="E81" s="118">
        <v>2027</v>
      </c>
      <c r="F81" s="55" t="s">
        <v>46</v>
      </c>
      <c r="G81" s="28">
        <f>VLOOKUP($E81,STOCKS!$D$2:$E$2035,2,0)</f>
        <v>45.95</v>
      </c>
      <c r="H81">
        <v>44.15</v>
      </c>
      <c r="I81" s="129">
        <f t="shared" si="2"/>
        <v>1.8000000000000043</v>
      </c>
      <c r="J81" s="63">
        <f t="shared" si="3"/>
        <v>4.077010192525491E-2</v>
      </c>
    </row>
    <row r="82" spans="1:10">
      <c r="A82" s="118">
        <v>51.07</v>
      </c>
      <c r="B82" s="118">
        <v>101.14</v>
      </c>
      <c r="C82" s="118">
        <v>1.44</v>
      </c>
      <c r="D82" s="118">
        <v>19.48</v>
      </c>
      <c r="E82" s="118">
        <v>2379</v>
      </c>
      <c r="F82" s="55" t="s">
        <v>3951</v>
      </c>
      <c r="G82" s="28" t="str">
        <f>VLOOKUP($E82,STOCKS!$D$2:$E$2035,2,0)</f>
        <v>--</v>
      </c>
      <c r="H82">
        <v>499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21.29</v>
      </c>
      <c r="B83" s="118">
        <v>-10.32</v>
      </c>
      <c r="C83" s="118">
        <v>-28.68</v>
      </c>
      <c r="D83" s="118">
        <v>29619.200000000001</v>
      </c>
      <c r="E83" s="118">
        <v>6547</v>
      </c>
      <c r="F83" s="55" t="s">
        <v>45</v>
      </c>
      <c r="G83" s="28" t="str">
        <f>VLOOKUP($E83,STOCKS!$D$2:$E$2035,2,0)</f>
        <v>--</v>
      </c>
      <c r="H83">
        <v>240</v>
      </c>
      <c r="I83" s="129" t="e">
        <f t="shared" si="2"/>
        <v>#VALUE!</v>
      </c>
      <c r="J83" s="63" t="e">
        <f t="shared" si="3"/>
        <v>#VALUE!</v>
      </c>
    </row>
    <row r="84" spans="1:10">
      <c r="A84" s="118">
        <v>12.76</v>
      </c>
      <c r="B84" s="118">
        <v>20.98</v>
      </c>
      <c r="C84" s="118">
        <v>-8.1999999999999993</v>
      </c>
      <c r="D84" s="118">
        <v>18.559999999999999</v>
      </c>
      <c r="E84" s="118">
        <v>8044</v>
      </c>
      <c r="F84" s="55" t="s">
        <v>3547</v>
      </c>
      <c r="G84" s="28" t="str">
        <f>VLOOKUP($E84,STOCKS!$D$2:$E$2035,2,0)</f>
        <v>--</v>
      </c>
      <c r="H84">
        <v>145</v>
      </c>
      <c r="I84" s="129" t="e">
        <f t="shared" si="2"/>
        <v>#VALUE!</v>
      </c>
      <c r="J84" s="63" t="e">
        <f t="shared" si="3"/>
        <v>#VALUE!</v>
      </c>
    </row>
    <row r="85" spans="1:10">
      <c r="A85" s="118">
        <v>185.6</v>
      </c>
      <c r="B85" s="118">
        <v>98.35</v>
      </c>
      <c r="C85" s="118">
        <v>13.32</v>
      </c>
      <c r="D85" s="118">
        <v>21.78</v>
      </c>
      <c r="E85" s="118">
        <v>2337</v>
      </c>
      <c r="F85" s="55" t="s">
        <v>3945</v>
      </c>
      <c r="G85" s="28">
        <f>VLOOKUP($E85,STOCKS!$D$2:$E$2035,2,0)</f>
        <v>44.1</v>
      </c>
      <c r="H85">
        <v>39.200000000000003</v>
      </c>
      <c r="I85" s="129">
        <f t="shared" si="2"/>
        <v>4.8999999999999986</v>
      </c>
      <c r="J85" s="63">
        <f t="shared" si="3"/>
        <v>0.12499999999999996</v>
      </c>
    </row>
    <row r="86" spans="1:10">
      <c r="A86" s="118">
        <v>11.2</v>
      </c>
      <c r="B86" s="118">
        <v>-60.18</v>
      </c>
      <c r="C86" s="118">
        <v>8.94</v>
      </c>
      <c r="D86" s="118">
        <v>19.52</v>
      </c>
      <c r="E86" s="118">
        <v>3406</v>
      </c>
      <c r="F86" s="55" t="s">
        <v>4072</v>
      </c>
      <c r="G86" s="28">
        <f>VLOOKUP($E86,STOCKS!$D$2:$E$2035,2,0)</f>
        <v>521</v>
      </c>
      <c r="H86">
        <v>427.5</v>
      </c>
      <c r="I86" s="129">
        <f t="shared" si="2"/>
        <v>93.5</v>
      </c>
      <c r="J86" s="63">
        <f t="shared" si="3"/>
        <v>0.21871345029239767</v>
      </c>
    </row>
    <row r="87" spans="1:10">
      <c r="A87" s="118">
        <v>49.02</v>
      </c>
      <c r="B87" s="118">
        <v>53.7</v>
      </c>
      <c r="C87" s="118">
        <v>-5.23</v>
      </c>
      <c r="D87" s="118">
        <v>24.33</v>
      </c>
      <c r="E87" s="118">
        <v>3264</v>
      </c>
      <c r="F87" s="55" t="s">
        <v>4666</v>
      </c>
      <c r="G87" s="28" t="str">
        <f>VLOOKUP($E87,STOCKS!$D$2:$E$2035,2,0)</f>
        <v>--</v>
      </c>
      <c r="H87">
        <v>59.4</v>
      </c>
      <c r="I87" s="129" t="e">
        <f t="shared" si="2"/>
        <v>#VALUE!</v>
      </c>
      <c r="J87" s="63" t="e">
        <f t="shared" si="3"/>
        <v>#VALUE!</v>
      </c>
    </row>
    <row r="88" spans="1:10">
      <c r="A88" s="118">
        <v>9.0500000000000007</v>
      </c>
      <c r="B88" s="118">
        <v>383.96</v>
      </c>
      <c r="C88" s="118">
        <v>6.69</v>
      </c>
      <c r="D88" s="118">
        <v>-19.43</v>
      </c>
      <c r="E88" s="118">
        <v>8054</v>
      </c>
      <c r="F88" s="55" t="s">
        <v>4725</v>
      </c>
      <c r="G88" s="28" t="str">
        <f>VLOOKUP($E88,STOCKS!$D$2:$E$2035,2,0)</f>
        <v>--</v>
      </c>
      <c r="H88">
        <v>56.5</v>
      </c>
      <c r="I88" s="129" t="e">
        <f t="shared" si="2"/>
        <v>#VALUE!</v>
      </c>
      <c r="J88" s="63" t="e">
        <f t="shared" si="3"/>
        <v>#VALUE!</v>
      </c>
    </row>
    <row r="89" spans="1:10">
      <c r="A89" s="118">
        <v>6.22</v>
      </c>
      <c r="B89" s="118">
        <v>134.56</v>
      </c>
      <c r="C89" s="118">
        <v>9.1</v>
      </c>
      <c r="D89" s="118">
        <v>91.86</v>
      </c>
      <c r="E89" s="118">
        <v>3169</v>
      </c>
      <c r="F89" s="55" t="s">
        <v>3609</v>
      </c>
      <c r="G89" s="28" t="str">
        <f>VLOOKUP($E89,STOCKS!$D$2:$E$2035,2,0)</f>
        <v>--</v>
      </c>
      <c r="H89">
        <v>179.5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11.45</v>
      </c>
      <c r="B90" s="118">
        <v>-44.89</v>
      </c>
      <c r="C90" s="118">
        <v>26</v>
      </c>
      <c r="D90" s="118">
        <v>-61.78</v>
      </c>
      <c r="E90" s="118">
        <v>6477</v>
      </c>
      <c r="F90" s="55" t="s">
        <v>4102</v>
      </c>
      <c r="G90" s="28" t="str">
        <f>VLOOKUP($E90,STOCKS!$D$2:$E$2035,2,0)</f>
        <v>--</v>
      </c>
      <c r="H90">
        <v>45.2</v>
      </c>
      <c r="I90" s="129" t="e">
        <f t="shared" si="2"/>
        <v>#VALUE!</v>
      </c>
      <c r="J90" s="63" t="e">
        <f t="shared" si="3"/>
        <v>#VALUE!</v>
      </c>
    </row>
    <row r="91" spans="1:10">
      <c r="A91" s="118">
        <v>35.33</v>
      </c>
      <c r="B91" s="118">
        <v>93.26</v>
      </c>
      <c r="C91" s="118">
        <v>2.77</v>
      </c>
      <c r="D91" s="118">
        <v>15.46</v>
      </c>
      <c r="E91" s="118">
        <v>3017</v>
      </c>
      <c r="F91" s="55" t="s">
        <v>3517</v>
      </c>
      <c r="G91" s="28">
        <f>VLOOKUP($E91,STOCKS!$D$2:$E$2035,2,0)</f>
        <v>89.4</v>
      </c>
      <c r="H91">
        <v>82.9</v>
      </c>
      <c r="I91" s="129">
        <f t="shared" si="2"/>
        <v>6.5</v>
      </c>
      <c r="J91" s="63">
        <f t="shared" si="3"/>
        <v>7.840772014475271E-2</v>
      </c>
    </row>
    <row r="92" spans="1:10">
      <c r="A92" s="118">
        <v>210.68</v>
      </c>
      <c r="B92" s="118">
        <v>139.11000000000001</v>
      </c>
      <c r="C92" s="118">
        <v>-44.68</v>
      </c>
      <c r="D92" s="118">
        <v>2.57</v>
      </c>
      <c r="E92" s="118">
        <v>9945</v>
      </c>
      <c r="F92" s="55" t="s">
        <v>4498</v>
      </c>
      <c r="G92" s="28" t="str">
        <f>VLOOKUP($E92,STOCKS!$D$2:$E$2035,2,0)</f>
        <v>--</v>
      </c>
      <c r="H92">
        <v>70.900000000000006</v>
      </c>
      <c r="I92" s="129" t="e">
        <f t="shared" si="2"/>
        <v>#VALUE!</v>
      </c>
      <c r="J92" s="63" t="e">
        <f t="shared" si="3"/>
        <v>#VALUE!</v>
      </c>
    </row>
    <row r="93" spans="1:10">
      <c r="A93" s="118">
        <v>8.5399999999999991</v>
      </c>
      <c r="B93" s="118">
        <v>490.39</v>
      </c>
      <c r="C93" s="118">
        <v>10.99</v>
      </c>
      <c r="D93" s="118">
        <v>6.34</v>
      </c>
      <c r="E93" s="118">
        <v>6781</v>
      </c>
      <c r="F93" s="55" t="s">
        <v>36</v>
      </c>
      <c r="G93" s="28" t="str">
        <f>VLOOKUP($E93,STOCKS!$D$2:$E$2035,2,0)</f>
        <v>--</v>
      </c>
      <c r="H93">
        <v>1225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8.85</v>
      </c>
      <c r="B94" s="118">
        <v>0.04</v>
      </c>
      <c r="C94" s="118">
        <v>-17</v>
      </c>
      <c r="D94" s="118">
        <v>-53.24</v>
      </c>
      <c r="E94" s="118">
        <v>4968</v>
      </c>
      <c r="F94" s="55" t="s">
        <v>3981</v>
      </c>
      <c r="G94" s="28" t="str">
        <f>VLOOKUP($E94,STOCKS!$D$2:$E$2035,2,0)</f>
        <v>--</v>
      </c>
      <c r="H94">
        <v>288</v>
      </c>
      <c r="I94" s="129" t="e">
        <f t="shared" si="2"/>
        <v>#VALUE!</v>
      </c>
      <c r="J94" s="63" t="e">
        <f t="shared" si="3"/>
        <v>#VALUE!</v>
      </c>
    </row>
    <row r="95" spans="1:10">
      <c r="A95" s="118">
        <v>1316.92</v>
      </c>
      <c r="B95" s="118">
        <v>179.85</v>
      </c>
      <c r="C95" s="118">
        <v>-23.28</v>
      </c>
      <c r="D95" s="118">
        <v>1.77</v>
      </c>
      <c r="E95" s="118">
        <v>2882</v>
      </c>
      <c r="F95" s="55" t="s">
        <v>4393</v>
      </c>
      <c r="G95" s="28">
        <f>VLOOKUP($E95,STOCKS!$D$2:$E$2035,2,0)</f>
        <v>61.5</v>
      </c>
      <c r="H95">
        <v>58.1</v>
      </c>
      <c r="I95" s="129">
        <f t="shared" si="2"/>
        <v>3.3999999999999986</v>
      </c>
      <c r="J95" s="63">
        <f t="shared" si="3"/>
        <v>5.8519793459552473E-2</v>
      </c>
    </row>
    <row r="96" spans="1:10">
      <c r="A96" s="118">
        <v>10.83</v>
      </c>
      <c r="B96" s="118">
        <v>164.73</v>
      </c>
      <c r="C96" s="118">
        <v>6.17</v>
      </c>
      <c r="D96" s="118">
        <v>6.63</v>
      </c>
      <c r="E96" s="118">
        <v>1727</v>
      </c>
      <c r="F96" s="55" t="s">
        <v>3843</v>
      </c>
      <c r="G96" s="28">
        <f>VLOOKUP($E96,STOCKS!$D$2:$E$2035,2,0)</f>
        <v>59.1</v>
      </c>
      <c r="H96">
        <v>44.1</v>
      </c>
      <c r="I96" s="129">
        <f t="shared" si="2"/>
        <v>15</v>
      </c>
      <c r="J96" s="63">
        <f t="shared" si="3"/>
        <v>0.3401360544217687</v>
      </c>
    </row>
    <row r="97" spans="1:10">
      <c r="A97" s="118">
        <v>4.4400000000000004</v>
      </c>
      <c r="B97" s="118">
        <v>420.37</v>
      </c>
      <c r="C97" s="118">
        <v>-2.25</v>
      </c>
      <c r="D97" s="118">
        <v>85.01</v>
      </c>
      <c r="E97" s="118">
        <v>3527</v>
      </c>
      <c r="F97" s="55" t="s">
        <v>4673</v>
      </c>
      <c r="G97" s="28" t="str">
        <f>VLOOKUP($E97,STOCKS!$D$2:$E$2035,2,0)</f>
        <v>--</v>
      </c>
      <c r="H97">
        <v>215.5</v>
      </c>
      <c r="I97" s="129" t="e">
        <f t="shared" si="2"/>
        <v>#VALUE!</v>
      </c>
      <c r="J97" s="63" t="e">
        <f t="shared" si="3"/>
        <v>#VALUE!</v>
      </c>
    </row>
    <row r="98" spans="1:10">
      <c r="A98" s="118">
        <v>13.41</v>
      </c>
      <c r="B98" s="118">
        <v>-22.99</v>
      </c>
      <c r="C98" s="118">
        <v>3.99</v>
      </c>
      <c r="D98" s="118">
        <v>-18.59</v>
      </c>
      <c r="E98" s="118">
        <v>3008</v>
      </c>
      <c r="F98" s="55" t="s">
        <v>4060</v>
      </c>
      <c r="G98" s="28" t="str">
        <f>VLOOKUP($E98,STOCKS!$D$2:$E$2035,2,0)</f>
        <v>--</v>
      </c>
      <c r="H98">
        <v>2070</v>
      </c>
      <c r="I98" s="129" t="e">
        <f t="shared" si="2"/>
        <v>#VALUE!</v>
      </c>
      <c r="J98" s="63" t="e">
        <f t="shared" si="3"/>
        <v>#VALUE!</v>
      </c>
    </row>
    <row r="99" spans="1:10">
      <c r="A99" s="118">
        <v>6.78</v>
      </c>
      <c r="B99" s="118">
        <v>17066.060000000001</v>
      </c>
      <c r="C99" s="118">
        <v>1.19</v>
      </c>
      <c r="D99" s="118">
        <v>-51.74</v>
      </c>
      <c r="E99" s="118">
        <v>3228</v>
      </c>
      <c r="F99" s="55" t="s">
        <v>3518</v>
      </c>
      <c r="G99" s="28" t="str">
        <f>VLOOKUP($E99,STOCKS!$D$2:$E$2035,2,0)</f>
        <v>--</v>
      </c>
      <c r="H99">
        <v>396</v>
      </c>
      <c r="I99" s="129" t="e">
        <f t="shared" si="2"/>
        <v>#VALUE!</v>
      </c>
      <c r="J99" s="63" t="e">
        <f t="shared" si="3"/>
        <v>#VALUE!</v>
      </c>
    </row>
    <row r="100" spans="1:10">
      <c r="A100" s="118">
        <v>54.78</v>
      </c>
      <c r="B100" s="118">
        <v>191.85</v>
      </c>
      <c r="C100" s="118">
        <v>-4.1500000000000004</v>
      </c>
      <c r="D100" s="118">
        <v>7.02</v>
      </c>
      <c r="E100" s="118">
        <v>1711</v>
      </c>
      <c r="F100" s="55" t="s">
        <v>3833</v>
      </c>
      <c r="G100" s="28">
        <f>VLOOKUP($E100,STOCKS!$D$2:$E$2035,2,0)</f>
        <v>28.35</v>
      </c>
      <c r="H100">
        <v>25.55</v>
      </c>
      <c r="I100" s="129">
        <f t="shared" si="2"/>
        <v>2.8000000000000007</v>
      </c>
      <c r="J100" s="63">
        <f t="shared" si="3"/>
        <v>0.10958904109589043</v>
      </c>
    </row>
    <row r="101" spans="1:10">
      <c r="A101" s="118">
        <v>9.41</v>
      </c>
      <c r="B101" s="118">
        <v>-18.96</v>
      </c>
      <c r="C101" s="118">
        <v>13.11</v>
      </c>
      <c r="D101" s="118">
        <v>18.559999999999999</v>
      </c>
      <c r="E101" s="118">
        <v>6223</v>
      </c>
      <c r="F101" s="55" t="s">
        <v>4701</v>
      </c>
      <c r="G101" s="28" t="str">
        <f>VLOOKUP($E101,STOCKS!$D$2:$E$2035,2,0)</f>
        <v>--</v>
      </c>
      <c r="H101">
        <v>128</v>
      </c>
      <c r="I101" s="129" t="e">
        <f t="shared" si="2"/>
        <v>#VALUE!</v>
      </c>
      <c r="J101" s="63" t="e">
        <f t="shared" si="3"/>
        <v>#VALUE!</v>
      </c>
    </row>
  </sheetData>
  <phoneticPr fontId="38" type="noConversion"/>
  <conditionalFormatting sqref="J1:J1048576">
    <cfRule type="cellIs" dxfId="19" priority="1" operator="lessThan">
      <formula>0</formula>
    </cfRule>
    <cfRule type="cellIs" dxfId="18" priority="2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78726-9BE9-460C-9587-9D57AF95A57B}">
  <sheetPr codeName="工作表7"/>
  <dimension ref="A1:M101"/>
  <sheetViews>
    <sheetView workbookViewId="0">
      <selection activeCell="L28" sqref="L28"/>
    </sheetView>
  </sheetViews>
  <sheetFormatPr defaultRowHeight="16.2"/>
  <cols>
    <col min="1" max="6" width="8.88671875" style="60"/>
    <col min="7" max="7" width="10.44140625" style="60" bestFit="1" customWidth="1"/>
    <col min="8" max="9" width="8.88671875" style="60"/>
    <col min="10" max="10" width="8.88671875" style="63"/>
  </cols>
  <sheetData>
    <row r="1" spans="1:13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3">
      <c r="A2" s="118">
        <v>4.4000000000000004</v>
      </c>
      <c r="B2" s="118">
        <v>32.99</v>
      </c>
      <c r="C2" s="118">
        <v>5.16</v>
      </c>
      <c r="D2" s="118">
        <v>-46.44</v>
      </c>
      <c r="E2" s="118">
        <v>3287</v>
      </c>
      <c r="F2" s="60" t="s">
        <v>4735</v>
      </c>
      <c r="G2" s="28" t="str">
        <f>VLOOKUP($E2,STOCKS!$D$2:$E$2035,2,0)</f>
        <v>--</v>
      </c>
      <c r="H2" s="60">
        <v>17.350000000000001</v>
      </c>
      <c r="I2" s="129" t="e">
        <f>$G2-$H2</f>
        <v>#VALUE!</v>
      </c>
      <c r="J2" s="63" t="e">
        <f>$I2/$H2</f>
        <v>#VALUE!</v>
      </c>
    </row>
    <row r="3" spans="1:13">
      <c r="A3" s="118">
        <v>32.270000000000003</v>
      </c>
      <c r="B3" s="118">
        <v>-90.68</v>
      </c>
      <c r="C3" s="118">
        <v>-4.24</v>
      </c>
      <c r="D3" s="118">
        <v>-12.57</v>
      </c>
      <c r="E3" s="118">
        <v>1611</v>
      </c>
      <c r="F3" s="60" t="s">
        <v>3821</v>
      </c>
      <c r="G3" s="28" t="str">
        <f>VLOOKUP($E3,STOCKS!$D$2:$E$2035,2,0)</f>
        <v>--</v>
      </c>
      <c r="H3" s="60">
        <v>11.55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3">
      <c r="A4" s="118">
        <v>9.09</v>
      </c>
      <c r="B4" s="118">
        <v>475.03</v>
      </c>
      <c r="C4" s="118">
        <v>-13.55</v>
      </c>
      <c r="D4" s="118">
        <v>11.1</v>
      </c>
      <c r="E4" s="118">
        <v>6118</v>
      </c>
      <c r="F4" s="60" t="s">
        <v>4969</v>
      </c>
      <c r="G4" s="28" t="str">
        <f>VLOOKUP($E4,STOCKS!$D$2:$E$2035,2,0)</f>
        <v>--</v>
      </c>
      <c r="H4" s="60">
        <v>16.350000000000001</v>
      </c>
      <c r="I4" s="129" t="e">
        <f t="shared" si="0"/>
        <v>#VALUE!</v>
      </c>
      <c r="J4" s="63" t="e">
        <f t="shared" si="1"/>
        <v>#VALUE!</v>
      </c>
    </row>
    <row r="5" spans="1:13">
      <c r="A5" s="118">
        <v>50.5</v>
      </c>
      <c r="B5" s="118">
        <v>211.41</v>
      </c>
      <c r="C5" s="118">
        <v>12.21</v>
      </c>
      <c r="D5" s="118">
        <v>-37.58</v>
      </c>
      <c r="E5" s="118">
        <v>4123</v>
      </c>
      <c r="F5" s="60" t="s">
        <v>4589</v>
      </c>
      <c r="G5" s="28" t="str">
        <f>VLOOKUP($E5,STOCKS!$D$2:$E$2035,2,0)</f>
        <v>--</v>
      </c>
      <c r="H5" s="60">
        <v>66.5</v>
      </c>
      <c r="I5" s="129" t="e">
        <f t="shared" si="0"/>
        <v>#VALUE!</v>
      </c>
      <c r="J5" s="63" t="e">
        <f t="shared" si="1"/>
        <v>#VALUE!</v>
      </c>
      <c r="M5" s="55"/>
    </row>
    <row r="6" spans="1:13">
      <c r="A6" s="118">
        <v>10.32</v>
      </c>
      <c r="B6" s="118">
        <v>74.459999999999994</v>
      </c>
      <c r="C6" s="118">
        <v>-15.22</v>
      </c>
      <c r="D6" s="118">
        <v>-55.87</v>
      </c>
      <c r="E6" s="118">
        <v>9955</v>
      </c>
      <c r="F6" s="60" t="s">
        <v>4499</v>
      </c>
      <c r="G6" s="28" t="str">
        <f>VLOOKUP($E6,STOCKS!$D$2:$E$2035,2,0)</f>
        <v>--</v>
      </c>
      <c r="H6" s="60">
        <v>17.8</v>
      </c>
      <c r="I6" s="129" t="e">
        <f t="shared" si="0"/>
        <v>#VALUE!</v>
      </c>
      <c r="J6" s="63" t="e">
        <f t="shared" si="1"/>
        <v>#VALUE!</v>
      </c>
    </row>
    <row r="7" spans="1:13">
      <c r="A7" s="118">
        <v>14.79</v>
      </c>
      <c r="B7" s="118">
        <v>-6355.53</v>
      </c>
      <c r="C7" s="118">
        <v>9.19</v>
      </c>
      <c r="D7" s="118">
        <v>-8.73</v>
      </c>
      <c r="E7" s="118">
        <v>6283</v>
      </c>
      <c r="F7" s="60" t="s">
        <v>4291</v>
      </c>
      <c r="G7" s="28" t="str">
        <f>VLOOKUP($E7,STOCKS!$D$2:$E$2035,2,0)</f>
        <v>--</v>
      </c>
      <c r="H7" s="60">
        <v>49.15</v>
      </c>
      <c r="I7" s="129" t="e">
        <f t="shared" si="0"/>
        <v>#VALUE!</v>
      </c>
      <c r="J7" s="63" t="e">
        <f t="shared" si="1"/>
        <v>#VALUE!</v>
      </c>
    </row>
    <row r="8" spans="1:13">
      <c r="A8" s="118">
        <v>16.239999999999998</v>
      </c>
      <c r="B8" s="118">
        <v>38.049999999999997</v>
      </c>
      <c r="C8" s="118">
        <v>-72.22</v>
      </c>
      <c r="D8" s="118">
        <v>-81.27</v>
      </c>
      <c r="E8" s="118">
        <v>5302</v>
      </c>
      <c r="F8" s="60" t="s">
        <v>4686</v>
      </c>
      <c r="G8" s="28" t="str">
        <f>VLOOKUP($E8,STOCKS!$D$2:$E$2035,2,0)</f>
        <v>--</v>
      </c>
      <c r="H8" s="60">
        <v>12.95</v>
      </c>
      <c r="I8" s="129" t="e">
        <f t="shared" si="0"/>
        <v>#VALUE!</v>
      </c>
      <c r="J8" s="63" t="e">
        <f t="shared" si="1"/>
        <v>#VALUE!</v>
      </c>
    </row>
    <row r="9" spans="1:13">
      <c r="A9" s="118">
        <v>6.13</v>
      </c>
      <c r="B9" s="118">
        <v>134.5</v>
      </c>
      <c r="C9" s="118">
        <v>-4.3</v>
      </c>
      <c r="D9" s="118">
        <v>-9.94</v>
      </c>
      <c r="E9" s="118">
        <v>3317</v>
      </c>
      <c r="F9" s="60" t="s">
        <v>4669</v>
      </c>
      <c r="G9" s="28" t="str">
        <f>VLOOKUP($E9,STOCKS!$D$2:$E$2035,2,0)</f>
        <v>--</v>
      </c>
      <c r="H9" s="60">
        <v>74.8</v>
      </c>
      <c r="I9" s="129" t="e">
        <f t="shared" si="0"/>
        <v>#VALUE!</v>
      </c>
      <c r="J9" s="63" t="e">
        <f t="shared" si="1"/>
        <v>#VALUE!</v>
      </c>
    </row>
    <row r="10" spans="1:13">
      <c r="A10" s="118">
        <v>24.9</v>
      </c>
      <c r="B10" s="118">
        <v>-1378.91</v>
      </c>
      <c r="C10" s="118">
        <v>-15.51</v>
      </c>
      <c r="D10" s="118">
        <v>-21.94</v>
      </c>
      <c r="E10" s="118">
        <v>6125</v>
      </c>
      <c r="F10" s="60" t="s">
        <v>4804</v>
      </c>
      <c r="G10" s="28" t="str">
        <f>VLOOKUP($E10,STOCKS!$D$2:$E$2035,2,0)</f>
        <v>--</v>
      </c>
      <c r="H10" s="60">
        <v>27.8</v>
      </c>
      <c r="I10" s="129" t="e">
        <f t="shared" si="0"/>
        <v>#VALUE!</v>
      </c>
      <c r="J10" s="63" t="e">
        <f t="shared" si="1"/>
        <v>#VALUE!</v>
      </c>
    </row>
    <row r="11" spans="1:13">
      <c r="A11" s="118">
        <v>8.7100000000000009</v>
      </c>
      <c r="B11" s="118">
        <v>-6.98</v>
      </c>
      <c r="C11" s="118">
        <v>33.14</v>
      </c>
      <c r="D11" s="118">
        <v>58.34</v>
      </c>
      <c r="E11" s="118">
        <v>3088</v>
      </c>
      <c r="F11" s="60" t="s">
        <v>4731</v>
      </c>
      <c r="G11" s="28" t="str">
        <f>VLOOKUP($E11,STOCKS!$D$2:$E$2035,2,0)</f>
        <v>--</v>
      </c>
      <c r="H11" s="60">
        <v>52.4</v>
      </c>
      <c r="I11" s="129" t="e">
        <f t="shared" si="0"/>
        <v>#VALUE!</v>
      </c>
      <c r="J11" s="63" t="e">
        <f t="shared" si="1"/>
        <v>#VALUE!</v>
      </c>
    </row>
    <row r="12" spans="1:13">
      <c r="A12" s="118">
        <v>8.66</v>
      </c>
      <c r="B12" s="118">
        <v>284.69</v>
      </c>
      <c r="C12" s="118">
        <v>-0.57999999999999996</v>
      </c>
      <c r="D12" s="118">
        <v>-30.51</v>
      </c>
      <c r="E12" s="118">
        <v>6558</v>
      </c>
      <c r="F12" s="60" t="s">
        <v>4294</v>
      </c>
      <c r="G12" s="28" t="str">
        <f>VLOOKUP($E12,STOCKS!$D$2:$E$2035,2,0)</f>
        <v>--</v>
      </c>
      <c r="H12" s="60">
        <v>34</v>
      </c>
      <c r="I12" s="129" t="e">
        <f t="shared" si="0"/>
        <v>#VALUE!</v>
      </c>
      <c r="J12" s="63" t="e">
        <f t="shared" si="1"/>
        <v>#VALUE!</v>
      </c>
    </row>
    <row r="13" spans="1:13">
      <c r="A13" s="118">
        <v>45.15</v>
      </c>
      <c r="B13" s="118">
        <v>66.56</v>
      </c>
      <c r="C13" s="118">
        <v>6.35</v>
      </c>
      <c r="D13" s="118">
        <v>-12.68</v>
      </c>
      <c r="E13" s="118">
        <v>4915</v>
      </c>
      <c r="F13" s="60" t="s">
        <v>4203</v>
      </c>
      <c r="G13" s="28" t="str">
        <f>VLOOKUP($E13,STOCKS!$D$2:$E$2035,2,0)</f>
        <v>--</v>
      </c>
      <c r="H13" s="60">
        <v>51.5</v>
      </c>
      <c r="I13" s="129" t="e">
        <f t="shared" si="0"/>
        <v>#VALUE!</v>
      </c>
      <c r="J13" s="63" t="e">
        <f t="shared" si="1"/>
        <v>#VALUE!</v>
      </c>
    </row>
    <row r="14" spans="1:13">
      <c r="A14" s="118">
        <v>13.2</v>
      </c>
      <c r="B14" s="118">
        <v>134.15</v>
      </c>
      <c r="C14" s="118">
        <v>0.76</v>
      </c>
      <c r="D14" s="118">
        <v>-30.35</v>
      </c>
      <c r="E14" s="118">
        <v>3294</v>
      </c>
      <c r="F14" s="60" t="s">
        <v>4880</v>
      </c>
      <c r="G14" s="28" t="str">
        <f>VLOOKUP($E14,STOCKS!$D$2:$E$2035,2,0)</f>
        <v>--</v>
      </c>
      <c r="H14" s="60">
        <v>20.55</v>
      </c>
      <c r="I14" s="129" t="e">
        <f t="shared" si="0"/>
        <v>#VALUE!</v>
      </c>
      <c r="J14" s="63" t="e">
        <f t="shared" si="1"/>
        <v>#VALUE!</v>
      </c>
    </row>
    <row r="15" spans="1:13">
      <c r="A15" s="118">
        <v>14.75</v>
      </c>
      <c r="B15" s="118">
        <v>-14.99</v>
      </c>
      <c r="C15" s="118">
        <v>-14.06</v>
      </c>
      <c r="D15" s="118">
        <v>-9.07</v>
      </c>
      <c r="E15" s="118">
        <v>3211</v>
      </c>
      <c r="F15" s="60" t="s">
        <v>4732</v>
      </c>
      <c r="G15" s="28">
        <f>VLOOKUP($E15,STOCKS!$D$2:$E$2035,2,0)</f>
        <v>98.1</v>
      </c>
      <c r="H15" s="60">
        <v>96</v>
      </c>
      <c r="I15" s="129">
        <f t="shared" si="0"/>
        <v>2.0999999999999943</v>
      </c>
      <c r="J15" s="63">
        <f t="shared" si="1"/>
        <v>2.187499999999994E-2</v>
      </c>
    </row>
    <row r="16" spans="1:13">
      <c r="A16" s="118">
        <v>10.95</v>
      </c>
      <c r="B16" s="118">
        <v>294.45</v>
      </c>
      <c r="C16" s="118">
        <v>-28.61</v>
      </c>
      <c r="D16" s="118">
        <v>23.34</v>
      </c>
      <c r="E16" s="118">
        <v>3162</v>
      </c>
      <c r="F16" s="60" t="s">
        <v>4528</v>
      </c>
      <c r="G16" s="28">
        <f>VLOOKUP($E16,STOCKS!$D$2:$E$2035,2,0)</f>
        <v>48.35</v>
      </c>
      <c r="H16" s="60">
        <v>48.55</v>
      </c>
      <c r="I16" s="129">
        <f t="shared" si="0"/>
        <v>-0.19999999999999574</v>
      </c>
      <c r="J16" s="63">
        <f t="shared" si="1"/>
        <v>-4.1194644696188618E-3</v>
      </c>
    </row>
    <row r="17" spans="1:10">
      <c r="A17" s="118">
        <v>58.62</v>
      </c>
      <c r="B17" s="118">
        <v>14.46</v>
      </c>
      <c r="C17" s="118">
        <v>7.34</v>
      </c>
      <c r="D17" s="118">
        <v>13.2</v>
      </c>
      <c r="E17" s="118">
        <v>5483</v>
      </c>
      <c r="F17" s="60" t="s">
        <v>4693</v>
      </c>
      <c r="G17" s="28" t="str">
        <f>VLOOKUP($E17,STOCKS!$D$2:$E$2035,2,0)</f>
        <v>--</v>
      </c>
      <c r="H17" s="60">
        <v>189.5</v>
      </c>
      <c r="I17" s="129" t="e">
        <f t="shared" si="0"/>
        <v>#VALUE!</v>
      </c>
      <c r="J17" s="63" t="e">
        <f t="shared" si="1"/>
        <v>#VALUE!</v>
      </c>
    </row>
    <row r="18" spans="1:10">
      <c r="A18" s="118">
        <v>42.4</v>
      </c>
      <c r="B18" s="118">
        <v>-37.229999999999997</v>
      </c>
      <c r="C18" s="118">
        <v>2.08</v>
      </c>
      <c r="D18" s="118">
        <v>3.67</v>
      </c>
      <c r="E18" s="118">
        <v>3105</v>
      </c>
      <c r="F18" s="60" t="s">
        <v>3618</v>
      </c>
      <c r="G18" s="28" t="str">
        <f>VLOOKUP($E18,STOCKS!$D$2:$E$2035,2,0)</f>
        <v>--</v>
      </c>
      <c r="H18" s="60">
        <v>357.5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19.03</v>
      </c>
      <c r="B19" s="118">
        <v>889.88</v>
      </c>
      <c r="C19" s="118">
        <v>9.3699999999999992</v>
      </c>
      <c r="D19" s="118">
        <v>40.51</v>
      </c>
      <c r="E19" s="118">
        <v>3701</v>
      </c>
      <c r="F19" s="60" t="s">
        <v>4029</v>
      </c>
      <c r="G19" s="28">
        <f>VLOOKUP($E19,STOCKS!$D$2:$E$2035,2,0)</f>
        <v>65.3</v>
      </c>
      <c r="H19" s="60">
        <v>46.45</v>
      </c>
      <c r="I19" s="129">
        <f t="shared" si="0"/>
        <v>18.849999999999994</v>
      </c>
      <c r="J19" s="63">
        <f t="shared" si="1"/>
        <v>0.40581270182992452</v>
      </c>
    </row>
    <row r="20" spans="1:10">
      <c r="A20" s="118">
        <v>8.1300000000000008</v>
      </c>
      <c r="B20" s="118">
        <v>262.61</v>
      </c>
      <c r="C20" s="118">
        <v>2.48</v>
      </c>
      <c r="D20" s="118">
        <v>11.98</v>
      </c>
      <c r="E20" s="118">
        <v>8261</v>
      </c>
      <c r="F20" s="60" t="s">
        <v>3998</v>
      </c>
      <c r="G20" s="28" t="str">
        <f>VLOOKUP($E20,STOCKS!$D$2:$E$2035,2,0)</f>
        <v>--</v>
      </c>
      <c r="H20" s="60">
        <v>104.5</v>
      </c>
      <c r="I20" s="129" t="e">
        <f t="shared" si="0"/>
        <v>#VALUE!</v>
      </c>
      <c r="J20" s="63" t="e">
        <f t="shared" si="1"/>
        <v>#VALUE!</v>
      </c>
    </row>
    <row r="21" spans="1:10">
      <c r="A21" s="118">
        <v>8</v>
      </c>
      <c r="B21" s="118">
        <v>104.88</v>
      </c>
      <c r="C21" s="118">
        <v>-8.07</v>
      </c>
      <c r="D21" s="118">
        <v>5.37</v>
      </c>
      <c r="E21" s="118">
        <v>3257</v>
      </c>
      <c r="F21" s="60" t="s">
        <v>3970</v>
      </c>
      <c r="G21" s="28" t="str">
        <f>VLOOKUP($E21,STOCKS!$D$2:$E$2035,2,0)</f>
        <v>--</v>
      </c>
      <c r="H21" s="60">
        <v>71.599999999999994</v>
      </c>
      <c r="I21" s="129" t="e">
        <f t="shared" si="0"/>
        <v>#VALUE!</v>
      </c>
      <c r="J21" s="63" t="e">
        <f t="shared" si="1"/>
        <v>#VALUE!</v>
      </c>
    </row>
    <row r="22" spans="1:10">
      <c r="A22" s="118">
        <v>13.91</v>
      </c>
      <c r="B22" s="118">
        <v>-32.299999999999997</v>
      </c>
      <c r="C22" s="118">
        <v>-12.89</v>
      </c>
      <c r="D22" s="118">
        <v>5.0599999999999996</v>
      </c>
      <c r="E22" s="118">
        <v>2440</v>
      </c>
      <c r="F22" s="60" t="s">
        <v>4163</v>
      </c>
      <c r="G22" s="28" t="str">
        <f>VLOOKUP($E22,STOCKS!$D$2:$E$2035,2,0)</f>
        <v>--</v>
      </c>
      <c r="H22" s="60">
        <v>14.85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49.02</v>
      </c>
      <c r="B23" s="118">
        <v>53.7</v>
      </c>
      <c r="C23" s="118">
        <v>-5.23</v>
      </c>
      <c r="D23" s="118">
        <v>24.33</v>
      </c>
      <c r="E23" s="118">
        <v>3264</v>
      </c>
      <c r="F23" s="60" t="s">
        <v>4666</v>
      </c>
      <c r="G23" s="28" t="str">
        <f>VLOOKUP($E23,STOCKS!$D$2:$E$2035,2,0)</f>
        <v>--</v>
      </c>
      <c r="H23" s="60">
        <v>59.4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15.4</v>
      </c>
      <c r="B24" s="118">
        <v>178.85</v>
      </c>
      <c r="C24" s="118">
        <v>-41.83</v>
      </c>
      <c r="D24" s="118">
        <v>-75.489999999999995</v>
      </c>
      <c r="E24" s="118">
        <v>6219</v>
      </c>
      <c r="F24" s="60" t="s">
        <v>5067</v>
      </c>
      <c r="G24" s="28" t="str">
        <f>VLOOKUP($E24,STOCKS!$D$2:$E$2035,2,0)</f>
        <v>--</v>
      </c>
      <c r="H24" s="60">
        <v>18.3</v>
      </c>
      <c r="I24" s="129" t="e">
        <f t="shared" si="0"/>
        <v>#VALUE!</v>
      </c>
      <c r="J24" s="63" t="e">
        <f t="shared" si="1"/>
        <v>#VALUE!</v>
      </c>
    </row>
    <row r="25" spans="1:10">
      <c r="A25" s="118">
        <v>15.1</v>
      </c>
      <c r="B25" s="118">
        <v>113.4</v>
      </c>
      <c r="C25" s="118">
        <v>47.89</v>
      </c>
      <c r="D25" s="118">
        <v>310.44</v>
      </c>
      <c r="E25" s="118">
        <v>1906</v>
      </c>
      <c r="F25" s="60" t="s">
        <v>3883</v>
      </c>
      <c r="G25" s="28" t="str">
        <f>VLOOKUP($E25,STOCKS!$D$2:$E$2035,2,0)</f>
        <v>--</v>
      </c>
      <c r="H25" s="60">
        <v>19.850000000000001</v>
      </c>
      <c r="I25" s="129" t="e">
        <f t="shared" si="0"/>
        <v>#VALUE!</v>
      </c>
      <c r="J25" s="63" t="e">
        <f t="shared" si="1"/>
        <v>#VALUE!</v>
      </c>
    </row>
    <row r="26" spans="1:10">
      <c r="A26" s="118">
        <v>11.88</v>
      </c>
      <c r="B26" s="118">
        <v>100.54</v>
      </c>
      <c r="C26" s="118">
        <v>11.51</v>
      </c>
      <c r="D26" s="118">
        <v>27.74</v>
      </c>
      <c r="E26" s="118">
        <v>2497</v>
      </c>
      <c r="F26" s="60" t="s">
        <v>3934</v>
      </c>
      <c r="G26" s="28" t="str">
        <f>VLOOKUP($E26,STOCKS!$D$2:$E$2035,2,0)</f>
        <v>--</v>
      </c>
      <c r="H26" s="60">
        <v>38.200000000000003</v>
      </c>
      <c r="I26" s="129" t="e">
        <f t="shared" si="0"/>
        <v>#VALUE!</v>
      </c>
      <c r="J26" s="63" t="e">
        <f t="shared" si="1"/>
        <v>#VALUE!</v>
      </c>
    </row>
    <row r="27" spans="1:10">
      <c r="A27" s="118">
        <v>9.89</v>
      </c>
      <c r="B27" s="118">
        <v>7.06</v>
      </c>
      <c r="C27" s="118">
        <v>-8.2899999999999991</v>
      </c>
      <c r="D27" s="118">
        <v>11.7</v>
      </c>
      <c r="E27" s="118">
        <v>3027</v>
      </c>
      <c r="F27" s="60" t="s">
        <v>4120</v>
      </c>
      <c r="G27" s="28" t="str">
        <f>VLOOKUP($E27,STOCKS!$D$2:$E$2035,2,0)</f>
        <v>--</v>
      </c>
      <c r="H27" s="60">
        <v>24.5</v>
      </c>
      <c r="I27" s="129" t="e">
        <f t="shared" si="0"/>
        <v>#VALUE!</v>
      </c>
      <c r="J27" s="63" t="e">
        <f t="shared" si="1"/>
        <v>#VALUE!</v>
      </c>
    </row>
    <row r="28" spans="1:10">
      <c r="A28" s="118">
        <v>1180.5</v>
      </c>
      <c r="B28" s="118">
        <v>138.12</v>
      </c>
      <c r="C28" s="118">
        <v>-25.61</v>
      </c>
      <c r="D28" s="118">
        <v>33.450000000000003</v>
      </c>
      <c r="E28" s="118">
        <v>2881</v>
      </c>
      <c r="F28" s="60" t="s">
        <v>4392</v>
      </c>
      <c r="G28" s="28">
        <f>VLOOKUP($E28,STOCKS!$D$2:$E$2035,2,0)</f>
        <v>74.900000000000006</v>
      </c>
      <c r="H28" s="60">
        <v>73.599999999999994</v>
      </c>
      <c r="I28" s="129">
        <f t="shared" si="0"/>
        <v>1.3000000000000114</v>
      </c>
      <c r="J28" s="63">
        <f t="shared" si="1"/>
        <v>1.7663043478261024E-2</v>
      </c>
    </row>
    <row r="29" spans="1:10">
      <c r="A29" s="118">
        <v>28.23</v>
      </c>
      <c r="B29" s="118">
        <v>210.33</v>
      </c>
      <c r="C29" s="118">
        <v>1.5</v>
      </c>
      <c r="D29" s="118">
        <v>36.909999999999997</v>
      </c>
      <c r="E29" s="118">
        <v>3016</v>
      </c>
      <c r="F29" s="60" t="s">
        <v>3964</v>
      </c>
      <c r="G29" s="28" t="str">
        <f>VLOOKUP($E29,STOCKS!$D$2:$E$2035,2,0)</f>
        <v>--</v>
      </c>
      <c r="H29" s="60">
        <v>95.3</v>
      </c>
      <c r="I29" s="129" t="e">
        <f t="shared" si="0"/>
        <v>#VALUE!</v>
      </c>
      <c r="J29" s="63" t="e">
        <f t="shared" si="1"/>
        <v>#VALUE!</v>
      </c>
    </row>
    <row r="30" spans="1:10">
      <c r="A30" s="118">
        <v>22</v>
      </c>
      <c r="B30" s="118">
        <v>2080.56</v>
      </c>
      <c r="C30" s="118">
        <v>-3.41</v>
      </c>
      <c r="D30" s="118">
        <v>6.08</v>
      </c>
      <c r="E30" s="118">
        <v>1414</v>
      </c>
      <c r="F30" s="60" t="s">
        <v>3574</v>
      </c>
      <c r="G30" s="28" t="str">
        <f>VLOOKUP($E30,STOCKS!$D$2:$E$2035,2,0)</f>
        <v>--</v>
      </c>
      <c r="H30" s="60">
        <v>17.55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4.09</v>
      </c>
      <c r="B31" s="118">
        <v>8206.14</v>
      </c>
      <c r="C31" s="118">
        <v>3.98</v>
      </c>
      <c r="D31" s="118">
        <v>100.66</v>
      </c>
      <c r="E31" s="118">
        <v>6485</v>
      </c>
      <c r="F31" s="60" t="s">
        <v>4710</v>
      </c>
      <c r="G31" s="28" t="str">
        <f>VLOOKUP($E31,STOCKS!$D$2:$E$2035,2,0)</f>
        <v>--</v>
      </c>
      <c r="H31" s="60">
        <v>131.5</v>
      </c>
      <c r="I31" s="129" t="e">
        <f t="shared" si="0"/>
        <v>#VALUE!</v>
      </c>
      <c r="J31" s="63" t="e">
        <f t="shared" si="1"/>
        <v>#VALUE!</v>
      </c>
    </row>
    <row r="32" spans="1:10">
      <c r="A32" s="118">
        <v>6.8</v>
      </c>
      <c r="B32" s="118">
        <v>14.19</v>
      </c>
      <c r="C32" s="118">
        <v>63.58</v>
      </c>
      <c r="D32" s="118">
        <v>120.37</v>
      </c>
      <c r="E32" s="118">
        <v>3224</v>
      </c>
      <c r="F32" s="60" t="s">
        <v>4964</v>
      </c>
      <c r="G32" s="28" t="str">
        <f>VLOOKUP($E32,STOCKS!$D$2:$E$2035,2,0)</f>
        <v>--</v>
      </c>
      <c r="H32" s="60">
        <v>45.7</v>
      </c>
      <c r="I32" s="129" t="e">
        <f t="shared" si="0"/>
        <v>#VALUE!</v>
      </c>
      <c r="J32" s="63" t="e">
        <f t="shared" si="1"/>
        <v>#VALUE!</v>
      </c>
    </row>
    <row r="33" spans="1:10">
      <c r="A33" s="118">
        <v>12.69</v>
      </c>
      <c r="B33" s="118">
        <v>-0.77</v>
      </c>
      <c r="C33" s="118">
        <v>-7.71</v>
      </c>
      <c r="D33" s="118">
        <v>104.16</v>
      </c>
      <c r="E33" s="118">
        <v>3029</v>
      </c>
      <c r="F33" s="60" t="s">
        <v>4256</v>
      </c>
      <c r="G33" s="28" t="str">
        <f>VLOOKUP($E33,STOCKS!$D$2:$E$2035,2,0)</f>
        <v>--</v>
      </c>
      <c r="H33" s="60">
        <v>46.1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12.71</v>
      </c>
      <c r="B34" s="118">
        <v>228.4</v>
      </c>
      <c r="C34" s="118">
        <v>-3.51</v>
      </c>
      <c r="D34" s="118">
        <v>218.34</v>
      </c>
      <c r="E34" s="118">
        <v>5475</v>
      </c>
      <c r="F34" s="60" t="s">
        <v>3620</v>
      </c>
      <c r="G34" s="28" t="str">
        <f>VLOOKUP($E34,STOCKS!$D$2:$E$2035,2,0)</f>
        <v>--</v>
      </c>
      <c r="H34" s="60">
        <v>30.35</v>
      </c>
      <c r="I34" s="129" t="e">
        <f t="shared" si="0"/>
        <v>#VALUE!</v>
      </c>
      <c r="J34" s="63" t="e">
        <f t="shared" si="1"/>
        <v>#VALUE!</v>
      </c>
    </row>
    <row r="35" spans="1:10">
      <c r="A35" s="118">
        <v>39.1</v>
      </c>
      <c r="B35" s="118">
        <v>47.51</v>
      </c>
      <c r="C35" s="118">
        <v>18.14</v>
      </c>
      <c r="D35" s="118">
        <v>12.83</v>
      </c>
      <c r="E35" s="118">
        <v>5371</v>
      </c>
      <c r="F35" s="60" t="s">
        <v>4802</v>
      </c>
      <c r="G35" s="28" t="str">
        <f>VLOOKUP($E35,STOCKS!$D$2:$E$2035,2,0)</f>
        <v>--</v>
      </c>
      <c r="H35" s="60">
        <v>57.4</v>
      </c>
      <c r="I35" s="129" t="e">
        <f t="shared" si="0"/>
        <v>#VALUE!</v>
      </c>
      <c r="J35" s="63" t="e">
        <f t="shared" si="1"/>
        <v>#VALUE!</v>
      </c>
    </row>
    <row r="36" spans="1:10">
      <c r="A36" s="118">
        <v>3.83</v>
      </c>
      <c r="B36" s="118">
        <v>269.69</v>
      </c>
      <c r="C36" s="118">
        <v>5.99</v>
      </c>
      <c r="D36" s="118">
        <v>70.39</v>
      </c>
      <c r="E36" s="118">
        <v>3122</v>
      </c>
      <c r="F36" s="60" t="s">
        <v>3607</v>
      </c>
      <c r="G36" s="28" t="str">
        <f>VLOOKUP($E36,STOCKS!$D$2:$E$2035,2,0)</f>
        <v>--</v>
      </c>
      <c r="H36" s="60">
        <v>46.45</v>
      </c>
      <c r="I36" s="129" t="e">
        <f t="shared" si="0"/>
        <v>#VALUE!</v>
      </c>
      <c r="J36" s="63" t="e">
        <f t="shared" si="1"/>
        <v>#VALUE!</v>
      </c>
    </row>
    <row r="37" spans="1:10">
      <c r="A37" s="118">
        <v>9.7100000000000009</v>
      </c>
      <c r="B37" s="118">
        <v>151.47999999999999</v>
      </c>
      <c r="C37" s="118">
        <v>26.46</v>
      </c>
      <c r="D37" s="118">
        <v>7.99</v>
      </c>
      <c r="E37" s="118">
        <v>8406</v>
      </c>
      <c r="F37" s="60" t="s">
        <v>4645</v>
      </c>
      <c r="G37" s="28">
        <f>VLOOKUP($E37,STOCKS!$D$2:$E$2035,2,0)</f>
        <v>197.5</v>
      </c>
      <c r="H37" s="60">
        <v>201.5</v>
      </c>
      <c r="I37" s="129">
        <f t="shared" si="0"/>
        <v>-4</v>
      </c>
      <c r="J37" s="63">
        <f t="shared" si="1"/>
        <v>-1.9851116625310174E-2</v>
      </c>
    </row>
    <row r="38" spans="1:10">
      <c r="A38" s="118">
        <v>12.29</v>
      </c>
      <c r="B38" s="118">
        <v>119.13</v>
      </c>
      <c r="C38" s="118">
        <v>-6.1</v>
      </c>
      <c r="D38" s="118">
        <v>-14.27</v>
      </c>
      <c r="E38" s="118">
        <v>3515</v>
      </c>
      <c r="F38" s="60" t="s">
        <v>4028</v>
      </c>
      <c r="G38" s="28" t="str">
        <f>VLOOKUP($E38,STOCKS!$D$2:$E$2035,2,0)</f>
        <v>--</v>
      </c>
      <c r="H38" s="60">
        <v>173.5</v>
      </c>
      <c r="I38" s="129" t="e">
        <f t="shared" si="0"/>
        <v>#VALUE!</v>
      </c>
      <c r="J38" s="63" t="e">
        <f t="shared" si="1"/>
        <v>#VALUE!</v>
      </c>
    </row>
    <row r="39" spans="1:10">
      <c r="A39" s="118">
        <v>7.6</v>
      </c>
      <c r="B39" s="118">
        <v>171.06</v>
      </c>
      <c r="C39" s="118">
        <v>9.19</v>
      </c>
      <c r="D39" s="118">
        <v>31.56</v>
      </c>
      <c r="E39" s="118">
        <v>5011</v>
      </c>
      <c r="F39" s="60" t="s">
        <v>4652</v>
      </c>
      <c r="G39" s="28" t="str">
        <f>VLOOKUP($E39,STOCKS!$D$2:$E$2035,2,0)</f>
        <v>--</v>
      </c>
      <c r="H39" s="60">
        <v>30.6</v>
      </c>
      <c r="I39" s="129" t="e">
        <f t="shared" si="0"/>
        <v>#VALUE!</v>
      </c>
      <c r="J39" s="63" t="e">
        <f t="shared" si="1"/>
        <v>#VALUE!</v>
      </c>
    </row>
    <row r="40" spans="1:10">
      <c r="A40" s="118">
        <v>46.63</v>
      </c>
      <c r="B40" s="118">
        <v>-122.97</v>
      </c>
      <c r="C40" s="118">
        <v>-3</v>
      </c>
      <c r="D40" s="118">
        <v>7.41</v>
      </c>
      <c r="E40" s="118">
        <v>4128</v>
      </c>
      <c r="F40" s="60" t="s">
        <v>4591</v>
      </c>
      <c r="G40" s="28">
        <f>VLOOKUP($E40,STOCKS!$D$2:$E$2035,2,0)</f>
        <v>66.099999999999994</v>
      </c>
      <c r="H40" s="60">
        <v>63.3</v>
      </c>
      <c r="I40" s="129">
        <f t="shared" si="0"/>
        <v>2.7999999999999972</v>
      </c>
      <c r="J40" s="63">
        <f t="shared" si="1"/>
        <v>4.4233807266982582E-2</v>
      </c>
    </row>
    <row r="41" spans="1:10">
      <c r="A41" s="118">
        <v>3.2</v>
      </c>
      <c r="B41" s="118">
        <v>1969.51</v>
      </c>
      <c r="C41" s="118">
        <v>-5.57</v>
      </c>
      <c r="D41" s="118">
        <v>-13.04</v>
      </c>
      <c r="E41" s="118">
        <v>5211</v>
      </c>
      <c r="F41" s="60" t="s">
        <v>4986</v>
      </c>
      <c r="G41" s="28" t="str">
        <f>VLOOKUP($E41,STOCKS!$D$2:$E$2035,2,0)</f>
        <v>--</v>
      </c>
      <c r="H41" s="60">
        <v>22.45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9.0500000000000007</v>
      </c>
      <c r="B42" s="118">
        <v>383.96</v>
      </c>
      <c r="C42" s="118">
        <v>6.69</v>
      </c>
      <c r="D42" s="118">
        <v>-19.43</v>
      </c>
      <c r="E42" s="118">
        <v>8054</v>
      </c>
      <c r="F42" s="60" t="s">
        <v>4725</v>
      </c>
      <c r="G42" s="28" t="str">
        <f>VLOOKUP($E42,STOCKS!$D$2:$E$2035,2,0)</f>
        <v>--</v>
      </c>
      <c r="H42" s="60">
        <v>56.5</v>
      </c>
      <c r="I42" s="129" t="e">
        <f t="shared" si="0"/>
        <v>#VALUE!</v>
      </c>
      <c r="J42" s="63" t="e">
        <f t="shared" si="1"/>
        <v>#VALUE!</v>
      </c>
    </row>
    <row r="43" spans="1:10">
      <c r="A43" s="118">
        <v>9.2899999999999991</v>
      </c>
      <c r="B43" s="118">
        <v>95.7</v>
      </c>
      <c r="C43" s="118">
        <v>3.81</v>
      </c>
      <c r="D43" s="118">
        <v>11.52</v>
      </c>
      <c r="E43" s="118">
        <v>3236</v>
      </c>
      <c r="F43" s="60" t="s">
        <v>4876</v>
      </c>
      <c r="G43" s="28" t="str">
        <f>VLOOKUP($E43,STOCKS!$D$2:$E$2035,2,0)</f>
        <v>--</v>
      </c>
      <c r="H43" s="60">
        <v>28.6</v>
      </c>
      <c r="I43" s="129" t="e">
        <f t="shared" si="0"/>
        <v>#VALUE!</v>
      </c>
      <c r="J43" s="63" t="e">
        <f t="shared" si="1"/>
        <v>#VALUE!</v>
      </c>
    </row>
    <row r="44" spans="1:10">
      <c r="A44" s="118">
        <v>12.9</v>
      </c>
      <c r="B44" s="118">
        <v>19.88</v>
      </c>
      <c r="C44" s="118">
        <v>2.93</v>
      </c>
      <c r="D44" s="118">
        <v>30.9</v>
      </c>
      <c r="E44" s="118">
        <v>6525</v>
      </c>
      <c r="F44" s="60" t="s">
        <v>3669</v>
      </c>
      <c r="G44" s="28" t="str">
        <f>VLOOKUP($E44,STOCKS!$D$2:$E$2035,2,0)</f>
        <v>--</v>
      </c>
      <c r="H44" s="60">
        <v>99.6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52.9</v>
      </c>
      <c r="B45" s="118">
        <v>145.76</v>
      </c>
      <c r="C45" s="118">
        <v>-1.5</v>
      </c>
      <c r="D45" s="118">
        <v>2.4900000000000002</v>
      </c>
      <c r="E45" s="118">
        <v>2614</v>
      </c>
      <c r="F45" s="60" t="s">
        <v>3597</v>
      </c>
      <c r="G45" s="28" t="str">
        <f>VLOOKUP($E45,STOCKS!$D$2:$E$2035,2,0)</f>
        <v>--</v>
      </c>
      <c r="H45" s="60">
        <v>31.75</v>
      </c>
      <c r="I45" s="129" t="e">
        <f t="shared" si="0"/>
        <v>#VALUE!</v>
      </c>
      <c r="J45" s="63" t="e">
        <f t="shared" si="1"/>
        <v>#VALUE!</v>
      </c>
    </row>
    <row r="46" spans="1:10">
      <c r="A46" s="118">
        <v>46.5</v>
      </c>
      <c r="B46" s="118">
        <v>6.47</v>
      </c>
      <c r="C46" s="118">
        <v>1.39</v>
      </c>
      <c r="D46" s="118">
        <v>-14.6</v>
      </c>
      <c r="E46" s="118">
        <v>6176</v>
      </c>
      <c r="F46" s="60" t="s">
        <v>4094</v>
      </c>
      <c r="G46" s="28" t="str">
        <f>VLOOKUP($E46,STOCKS!$D$2:$E$2035,2,0)</f>
        <v>--</v>
      </c>
      <c r="H46" s="60">
        <v>97.3</v>
      </c>
      <c r="I46" s="129" t="e">
        <f t="shared" si="0"/>
        <v>#VALUE!</v>
      </c>
      <c r="J46" s="63" t="e">
        <f t="shared" si="1"/>
        <v>#VALUE!</v>
      </c>
    </row>
    <row r="47" spans="1:10">
      <c r="A47" s="118">
        <v>63.57</v>
      </c>
      <c r="B47" s="118">
        <v>229.97</v>
      </c>
      <c r="C47" s="118">
        <v>23.28</v>
      </c>
      <c r="D47" s="118">
        <v>60.58</v>
      </c>
      <c r="E47" s="118">
        <v>2376</v>
      </c>
      <c r="F47" s="60" t="s">
        <v>3690</v>
      </c>
      <c r="G47" s="28">
        <f>VLOOKUP($E47,STOCKS!$D$2:$E$2035,2,0)</f>
        <v>135</v>
      </c>
      <c r="H47" s="60">
        <v>112.5</v>
      </c>
      <c r="I47" s="129">
        <f t="shared" si="0"/>
        <v>22.5</v>
      </c>
      <c r="J47" s="63">
        <f t="shared" si="1"/>
        <v>0.2</v>
      </c>
    </row>
    <row r="48" spans="1:10">
      <c r="A48" s="118">
        <v>448.16</v>
      </c>
      <c r="B48" s="118">
        <v>7.16</v>
      </c>
      <c r="C48" s="118">
        <v>-1.86</v>
      </c>
      <c r="D48" s="118">
        <v>3.88</v>
      </c>
      <c r="E48" s="118">
        <v>5876</v>
      </c>
      <c r="F48" s="60" t="s">
        <v>3678</v>
      </c>
      <c r="G48" s="28">
        <f>VLOOKUP($E48,STOCKS!$D$2:$E$2035,2,0)</f>
        <v>47.45</v>
      </c>
      <c r="H48" s="60">
        <v>44</v>
      </c>
      <c r="I48" s="129">
        <f t="shared" si="0"/>
        <v>3.4500000000000028</v>
      </c>
      <c r="J48" s="63">
        <f t="shared" si="1"/>
        <v>7.840909090909097E-2</v>
      </c>
    </row>
    <row r="49" spans="1:10">
      <c r="A49" s="118">
        <v>9.15</v>
      </c>
      <c r="B49" s="118">
        <v>1187.48</v>
      </c>
      <c r="C49" s="118">
        <v>20.57</v>
      </c>
      <c r="D49" s="118">
        <v>-6.49</v>
      </c>
      <c r="E49" s="118">
        <v>8255</v>
      </c>
      <c r="F49" s="60" t="s">
        <v>4557</v>
      </c>
      <c r="G49" s="28" t="str">
        <f>VLOOKUP($E49,STOCKS!$D$2:$E$2035,2,0)</f>
        <v>--</v>
      </c>
      <c r="H49" s="60">
        <v>259</v>
      </c>
      <c r="I49" s="129" t="e">
        <f t="shared" si="0"/>
        <v>#VALUE!</v>
      </c>
      <c r="J49" s="63" t="e">
        <f t="shared" si="1"/>
        <v>#VALUE!</v>
      </c>
    </row>
    <row r="50" spans="1:10">
      <c r="A50" s="118">
        <v>110.83</v>
      </c>
      <c r="B50" s="118">
        <v>40.67</v>
      </c>
      <c r="C50" s="118">
        <v>27.18</v>
      </c>
      <c r="D50" s="118">
        <v>9.69</v>
      </c>
      <c r="E50" s="118">
        <v>1904</v>
      </c>
      <c r="F50" s="60" t="s">
        <v>3882</v>
      </c>
      <c r="G50" s="28" t="str">
        <f>VLOOKUP($E50,STOCKS!$D$2:$E$2035,2,0)</f>
        <v>--</v>
      </c>
      <c r="H50" s="60">
        <v>34</v>
      </c>
      <c r="I50" s="129" t="e">
        <f t="shared" si="0"/>
        <v>#VALUE!</v>
      </c>
      <c r="J50" s="63" t="e">
        <f t="shared" si="1"/>
        <v>#VALUE!</v>
      </c>
    </row>
    <row r="51" spans="1:10">
      <c r="A51" s="118">
        <v>110.28</v>
      </c>
      <c r="B51" s="118">
        <v>515.54999999999995</v>
      </c>
      <c r="C51" s="118">
        <v>0.2</v>
      </c>
      <c r="D51" s="118">
        <v>10.5</v>
      </c>
      <c r="E51" s="118">
        <v>1905</v>
      </c>
      <c r="F51" s="60" t="s">
        <v>3539</v>
      </c>
      <c r="G51" s="28" t="str">
        <f>VLOOKUP($E51,STOCKS!$D$2:$E$2035,2,0)</f>
        <v>--</v>
      </c>
      <c r="H51" s="60">
        <v>22.2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17.32</v>
      </c>
      <c r="B52" s="118">
        <v>59.57</v>
      </c>
      <c r="C52" s="118">
        <v>1.29</v>
      </c>
      <c r="D52" s="118">
        <v>13.25</v>
      </c>
      <c r="E52" s="118">
        <v>6509</v>
      </c>
      <c r="F52" s="60" t="s">
        <v>4572</v>
      </c>
      <c r="G52" s="28">
        <f>VLOOKUP($E52,STOCKS!$D$2:$E$2035,2,0)</f>
        <v>70.2</v>
      </c>
      <c r="H52" s="60">
        <v>80.099999999999994</v>
      </c>
      <c r="I52" s="129">
        <f t="shared" si="0"/>
        <v>-9.8999999999999915</v>
      </c>
      <c r="J52" s="63">
        <f t="shared" si="1"/>
        <v>-0.12359550561797743</v>
      </c>
    </row>
    <row r="53" spans="1:10">
      <c r="A53" s="118">
        <v>168.47</v>
      </c>
      <c r="B53" s="118">
        <v>-31.49</v>
      </c>
      <c r="C53" s="118">
        <v>2.35</v>
      </c>
      <c r="D53" s="118">
        <v>7.81</v>
      </c>
      <c r="E53" s="118">
        <v>1434</v>
      </c>
      <c r="F53" s="60" t="s">
        <v>3745</v>
      </c>
      <c r="G53" s="28" t="str">
        <f>VLOOKUP($E53,STOCKS!$D$2:$E$2035,2,0)</f>
        <v>--</v>
      </c>
      <c r="H53" s="60">
        <v>30</v>
      </c>
      <c r="I53" s="129" t="e">
        <f t="shared" si="0"/>
        <v>#VALUE!</v>
      </c>
      <c r="J53" s="63" t="e">
        <f t="shared" si="1"/>
        <v>#VALUE!</v>
      </c>
    </row>
    <row r="54" spans="1:10">
      <c r="A54" s="118">
        <v>19.39</v>
      </c>
      <c r="B54" s="118">
        <v>0.72</v>
      </c>
      <c r="C54" s="118">
        <v>-0.56999999999999995</v>
      </c>
      <c r="D54" s="118">
        <v>39.17</v>
      </c>
      <c r="E54" s="118">
        <v>3041</v>
      </c>
      <c r="F54" s="60" t="s">
        <v>3967</v>
      </c>
      <c r="G54" s="28" t="str">
        <f>VLOOKUP($E54,STOCKS!$D$2:$E$2035,2,0)</f>
        <v>--</v>
      </c>
      <c r="H54" s="60">
        <v>28.45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8.0299999999999994</v>
      </c>
      <c r="B55" s="118">
        <v>-0.8</v>
      </c>
      <c r="C55" s="118">
        <v>109.64</v>
      </c>
      <c r="D55" s="118">
        <v>32.54</v>
      </c>
      <c r="E55" s="118">
        <v>3323</v>
      </c>
      <c r="F55" s="60" t="s">
        <v>4736</v>
      </c>
      <c r="G55" s="28" t="str">
        <f>VLOOKUP($E55,STOCKS!$D$2:$E$2035,2,0)</f>
        <v>--</v>
      </c>
      <c r="H55" s="60">
        <v>46.35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10.210000000000001</v>
      </c>
      <c r="B56" s="118">
        <v>-13.13</v>
      </c>
      <c r="C56" s="118">
        <v>4.66</v>
      </c>
      <c r="D56" s="118">
        <v>116.39</v>
      </c>
      <c r="E56" s="118">
        <v>3508</v>
      </c>
      <c r="F56" s="60" t="s">
        <v>5015</v>
      </c>
      <c r="G56" s="28" t="str">
        <f>VLOOKUP($E56,STOCKS!$D$2:$E$2035,2,0)</f>
        <v>--</v>
      </c>
      <c r="H56" s="60">
        <v>31.1</v>
      </c>
      <c r="I56" s="129" t="e">
        <f t="shared" si="0"/>
        <v>#VALUE!</v>
      </c>
      <c r="J56" s="63" t="e">
        <f t="shared" si="1"/>
        <v>#VALUE!</v>
      </c>
    </row>
    <row r="57" spans="1:10">
      <c r="A57" s="118">
        <v>9.85</v>
      </c>
      <c r="B57" s="118">
        <v>94.4</v>
      </c>
      <c r="C57" s="118">
        <v>-6.6</v>
      </c>
      <c r="D57" s="118">
        <v>-12.84</v>
      </c>
      <c r="E57" s="118">
        <v>1533</v>
      </c>
      <c r="F57" s="60" t="s">
        <v>3918</v>
      </c>
      <c r="G57" s="28" t="str">
        <f>VLOOKUP($E57,STOCKS!$D$2:$E$2035,2,0)</f>
        <v>--</v>
      </c>
      <c r="H57" s="60">
        <v>60.4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16.93</v>
      </c>
      <c r="B58" s="118">
        <v>16.71</v>
      </c>
      <c r="C58" s="118">
        <v>18.829999999999998</v>
      </c>
      <c r="D58" s="118">
        <v>64.98</v>
      </c>
      <c r="E58" s="118">
        <v>5457</v>
      </c>
      <c r="F58" s="60" t="s">
        <v>3525</v>
      </c>
      <c r="G58" s="28" t="str">
        <f>VLOOKUP($E58,STOCKS!$D$2:$E$2035,2,0)</f>
        <v>--</v>
      </c>
      <c r="H58" s="60">
        <v>84.8</v>
      </c>
      <c r="I58" s="129" t="e">
        <f t="shared" si="0"/>
        <v>#VALUE!</v>
      </c>
      <c r="J58" s="63" t="e">
        <f t="shared" si="1"/>
        <v>#VALUE!</v>
      </c>
    </row>
    <row r="59" spans="1:10">
      <c r="A59" s="118">
        <v>5.87</v>
      </c>
      <c r="B59" s="118">
        <v>-76.150000000000006</v>
      </c>
      <c r="C59" s="118">
        <v>-47.86</v>
      </c>
      <c r="D59" s="118">
        <v>106.54</v>
      </c>
      <c r="E59" s="118">
        <v>8171</v>
      </c>
      <c r="F59" s="60" t="s">
        <v>4863</v>
      </c>
      <c r="G59" s="28" t="str">
        <f>VLOOKUP($E59,STOCKS!$D$2:$E$2035,2,0)</f>
        <v>--</v>
      </c>
      <c r="H59" s="60">
        <v>51</v>
      </c>
      <c r="I59" s="129" t="e">
        <f t="shared" si="0"/>
        <v>#VALUE!</v>
      </c>
      <c r="J59" s="63" t="e">
        <f t="shared" si="1"/>
        <v>#VALUE!</v>
      </c>
    </row>
    <row r="60" spans="1:10">
      <c r="A60" s="118">
        <v>54.09</v>
      </c>
      <c r="B60" s="118">
        <v>111.3</v>
      </c>
      <c r="C60" s="118">
        <v>2.42</v>
      </c>
      <c r="D60" s="118">
        <v>46.21</v>
      </c>
      <c r="E60" s="118">
        <v>6182</v>
      </c>
      <c r="F60" s="60" t="s">
        <v>4699</v>
      </c>
      <c r="G60" s="28">
        <f>VLOOKUP($E60,STOCKS!$D$2:$E$2035,2,0)</f>
        <v>76.400000000000006</v>
      </c>
      <c r="H60" s="60">
        <v>64.2</v>
      </c>
      <c r="I60" s="129">
        <f t="shared" si="0"/>
        <v>12.200000000000003</v>
      </c>
      <c r="J60" s="63">
        <f t="shared" si="1"/>
        <v>0.19003115264797513</v>
      </c>
    </row>
    <row r="61" spans="1:10">
      <c r="A61" s="118">
        <v>325.85000000000002</v>
      </c>
      <c r="B61" s="118">
        <v>-13.8</v>
      </c>
      <c r="C61" s="118">
        <v>14.5</v>
      </c>
      <c r="D61" s="118">
        <v>25.28</v>
      </c>
      <c r="E61" s="118">
        <v>4904</v>
      </c>
      <c r="F61" s="60" t="s">
        <v>4131</v>
      </c>
      <c r="G61" s="28" t="str">
        <f>VLOOKUP($E61,STOCKS!$D$2:$E$2035,2,0)</f>
        <v>--</v>
      </c>
      <c r="H61" s="60">
        <v>61.2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4.24</v>
      </c>
      <c r="B62" s="118">
        <v>-4178.7</v>
      </c>
      <c r="C62" s="118">
        <v>-17.09</v>
      </c>
      <c r="D62" s="118">
        <v>-42.46</v>
      </c>
      <c r="E62" s="118">
        <v>6441</v>
      </c>
      <c r="F62" s="60" t="s">
        <v>4767</v>
      </c>
      <c r="G62" s="28" t="str">
        <f>VLOOKUP($E62,STOCKS!$D$2:$E$2035,2,0)</f>
        <v>--</v>
      </c>
      <c r="H62" s="60">
        <v>51.9</v>
      </c>
      <c r="I62" s="129" t="e">
        <f t="shared" si="0"/>
        <v>#VALUE!</v>
      </c>
      <c r="J62" s="63" t="e">
        <f t="shared" si="1"/>
        <v>#VALUE!</v>
      </c>
    </row>
    <row r="63" spans="1:10">
      <c r="A63" s="118">
        <v>7</v>
      </c>
      <c r="B63" s="118">
        <v>124.8</v>
      </c>
      <c r="C63" s="118">
        <v>26.97</v>
      </c>
      <c r="D63" s="118">
        <v>58.75</v>
      </c>
      <c r="E63" s="118">
        <v>6491</v>
      </c>
      <c r="F63" s="60" t="s">
        <v>3875</v>
      </c>
      <c r="G63" s="28" t="str">
        <f>VLOOKUP($E63,STOCKS!$D$2:$E$2035,2,0)</f>
        <v>--</v>
      </c>
      <c r="H63" s="60">
        <v>544</v>
      </c>
      <c r="I63" s="129" t="e">
        <f t="shared" si="0"/>
        <v>#VALUE!</v>
      </c>
      <c r="J63" s="63" t="e">
        <f t="shared" si="1"/>
        <v>#VALUE!</v>
      </c>
    </row>
    <row r="64" spans="1:10">
      <c r="A64" s="118">
        <v>24.19</v>
      </c>
      <c r="B64" s="118">
        <v>54.21</v>
      </c>
      <c r="C64" s="118">
        <v>-9.5</v>
      </c>
      <c r="D64" s="118">
        <v>-7.34</v>
      </c>
      <c r="E64" s="118">
        <v>1477</v>
      </c>
      <c r="F64" s="60" t="s">
        <v>3768</v>
      </c>
      <c r="G64" s="28" t="str">
        <f>VLOOKUP($E64,STOCKS!$D$2:$E$2035,2,0)</f>
        <v>--</v>
      </c>
      <c r="H64" s="60">
        <v>242.5</v>
      </c>
      <c r="I64" s="129" t="e">
        <f t="shared" si="0"/>
        <v>#VALUE!</v>
      </c>
      <c r="J64" s="63" t="e">
        <f t="shared" si="1"/>
        <v>#VALUE!</v>
      </c>
    </row>
    <row r="65" spans="1:10">
      <c r="A65" s="118">
        <v>18.21</v>
      </c>
      <c r="B65" s="118">
        <v>189.33</v>
      </c>
      <c r="C65" s="118">
        <v>1.7</v>
      </c>
      <c r="D65" s="118">
        <v>29.36</v>
      </c>
      <c r="E65" s="118">
        <v>2351</v>
      </c>
      <c r="F65" s="60" t="s">
        <v>3642</v>
      </c>
      <c r="G65" s="28" t="str">
        <f>VLOOKUP($E65,STOCKS!$D$2:$E$2035,2,0)</f>
        <v>--</v>
      </c>
      <c r="H65" s="60">
        <v>166</v>
      </c>
      <c r="I65" s="129" t="e">
        <f t="shared" si="0"/>
        <v>#VALUE!</v>
      </c>
      <c r="J65" s="63" t="e">
        <f t="shared" si="1"/>
        <v>#VALUE!</v>
      </c>
    </row>
    <row r="66" spans="1:10">
      <c r="A66" s="118">
        <v>49.45</v>
      </c>
      <c r="B66" s="118">
        <v>3015.2</v>
      </c>
      <c r="C66" s="118">
        <v>11.78</v>
      </c>
      <c r="D66" s="118">
        <v>-3.68</v>
      </c>
      <c r="E66" s="118">
        <v>2388</v>
      </c>
      <c r="F66" s="60" t="s">
        <v>3952</v>
      </c>
      <c r="G66" s="28">
        <f>VLOOKUP($E66,STOCKS!$D$2:$E$2035,2,0)</f>
        <v>86.9</v>
      </c>
      <c r="H66" s="60">
        <v>62.1</v>
      </c>
      <c r="I66" s="129">
        <f t="shared" si="0"/>
        <v>24.800000000000004</v>
      </c>
      <c r="J66" s="63">
        <f t="shared" si="1"/>
        <v>0.39935587761674723</v>
      </c>
    </row>
    <row r="67" spans="1:10">
      <c r="A67" s="118">
        <v>23.69</v>
      </c>
      <c r="B67" s="118">
        <v>51.43</v>
      </c>
      <c r="C67" s="118">
        <v>5.81</v>
      </c>
      <c r="D67" s="118">
        <v>102.22</v>
      </c>
      <c r="E67" s="118">
        <v>1723</v>
      </c>
      <c r="F67" s="60" t="s">
        <v>3841</v>
      </c>
      <c r="G67" s="28" t="str">
        <f>VLOOKUP($E67,STOCKS!$D$2:$E$2035,2,0)</f>
        <v>--</v>
      </c>
      <c r="H67" s="60">
        <v>123.5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32.340000000000003</v>
      </c>
      <c r="B68" s="118">
        <v>134.12</v>
      </c>
      <c r="C68" s="118">
        <v>2.06</v>
      </c>
      <c r="D68" s="118">
        <v>37.1</v>
      </c>
      <c r="E68" s="118">
        <v>3707</v>
      </c>
      <c r="F68" s="60" t="s">
        <v>3626</v>
      </c>
      <c r="G68" s="28" t="str">
        <f>VLOOKUP($E68,STOCKS!$D$2:$E$2035,2,0)</f>
        <v>--</v>
      </c>
      <c r="H68" s="60">
        <v>152.5</v>
      </c>
      <c r="I68" s="129" t="e">
        <f t="shared" si="2"/>
        <v>#VALUE!</v>
      </c>
      <c r="J68" s="63" t="e">
        <f t="shared" si="3"/>
        <v>#VALUE!</v>
      </c>
    </row>
    <row r="69" spans="1:10">
      <c r="A69" s="118">
        <v>5.98</v>
      </c>
      <c r="B69" s="118">
        <v>-140.4</v>
      </c>
      <c r="C69" s="118">
        <v>-80.45</v>
      </c>
      <c r="D69" s="118">
        <v>-72.63</v>
      </c>
      <c r="E69" s="118">
        <v>8038</v>
      </c>
      <c r="F69" s="60" t="s">
        <v>4950</v>
      </c>
      <c r="G69" s="28" t="str">
        <f>VLOOKUP($E69,STOCKS!$D$2:$E$2035,2,0)</f>
        <v>--</v>
      </c>
      <c r="H69" s="60">
        <v>38.450000000000003</v>
      </c>
      <c r="I69" s="129" t="e">
        <f t="shared" si="2"/>
        <v>#VALUE!</v>
      </c>
      <c r="J69" s="63" t="e">
        <f t="shared" si="3"/>
        <v>#VALUE!</v>
      </c>
    </row>
    <row r="70" spans="1:10">
      <c r="A70" s="118">
        <v>32.200000000000003</v>
      </c>
      <c r="B70" s="118">
        <v>-15.03</v>
      </c>
      <c r="C70" s="118">
        <v>2.12</v>
      </c>
      <c r="D70" s="118">
        <v>9.76</v>
      </c>
      <c r="E70" s="118">
        <v>1219</v>
      </c>
      <c r="F70" s="60" t="s">
        <v>3631</v>
      </c>
      <c r="G70" s="28" t="str">
        <f>VLOOKUP($E70,STOCKS!$D$2:$E$2035,2,0)</f>
        <v>--</v>
      </c>
      <c r="H70" s="60">
        <v>21.1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124.03</v>
      </c>
      <c r="B71" s="118">
        <v>124.84</v>
      </c>
      <c r="C71" s="118">
        <v>0.76</v>
      </c>
      <c r="D71" s="118">
        <v>25.29</v>
      </c>
      <c r="E71" s="118">
        <v>1717</v>
      </c>
      <c r="F71" s="60" t="s">
        <v>3837</v>
      </c>
      <c r="G71" s="28" t="str">
        <f>VLOOKUP($E71,STOCKS!$D$2:$E$2035,2,0)</f>
        <v>--</v>
      </c>
      <c r="H71" s="60">
        <v>36.799999999999997</v>
      </c>
      <c r="I71" s="129" t="e">
        <f t="shared" si="2"/>
        <v>#VALUE!</v>
      </c>
      <c r="J71" s="63" t="e">
        <f t="shared" si="3"/>
        <v>#VALUE!</v>
      </c>
    </row>
    <row r="72" spans="1:10">
      <c r="A72" s="118">
        <v>324.14</v>
      </c>
      <c r="B72" s="118">
        <v>1082.07</v>
      </c>
      <c r="C72" s="118">
        <v>2.29</v>
      </c>
      <c r="D72" s="118">
        <v>-18.579999999999998</v>
      </c>
      <c r="E72" s="118">
        <v>2105</v>
      </c>
      <c r="F72" s="60" t="s">
        <v>3905</v>
      </c>
      <c r="G72" s="28">
        <f>VLOOKUP($E72,STOCKS!$D$2:$E$2035,2,0)</f>
        <v>34.65</v>
      </c>
      <c r="H72" s="60">
        <v>34.1</v>
      </c>
      <c r="I72" s="129">
        <f t="shared" si="2"/>
        <v>0.54999999999999716</v>
      </c>
      <c r="J72" s="63">
        <f t="shared" si="3"/>
        <v>1.6129032258064432E-2</v>
      </c>
    </row>
    <row r="73" spans="1:10">
      <c r="A73" s="118">
        <v>351.35</v>
      </c>
      <c r="B73" s="118">
        <v>-4.03</v>
      </c>
      <c r="C73" s="118">
        <v>-2.96</v>
      </c>
      <c r="D73" s="118">
        <v>19.84</v>
      </c>
      <c r="E73" s="118">
        <v>3045</v>
      </c>
      <c r="F73" s="60" t="s">
        <v>4121</v>
      </c>
      <c r="G73" s="28" t="str">
        <f>VLOOKUP($E73,STOCKS!$D$2:$E$2035,2,0)</f>
        <v>--</v>
      </c>
      <c r="H73" s="60">
        <v>98.1</v>
      </c>
      <c r="I73" s="129" t="e">
        <f t="shared" si="2"/>
        <v>#VALUE!</v>
      </c>
      <c r="J73" s="63" t="e">
        <f t="shared" si="3"/>
        <v>#VALUE!</v>
      </c>
    </row>
    <row r="74" spans="1:10">
      <c r="A74" s="118">
        <v>3.28</v>
      </c>
      <c r="B74" s="118">
        <v>-12.5</v>
      </c>
      <c r="C74" s="118">
        <v>1.91</v>
      </c>
      <c r="D74" s="118">
        <v>-3.71</v>
      </c>
      <c r="E74" s="118">
        <v>6510</v>
      </c>
      <c r="F74" s="60" t="s">
        <v>4712</v>
      </c>
      <c r="G74" s="28" t="str">
        <f>VLOOKUP($E74,STOCKS!$D$2:$E$2035,2,0)</f>
        <v>--</v>
      </c>
      <c r="H74" s="60">
        <v>793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568.20000000000005</v>
      </c>
      <c r="B75" s="118">
        <v>-1.36</v>
      </c>
      <c r="C75" s="118">
        <v>-1.95</v>
      </c>
      <c r="D75" s="118">
        <v>1.91</v>
      </c>
      <c r="E75" s="118">
        <v>1216</v>
      </c>
      <c r="F75" s="60" t="s">
        <v>3706</v>
      </c>
      <c r="G75" s="28">
        <f>VLOOKUP($E75,STOCKS!$D$2:$E$2035,2,0)</f>
        <v>67.400000000000006</v>
      </c>
      <c r="H75" s="60">
        <v>66.599999999999994</v>
      </c>
      <c r="I75" s="129">
        <f t="shared" si="2"/>
        <v>0.80000000000001137</v>
      </c>
      <c r="J75" s="63">
        <f t="shared" si="3"/>
        <v>1.2012012012012184E-2</v>
      </c>
    </row>
    <row r="76" spans="1:10">
      <c r="A76" s="118">
        <v>44.35</v>
      </c>
      <c r="B76" s="118">
        <v>137.59</v>
      </c>
      <c r="C76" s="118">
        <v>-0.56000000000000005</v>
      </c>
      <c r="D76" s="118">
        <v>7.16</v>
      </c>
      <c r="E76" s="118">
        <v>2393</v>
      </c>
      <c r="F76" s="60" t="s">
        <v>3660</v>
      </c>
      <c r="G76" s="28" t="str">
        <f>VLOOKUP($E76,STOCKS!$D$2:$E$2035,2,0)</f>
        <v>--</v>
      </c>
      <c r="H76" s="60">
        <v>49.5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84.49</v>
      </c>
      <c r="B77" s="118">
        <v>155.66999999999999</v>
      </c>
      <c r="C77" s="118">
        <v>3.92</v>
      </c>
      <c r="D77" s="118">
        <v>40.78</v>
      </c>
      <c r="E77" s="118">
        <v>2377</v>
      </c>
      <c r="F77" s="60" t="s">
        <v>4011</v>
      </c>
      <c r="G77" s="28" t="str">
        <f>VLOOKUP($E77,STOCKS!$D$2:$E$2035,2,0)</f>
        <v>--</v>
      </c>
      <c r="H77" s="60">
        <v>140</v>
      </c>
      <c r="I77" s="129" t="e">
        <f t="shared" si="2"/>
        <v>#VALUE!</v>
      </c>
      <c r="J77" s="63" t="e">
        <f t="shared" si="3"/>
        <v>#VALUE!</v>
      </c>
    </row>
    <row r="78" spans="1:10">
      <c r="A78" s="118">
        <v>1048.8599999999999</v>
      </c>
      <c r="B78" s="118">
        <v>-1.84</v>
      </c>
      <c r="C78" s="118">
        <v>-18.14</v>
      </c>
      <c r="D78" s="118">
        <v>14.48</v>
      </c>
      <c r="E78" s="118">
        <v>2801</v>
      </c>
      <c r="F78" s="60" t="s">
        <v>4374</v>
      </c>
      <c r="G78" s="28" t="str">
        <f>VLOOKUP($E78,STOCKS!$D$2:$E$2035,2,0)</f>
        <v>--</v>
      </c>
      <c r="H78" s="60">
        <v>16.399999999999999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32.57</v>
      </c>
      <c r="B79" s="118">
        <v>463.89</v>
      </c>
      <c r="C79" s="118">
        <v>-2.63</v>
      </c>
      <c r="D79" s="118">
        <v>31.14</v>
      </c>
      <c r="E79" s="118">
        <v>2028</v>
      </c>
      <c r="F79" s="60" t="s">
        <v>3555</v>
      </c>
      <c r="G79" s="28">
        <f>VLOOKUP($E79,STOCKS!$D$2:$E$2035,2,0)</f>
        <v>40.25</v>
      </c>
      <c r="H79" s="60">
        <v>36.1</v>
      </c>
      <c r="I79" s="129">
        <f t="shared" si="2"/>
        <v>4.1499999999999986</v>
      </c>
      <c r="J79" s="63">
        <f t="shared" si="3"/>
        <v>0.11495844875346256</v>
      </c>
    </row>
    <row r="80" spans="1:10">
      <c r="A80" s="118">
        <v>7.38</v>
      </c>
      <c r="B80" s="118">
        <v>92.45</v>
      </c>
      <c r="C80" s="118">
        <v>2.2799999999999998</v>
      </c>
      <c r="D80" s="118">
        <v>28.41</v>
      </c>
      <c r="E80" s="118">
        <v>6138</v>
      </c>
      <c r="F80" s="60" t="s">
        <v>4697</v>
      </c>
      <c r="G80" s="28" t="str">
        <f>VLOOKUP($E80,STOCKS!$D$2:$E$2035,2,0)</f>
        <v>--</v>
      </c>
      <c r="H80" s="60">
        <v>182.5</v>
      </c>
      <c r="I80" s="129" t="e">
        <f t="shared" si="2"/>
        <v>#VALUE!</v>
      </c>
      <c r="J80" s="63" t="e">
        <f t="shared" si="3"/>
        <v>#VALUE!</v>
      </c>
    </row>
    <row r="81" spans="1:10">
      <c r="A81" s="118">
        <v>18.3</v>
      </c>
      <c r="B81" s="118">
        <v>9.51</v>
      </c>
      <c r="C81" s="118">
        <v>1.26</v>
      </c>
      <c r="D81" s="118">
        <v>61.06</v>
      </c>
      <c r="E81" s="118">
        <v>8121</v>
      </c>
      <c r="F81" s="60" t="s">
        <v>4958</v>
      </c>
      <c r="G81" s="28" t="str">
        <f>VLOOKUP($E81,STOCKS!$D$2:$E$2035,2,0)</f>
        <v>--</v>
      </c>
      <c r="H81" s="60">
        <v>47.5</v>
      </c>
      <c r="I81" s="129" t="e">
        <f t="shared" si="2"/>
        <v>#VALUE!</v>
      </c>
      <c r="J81" s="63" t="e">
        <f t="shared" si="3"/>
        <v>#VALUE!</v>
      </c>
    </row>
    <row r="82" spans="1:10">
      <c r="A82" s="118">
        <v>8.94</v>
      </c>
      <c r="B82" s="118">
        <v>-7.56</v>
      </c>
      <c r="C82" s="118">
        <v>5</v>
      </c>
      <c r="D82" s="118">
        <v>14.47</v>
      </c>
      <c r="E82" s="118">
        <v>8996</v>
      </c>
      <c r="F82" s="60" t="s">
        <v>3816</v>
      </c>
      <c r="G82" s="28" t="str">
        <f>VLOOKUP($E82,STOCKS!$D$2:$E$2035,2,0)</f>
        <v>--</v>
      </c>
      <c r="H82" s="60">
        <v>50.3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14.32</v>
      </c>
      <c r="B83" s="118">
        <v>71.83</v>
      </c>
      <c r="C83" s="118">
        <v>-4.29</v>
      </c>
      <c r="D83" s="118">
        <v>-5.01</v>
      </c>
      <c r="E83" s="118">
        <v>3227</v>
      </c>
      <c r="F83" s="60" t="s">
        <v>4663</v>
      </c>
      <c r="G83" s="28" t="str">
        <f>VLOOKUP($E83,STOCKS!$D$2:$E$2035,2,0)</f>
        <v>--</v>
      </c>
      <c r="H83" s="60">
        <v>157.5</v>
      </c>
      <c r="I83" s="129" t="e">
        <f t="shared" si="2"/>
        <v>#VALUE!</v>
      </c>
      <c r="J83" s="63" t="e">
        <f t="shared" si="3"/>
        <v>#VALUE!</v>
      </c>
    </row>
    <row r="84" spans="1:10">
      <c r="A84" s="118">
        <v>32.07</v>
      </c>
      <c r="B84" s="118">
        <v>303.04000000000002</v>
      </c>
      <c r="C84" s="118">
        <v>-5.07</v>
      </c>
      <c r="D84" s="118">
        <v>1.03</v>
      </c>
      <c r="E84" s="118">
        <v>8215</v>
      </c>
      <c r="F84" s="60" t="s">
        <v>4107</v>
      </c>
      <c r="G84" s="28" t="str">
        <f>VLOOKUP($E84,STOCKS!$D$2:$E$2035,2,0)</f>
        <v>--</v>
      </c>
      <c r="H84" s="60">
        <v>39.35</v>
      </c>
      <c r="I84" s="129" t="e">
        <f t="shared" si="2"/>
        <v>#VALUE!</v>
      </c>
      <c r="J84" s="63" t="e">
        <f t="shared" si="3"/>
        <v>#VALUE!</v>
      </c>
    </row>
    <row r="85" spans="1:10">
      <c r="A85" s="118">
        <v>8.99</v>
      </c>
      <c r="B85" s="118">
        <v>-187.04</v>
      </c>
      <c r="C85" s="118">
        <v>10.73</v>
      </c>
      <c r="D85" s="118">
        <v>50.99</v>
      </c>
      <c r="E85" s="118">
        <v>2241</v>
      </c>
      <c r="F85" s="60" t="s">
        <v>3798</v>
      </c>
      <c r="G85" s="28" t="str">
        <f>VLOOKUP($E85,STOCKS!$D$2:$E$2035,2,0)</f>
        <v>--</v>
      </c>
      <c r="H85" s="60">
        <v>55.9</v>
      </c>
      <c r="I85" s="129" t="e">
        <f t="shared" si="2"/>
        <v>#VALUE!</v>
      </c>
      <c r="J85" s="63" t="e">
        <f t="shared" si="3"/>
        <v>#VALUE!</v>
      </c>
    </row>
    <row r="86" spans="1:10">
      <c r="A86" s="118">
        <v>166.04</v>
      </c>
      <c r="B86" s="118">
        <v>124.19</v>
      </c>
      <c r="C86" s="118">
        <v>18.78</v>
      </c>
      <c r="D86" s="118">
        <v>4.95</v>
      </c>
      <c r="E86" s="118">
        <v>1907</v>
      </c>
      <c r="F86" s="60" t="s">
        <v>3884</v>
      </c>
      <c r="G86" s="28" t="str">
        <f>VLOOKUP($E86,STOCKS!$D$2:$E$2035,2,0)</f>
        <v>--</v>
      </c>
      <c r="H86" s="60">
        <v>32</v>
      </c>
      <c r="I86" s="129" t="e">
        <f t="shared" si="2"/>
        <v>#VALUE!</v>
      </c>
      <c r="J86" s="63" t="e">
        <f t="shared" si="3"/>
        <v>#VALUE!</v>
      </c>
    </row>
    <row r="87" spans="1:10">
      <c r="A87" s="118">
        <v>76.16</v>
      </c>
      <c r="B87" s="118">
        <v>-52.09</v>
      </c>
      <c r="C87" s="118">
        <v>-2.93</v>
      </c>
      <c r="D87" s="118">
        <v>-61.07</v>
      </c>
      <c r="E87" s="118">
        <v>2474</v>
      </c>
      <c r="F87" s="60" t="s">
        <v>4272</v>
      </c>
      <c r="G87" s="28" t="str">
        <f>VLOOKUP($E87,STOCKS!$D$2:$E$2035,2,0)</f>
        <v>--</v>
      </c>
      <c r="H87" s="60">
        <v>161</v>
      </c>
      <c r="I87" s="129" t="e">
        <f t="shared" si="2"/>
        <v>#VALUE!</v>
      </c>
      <c r="J87" s="63" t="e">
        <f t="shared" si="3"/>
        <v>#VALUE!</v>
      </c>
    </row>
    <row r="88" spans="1:10">
      <c r="A88" s="118">
        <v>3.55</v>
      </c>
      <c r="B88" s="118">
        <v>86.69</v>
      </c>
      <c r="C88" s="118">
        <v>0.02</v>
      </c>
      <c r="D88" s="118">
        <v>28.31</v>
      </c>
      <c r="E88" s="118">
        <v>5299</v>
      </c>
      <c r="F88" s="60" t="s">
        <v>3511</v>
      </c>
      <c r="G88" s="28" t="str">
        <f>VLOOKUP($E88,STOCKS!$D$2:$E$2035,2,0)</f>
        <v>--</v>
      </c>
      <c r="H88" s="60">
        <v>191.5</v>
      </c>
      <c r="I88" s="129" t="e">
        <f t="shared" si="2"/>
        <v>#VALUE!</v>
      </c>
      <c r="J88" s="63" t="e">
        <f t="shared" si="3"/>
        <v>#VALUE!</v>
      </c>
    </row>
    <row r="89" spans="1:10">
      <c r="A89" s="118">
        <v>213.88</v>
      </c>
      <c r="B89" s="118">
        <v>31.83</v>
      </c>
      <c r="C89" s="118">
        <v>-4.83</v>
      </c>
      <c r="D89" s="118">
        <v>13.53</v>
      </c>
      <c r="E89" s="118">
        <v>1504</v>
      </c>
      <c r="F89" s="60" t="s">
        <v>3685</v>
      </c>
      <c r="G89" s="28" t="str">
        <f>VLOOKUP($E89,STOCKS!$D$2:$E$2035,2,0)</f>
        <v>--</v>
      </c>
      <c r="H89" s="60">
        <v>30.15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43.73</v>
      </c>
      <c r="B90" s="118">
        <v>5.85</v>
      </c>
      <c r="C90" s="118">
        <v>4.5999999999999996</v>
      </c>
      <c r="D90" s="118">
        <v>5.64</v>
      </c>
      <c r="E90" s="118">
        <v>6488</v>
      </c>
      <c r="F90" s="60" t="s">
        <v>3520</v>
      </c>
      <c r="G90" s="28" t="str">
        <f>VLOOKUP($E90,STOCKS!$D$2:$E$2035,2,0)</f>
        <v>--</v>
      </c>
      <c r="H90" s="60">
        <v>760</v>
      </c>
      <c r="I90" s="129" t="e">
        <f t="shared" si="2"/>
        <v>#VALUE!</v>
      </c>
      <c r="J90" s="63" t="e">
        <f t="shared" si="3"/>
        <v>#VALUE!</v>
      </c>
    </row>
    <row r="91" spans="1:10">
      <c r="A91" s="118">
        <v>13.61</v>
      </c>
      <c r="B91" s="118">
        <v>49.9</v>
      </c>
      <c r="C91" s="118">
        <v>10.51</v>
      </c>
      <c r="D91" s="118">
        <v>113.97</v>
      </c>
      <c r="E91" s="118">
        <v>5609</v>
      </c>
      <c r="F91" s="60" t="s">
        <v>5074</v>
      </c>
      <c r="G91" s="28" t="str">
        <f>VLOOKUP($E91,STOCKS!$D$2:$E$2035,2,0)</f>
        <v>--</v>
      </c>
      <c r="H91" s="60">
        <v>86.1</v>
      </c>
      <c r="I91" s="129" t="e">
        <f t="shared" si="2"/>
        <v>#VALUE!</v>
      </c>
      <c r="J91" s="63" t="e">
        <f t="shared" si="3"/>
        <v>#VALUE!</v>
      </c>
    </row>
    <row r="92" spans="1:10">
      <c r="A92" s="118">
        <v>9.81</v>
      </c>
      <c r="B92" s="118">
        <v>15</v>
      </c>
      <c r="C92" s="118">
        <v>-15.3</v>
      </c>
      <c r="D92" s="118">
        <v>12.57</v>
      </c>
      <c r="E92" s="118">
        <v>3625</v>
      </c>
      <c r="F92" s="60" t="s">
        <v>4745</v>
      </c>
      <c r="G92" s="28">
        <f>VLOOKUP($E92,STOCKS!$D$2:$E$2035,2,0)</f>
        <v>23.35</v>
      </c>
      <c r="H92" s="60">
        <v>23.9</v>
      </c>
      <c r="I92" s="129">
        <f t="shared" si="2"/>
        <v>-0.54999999999999716</v>
      </c>
      <c r="J92" s="63">
        <f t="shared" si="3"/>
        <v>-2.3012552301255113E-2</v>
      </c>
    </row>
    <row r="93" spans="1:10">
      <c r="A93" s="118">
        <v>6.21</v>
      </c>
      <c r="B93" s="118">
        <v>-437.58</v>
      </c>
      <c r="C93" s="118">
        <v>-7.24</v>
      </c>
      <c r="D93" s="118">
        <v>45.9</v>
      </c>
      <c r="E93" s="118">
        <v>2482</v>
      </c>
      <c r="F93" s="60" t="s">
        <v>4274</v>
      </c>
      <c r="G93" s="28" t="str">
        <f>VLOOKUP($E93,STOCKS!$D$2:$E$2035,2,0)</f>
        <v>--</v>
      </c>
      <c r="H93" s="60">
        <v>14.1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15.62</v>
      </c>
      <c r="B94" s="118">
        <v>127.55</v>
      </c>
      <c r="C94" s="118">
        <v>-2.2000000000000002</v>
      </c>
      <c r="D94" s="118">
        <v>11.44</v>
      </c>
      <c r="E94" s="118">
        <v>2342</v>
      </c>
      <c r="F94" s="60" t="s">
        <v>3947</v>
      </c>
      <c r="G94" s="28">
        <f>VLOOKUP($E94,STOCKS!$D$2:$E$2035,2,0)</f>
        <v>48.1</v>
      </c>
      <c r="H94" s="60">
        <v>45.45</v>
      </c>
      <c r="I94" s="129">
        <f t="shared" si="2"/>
        <v>2.6499999999999986</v>
      </c>
      <c r="J94" s="63">
        <f t="shared" si="3"/>
        <v>5.8305830583058271E-2</v>
      </c>
    </row>
    <row r="95" spans="1:10">
      <c r="A95" s="118">
        <v>9.5500000000000007</v>
      </c>
      <c r="B95" s="118">
        <v>28.37</v>
      </c>
      <c r="C95" s="118">
        <v>0.51</v>
      </c>
      <c r="D95" s="118">
        <v>7.94</v>
      </c>
      <c r="E95" s="118">
        <v>2642</v>
      </c>
      <c r="F95" s="60" t="s">
        <v>3557</v>
      </c>
      <c r="G95" s="28" t="str">
        <f>VLOOKUP($E95,STOCKS!$D$2:$E$2035,2,0)</f>
        <v>--</v>
      </c>
      <c r="H95" s="60">
        <v>72.400000000000006</v>
      </c>
      <c r="I95" s="129" t="e">
        <f t="shared" si="2"/>
        <v>#VALUE!</v>
      </c>
      <c r="J95" s="63" t="e">
        <f t="shared" si="3"/>
        <v>#VALUE!</v>
      </c>
    </row>
    <row r="96" spans="1:10">
      <c r="A96" s="118">
        <v>8</v>
      </c>
      <c r="B96" s="118">
        <v>1722.98</v>
      </c>
      <c r="C96" s="118">
        <v>36.869999999999997</v>
      </c>
      <c r="D96" s="118">
        <v>-38.75</v>
      </c>
      <c r="E96" s="118">
        <v>2415</v>
      </c>
      <c r="F96" s="60" t="s">
        <v>4157</v>
      </c>
      <c r="G96" s="28" t="str">
        <f>VLOOKUP($E96,STOCKS!$D$2:$E$2035,2,0)</f>
        <v>--</v>
      </c>
      <c r="H96" s="60">
        <v>46.25</v>
      </c>
      <c r="I96" s="129" t="e">
        <f t="shared" si="2"/>
        <v>#VALUE!</v>
      </c>
      <c r="J96" s="63" t="e">
        <f t="shared" si="3"/>
        <v>#VALUE!</v>
      </c>
    </row>
    <row r="97" spans="1:10">
      <c r="A97" s="118">
        <v>1213.74</v>
      </c>
      <c r="B97" s="118">
        <v>84.77</v>
      </c>
      <c r="C97" s="118">
        <v>-21.65</v>
      </c>
      <c r="D97" s="118">
        <v>-14.2</v>
      </c>
      <c r="E97" s="118">
        <v>2885</v>
      </c>
      <c r="F97" s="60" t="s">
        <v>4396</v>
      </c>
      <c r="G97" s="28">
        <f>VLOOKUP($E97,STOCKS!$D$2:$E$2035,2,0)</f>
        <v>25.1</v>
      </c>
      <c r="H97" s="60">
        <v>24.7</v>
      </c>
      <c r="I97" s="129">
        <f t="shared" si="2"/>
        <v>0.40000000000000213</v>
      </c>
      <c r="J97" s="63">
        <f t="shared" si="3"/>
        <v>1.6194331983805755E-2</v>
      </c>
    </row>
    <row r="98" spans="1:10">
      <c r="A98" s="118">
        <v>17.87</v>
      </c>
      <c r="B98" s="118">
        <v>94.24</v>
      </c>
      <c r="C98" s="118">
        <v>7.75</v>
      </c>
      <c r="D98" s="118">
        <v>25.01</v>
      </c>
      <c r="E98" s="118">
        <v>6271</v>
      </c>
      <c r="F98" s="60" t="s">
        <v>3986</v>
      </c>
      <c r="G98" s="28">
        <f>VLOOKUP($E98,STOCKS!$D$2:$E$2035,2,0)</f>
        <v>317</v>
      </c>
      <c r="H98" s="60">
        <v>264</v>
      </c>
      <c r="I98" s="129">
        <f t="shared" si="2"/>
        <v>53</v>
      </c>
      <c r="J98" s="63">
        <f t="shared" si="3"/>
        <v>0.20075757575757575</v>
      </c>
    </row>
    <row r="99" spans="1:10">
      <c r="A99" s="118">
        <v>82.57</v>
      </c>
      <c r="B99" s="118">
        <v>4709.58</v>
      </c>
      <c r="C99" s="118">
        <v>-13.38</v>
      </c>
      <c r="D99" s="118">
        <v>16.82</v>
      </c>
      <c r="E99" s="118">
        <v>2103</v>
      </c>
      <c r="F99" s="60" t="s">
        <v>3903</v>
      </c>
      <c r="G99" s="28" t="str">
        <f>VLOOKUP($E99,STOCKS!$D$2:$E$2035,2,0)</f>
        <v>--</v>
      </c>
      <c r="H99" s="60">
        <v>32.049999999999997</v>
      </c>
      <c r="I99" s="129" t="e">
        <f t="shared" si="2"/>
        <v>#VALUE!</v>
      </c>
      <c r="J99" s="63" t="e">
        <f t="shared" si="3"/>
        <v>#VALUE!</v>
      </c>
    </row>
    <row r="100" spans="1:10">
      <c r="A100" s="118">
        <v>26.51</v>
      </c>
      <c r="B100" s="118">
        <v>61.77</v>
      </c>
      <c r="C100" s="118">
        <v>11.24</v>
      </c>
      <c r="D100" s="118">
        <v>32.04</v>
      </c>
      <c r="E100" s="118">
        <v>5425</v>
      </c>
      <c r="F100" s="60" t="s">
        <v>4691</v>
      </c>
      <c r="G100" s="28" t="str">
        <f>VLOOKUP($E100,STOCKS!$D$2:$E$2035,2,0)</f>
        <v>--</v>
      </c>
      <c r="H100" s="60">
        <v>81.2</v>
      </c>
      <c r="I100" s="129" t="e">
        <f t="shared" si="2"/>
        <v>#VALUE!</v>
      </c>
      <c r="J100" s="63" t="e">
        <f t="shared" si="3"/>
        <v>#VALUE!</v>
      </c>
    </row>
    <row r="101" spans="1:10">
      <c r="A101" s="118">
        <v>6.89</v>
      </c>
      <c r="B101" s="118">
        <v>52.23</v>
      </c>
      <c r="C101" s="118">
        <v>-0.31</v>
      </c>
      <c r="D101" s="118">
        <v>26.46</v>
      </c>
      <c r="E101" s="118">
        <v>8070</v>
      </c>
      <c r="F101" s="60" t="s">
        <v>4248</v>
      </c>
      <c r="G101" s="28" t="str">
        <f>VLOOKUP($E101,STOCKS!$D$2:$E$2035,2,0)</f>
        <v>--</v>
      </c>
      <c r="H101" s="60">
        <v>33.799999999999997</v>
      </c>
      <c r="I101" s="129" t="e">
        <f t="shared" si="2"/>
        <v>#VALUE!</v>
      </c>
      <c r="J101" s="63" t="e">
        <f t="shared" si="3"/>
        <v>#VALUE!</v>
      </c>
    </row>
  </sheetData>
  <phoneticPr fontId="38" type="noConversion"/>
  <conditionalFormatting sqref="J1:J1048576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619B-CA07-4508-86F4-6F63A12B91EF}">
  <sheetPr codeName="工作表8"/>
  <dimension ref="A1:J101"/>
  <sheetViews>
    <sheetView workbookViewId="0">
      <selection activeCell="E39" sqref="E39"/>
    </sheetView>
  </sheetViews>
  <sheetFormatPr defaultRowHeight="16.2"/>
  <cols>
    <col min="7" max="7" width="10.44140625" style="60" bestFit="1" customWidth="1"/>
    <col min="9" max="9" width="8.88671875" style="60"/>
    <col min="10" max="10" width="8.88671875" style="63"/>
  </cols>
  <sheetData>
    <row r="1" spans="1:10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0">
      <c r="A2" s="118">
        <v>529.08000000000004</v>
      </c>
      <c r="B2" s="118">
        <v>2783.03</v>
      </c>
      <c r="C2" s="118">
        <v>-1.78</v>
      </c>
      <c r="D2" s="118">
        <v>153.84</v>
      </c>
      <c r="E2" s="118">
        <v>2603</v>
      </c>
      <c r="F2" t="s">
        <v>3536</v>
      </c>
      <c r="G2" s="28" t="str">
        <f>VLOOKUP($E2,STOCKS!$D$2:$E$2035,2,0)</f>
        <v>--</v>
      </c>
      <c r="H2">
        <v>99.5</v>
      </c>
      <c r="I2" s="129" t="e">
        <f>$G2-$H2</f>
        <v>#VALUE!</v>
      </c>
      <c r="J2" s="63" t="e">
        <f>$I2/$H2</f>
        <v>#VALUE!</v>
      </c>
    </row>
    <row r="3" spans="1:10">
      <c r="A3" s="118">
        <v>24.86</v>
      </c>
      <c r="B3" s="118">
        <v>225.76</v>
      </c>
      <c r="C3" s="118">
        <v>14.84</v>
      </c>
      <c r="D3" s="118">
        <v>67.650000000000006</v>
      </c>
      <c r="E3" s="118">
        <v>3035</v>
      </c>
      <c r="F3" t="s">
        <v>3966</v>
      </c>
      <c r="G3" s="28" t="str">
        <f>VLOOKUP($E3,STOCKS!$D$2:$E$2035,2,0)</f>
        <v>--</v>
      </c>
      <c r="H3">
        <v>201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0">
      <c r="A4" s="118">
        <v>150.47</v>
      </c>
      <c r="B4" s="118">
        <v>152.74</v>
      </c>
      <c r="C4" s="118">
        <v>-1.21</v>
      </c>
      <c r="D4" s="118">
        <v>19.309999999999999</v>
      </c>
      <c r="E4" s="118">
        <v>3037</v>
      </c>
      <c r="F4" t="s">
        <v>4181</v>
      </c>
      <c r="G4" s="28">
        <f>VLOOKUP($E4,STOCKS!$D$2:$E$2035,2,0)</f>
        <v>195.5</v>
      </c>
      <c r="H4">
        <v>190</v>
      </c>
      <c r="I4" s="129">
        <f t="shared" si="0"/>
        <v>5.5</v>
      </c>
      <c r="J4" s="63">
        <f t="shared" si="1"/>
        <v>2.8947368421052631E-2</v>
      </c>
    </row>
    <row r="5" spans="1:10">
      <c r="A5" s="118">
        <v>2593.04</v>
      </c>
      <c r="B5" s="118">
        <v>15.24</v>
      </c>
      <c r="C5" s="118">
        <v>11.1</v>
      </c>
      <c r="D5" s="118">
        <v>19.670000000000002</v>
      </c>
      <c r="E5" s="118">
        <v>2330</v>
      </c>
      <c r="F5" t="s">
        <v>3944</v>
      </c>
      <c r="G5" s="28">
        <f>VLOOKUP($E5,STOCKS!$D$2:$E$2035,2,0)</f>
        <v>610</v>
      </c>
      <c r="H5">
        <v>590</v>
      </c>
      <c r="I5" s="129">
        <f t="shared" si="0"/>
        <v>20</v>
      </c>
      <c r="J5" s="63">
        <f t="shared" si="1"/>
        <v>3.3898305084745763E-2</v>
      </c>
    </row>
    <row r="6" spans="1:10">
      <c r="A6" s="118">
        <v>349.21</v>
      </c>
      <c r="B6" s="118">
        <v>7708.77</v>
      </c>
      <c r="C6" s="118">
        <v>1.32</v>
      </c>
      <c r="D6" s="118">
        <v>145.04</v>
      </c>
      <c r="E6" s="118">
        <v>2609</v>
      </c>
      <c r="F6" t="s">
        <v>3567</v>
      </c>
      <c r="G6" s="28">
        <f>VLOOKUP($E6,STOCKS!$D$2:$E$2035,2,0)</f>
        <v>111.5</v>
      </c>
      <c r="H6">
        <v>96.5</v>
      </c>
      <c r="I6" s="129">
        <f t="shared" si="0"/>
        <v>15</v>
      </c>
      <c r="J6" s="63">
        <f t="shared" si="1"/>
        <v>0.15544041450777202</v>
      </c>
    </row>
    <row r="7" spans="1:10">
      <c r="A7" s="118">
        <v>1242.33</v>
      </c>
      <c r="B7" s="118">
        <v>140.06</v>
      </c>
      <c r="C7" s="118">
        <v>-0.21</v>
      </c>
      <c r="D7" s="118">
        <v>29.01</v>
      </c>
      <c r="E7" s="118">
        <v>2303</v>
      </c>
      <c r="F7" t="s">
        <v>3942</v>
      </c>
      <c r="G7" s="28">
        <f>VLOOKUP($E7,STOCKS!$D$2:$E$2035,2,0)</f>
        <v>63.1</v>
      </c>
      <c r="H7">
        <v>58</v>
      </c>
      <c r="I7" s="129">
        <f t="shared" si="0"/>
        <v>5.1000000000000014</v>
      </c>
      <c r="J7" s="63">
        <f t="shared" si="1"/>
        <v>8.7931034482758644E-2</v>
      </c>
    </row>
    <row r="8" spans="1:10">
      <c r="A8" s="118">
        <v>32.340000000000003</v>
      </c>
      <c r="B8" s="118">
        <v>134.12</v>
      </c>
      <c r="C8" s="118">
        <v>2.06</v>
      </c>
      <c r="D8" s="118">
        <v>37.1</v>
      </c>
      <c r="E8" s="118">
        <v>3707</v>
      </c>
      <c r="F8" t="s">
        <v>3626</v>
      </c>
      <c r="G8" s="28" t="str">
        <f>VLOOKUP($E8,STOCKS!$D$2:$E$2035,2,0)</f>
        <v>--</v>
      </c>
      <c r="H8">
        <v>152.5</v>
      </c>
      <c r="I8" s="129" t="e">
        <f t="shared" si="0"/>
        <v>#VALUE!</v>
      </c>
      <c r="J8" s="63" t="e">
        <f t="shared" si="1"/>
        <v>#VALUE!</v>
      </c>
    </row>
    <row r="9" spans="1:10">
      <c r="A9" s="118">
        <v>45.08</v>
      </c>
      <c r="B9" s="118">
        <v>394.05</v>
      </c>
      <c r="C9" s="118">
        <v>1.65</v>
      </c>
      <c r="D9" s="118">
        <v>47.19</v>
      </c>
      <c r="E9" s="118">
        <v>3189</v>
      </c>
      <c r="F9" t="s">
        <v>3675</v>
      </c>
      <c r="G9" s="28" t="str">
        <f>VLOOKUP($E9,STOCKS!$D$2:$E$2035,2,0)</f>
        <v>--</v>
      </c>
      <c r="H9">
        <v>244</v>
      </c>
      <c r="I9" s="129" t="e">
        <f t="shared" si="0"/>
        <v>#VALUE!</v>
      </c>
      <c r="J9" s="63" t="e">
        <f t="shared" si="1"/>
        <v>#VALUE!</v>
      </c>
    </row>
    <row r="10" spans="1:10">
      <c r="A10" s="118">
        <v>42.4</v>
      </c>
      <c r="B10" s="118">
        <v>-37.229999999999997</v>
      </c>
      <c r="C10" s="118">
        <v>2.08</v>
      </c>
      <c r="D10" s="118">
        <v>3.67</v>
      </c>
      <c r="E10" s="118">
        <v>3105</v>
      </c>
      <c r="F10" t="s">
        <v>3618</v>
      </c>
      <c r="G10" s="28" t="str">
        <f>VLOOKUP($E10,STOCKS!$D$2:$E$2035,2,0)</f>
        <v>--</v>
      </c>
      <c r="H10">
        <v>357.5</v>
      </c>
      <c r="I10" s="129" t="e">
        <f t="shared" si="0"/>
        <v>#VALUE!</v>
      </c>
      <c r="J10" s="63" t="e">
        <f t="shared" si="1"/>
        <v>#VALUE!</v>
      </c>
    </row>
    <row r="11" spans="1:10">
      <c r="A11" s="118">
        <v>244.01</v>
      </c>
      <c r="B11" s="118">
        <v>1798.15</v>
      </c>
      <c r="C11" s="118">
        <v>4.46</v>
      </c>
      <c r="D11" s="118">
        <v>264.76</v>
      </c>
      <c r="E11" s="118">
        <v>2615</v>
      </c>
      <c r="F11" t="s">
        <v>4349</v>
      </c>
      <c r="G11" s="28" t="str">
        <f>VLOOKUP($E11,STOCKS!$D$2:$E$2035,2,0)</f>
        <v>--</v>
      </c>
      <c r="H11">
        <v>160</v>
      </c>
      <c r="I11" s="129" t="e">
        <f t="shared" si="0"/>
        <v>#VALUE!</v>
      </c>
      <c r="J11" s="63" t="e">
        <f t="shared" si="1"/>
        <v>#VALUE!</v>
      </c>
    </row>
    <row r="12" spans="1:10">
      <c r="A12" s="118">
        <v>17.32</v>
      </c>
      <c r="B12" s="118">
        <v>59.57</v>
      </c>
      <c r="C12" s="118">
        <v>1.29</v>
      </c>
      <c r="D12" s="118">
        <v>13.25</v>
      </c>
      <c r="E12" s="118">
        <v>6509</v>
      </c>
      <c r="F12" t="s">
        <v>4572</v>
      </c>
      <c r="G12" s="28">
        <f>VLOOKUP($E12,STOCKS!$D$2:$E$2035,2,0)</f>
        <v>70.2</v>
      </c>
      <c r="H12">
        <v>80.099999999999994</v>
      </c>
      <c r="I12" s="129">
        <f t="shared" si="0"/>
        <v>-9.8999999999999915</v>
      </c>
      <c r="J12" s="63">
        <f t="shared" si="1"/>
        <v>-0.12359550561797743</v>
      </c>
    </row>
    <row r="13" spans="1:10">
      <c r="A13" s="118">
        <v>38.28</v>
      </c>
      <c r="B13" s="118">
        <v>114</v>
      </c>
      <c r="C13" s="118">
        <v>1.52</v>
      </c>
      <c r="D13" s="118">
        <v>26.27</v>
      </c>
      <c r="E13" s="118">
        <v>2481</v>
      </c>
      <c r="F13" t="s">
        <v>3962</v>
      </c>
      <c r="G13" s="28">
        <f>VLOOKUP($E13,STOCKS!$D$2:$E$2035,2,0)</f>
        <v>110.5</v>
      </c>
      <c r="H13">
        <v>112.5</v>
      </c>
      <c r="I13" s="129">
        <f t="shared" si="0"/>
        <v>-2</v>
      </c>
      <c r="J13" s="63">
        <f t="shared" si="1"/>
        <v>-1.7777777777777778E-2</v>
      </c>
    </row>
    <row r="14" spans="1:10">
      <c r="A14" s="118">
        <v>10.7</v>
      </c>
      <c r="B14" s="118">
        <v>706.87</v>
      </c>
      <c r="C14" s="118">
        <v>7.07</v>
      </c>
      <c r="D14" s="118">
        <v>36.81</v>
      </c>
      <c r="E14" s="118">
        <v>4739</v>
      </c>
      <c r="F14" t="s">
        <v>3851</v>
      </c>
      <c r="G14" s="28">
        <f>VLOOKUP($E14,STOCKS!$D$2:$E$2035,2,0)</f>
        <v>149</v>
      </c>
      <c r="H14">
        <v>171.5</v>
      </c>
      <c r="I14" s="129">
        <f t="shared" si="0"/>
        <v>-22.5</v>
      </c>
      <c r="J14" s="63">
        <f t="shared" si="1"/>
        <v>-0.13119533527696792</v>
      </c>
    </row>
    <row r="15" spans="1:10">
      <c r="A15" s="118">
        <v>7.54</v>
      </c>
      <c r="B15" s="118">
        <v>605.25</v>
      </c>
      <c r="C15" s="118">
        <v>9.6999999999999993</v>
      </c>
      <c r="D15" s="118">
        <v>109.47</v>
      </c>
      <c r="E15" s="118">
        <v>3141</v>
      </c>
      <c r="F15" t="s">
        <v>4662</v>
      </c>
      <c r="G15" s="28">
        <f>VLOOKUP($E15,STOCKS!$D$2:$E$2035,2,0)</f>
        <v>259.5</v>
      </c>
      <c r="H15">
        <v>216</v>
      </c>
      <c r="I15" s="129">
        <f t="shared" si="0"/>
        <v>43.5</v>
      </c>
      <c r="J15" s="63">
        <f t="shared" si="1"/>
        <v>0.2013888888888889</v>
      </c>
    </row>
    <row r="16" spans="1:10">
      <c r="A16" s="118">
        <v>64.62</v>
      </c>
      <c r="B16" s="118">
        <v>201.13</v>
      </c>
      <c r="C16" s="118">
        <v>-4.59</v>
      </c>
      <c r="D16" s="118">
        <v>29.1</v>
      </c>
      <c r="E16" s="118">
        <v>8046</v>
      </c>
      <c r="F16" t="s">
        <v>4226</v>
      </c>
      <c r="G16" s="28" t="str">
        <f>VLOOKUP($E16,STOCKS!$D$2:$E$2035,2,0)</f>
        <v>--</v>
      </c>
      <c r="H16">
        <v>490.5</v>
      </c>
      <c r="I16" s="129" t="e">
        <f t="shared" si="0"/>
        <v>#VALUE!</v>
      </c>
      <c r="J16" s="63" t="e">
        <f t="shared" si="1"/>
        <v>#VALUE!</v>
      </c>
    </row>
    <row r="17" spans="1:10">
      <c r="A17" s="118">
        <v>7.43</v>
      </c>
      <c r="B17" s="118">
        <v>587.76</v>
      </c>
      <c r="C17" s="118">
        <v>-14.14</v>
      </c>
      <c r="D17" s="118">
        <v>89.81</v>
      </c>
      <c r="E17" s="118">
        <v>6531</v>
      </c>
      <c r="F17" t="s">
        <v>5513</v>
      </c>
      <c r="G17" s="28" t="str">
        <f>VLOOKUP($E17,STOCKS!$D$2:$E$2035,2,0)</f>
        <v>--</v>
      </c>
      <c r="H17">
        <v>538</v>
      </c>
      <c r="I17" s="129" t="e">
        <f t="shared" si="0"/>
        <v>#VALUE!</v>
      </c>
      <c r="J17" s="63" t="e">
        <f t="shared" si="1"/>
        <v>#VALUE!</v>
      </c>
    </row>
    <row r="18" spans="1:10">
      <c r="A18" s="118">
        <v>159.88</v>
      </c>
      <c r="B18" s="118">
        <v>306.89999999999998</v>
      </c>
      <c r="C18" s="118">
        <v>11.91</v>
      </c>
      <c r="D18" s="118">
        <v>26.51</v>
      </c>
      <c r="E18" s="118">
        <v>2454</v>
      </c>
      <c r="F18" t="s">
        <v>3960</v>
      </c>
      <c r="G18" s="28" t="str">
        <f>VLOOKUP($E18,STOCKS!$D$2:$E$2035,2,0)</f>
        <v>--</v>
      </c>
      <c r="H18">
        <v>913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962.42</v>
      </c>
      <c r="B19" s="118">
        <v>453.03</v>
      </c>
      <c r="C19" s="118">
        <v>0.88</v>
      </c>
      <c r="D19" s="118">
        <v>26.54</v>
      </c>
      <c r="E19" s="118">
        <v>2409</v>
      </c>
      <c r="F19" t="s">
        <v>4055</v>
      </c>
      <c r="G19" s="28">
        <f>VLOOKUP($E19,STOCKS!$D$2:$E$2035,2,0)</f>
        <v>21.2</v>
      </c>
      <c r="H19">
        <v>19.2</v>
      </c>
      <c r="I19" s="129">
        <f t="shared" si="0"/>
        <v>2</v>
      </c>
      <c r="J19" s="63">
        <f t="shared" si="1"/>
        <v>0.10416666666666667</v>
      </c>
    </row>
    <row r="20" spans="1:10">
      <c r="A20" s="118">
        <v>26.99</v>
      </c>
      <c r="B20" s="118">
        <v>217.94</v>
      </c>
      <c r="C20" s="118">
        <v>16.79</v>
      </c>
      <c r="D20" s="118">
        <v>106.02</v>
      </c>
      <c r="E20" s="118">
        <v>5351</v>
      </c>
      <c r="F20" t="s">
        <v>4690</v>
      </c>
      <c r="G20" s="28">
        <f>VLOOKUP($E20,STOCKS!$D$2:$E$2035,2,0)</f>
        <v>88.8</v>
      </c>
      <c r="H20">
        <v>59.4</v>
      </c>
      <c r="I20" s="129">
        <f t="shared" si="0"/>
        <v>29.4</v>
      </c>
      <c r="J20" s="63">
        <f t="shared" si="1"/>
        <v>0.49494949494949492</v>
      </c>
    </row>
    <row r="21" spans="1:10">
      <c r="A21" s="118">
        <v>1055.96</v>
      </c>
      <c r="B21" s="118">
        <v>428.54</v>
      </c>
      <c r="C21" s="118">
        <v>-6.15</v>
      </c>
      <c r="D21" s="118">
        <v>11.76</v>
      </c>
      <c r="E21" s="118">
        <v>3481</v>
      </c>
      <c r="F21" t="s">
        <v>4075</v>
      </c>
      <c r="G21" s="28">
        <f>VLOOKUP($E21,STOCKS!$D$2:$E$2035,2,0)</f>
        <v>18.75</v>
      </c>
      <c r="H21">
        <v>16.7</v>
      </c>
      <c r="I21" s="129">
        <f t="shared" si="0"/>
        <v>2.0500000000000007</v>
      </c>
      <c r="J21" s="63">
        <f t="shared" si="1"/>
        <v>0.12275449101796412</v>
      </c>
    </row>
    <row r="22" spans="1:10">
      <c r="A22" s="118">
        <v>9.15</v>
      </c>
      <c r="B22" s="118">
        <v>1187.48</v>
      </c>
      <c r="C22" s="118">
        <v>20.57</v>
      </c>
      <c r="D22" s="118">
        <v>-6.49</v>
      </c>
      <c r="E22" s="118">
        <v>8255</v>
      </c>
      <c r="F22" t="s">
        <v>4557</v>
      </c>
      <c r="G22" s="28" t="str">
        <f>VLOOKUP($E22,STOCKS!$D$2:$E$2035,2,0)</f>
        <v>--</v>
      </c>
      <c r="H22">
        <v>259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7.5</v>
      </c>
      <c r="B23" s="118">
        <v>127.26</v>
      </c>
      <c r="C23" s="118">
        <v>20.239999999999998</v>
      </c>
      <c r="D23" s="118">
        <v>162.86000000000001</v>
      </c>
      <c r="E23" s="118">
        <v>4721</v>
      </c>
      <c r="F23" t="s">
        <v>4567</v>
      </c>
      <c r="G23" s="28" t="str">
        <f>VLOOKUP($E23,STOCKS!$D$2:$E$2035,2,0)</f>
        <v>--</v>
      </c>
      <c r="H23">
        <v>170.5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28.62</v>
      </c>
      <c r="B24" s="118">
        <v>227.38</v>
      </c>
      <c r="C24" s="118">
        <v>-2.8</v>
      </c>
      <c r="D24" s="118">
        <v>44.27</v>
      </c>
      <c r="E24" s="118">
        <v>3006</v>
      </c>
      <c r="F24" t="s">
        <v>3625</v>
      </c>
      <c r="G24" s="28">
        <f>VLOOKUP($E24,STOCKS!$D$2:$E$2035,2,0)</f>
        <v>162</v>
      </c>
      <c r="H24">
        <v>142.5</v>
      </c>
      <c r="I24" s="129">
        <f t="shared" si="0"/>
        <v>19.5</v>
      </c>
      <c r="J24" s="63">
        <f t="shared" si="1"/>
        <v>0.1368421052631579</v>
      </c>
    </row>
    <row r="25" spans="1:10">
      <c r="A25" s="118">
        <v>9.0299999999999994</v>
      </c>
      <c r="B25" s="118">
        <v>-5.37</v>
      </c>
      <c r="C25" s="118">
        <v>14.7</v>
      </c>
      <c r="D25" s="118">
        <v>41.15</v>
      </c>
      <c r="E25" s="118">
        <v>6104</v>
      </c>
      <c r="F25" t="s">
        <v>3630</v>
      </c>
      <c r="G25" s="28">
        <f>VLOOKUP($E25,STOCKS!$D$2:$E$2035,2,0)</f>
        <v>189.5</v>
      </c>
      <c r="H25">
        <v>144</v>
      </c>
      <c r="I25" s="129">
        <f t="shared" si="0"/>
        <v>45.5</v>
      </c>
      <c r="J25" s="63">
        <f t="shared" si="1"/>
        <v>0.31597222222222221</v>
      </c>
    </row>
    <row r="26" spans="1:10">
      <c r="A26" s="118">
        <v>26.51</v>
      </c>
      <c r="B26" s="118">
        <v>61.77</v>
      </c>
      <c r="C26" s="118">
        <v>11.24</v>
      </c>
      <c r="D26" s="118">
        <v>32.04</v>
      </c>
      <c r="E26" s="118">
        <v>5425</v>
      </c>
      <c r="F26" t="s">
        <v>4691</v>
      </c>
      <c r="G26" s="28" t="str">
        <f>VLOOKUP($E26,STOCKS!$D$2:$E$2035,2,0)</f>
        <v>--</v>
      </c>
      <c r="H26">
        <v>81.2</v>
      </c>
      <c r="I26" s="129" t="e">
        <f t="shared" si="0"/>
        <v>#VALUE!</v>
      </c>
      <c r="J26" s="63" t="e">
        <f t="shared" si="1"/>
        <v>#VALUE!</v>
      </c>
    </row>
    <row r="27" spans="1:10">
      <c r="A27" s="118">
        <v>1180.5</v>
      </c>
      <c r="B27" s="118">
        <v>138.12</v>
      </c>
      <c r="C27" s="118">
        <v>-25.61</v>
      </c>
      <c r="D27" s="118">
        <v>33.450000000000003</v>
      </c>
      <c r="E27" s="118">
        <v>2881</v>
      </c>
      <c r="F27" t="s">
        <v>4392</v>
      </c>
      <c r="G27" s="28">
        <f>VLOOKUP($E27,STOCKS!$D$2:$E$2035,2,0)</f>
        <v>74.900000000000006</v>
      </c>
      <c r="H27">
        <v>73.599999999999994</v>
      </c>
      <c r="I27" s="129">
        <f t="shared" si="0"/>
        <v>1.3000000000000114</v>
      </c>
      <c r="J27" s="63">
        <f t="shared" si="1"/>
        <v>1.7663043478261024E-2</v>
      </c>
    </row>
    <row r="28" spans="1:10">
      <c r="A28" s="118">
        <v>440.34</v>
      </c>
      <c r="B28" s="118">
        <v>71.989999999999995</v>
      </c>
      <c r="C28" s="118">
        <v>6.51</v>
      </c>
      <c r="D28" s="118">
        <v>22.33</v>
      </c>
      <c r="E28" s="118">
        <v>3711</v>
      </c>
      <c r="F28" t="s">
        <v>3655</v>
      </c>
      <c r="G28" s="28" t="str">
        <f>VLOOKUP($E28,STOCKS!$D$2:$E$2035,2,0)</f>
        <v>--</v>
      </c>
      <c r="H28">
        <v>99.8</v>
      </c>
      <c r="I28" s="129" t="e">
        <f t="shared" si="0"/>
        <v>#VALUE!</v>
      </c>
      <c r="J28" s="63" t="e">
        <f t="shared" si="1"/>
        <v>#VALUE!</v>
      </c>
    </row>
    <row r="29" spans="1:10">
      <c r="A29" s="118">
        <v>21.68</v>
      </c>
      <c r="B29" s="118">
        <v>1729.51</v>
      </c>
      <c r="C29" s="118">
        <v>-0.88</v>
      </c>
      <c r="D29" s="118">
        <v>55.17</v>
      </c>
      <c r="E29" s="118">
        <v>3545</v>
      </c>
      <c r="F29" t="s">
        <v>3973</v>
      </c>
      <c r="G29" s="28">
        <f>VLOOKUP($E29,STOCKS!$D$2:$E$2035,2,0)</f>
        <v>170.5</v>
      </c>
      <c r="H29">
        <v>160</v>
      </c>
      <c r="I29" s="129">
        <f t="shared" si="0"/>
        <v>10.5</v>
      </c>
      <c r="J29" s="63">
        <f t="shared" si="1"/>
        <v>6.5625000000000003E-2</v>
      </c>
    </row>
    <row r="30" spans="1:10">
      <c r="A30" s="118">
        <v>51.66</v>
      </c>
      <c r="B30" s="118">
        <v>-74.260000000000005</v>
      </c>
      <c r="C30" s="118">
        <v>-0.25</v>
      </c>
      <c r="D30" s="118">
        <v>2.2000000000000002</v>
      </c>
      <c r="E30" s="118">
        <v>6282</v>
      </c>
      <c r="F30" t="s">
        <v>4221</v>
      </c>
      <c r="G30" s="28" t="str">
        <f>VLOOKUP($E30,STOCKS!$D$2:$E$2035,2,0)</f>
        <v>--</v>
      </c>
      <c r="H30">
        <v>34.6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54.09</v>
      </c>
      <c r="B31" s="118">
        <v>111.3</v>
      </c>
      <c r="C31" s="118">
        <v>2.42</v>
      </c>
      <c r="D31" s="118">
        <v>46.21</v>
      </c>
      <c r="E31" s="118">
        <v>6182</v>
      </c>
      <c r="F31" t="s">
        <v>4699</v>
      </c>
      <c r="G31" s="28">
        <f>VLOOKUP($E31,STOCKS!$D$2:$E$2035,2,0)</f>
        <v>76.400000000000006</v>
      </c>
      <c r="H31">
        <v>64.2</v>
      </c>
      <c r="I31" s="129">
        <f t="shared" si="0"/>
        <v>12.200000000000003</v>
      </c>
      <c r="J31" s="63">
        <f t="shared" si="1"/>
        <v>0.19003115264797513</v>
      </c>
    </row>
    <row r="32" spans="1:10">
      <c r="A32" s="118">
        <v>43.86</v>
      </c>
      <c r="B32" s="118">
        <v>123.5</v>
      </c>
      <c r="C32" s="118">
        <v>2.59</v>
      </c>
      <c r="D32" s="118">
        <v>-9.73</v>
      </c>
      <c r="E32" s="118">
        <v>2340</v>
      </c>
      <c r="F32" t="s">
        <v>4052</v>
      </c>
      <c r="G32" s="28">
        <f>VLOOKUP($E32,STOCKS!$D$2:$E$2035,2,0)</f>
        <v>60.4</v>
      </c>
      <c r="H32">
        <v>42.9</v>
      </c>
      <c r="I32" s="129">
        <f t="shared" si="0"/>
        <v>17.5</v>
      </c>
      <c r="J32" s="63">
        <f t="shared" si="1"/>
        <v>0.40792540792540793</v>
      </c>
    </row>
    <row r="33" spans="1:10">
      <c r="A33" s="118">
        <v>18.21</v>
      </c>
      <c r="B33" s="118">
        <v>189.33</v>
      </c>
      <c r="C33" s="118">
        <v>1.7</v>
      </c>
      <c r="D33" s="118">
        <v>29.36</v>
      </c>
      <c r="E33" s="118">
        <v>2351</v>
      </c>
      <c r="F33" t="s">
        <v>3642</v>
      </c>
      <c r="G33" s="28" t="str">
        <f>VLOOKUP($E33,STOCKS!$D$2:$E$2035,2,0)</f>
        <v>--</v>
      </c>
      <c r="H33">
        <v>166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5.07</v>
      </c>
      <c r="B34" s="118">
        <v>258.24</v>
      </c>
      <c r="C34" s="118">
        <v>-47.77</v>
      </c>
      <c r="D34" s="118">
        <v>0.54</v>
      </c>
      <c r="E34" s="118">
        <v>6533</v>
      </c>
      <c r="F34" t="s">
        <v>3989</v>
      </c>
      <c r="G34" s="28" t="str">
        <f>VLOOKUP($E34,STOCKS!$D$2:$E$2035,2,0)</f>
        <v>--</v>
      </c>
      <c r="H34">
        <v>504</v>
      </c>
      <c r="I34" s="129" t="e">
        <f t="shared" si="0"/>
        <v>#VALUE!</v>
      </c>
      <c r="J34" s="63" t="e">
        <f t="shared" si="1"/>
        <v>#VALUE!</v>
      </c>
    </row>
    <row r="35" spans="1:10">
      <c r="A35" s="118">
        <v>49.45</v>
      </c>
      <c r="B35" s="118">
        <v>3015.2</v>
      </c>
      <c r="C35" s="118">
        <v>11.78</v>
      </c>
      <c r="D35" s="118">
        <v>-3.68</v>
      </c>
      <c r="E35" s="118">
        <v>2388</v>
      </c>
      <c r="F35" t="s">
        <v>3952</v>
      </c>
      <c r="G35" s="28">
        <f>VLOOKUP($E35,STOCKS!$D$2:$E$2035,2,0)</f>
        <v>86.9</v>
      </c>
      <c r="H35">
        <v>62.1</v>
      </c>
      <c r="I35" s="129">
        <f t="shared" si="0"/>
        <v>24.800000000000004</v>
      </c>
      <c r="J35" s="63">
        <f t="shared" si="1"/>
        <v>0.39935587761674723</v>
      </c>
    </row>
    <row r="36" spans="1:10">
      <c r="A36" s="118">
        <v>63.57</v>
      </c>
      <c r="B36" s="118">
        <v>229.97</v>
      </c>
      <c r="C36" s="118">
        <v>23.28</v>
      </c>
      <c r="D36" s="118">
        <v>60.58</v>
      </c>
      <c r="E36" s="118">
        <v>2376</v>
      </c>
      <c r="F36" t="s">
        <v>3690</v>
      </c>
      <c r="G36" s="28">
        <f>VLOOKUP($E36,STOCKS!$D$2:$E$2035,2,0)</f>
        <v>135</v>
      </c>
      <c r="H36">
        <v>112.5</v>
      </c>
      <c r="I36" s="129">
        <f t="shared" si="0"/>
        <v>22.5</v>
      </c>
      <c r="J36" s="63">
        <f t="shared" si="1"/>
        <v>0.2</v>
      </c>
    </row>
    <row r="37" spans="1:10">
      <c r="A37" s="118">
        <v>11.41</v>
      </c>
      <c r="B37" s="118">
        <v>108.39</v>
      </c>
      <c r="C37" s="118">
        <v>41.66</v>
      </c>
      <c r="D37" s="118">
        <v>13.6</v>
      </c>
      <c r="E37" s="118">
        <v>3504</v>
      </c>
      <c r="F37" t="s">
        <v>4076</v>
      </c>
      <c r="G37" s="28" t="str">
        <f>VLOOKUP($E37,STOCKS!$D$2:$E$2035,2,0)</f>
        <v>--</v>
      </c>
      <c r="H37">
        <v>131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259.75</v>
      </c>
      <c r="B38" s="118">
        <v>11.51</v>
      </c>
      <c r="C38" s="118">
        <v>5.48</v>
      </c>
      <c r="D38" s="118">
        <v>2.02</v>
      </c>
      <c r="E38" s="118">
        <v>2308</v>
      </c>
      <c r="F38" t="s">
        <v>4147</v>
      </c>
      <c r="G38" s="28">
        <f>VLOOKUP($E38,STOCKS!$D$2:$E$2035,2,0)</f>
        <v>258</v>
      </c>
      <c r="H38">
        <v>245</v>
      </c>
      <c r="I38" s="129">
        <f t="shared" si="0"/>
        <v>13</v>
      </c>
      <c r="J38" s="63">
        <f t="shared" si="1"/>
        <v>5.3061224489795916E-2</v>
      </c>
    </row>
    <row r="39" spans="1:10">
      <c r="A39" s="118">
        <v>60.85</v>
      </c>
      <c r="B39" s="118">
        <v>228.48</v>
      </c>
      <c r="C39" s="118">
        <v>0.13</v>
      </c>
      <c r="D39" s="118">
        <v>62.17</v>
      </c>
      <c r="E39" s="118">
        <v>3034</v>
      </c>
      <c r="F39" t="s">
        <v>3965</v>
      </c>
      <c r="G39" s="28">
        <f>VLOOKUP($E39,STOCKS!$D$2:$E$2035,2,0)</f>
        <v>487.5</v>
      </c>
      <c r="H39">
        <v>415.5</v>
      </c>
      <c r="I39" s="129">
        <f t="shared" si="0"/>
        <v>72</v>
      </c>
      <c r="J39" s="63">
        <f t="shared" si="1"/>
        <v>0.17328519855595667</v>
      </c>
    </row>
    <row r="40" spans="1:10">
      <c r="A40" s="118">
        <v>32.07</v>
      </c>
      <c r="B40" s="118">
        <v>303.04000000000002</v>
      </c>
      <c r="C40" s="118">
        <v>-5.07</v>
      </c>
      <c r="D40" s="118">
        <v>1.03</v>
      </c>
      <c r="E40" s="118">
        <v>8215</v>
      </c>
      <c r="F40" t="s">
        <v>4107</v>
      </c>
      <c r="G40" s="28" t="str">
        <f>VLOOKUP($E40,STOCKS!$D$2:$E$2035,2,0)</f>
        <v>--</v>
      </c>
      <c r="H40">
        <v>39.35</v>
      </c>
      <c r="I40" s="129" t="e">
        <f t="shared" si="0"/>
        <v>#VALUE!</v>
      </c>
      <c r="J40" s="63" t="e">
        <f t="shared" si="1"/>
        <v>#VALUE!</v>
      </c>
    </row>
    <row r="41" spans="1:10">
      <c r="A41" s="118">
        <v>43.73</v>
      </c>
      <c r="B41" s="118">
        <v>5.85</v>
      </c>
      <c r="C41" s="118">
        <v>4.5999999999999996</v>
      </c>
      <c r="D41" s="118">
        <v>5.64</v>
      </c>
      <c r="E41" s="118">
        <v>6488</v>
      </c>
      <c r="F41" t="s">
        <v>3520</v>
      </c>
      <c r="G41" s="28" t="str">
        <f>VLOOKUP($E41,STOCKS!$D$2:$E$2035,2,0)</f>
        <v>--</v>
      </c>
      <c r="H41">
        <v>760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18.649999999999999</v>
      </c>
      <c r="B42" s="118">
        <v>2372.63</v>
      </c>
      <c r="C42" s="118">
        <v>1.97</v>
      </c>
      <c r="D42" s="118">
        <v>110.81</v>
      </c>
      <c r="E42" s="118">
        <v>4961</v>
      </c>
      <c r="F42" t="s">
        <v>3979</v>
      </c>
      <c r="G42" s="28">
        <f>VLOOKUP($E42,STOCKS!$D$2:$E$2035,2,0)</f>
        <v>260</v>
      </c>
      <c r="H42">
        <v>213</v>
      </c>
      <c r="I42" s="129">
        <f t="shared" si="0"/>
        <v>47</v>
      </c>
      <c r="J42" s="63">
        <f t="shared" si="1"/>
        <v>0.22065727699530516</v>
      </c>
    </row>
    <row r="43" spans="1:10">
      <c r="A43" s="118">
        <v>17.87</v>
      </c>
      <c r="B43" s="118">
        <v>94.24</v>
      </c>
      <c r="C43" s="118">
        <v>7.75</v>
      </c>
      <c r="D43" s="118">
        <v>25.01</v>
      </c>
      <c r="E43" s="118">
        <v>6271</v>
      </c>
      <c r="F43" t="s">
        <v>3986</v>
      </c>
      <c r="G43" s="28">
        <f>VLOOKUP($E43,STOCKS!$D$2:$E$2035,2,0)</f>
        <v>317</v>
      </c>
      <c r="H43">
        <v>264</v>
      </c>
      <c r="I43" s="129">
        <f t="shared" si="0"/>
        <v>53</v>
      </c>
      <c r="J43" s="63">
        <f t="shared" si="1"/>
        <v>0.20075757575757575</v>
      </c>
    </row>
    <row r="44" spans="1:10">
      <c r="A44" s="118">
        <v>28.23</v>
      </c>
      <c r="B44" s="118">
        <v>210.33</v>
      </c>
      <c r="C44" s="118">
        <v>1.5</v>
      </c>
      <c r="D44" s="118">
        <v>36.909999999999997</v>
      </c>
      <c r="E44" s="118">
        <v>3016</v>
      </c>
      <c r="F44" t="s">
        <v>3964</v>
      </c>
      <c r="G44" s="28" t="str">
        <f>VLOOKUP($E44,STOCKS!$D$2:$E$2035,2,0)</f>
        <v>--</v>
      </c>
      <c r="H44">
        <v>95.3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1386.3</v>
      </c>
      <c r="B45" s="118">
        <v>129.41</v>
      </c>
      <c r="C45" s="118">
        <v>46.41</v>
      </c>
      <c r="D45" s="118">
        <v>25.6</v>
      </c>
      <c r="E45" s="118">
        <v>2317</v>
      </c>
      <c r="F45" t="s">
        <v>4264</v>
      </c>
      <c r="G45" s="28">
        <f>VLOOKUP($E45,STOCKS!$D$2:$E$2035,2,0)</f>
        <v>105.5</v>
      </c>
      <c r="H45">
        <v>107</v>
      </c>
      <c r="I45" s="129">
        <f t="shared" si="0"/>
        <v>-1.5</v>
      </c>
      <c r="J45" s="63">
        <f t="shared" si="1"/>
        <v>-1.4018691588785047E-2</v>
      </c>
    </row>
    <row r="46" spans="1:10">
      <c r="A46" s="118">
        <v>9.15</v>
      </c>
      <c r="B46" s="118">
        <v>68.84</v>
      </c>
      <c r="C46" s="118">
        <v>-2.08</v>
      </c>
      <c r="D46" s="118">
        <v>17.670000000000002</v>
      </c>
      <c r="E46" s="118">
        <v>6411</v>
      </c>
      <c r="F46" t="s">
        <v>4706</v>
      </c>
      <c r="G46" s="28">
        <f>VLOOKUP($E46,STOCKS!$D$2:$E$2035,2,0)</f>
        <v>263</v>
      </c>
      <c r="H46">
        <v>204</v>
      </c>
      <c r="I46" s="129">
        <f t="shared" si="0"/>
        <v>59</v>
      </c>
      <c r="J46" s="63">
        <f t="shared" si="1"/>
        <v>0.28921568627450983</v>
      </c>
    </row>
    <row r="47" spans="1:10">
      <c r="A47" s="118">
        <v>18.489999999999998</v>
      </c>
      <c r="B47" s="118">
        <v>64.819999999999993</v>
      </c>
      <c r="C47" s="118">
        <v>8.42</v>
      </c>
      <c r="D47" s="118">
        <v>55.24</v>
      </c>
      <c r="E47" s="118">
        <v>2455</v>
      </c>
      <c r="F47" t="s">
        <v>4117</v>
      </c>
      <c r="G47" s="28">
        <f>VLOOKUP($E47,STOCKS!$D$2:$E$2035,2,0)</f>
        <v>146</v>
      </c>
      <c r="H47">
        <v>140.5</v>
      </c>
      <c r="I47" s="129">
        <f t="shared" si="0"/>
        <v>5.5</v>
      </c>
      <c r="J47" s="63">
        <f t="shared" si="1"/>
        <v>3.9145907473309607E-2</v>
      </c>
    </row>
    <row r="48" spans="1:10">
      <c r="A48" s="118">
        <v>12.01</v>
      </c>
      <c r="B48" s="118">
        <v>204.97</v>
      </c>
      <c r="C48" s="118">
        <v>-2.4500000000000002</v>
      </c>
      <c r="D48" s="118">
        <v>66.2</v>
      </c>
      <c r="E48" s="118">
        <v>8016</v>
      </c>
      <c r="F48" t="s">
        <v>3993</v>
      </c>
      <c r="G48" s="28" t="str">
        <f>VLOOKUP($E48,STOCKS!$D$2:$E$2035,2,0)</f>
        <v>--</v>
      </c>
      <c r="H48">
        <v>266.5</v>
      </c>
      <c r="I48" s="129" t="e">
        <f t="shared" si="0"/>
        <v>#VALUE!</v>
      </c>
      <c r="J48" s="63" t="e">
        <f t="shared" si="1"/>
        <v>#VALUE!</v>
      </c>
    </row>
    <row r="49" spans="1:10">
      <c r="A49" s="118">
        <v>19.649999999999999</v>
      </c>
      <c r="B49" s="118">
        <v>14.94</v>
      </c>
      <c r="C49" s="118">
        <v>2.57</v>
      </c>
      <c r="D49" s="118">
        <v>40.97</v>
      </c>
      <c r="E49" s="118">
        <v>8086</v>
      </c>
      <c r="F49" t="s">
        <v>4726</v>
      </c>
      <c r="G49" s="28">
        <f>VLOOKUP($E49,STOCKS!$D$2:$E$2035,2,0)</f>
        <v>150.5</v>
      </c>
      <c r="H49">
        <v>159.5</v>
      </c>
      <c r="I49" s="129">
        <f t="shared" si="0"/>
        <v>-9</v>
      </c>
      <c r="J49" s="63">
        <f t="shared" si="1"/>
        <v>-5.6426332288401257E-2</v>
      </c>
    </row>
    <row r="50" spans="1:10">
      <c r="A50" s="118">
        <v>10.17</v>
      </c>
      <c r="B50" s="118">
        <v>502.77</v>
      </c>
      <c r="C50" s="118">
        <v>3.15</v>
      </c>
      <c r="D50" s="118">
        <v>48.38</v>
      </c>
      <c r="E50" s="118">
        <v>5285</v>
      </c>
      <c r="F50" t="s">
        <v>3982</v>
      </c>
      <c r="G50" s="28" t="str">
        <f>VLOOKUP($E50,STOCKS!$D$2:$E$2035,2,0)</f>
        <v>--</v>
      </c>
      <c r="H50">
        <v>122</v>
      </c>
      <c r="I50" s="129" t="e">
        <f t="shared" si="0"/>
        <v>#VALUE!</v>
      </c>
      <c r="J50" s="63" t="e">
        <f t="shared" si="1"/>
        <v>#VALUE!</v>
      </c>
    </row>
    <row r="51" spans="1:10">
      <c r="A51" s="118">
        <v>58.62</v>
      </c>
      <c r="B51" s="118">
        <v>14.46</v>
      </c>
      <c r="C51" s="118">
        <v>7.34</v>
      </c>
      <c r="D51" s="118">
        <v>13.2</v>
      </c>
      <c r="E51" s="118">
        <v>5483</v>
      </c>
      <c r="F51" t="s">
        <v>4693</v>
      </c>
      <c r="G51" s="28" t="str">
        <f>VLOOKUP($E51,STOCKS!$D$2:$E$2035,2,0)</f>
        <v>--</v>
      </c>
      <c r="H51">
        <v>189.5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13.4</v>
      </c>
      <c r="B52" s="118">
        <v>290.64</v>
      </c>
      <c r="C52" s="118">
        <v>25.57</v>
      </c>
      <c r="D52" s="118">
        <v>-6.67</v>
      </c>
      <c r="E52" s="118">
        <v>3443</v>
      </c>
      <c r="F52" t="s">
        <v>3652</v>
      </c>
      <c r="G52" s="28" t="str">
        <f>VLOOKUP($E52,STOCKS!$D$2:$E$2035,2,0)</f>
        <v>--</v>
      </c>
      <c r="H52">
        <v>598</v>
      </c>
      <c r="I52" s="129" t="e">
        <f t="shared" si="0"/>
        <v>#VALUE!</v>
      </c>
      <c r="J52" s="63" t="e">
        <f t="shared" si="1"/>
        <v>#VALUE!</v>
      </c>
    </row>
    <row r="53" spans="1:10">
      <c r="A53" s="118">
        <v>46.63</v>
      </c>
      <c r="B53" s="118">
        <v>-122.97</v>
      </c>
      <c r="C53" s="118">
        <v>-3</v>
      </c>
      <c r="D53" s="118">
        <v>7.41</v>
      </c>
      <c r="E53" s="118">
        <v>4128</v>
      </c>
      <c r="F53" t="s">
        <v>4591</v>
      </c>
      <c r="G53" s="28">
        <f>VLOOKUP($E53,STOCKS!$D$2:$E$2035,2,0)</f>
        <v>66.099999999999994</v>
      </c>
      <c r="H53">
        <v>63.3</v>
      </c>
      <c r="I53" s="129">
        <f t="shared" si="0"/>
        <v>2.7999999999999972</v>
      </c>
      <c r="J53" s="63">
        <f t="shared" si="1"/>
        <v>4.4233807266982582E-2</v>
      </c>
    </row>
    <row r="54" spans="1:10">
      <c r="A54" s="118">
        <v>8.1300000000000008</v>
      </c>
      <c r="B54" s="118">
        <v>262.61</v>
      </c>
      <c r="C54" s="118">
        <v>2.48</v>
      </c>
      <c r="D54" s="118">
        <v>11.98</v>
      </c>
      <c r="E54" s="118">
        <v>8261</v>
      </c>
      <c r="F54" t="s">
        <v>3998</v>
      </c>
      <c r="G54" s="28" t="str">
        <f>VLOOKUP($E54,STOCKS!$D$2:$E$2035,2,0)</f>
        <v>--</v>
      </c>
      <c r="H54">
        <v>104.5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6.22</v>
      </c>
      <c r="B55" s="118">
        <v>50.07</v>
      </c>
      <c r="C55" s="118">
        <v>3.26</v>
      </c>
      <c r="D55" s="118">
        <v>23.19</v>
      </c>
      <c r="E55" s="118">
        <v>3491</v>
      </c>
      <c r="F55" t="s">
        <v>4826</v>
      </c>
      <c r="G55" s="28" t="str">
        <f>VLOOKUP($E55,STOCKS!$D$2:$E$2035,2,0)</f>
        <v>--</v>
      </c>
      <c r="H55">
        <v>124.5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33.29</v>
      </c>
      <c r="B56" s="118">
        <v>47.52</v>
      </c>
      <c r="C56" s="118">
        <v>-3.9</v>
      </c>
      <c r="D56" s="118">
        <v>35.33</v>
      </c>
      <c r="E56" s="118">
        <v>2383</v>
      </c>
      <c r="F56" t="s">
        <v>3673</v>
      </c>
      <c r="G56" s="28">
        <f>VLOOKUP($E56,STOCKS!$D$2:$E$2035,2,0)</f>
        <v>237</v>
      </c>
      <c r="H56">
        <v>240.5</v>
      </c>
      <c r="I56" s="129">
        <f t="shared" si="0"/>
        <v>-3.5</v>
      </c>
      <c r="J56" s="63">
        <f t="shared" si="1"/>
        <v>-1.4553014553014554E-2</v>
      </c>
    </row>
    <row r="57" spans="1:10">
      <c r="A57" s="118">
        <v>233.95</v>
      </c>
      <c r="B57" s="118">
        <v>109.31</v>
      </c>
      <c r="C57" s="118">
        <v>4.46</v>
      </c>
      <c r="D57" s="118">
        <v>17.84</v>
      </c>
      <c r="E57" s="118">
        <v>2371</v>
      </c>
      <c r="F57" t="s">
        <v>3799</v>
      </c>
      <c r="G57" s="28" t="str">
        <f>VLOOKUP($E57,STOCKS!$D$2:$E$2035,2,0)</f>
        <v>--</v>
      </c>
      <c r="H57">
        <v>34.4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7.04</v>
      </c>
      <c r="B58" s="118">
        <v>112.18</v>
      </c>
      <c r="C58" s="118">
        <v>7.67</v>
      </c>
      <c r="D58" s="118">
        <v>38.75</v>
      </c>
      <c r="E58" s="118">
        <v>3661</v>
      </c>
      <c r="F58" t="s">
        <v>3976</v>
      </c>
      <c r="G58" s="28" t="str">
        <f>VLOOKUP($E58,STOCKS!$D$2:$E$2035,2,0)</f>
        <v>--</v>
      </c>
      <c r="H58">
        <v>1030</v>
      </c>
      <c r="I58" s="129" t="e">
        <f t="shared" si="0"/>
        <v>#VALUE!</v>
      </c>
      <c r="J58" s="63" t="e">
        <f t="shared" si="1"/>
        <v>#VALUE!</v>
      </c>
    </row>
    <row r="59" spans="1:10">
      <c r="A59" s="118">
        <v>18.78</v>
      </c>
      <c r="B59" s="118">
        <v>289.57</v>
      </c>
      <c r="C59" s="118">
        <v>3.78</v>
      </c>
      <c r="D59" s="118">
        <v>36.96</v>
      </c>
      <c r="E59" s="118">
        <v>2476</v>
      </c>
      <c r="F59" t="s">
        <v>4168</v>
      </c>
      <c r="G59" s="28" t="str">
        <f>VLOOKUP($E59,STOCKS!$D$2:$E$2035,2,0)</f>
        <v>--</v>
      </c>
      <c r="H59">
        <v>66.3</v>
      </c>
      <c r="I59" s="129" t="e">
        <f t="shared" si="0"/>
        <v>#VALUE!</v>
      </c>
      <c r="J59" s="63" t="e">
        <f t="shared" si="1"/>
        <v>#VALUE!</v>
      </c>
    </row>
    <row r="60" spans="1:10">
      <c r="A60" s="118">
        <v>6.75</v>
      </c>
      <c r="B60" s="118">
        <v>150.62</v>
      </c>
      <c r="C60" s="118">
        <v>0.7</v>
      </c>
      <c r="D60" s="118">
        <v>76.73</v>
      </c>
      <c r="E60" s="118">
        <v>6756</v>
      </c>
      <c r="F60" t="s">
        <v>3992</v>
      </c>
      <c r="G60" s="28">
        <f>VLOOKUP($E60,STOCKS!$D$2:$E$2035,2,0)</f>
        <v>570</v>
      </c>
      <c r="H60">
        <v>469</v>
      </c>
      <c r="I60" s="129">
        <f t="shared" si="0"/>
        <v>101</v>
      </c>
      <c r="J60" s="63">
        <f t="shared" si="1"/>
        <v>0.21535181236673773</v>
      </c>
    </row>
    <row r="61" spans="1:10">
      <c r="A61" s="118">
        <v>32.86</v>
      </c>
      <c r="B61" s="118">
        <v>-321.67</v>
      </c>
      <c r="C61" s="118">
        <v>17.36</v>
      </c>
      <c r="D61" s="118">
        <v>-15.11</v>
      </c>
      <c r="E61" s="118">
        <v>3062</v>
      </c>
      <c r="F61" t="s">
        <v>4123</v>
      </c>
      <c r="G61" s="28" t="str">
        <f>VLOOKUP($E61,STOCKS!$D$2:$E$2035,2,0)</f>
        <v>--</v>
      </c>
      <c r="H61">
        <v>26.45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163.9</v>
      </c>
      <c r="B62" s="118">
        <v>62.82</v>
      </c>
      <c r="C62" s="118">
        <v>3.53</v>
      </c>
      <c r="D62" s="118">
        <v>46.36</v>
      </c>
      <c r="E62" s="118">
        <v>5347</v>
      </c>
      <c r="F62" t="s">
        <v>4689</v>
      </c>
      <c r="G62" s="28" t="str">
        <f>VLOOKUP($E62,STOCKS!$D$2:$E$2035,2,0)</f>
        <v>--</v>
      </c>
      <c r="H62">
        <v>144.5</v>
      </c>
      <c r="I62" s="129" t="e">
        <f t="shared" si="0"/>
        <v>#VALUE!</v>
      </c>
      <c r="J62" s="63" t="e">
        <f t="shared" si="1"/>
        <v>#VALUE!</v>
      </c>
    </row>
    <row r="63" spans="1:10">
      <c r="A63" s="118">
        <v>4.09</v>
      </c>
      <c r="B63" s="118">
        <v>8206.14</v>
      </c>
      <c r="C63" s="118">
        <v>3.98</v>
      </c>
      <c r="D63" s="118">
        <v>100.66</v>
      </c>
      <c r="E63" s="118">
        <v>6485</v>
      </c>
      <c r="F63" t="s">
        <v>4710</v>
      </c>
      <c r="G63" s="28" t="str">
        <f>VLOOKUP($E63,STOCKS!$D$2:$E$2035,2,0)</f>
        <v>--</v>
      </c>
      <c r="H63">
        <v>131.5</v>
      </c>
      <c r="I63" s="129" t="e">
        <f t="shared" si="0"/>
        <v>#VALUE!</v>
      </c>
      <c r="J63" s="63" t="e">
        <f t="shared" si="1"/>
        <v>#VALUE!</v>
      </c>
    </row>
    <row r="64" spans="1:10">
      <c r="A64" s="118">
        <v>114.04</v>
      </c>
      <c r="B64" s="118">
        <v>43.65</v>
      </c>
      <c r="C64" s="118">
        <v>117.29</v>
      </c>
      <c r="D64" s="118">
        <v>21.92</v>
      </c>
      <c r="E64" s="118">
        <v>8069</v>
      </c>
      <c r="F64" t="s">
        <v>3688</v>
      </c>
      <c r="G64" s="28">
        <f>VLOOKUP($E64,STOCKS!$D$2:$E$2035,2,0)</f>
        <v>127</v>
      </c>
      <c r="H64">
        <v>91.9</v>
      </c>
      <c r="I64" s="129">
        <f t="shared" si="0"/>
        <v>35.099999999999994</v>
      </c>
      <c r="J64" s="63">
        <f t="shared" si="1"/>
        <v>0.38193688792165387</v>
      </c>
    </row>
    <row r="65" spans="1:10">
      <c r="A65" s="118">
        <v>22.2</v>
      </c>
      <c r="B65" s="118">
        <v>400.58</v>
      </c>
      <c r="C65" s="118">
        <v>0.91</v>
      </c>
      <c r="D65" s="118">
        <v>33.869999999999997</v>
      </c>
      <c r="E65" s="118">
        <v>2486</v>
      </c>
      <c r="F65" t="s">
        <v>4059</v>
      </c>
      <c r="G65" s="28">
        <f>VLOOKUP($E65,STOCKS!$D$2:$E$2035,2,0)</f>
        <v>56.2</v>
      </c>
      <c r="H65">
        <v>58.7</v>
      </c>
      <c r="I65" s="129">
        <f t="shared" si="0"/>
        <v>-2.5</v>
      </c>
      <c r="J65" s="63">
        <f t="shared" si="1"/>
        <v>-4.2589437819420782E-2</v>
      </c>
    </row>
    <row r="66" spans="1:10">
      <c r="A66" s="118">
        <v>13.83</v>
      </c>
      <c r="B66" s="118">
        <v>450.96</v>
      </c>
      <c r="C66" s="118">
        <v>13.49</v>
      </c>
      <c r="D66" s="118">
        <v>33.58</v>
      </c>
      <c r="E66" s="118">
        <v>3305</v>
      </c>
      <c r="F66" t="s">
        <v>4280</v>
      </c>
      <c r="G66" s="28" t="str">
        <f>VLOOKUP($E66,STOCKS!$D$2:$E$2035,2,0)</f>
        <v>--</v>
      </c>
      <c r="H66">
        <v>70.7</v>
      </c>
      <c r="I66" s="129" t="e">
        <f t="shared" si="0"/>
        <v>#VALUE!</v>
      </c>
      <c r="J66" s="63" t="e">
        <f t="shared" si="1"/>
        <v>#VALUE!</v>
      </c>
    </row>
    <row r="67" spans="1:10">
      <c r="A67" s="118">
        <v>41.72</v>
      </c>
      <c r="B67" s="118">
        <v>251.79</v>
      </c>
      <c r="C67" s="118">
        <v>11.81</v>
      </c>
      <c r="D67" s="118">
        <v>7.82</v>
      </c>
      <c r="E67" s="118">
        <v>4919</v>
      </c>
      <c r="F67" t="s">
        <v>3977</v>
      </c>
      <c r="G67" s="28" t="str">
        <f>VLOOKUP($E67,STOCKS!$D$2:$E$2035,2,0)</f>
        <v>--</v>
      </c>
      <c r="H67">
        <v>128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18.21</v>
      </c>
      <c r="B68" s="118">
        <v>82.68</v>
      </c>
      <c r="C68" s="118">
        <v>-9.89</v>
      </c>
      <c r="D68" s="118">
        <v>31.24</v>
      </c>
      <c r="E68" s="118">
        <v>8454</v>
      </c>
      <c r="F68" t="s">
        <v>4427</v>
      </c>
      <c r="G68" s="28" t="str">
        <f>VLOOKUP($E68,STOCKS!$D$2:$E$2035,2,0)</f>
        <v>--</v>
      </c>
      <c r="H68">
        <v>1790</v>
      </c>
      <c r="I68" s="129" t="e">
        <f t="shared" si="2"/>
        <v>#VALUE!</v>
      </c>
      <c r="J68" s="63" t="e">
        <f t="shared" si="3"/>
        <v>#VALUE!</v>
      </c>
    </row>
    <row r="69" spans="1:10">
      <c r="A69" s="118">
        <v>8.01</v>
      </c>
      <c r="B69" s="118">
        <v>1912.35</v>
      </c>
      <c r="C69" s="118">
        <v>-58.54</v>
      </c>
      <c r="D69" s="118">
        <v>-23.17</v>
      </c>
      <c r="E69" s="118">
        <v>6237</v>
      </c>
      <c r="F69" t="s">
        <v>3672</v>
      </c>
      <c r="G69" s="28">
        <f>VLOOKUP($E69,STOCKS!$D$2:$E$2035,2,0)</f>
        <v>110</v>
      </c>
      <c r="H69">
        <v>102</v>
      </c>
      <c r="I69" s="129">
        <f t="shared" si="2"/>
        <v>8</v>
      </c>
      <c r="J69" s="63">
        <f t="shared" si="3"/>
        <v>7.8431372549019607E-2</v>
      </c>
    </row>
    <row r="70" spans="1:10">
      <c r="A70" s="118">
        <v>7.61</v>
      </c>
      <c r="B70" s="118">
        <v>57.09</v>
      </c>
      <c r="C70" s="118">
        <v>-65.290000000000006</v>
      </c>
      <c r="D70" s="118">
        <v>26.33</v>
      </c>
      <c r="E70" s="118">
        <v>3529</v>
      </c>
      <c r="F70" t="s">
        <v>4674</v>
      </c>
      <c r="G70" s="28" t="str">
        <f>VLOOKUP($E70,STOCKS!$D$2:$E$2035,2,0)</f>
        <v>--</v>
      </c>
      <c r="H70">
        <v>2300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636.57000000000005</v>
      </c>
      <c r="B71" s="118">
        <v>3535.54</v>
      </c>
      <c r="C71" s="118">
        <v>-7.45</v>
      </c>
      <c r="D71" s="118">
        <v>35.35</v>
      </c>
      <c r="E71" s="118">
        <v>1301</v>
      </c>
      <c r="F71" t="s">
        <v>3721</v>
      </c>
      <c r="G71" s="28">
        <f>VLOOKUP($E71,STOCKS!$D$2:$E$2035,2,0)</f>
        <v>105.5</v>
      </c>
      <c r="H71">
        <v>107.5</v>
      </c>
      <c r="I71" s="129">
        <f t="shared" si="2"/>
        <v>-2</v>
      </c>
      <c r="J71" s="63">
        <f t="shared" si="3"/>
        <v>-1.8604651162790697E-2</v>
      </c>
    </row>
    <row r="72" spans="1:10">
      <c r="A72" s="118">
        <v>574.04999999999995</v>
      </c>
      <c r="B72" s="118">
        <v>-9.26</v>
      </c>
      <c r="C72" s="118">
        <v>16.79</v>
      </c>
      <c r="D72" s="118">
        <v>47.36</v>
      </c>
      <c r="E72" s="118">
        <v>2610</v>
      </c>
      <c r="F72" t="s">
        <v>4347</v>
      </c>
      <c r="G72" s="28">
        <f>VLOOKUP($E72,STOCKS!$D$2:$E$2035,2,0)</f>
        <v>28.4</v>
      </c>
      <c r="H72">
        <v>17.2</v>
      </c>
      <c r="I72" s="129">
        <f t="shared" si="2"/>
        <v>11.2</v>
      </c>
      <c r="J72" s="63">
        <f t="shared" si="3"/>
        <v>0.65116279069767435</v>
      </c>
    </row>
    <row r="73" spans="1:10">
      <c r="A73" s="118">
        <v>81.95</v>
      </c>
      <c r="B73" s="118">
        <v>54.66</v>
      </c>
      <c r="C73" s="118">
        <v>64.03</v>
      </c>
      <c r="D73" s="118">
        <v>-26.43</v>
      </c>
      <c r="E73" s="118">
        <v>2498</v>
      </c>
      <c r="F73" t="s">
        <v>4118</v>
      </c>
      <c r="G73" s="28">
        <f>VLOOKUP($E73,STOCKS!$D$2:$E$2035,2,0)</f>
        <v>79.7</v>
      </c>
      <c r="H73">
        <v>65.599999999999994</v>
      </c>
      <c r="I73" s="129">
        <f t="shared" si="2"/>
        <v>14.100000000000009</v>
      </c>
      <c r="J73" s="63">
        <f t="shared" si="3"/>
        <v>0.21493902439024404</v>
      </c>
    </row>
    <row r="74" spans="1:10">
      <c r="A74" s="118">
        <v>49.59</v>
      </c>
      <c r="B74" s="118">
        <v>100.98</v>
      </c>
      <c r="C74" s="118">
        <v>0.06</v>
      </c>
      <c r="D74" s="118">
        <v>28.03</v>
      </c>
      <c r="E74" s="118">
        <v>2327</v>
      </c>
      <c r="F74" t="s">
        <v>3645</v>
      </c>
      <c r="G74" s="28" t="str">
        <f>VLOOKUP($E74,STOCKS!$D$2:$E$2035,2,0)</f>
        <v>--</v>
      </c>
      <c r="H74">
        <v>434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8.09</v>
      </c>
      <c r="B75" s="118">
        <v>48.34</v>
      </c>
      <c r="C75" s="118">
        <v>5.55</v>
      </c>
      <c r="D75" s="118">
        <v>21.7</v>
      </c>
      <c r="E75" s="118">
        <v>4966</v>
      </c>
      <c r="F75" t="s">
        <v>4682</v>
      </c>
      <c r="G75" s="28" t="str">
        <f>VLOOKUP($E75,STOCKS!$D$2:$E$2035,2,0)</f>
        <v>--</v>
      </c>
      <c r="H75">
        <v>1785</v>
      </c>
      <c r="I75" s="129" t="e">
        <f t="shared" si="2"/>
        <v>#VALUE!</v>
      </c>
      <c r="J75" s="63" t="e">
        <f t="shared" si="3"/>
        <v>#VALUE!</v>
      </c>
    </row>
    <row r="76" spans="1:10">
      <c r="A76" s="118">
        <v>145.04</v>
      </c>
      <c r="B76" s="118">
        <v>33.42</v>
      </c>
      <c r="C76" s="118">
        <v>-0.57999999999999996</v>
      </c>
      <c r="D76" s="118">
        <v>16.670000000000002</v>
      </c>
      <c r="E76" s="118">
        <v>5871</v>
      </c>
      <c r="F76" t="s">
        <v>3654</v>
      </c>
      <c r="G76" s="28" t="str">
        <f>VLOOKUP($E76,STOCKS!$D$2:$E$2035,2,0)</f>
        <v>--</v>
      </c>
      <c r="H76">
        <v>266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6.92</v>
      </c>
      <c r="B77" s="118">
        <v>12.29</v>
      </c>
      <c r="C77" s="118">
        <v>-1.65</v>
      </c>
      <c r="D77" s="118">
        <v>-31.62</v>
      </c>
      <c r="E77" s="118">
        <v>5269</v>
      </c>
      <c r="F77" t="s">
        <v>3519</v>
      </c>
      <c r="G77" s="28" t="str">
        <f>VLOOKUP($E77,STOCKS!$D$2:$E$2035,2,0)</f>
        <v>--</v>
      </c>
      <c r="H77">
        <v>1625</v>
      </c>
      <c r="I77" s="129" t="e">
        <f t="shared" si="2"/>
        <v>#VALUE!</v>
      </c>
      <c r="J77" s="63" t="e">
        <f t="shared" si="3"/>
        <v>#VALUE!</v>
      </c>
    </row>
    <row r="78" spans="1:10">
      <c r="A78" s="118">
        <v>9.39</v>
      </c>
      <c r="B78" s="118">
        <v>79.31</v>
      </c>
      <c r="C78" s="118">
        <v>9.6</v>
      </c>
      <c r="D78" s="118">
        <v>62.03</v>
      </c>
      <c r="E78" s="118">
        <v>6415</v>
      </c>
      <c r="F78" t="s">
        <v>3987</v>
      </c>
      <c r="G78" s="28" t="str">
        <f>VLOOKUP($E78,STOCKS!$D$2:$E$2035,2,0)</f>
        <v>--</v>
      </c>
      <c r="H78">
        <v>4580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3.28</v>
      </c>
      <c r="B79" s="118">
        <v>-12.5</v>
      </c>
      <c r="C79" s="118">
        <v>1.91</v>
      </c>
      <c r="D79" s="118">
        <v>-3.71</v>
      </c>
      <c r="E79" s="118">
        <v>6510</v>
      </c>
      <c r="F79" t="s">
        <v>4712</v>
      </c>
      <c r="G79" s="28" t="str">
        <f>VLOOKUP($E79,STOCKS!$D$2:$E$2035,2,0)</f>
        <v>--</v>
      </c>
      <c r="H79">
        <v>793</v>
      </c>
      <c r="I79" s="129" t="e">
        <f t="shared" si="2"/>
        <v>#VALUE!</v>
      </c>
      <c r="J79" s="63" t="e">
        <f t="shared" si="3"/>
        <v>#VALUE!</v>
      </c>
    </row>
    <row r="80" spans="1:10">
      <c r="A80" s="118">
        <v>1573.49</v>
      </c>
      <c r="B80" s="118">
        <v>946.75</v>
      </c>
      <c r="C80" s="118">
        <v>0.64</v>
      </c>
      <c r="D80" s="118">
        <v>60.68</v>
      </c>
      <c r="E80" s="118">
        <v>2002</v>
      </c>
      <c r="F80" t="s">
        <v>3633</v>
      </c>
      <c r="G80" s="28" t="str">
        <f>VLOOKUP($E80,STOCKS!$D$2:$E$2035,2,0)</f>
        <v>--</v>
      </c>
      <c r="H80">
        <v>33.6</v>
      </c>
      <c r="I80" s="129" t="e">
        <f t="shared" si="2"/>
        <v>#VALUE!</v>
      </c>
      <c r="J80" s="63" t="e">
        <f t="shared" si="3"/>
        <v>#VALUE!</v>
      </c>
    </row>
    <row r="81" spans="1:10">
      <c r="A81" s="118">
        <v>200.85</v>
      </c>
      <c r="B81" s="118">
        <v>757.86</v>
      </c>
      <c r="C81" s="118">
        <v>-1.68</v>
      </c>
      <c r="D81" s="118">
        <v>74.16</v>
      </c>
      <c r="E81" s="118">
        <v>2027</v>
      </c>
      <c r="F81" t="s">
        <v>46</v>
      </c>
      <c r="G81" s="28">
        <f>VLOOKUP($E81,STOCKS!$D$2:$E$2035,2,0)</f>
        <v>45.95</v>
      </c>
      <c r="H81">
        <v>44.15</v>
      </c>
      <c r="I81" s="129">
        <f t="shared" si="2"/>
        <v>1.8000000000000043</v>
      </c>
      <c r="J81" s="63">
        <f t="shared" si="3"/>
        <v>4.077010192525491E-2</v>
      </c>
    </row>
    <row r="82" spans="1:10">
      <c r="A82" s="118">
        <v>51.07</v>
      </c>
      <c r="B82" s="118">
        <v>101.14</v>
      </c>
      <c r="C82" s="118">
        <v>1.44</v>
      </c>
      <c r="D82" s="118">
        <v>19.48</v>
      </c>
      <c r="E82" s="118">
        <v>2379</v>
      </c>
      <c r="F82" t="s">
        <v>3951</v>
      </c>
      <c r="G82" s="28" t="str">
        <f>VLOOKUP($E82,STOCKS!$D$2:$E$2035,2,0)</f>
        <v>--</v>
      </c>
      <c r="H82">
        <v>499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21.29</v>
      </c>
      <c r="B83" s="118">
        <v>-10.32</v>
      </c>
      <c r="C83" s="118">
        <v>-28.68</v>
      </c>
      <c r="D83" s="118">
        <v>29619.200000000001</v>
      </c>
      <c r="E83" s="118">
        <v>6547</v>
      </c>
      <c r="F83" t="s">
        <v>45</v>
      </c>
      <c r="G83" s="28" t="str">
        <f>VLOOKUP($E83,STOCKS!$D$2:$E$2035,2,0)</f>
        <v>--</v>
      </c>
      <c r="H83">
        <v>240</v>
      </c>
      <c r="I83" s="129" t="e">
        <f t="shared" si="2"/>
        <v>#VALUE!</v>
      </c>
      <c r="J83" s="63" t="e">
        <f t="shared" si="3"/>
        <v>#VALUE!</v>
      </c>
    </row>
    <row r="84" spans="1:10">
      <c r="A84" s="118">
        <v>12.76</v>
      </c>
      <c r="B84" s="118">
        <v>20.98</v>
      </c>
      <c r="C84" s="118">
        <v>-8.1999999999999993</v>
      </c>
      <c r="D84" s="118">
        <v>18.559999999999999</v>
      </c>
      <c r="E84" s="118">
        <v>8044</v>
      </c>
      <c r="F84" t="s">
        <v>3547</v>
      </c>
      <c r="G84" s="28" t="str">
        <f>VLOOKUP($E84,STOCKS!$D$2:$E$2035,2,0)</f>
        <v>--</v>
      </c>
      <c r="H84">
        <v>145</v>
      </c>
      <c r="I84" s="129" t="e">
        <f t="shared" si="2"/>
        <v>#VALUE!</v>
      </c>
      <c r="J84" s="63" t="e">
        <f t="shared" si="3"/>
        <v>#VALUE!</v>
      </c>
    </row>
    <row r="85" spans="1:10">
      <c r="A85" s="118">
        <v>185.6</v>
      </c>
      <c r="B85" s="118">
        <v>98.35</v>
      </c>
      <c r="C85" s="118">
        <v>13.32</v>
      </c>
      <c r="D85" s="118">
        <v>21.78</v>
      </c>
      <c r="E85" s="118">
        <v>2337</v>
      </c>
      <c r="F85" t="s">
        <v>3945</v>
      </c>
      <c r="G85" s="28">
        <f>VLOOKUP($E85,STOCKS!$D$2:$E$2035,2,0)</f>
        <v>44.1</v>
      </c>
      <c r="H85">
        <v>39.200000000000003</v>
      </c>
      <c r="I85" s="129">
        <f t="shared" si="2"/>
        <v>4.8999999999999986</v>
      </c>
      <c r="J85" s="63">
        <f t="shared" si="3"/>
        <v>0.12499999999999996</v>
      </c>
    </row>
    <row r="86" spans="1:10">
      <c r="A86" s="118">
        <v>11.2</v>
      </c>
      <c r="B86" s="118">
        <v>-60.18</v>
      </c>
      <c r="C86" s="118">
        <v>8.94</v>
      </c>
      <c r="D86" s="118">
        <v>19.52</v>
      </c>
      <c r="E86" s="118">
        <v>3406</v>
      </c>
      <c r="F86" t="s">
        <v>4072</v>
      </c>
      <c r="G86" s="28">
        <f>VLOOKUP($E86,STOCKS!$D$2:$E$2035,2,0)</f>
        <v>521</v>
      </c>
      <c r="H86">
        <v>427.5</v>
      </c>
      <c r="I86" s="129">
        <f t="shared" si="2"/>
        <v>93.5</v>
      </c>
      <c r="J86" s="63">
        <f t="shared" si="3"/>
        <v>0.21871345029239767</v>
      </c>
    </row>
    <row r="87" spans="1:10">
      <c r="A87" s="118">
        <v>49.02</v>
      </c>
      <c r="B87" s="118">
        <v>53.7</v>
      </c>
      <c r="C87" s="118">
        <v>-5.23</v>
      </c>
      <c r="D87" s="118">
        <v>24.33</v>
      </c>
      <c r="E87" s="118">
        <v>3264</v>
      </c>
      <c r="F87" t="s">
        <v>4666</v>
      </c>
      <c r="G87" s="28" t="str">
        <f>VLOOKUP($E87,STOCKS!$D$2:$E$2035,2,0)</f>
        <v>--</v>
      </c>
      <c r="H87">
        <v>59.4</v>
      </c>
      <c r="I87" s="129" t="e">
        <f t="shared" si="2"/>
        <v>#VALUE!</v>
      </c>
      <c r="J87" s="63" t="e">
        <f t="shared" si="3"/>
        <v>#VALUE!</v>
      </c>
    </row>
    <row r="88" spans="1:10">
      <c r="A88" s="118">
        <v>9.0500000000000007</v>
      </c>
      <c r="B88" s="118">
        <v>383.96</v>
      </c>
      <c r="C88" s="118">
        <v>6.69</v>
      </c>
      <c r="D88" s="118">
        <v>-19.43</v>
      </c>
      <c r="E88" s="118">
        <v>8054</v>
      </c>
      <c r="F88" t="s">
        <v>4725</v>
      </c>
      <c r="G88" s="28" t="str">
        <f>VLOOKUP($E88,STOCKS!$D$2:$E$2035,2,0)</f>
        <v>--</v>
      </c>
      <c r="H88">
        <v>56.5</v>
      </c>
      <c r="I88" s="129" t="e">
        <f t="shared" si="2"/>
        <v>#VALUE!</v>
      </c>
      <c r="J88" s="63" t="e">
        <f t="shared" si="3"/>
        <v>#VALUE!</v>
      </c>
    </row>
    <row r="89" spans="1:10">
      <c r="A89" s="118">
        <v>6.22</v>
      </c>
      <c r="B89" s="118">
        <v>134.56</v>
      </c>
      <c r="C89" s="118">
        <v>9.1</v>
      </c>
      <c r="D89" s="118">
        <v>91.86</v>
      </c>
      <c r="E89" s="118">
        <v>3169</v>
      </c>
      <c r="F89" t="s">
        <v>3609</v>
      </c>
      <c r="G89" s="28" t="str">
        <f>VLOOKUP($E89,STOCKS!$D$2:$E$2035,2,0)</f>
        <v>--</v>
      </c>
      <c r="H89">
        <v>179.5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11.45</v>
      </c>
      <c r="B90" s="118">
        <v>-44.89</v>
      </c>
      <c r="C90" s="118">
        <v>26</v>
      </c>
      <c r="D90" s="118">
        <v>-61.78</v>
      </c>
      <c r="E90" s="118">
        <v>6477</v>
      </c>
      <c r="F90" t="s">
        <v>4102</v>
      </c>
      <c r="G90" s="28" t="str">
        <f>VLOOKUP($E90,STOCKS!$D$2:$E$2035,2,0)</f>
        <v>--</v>
      </c>
      <c r="H90">
        <v>45.2</v>
      </c>
      <c r="I90" s="129" t="e">
        <f t="shared" si="2"/>
        <v>#VALUE!</v>
      </c>
      <c r="J90" s="63" t="e">
        <f t="shared" si="3"/>
        <v>#VALUE!</v>
      </c>
    </row>
    <row r="91" spans="1:10">
      <c r="A91" s="118">
        <v>35.33</v>
      </c>
      <c r="B91" s="118">
        <v>93.26</v>
      </c>
      <c r="C91" s="118">
        <v>2.77</v>
      </c>
      <c r="D91" s="118">
        <v>15.46</v>
      </c>
      <c r="E91" s="118">
        <v>3017</v>
      </c>
      <c r="F91" t="s">
        <v>3517</v>
      </c>
      <c r="G91" s="28">
        <f>VLOOKUP($E91,STOCKS!$D$2:$E$2035,2,0)</f>
        <v>89.4</v>
      </c>
      <c r="H91">
        <v>82.9</v>
      </c>
      <c r="I91" s="129">
        <f t="shared" si="2"/>
        <v>6.5</v>
      </c>
      <c r="J91" s="63">
        <f t="shared" si="3"/>
        <v>7.840772014475271E-2</v>
      </c>
    </row>
    <row r="92" spans="1:10">
      <c r="A92" s="118">
        <v>210.68</v>
      </c>
      <c r="B92" s="118">
        <v>139.11000000000001</v>
      </c>
      <c r="C92" s="118">
        <v>-44.68</v>
      </c>
      <c r="D92" s="118">
        <v>2.57</v>
      </c>
      <c r="E92" s="118">
        <v>9945</v>
      </c>
      <c r="F92" t="s">
        <v>4498</v>
      </c>
      <c r="G92" s="28" t="str">
        <f>VLOOKUP($E92,STOCKS!$D$2:$E$2035,2,0)</f>
        <v>--</v>
      </c>
      <c r="H92">
        <v>70.900000000000006</v>
      </c>
      <c r="I92" s="129" t="e">
        <f t="shared" si="2"/>
        <v>#VALUE!</v>
      </c>
      <c r="J92" s="63" t="e">
        <f t="shared" si="3"/>
        <v>#VALUE!</v>
      </c>
    </row>
    <row r="93" spans="1:10">
      <c r="A93" s="118">
        <v>8.5399999999999991</v>
      </c>
      <c r="B93" s="118">
        <v>490.39</v>
      </c>
      <c r="C93" s="118">
        <v>10.99</v>
      </c>
      <c r="D93" s="118">
        <v>6.34</v>
      </c>
      <c r="E93" s="118">
        <v>6781</v>
      </c>
      <c r="F93" t="s">
        <v>36</v>
      </c>
      <c r="G93" s="28" t="str">
        <f>VLOOKUP($E93,STOCKS!$D$2:$E$2035,2,0)</f>
        <v>--</v>
      </c>
      <c r="H93">
        <v>1225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8.85</v>
      </c>
      <c r="B94" s="118">
        <v>0.04</v>
      </c>
      <c r="C94" s="118">
        <v>-17</v>
      </c>
      <c r="D94" s="118">
        <v>-53.24</v>
      </c>
      <c r="E94" s="118">
        <v>4968</v>
      </c>
      <c r="F94" t="s">
        <v>3981</v>
      </c>
      <c r="G94" s="28" t="str">
        <f>VLOOKUP($E94,STOCKS!$D$2:$E$2035,2,0)</f>
        <v>--</v>
      </c>
      <c r="H94">
        <v>288</v>
      </c>
      <c r="I94" s="129" t="e">
        <f t="shared" si="2"/>
        <v>#VALUE!</v>
      </c>
      <c r="J94" s="63" t="e">
        <f t="shared" si="3"/>
        <v>#VALUE!</v>
      </c>
    </row>
    <row r="95" spans="1:10">
      <c r="A95" s="118">
        <v>1316.92</v>
      </c>
      <c r="B95" s="118">
        <v>179.85</v>
      </c>
      <c r="C95" s="118">
        <v>-23.28</v>
      </c>
      <c r="D95" s="118">
        <v>1.77</v>
      </c>
      <c r="E95" s="118">
        <v>2882</v>
      </c>
      <c r="F95" t="s">
        <v>4393</v>
      </c>
      <c r="G95" s="28">
        <f>VLOOKUP($E95,STOCKS!$D$2:$E$2035,2,0)</f>
        <v>61.5</v>
      </c>
      <c r="H95">
        <v>58.1</v>
      </c>
      <c r="I95" s="129">
        <f t="shared" si="2"/>
        <v>3.3999999999999986</v>
      </c>
      <c r="J95" s="63">
        <f t="shared" si="3"/>
        <v>5.8519793459552473E-2</v>
      </c>
    </row>
    <row r="96" spans="1:10">
      <c r="A96" s="118">
        <v>10.83</v>
      </c>
      <c r="B96" s="118">
        <v>164.73</v>
      </c>
      <c r="C96" s="118">
        <v>6.17</v>
      </c>
      <c r="D96" s="118">
        <v>6.63</v>
      </c>
      <c r="E96" s="118">
        <v>1727</v>
      </c>
      <c r="F96" t="s">
        <v>3843</v>
      </c>
      <c r="G96" s="28">
        <f>VLOOKUP($E96,STOCKS!$D$2:$E$2035,2,0)</f>
        <v>59.1</v>
      </c>
      <c r="H96">
        <v>44.1</v>
      </c>
      <c r="I96" s="129">
        <f t="shared" si="2"/>
        <v>15</v>
      </c>
      <c r="J96" s="63">
        <f t="shared" si="3"/>
        <v>0.3401360544217687</v>
      </c>
    </row>
    <row r="97" spans="1:10">
      <c r="A97" s="118">
        <v>4.4400000000000004</v>
      </c>
      <c r="B97" s="118">
        <v>420.37</v>
      </c>
      <c r="C97" s="118">
        <v>-2.25</v>
      </c>
      <c r="D97" s="118">
        <v>85.01</v>
      </c>
      <c r="E97" s="118">
        <v>3527</v>
      </c>
      <c r="F97" t="s">
        <v>4673</v>
      </c>
      <c r="G97" s="28" t="str">
        <f>VLOOKUP($E97,STOCKS!$D$2:$E$2035,2,0)</f>
        <v>--</v>
      </c>
      <c r="H97">
        <v>215.5</v>
      </c>
      <c r="I97" s="129" t="e">
        <f t="shared" si="2"/>
        <v>#VALUE!</v>
      </c>
      <c r="J97" s="63" t="e">
        <f t="shared" si="3"/>
        <v>#VALUE!</v>
      </c>
    </row>
    <row r="98" spans="1:10">
      <c r="A98" s="118">
        <v>13.41</v>
      </c>
      <c r="B98" s="118">
        <v>-22.99</v>
      </c>
      <c r="C98" s="118">
        <v>3.99</v>
      </c>
      <c r="D98" s="118">
        <v>-18.59</v>
      </c>
      <c r="E98" s="118">
        <v>3008</v>
      </c>
      <c r="F98" t="s">
        <v>4060</v>
      </c>
      <c r="G98" s="28" t="str">
        <f>VLOOKUP($E98,STOCKS!$D$2:$E$2035,2,0)</f>
        <v>--</v>
      </c>
      <c r="H98">
        <v>2070</v>
      </c>
      <c r="I98" s="129" t="e">
        <f t="shared" si="2"/>
        <v>#VALUE!</v>
      </c>
      <c r="J98" s="63" t="e">
        <f t="shared" si="3"/>
        <v>#VALUE!</v>
      </c>
    </row>
    <row r="99" spans="1:10">
      <c r="A99" s="118">
        <v>6.78</v>
      </c>
      <c r="B99" s="118">
        <v>17066.060000000001</v>
      </c>
      <c r="C99" s="118">
        <v>1.19</v>
      </c>
      <c r="D99" s="118">
        <v>-51.74</v>
      </c>
      <c r="E99" s="118">
        <v>3228</v>
      </c>
      <c r="F99" t="s">
        <v>3518</v>
      </c>
      <c r="G99" s="28" t="str">
        <f>VLOOKUP($E99,STOCKS!$D$2:$E$2035,2,0)</f>
        <v>--</v>
      </c>
      <c r="H99">
        <v>396</v>
      </c>
      <c r="I99" s="129" t="e">
        <f t="shared" si="2"/>
        <v>#VALUE!</v>
      </c>
      <c r="J99" s="63" t="e">
        <f t="shared" si="3"/>
        <v>#VALUE!</v>
      </c>
    </row>
    <row r="100" spans="1:10">
      <c r="A100" s="118">
        <v>54.78</v>
      </c>
      <c r="B100" s="118">
        <v>191.85</v>
      </c>
      <c r="C100" s="118">
        <v>-4.1500000000000004</v>
      </c>
      <c r="D100" s="118">
        <v>7.02</v>
      </c>
      <c r="E100" s="118">
        <v>1711</v>
      </c>
      <c r="F100" t="s">
        <v>3833</v>
      </c>
      <c r="G100" s="28">
        <f>VLOOKUP($E100,STOCKS!$D$2:$E$2035,2,0)</f>
        <v>28.35</v>
      </c>
      <c r="H100">
        <v>25.55</v>
      </c>
      <c r="I100" s="129">
        <f t="shared" si="2"/>
        <v>2.8000000000000007</v>
      </c>
      <c r="J100" s="63">
        <f t="shared" si="3"/>
        <v>0.10958904109589043</v>
      </c>
    </row>
    <row r="101" spans="1:10">
      <c r="A101" s="118">
        <v>9.41</v>
      </c>
      <c r="B101" s="118">
        <v>-18.96</v>
      </c>
      <c r="C101" s="118">
        <v>13.11</v>
      </c>
      <c r="D101" s="118">
        <v>18.559999999999999</v>
      </c>
      <c r="E101" s="118">
        <v>6223</v>
      </c>
      <c r="F101" t="s">
        <v>4701</v>
      </c>
      <c r="G101" s="28" t="str">
        <f>VLOOKUP($E101,STOCKS!$D$2:$E$2035,2,0)</f>
        <v>--</v>
      </c>
      <c r="H101">
        <v>128</v>
      </c>
      <c r="I101" s="129" t="e">
        <f t="shared" si="2"/>
        <v>#VALUE!</v>
      </c>
      <c r="J101" s="63" t="e">
        <f t="shared" si="3"/>
        <v>#VALUE!</v>
      </c>
    </row>
  </sheetData>
  <phoneticPr fontId="38" type="noConversion"/>
  <conditionalFormatting sqref="J1:J1048576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90D2E-D5CC-4180-87E4-351DF7AF8D7A}">
  <sheetPr codeName="工作表9">
    <tabColor rgb="FFFF0000"/>
  </sheetPr>
  <dimension ref="A1:J101"/>
  <sheetViews>
    <sheetView workbookViewId="0">
      <selection activeCell="N29" sqref="N29"/>
    </sheetView>
  </sheetViews>
  <sheetFormatPr defaultRowHeight="16.2"/>
  <cols>
    <col min="7" max="7" width="10.44140625" style="60" bestFit="1" customWidth="1"/>
    <col min="9" max="9" width="8.88671875" style="60"/>
    <col min="10" max="10" width="8.88671875" style="63"/>
  </cols>
  <sheetData>
    <row r="1" spans="1:10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0">
      <c r="A2" s="118">
        <v>32.270000000000003</v>
      </c>
      <c r="B2" s="118">
        <v>-90.68</v>
      </c>
      <c r="C2" s="118">
        <v>-4.24</v>
      </c>
      <c r="D2" s="118">
        <v>-12.57</v>
      </c>
      <c r="E2" s="118">
        <v>1611</v>
      </c>
      <c r="F2" t="s">
        <v>3821</v>
      </c>
      <c r="G2" s="28" t="str">
        <f>VLOOKUP($E2,STOCKS!$D$2:$E$2035,2,0)</f>
        <v>--</v>
      </c>
      <c r="H2">
        <v>11.55</v>
      </c>
      <c r="I2" s="129" t="e">
        <f>$G2-$H2</f>
        <v>#VALUE!</v>
      </c>
      <c r="J2" s="63" t="e">
        <f>$I2/$H2</f>
        <v>#VALUE!</v>
      </c>
    </row>
    <row r="3" spans="1:10">
      <c r="A3" s="118">
        <v>42.4</v>
      </c>
      <c r="B3" s="118">
        <v>-37.229999999999997</v>
      </c>
      <c r="C3" s="118">
        <v>2.08</v>
      </c>
      <c r="D3" s="118">
        <v>3.67</v>
      </c>
      <c r="E3" s="118">
        <v>3105</v>
      </c>
      <c r="F3" t="s">
        <v>3618</v>
      </c>
      <c r="G3" s="28" t="str">
        <f>VLOOKUP($E3,STOCKS!$D$2:$E$2035,2,0)</f>
        <v>--</v>
      </c>
      <c r="H3">
        <v>357.5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0">
      <c r="A4" s="118">
        <v>7.5</v>
      </c>
      <c r="B4" s="118">
        <v>127.26</v>
      </c>
      <c r="C4" s="118">
        <v>20.239999999999998</v>
      </c>
      <c r="D4" s="118">
        <v>162.86000000000001</v>
      </c>
      <c r="E4" s="118">
        <v>4721</v>
      </c>
      <c r="F4" t="s">
        <v>4567</v>
      </c>
      <c r="G4" s="28" t="str">
        <f>VLOOKUP($E4,STOCKS!$D$2:$E$2035,2,0)</f>
        <v>--</v>
      </c>
      <c r="H4">
        <v>170.5</v>
      </c>
      <c r="I4" s="129" t="e">
        <f t="shared" si="0"/>
        <v>#VALUE!</v>
      </c>
      <c r="J4" s="63" t="e">
        <f t="shared" si="1"/>
        <v>#VALUE!</v>
      </c>
    </row>
    <row r="5" spans="1:10">
      <c r="A5" s="118">
        <v>8.1300000000000008</v>
      </c>
      <c r="B5" s="118">
        <v>262.61</v>
      </c>
      <c r="C5" s="118">
        <v>2.48</v>
      </c>
      <c r="D5" s="118">
        <v>11.98</v>
      </c>
      <c r="E5" s="118">
        <v>8261</v>
      </c>
      <c r="F5" t="s">
        <v>3998</v>
      </c>
      <c r="G5" s="28" t="str">
        <f>VLOOKUP($E5,STOCKS!$D$2:$E$2035,2,0)</f>
        <v>--</v>
      </c>
      <c r="H5">
        <v>104.5</v>
      </c>
      <c r="I5" s="129" t="e">
        <f t="shared" si="0"/>
        <v>#VALUE!</v>
      </c>
      <c r="J5" s="63" t="e">
        <f t="shared" si="1"/>
        <v>#VALUE!</v>
      </c>
    </row>
    <row r="6" spans="1:10">
      <c r="A6" s="118">
        <v>26.99</v>
      </c>
      <c r="B6" s="118">
        <v>217.94</v>
      </c>
      <c r="C6" s="118">
        <v>16.79</v>
      </c>
      <c r="D6" s="118">
        <v>106.02</v>
      </c>
      <c r="E6" s="118">
        <v>5351</v>
      </c>
      <c r="F6" t="s">
        <v>4690</v>
      </c>
      <c r="G6" s="28">
        <f>VLOOKUP($E6,STOCKS!$D$2:$E$2035,2,0)</f>
        <v>88.8</v>
      </c>
      <c r="H6">
        <v>59.4</v>
      </c>
      <c r="I6" s="129">
        <f t="shared" si="0"/>
        <v>29.4</v>
      </c>
      <c r="J6" s="63">
        <f t="shared" si="1"/>
        <v>0.49494949494949492</v>
      </c>
    </row>
    <row r="7" spans="1:10">
      <c r="A7" s="118">
        <v>3.28</v>
      </c>
      <c r="B7" s="118">
        <v>-12.5</v>
      </c>
      <c r="C7" s="118">
        <v>1.91</v>
      </c>
      <c r="D7" s="118">
        <v>-3.71</v>
      </c>
      <c r="E7" s="118">
        <v>6510</v>
      </c>
      <c r="F7" t="s">
        <v>4712</v>
      </c>
      <c r="G7" s="28" t="str">
        <f>VLOOKUP($E7,STOCKS!$D$2:$E$2035,2,0)</f>
        <v>--</v>
      </c>
      <c r="H7">
        <v>793</v>
      </c>
      <c r="I7" s="129" t="e">
        <f t="shared" si="0"/>
        <v>#VALUE!</v>
      </c>
      <c r="J7" s="63" t="e">
        <f t="shared" si="1"/>
        <v>#VALUE!</v>
      </c>
    </row>
    <row r="8" spans="1:10">
      <c r="A8" s="118">
        <v>18.3</v>
      </c>
      <c r="B8" s="118">
        <v>9.51</v>
      </c>
      <c r="C8" s="118">
        <v>1.26</v>
      </c>
      <c r="D8" s="118">
        <v>61.06</v>
      </c>
      <c r="E8" s="118">
        <v>8121</v>
      </c>
      <c r="F8" t="s">
        <v>4958</v>
      </c>
      <c r="G8" s="28" t="str">
        <f>VLOOKUP($E8,STOCKS!$D$2:$E$2035,2,0)</f>
        <v>--</v>
      </c>
      <c r="H8">
        <v>47.5</v>
      </c>
      <c r="I8" s="129" t="e">
        <f t="shared" si="0"/>
        <v>#VALUE!</v>
      </c>
      <c r="J8" s="63" t="e">
        <f t="shared" si="1"/>
        <v>#VALUE!</v>
      </c>
    </row>
    <row r="9" spans="1:10">
      <c r="A9" s="118">
        <v>13.83</v>
      </c>
      <c r="B9" s="118">
        <v>450.96</v>
      </c>
      <c r="C9" s="118">
        <v>13.49</v>
      </c>
      <c r="D9" s="118">
        <v>33.58</v>
      </c>
      <c r="E9" s="118">
        <v>3305</v>
      </c>
      <c r="F9" t="s">
        <v>4280</v>
      </c>
      <c r="G9" s="28" t="str">
        <f>VLOOKUP($E9,STOCKS!$D$2:$E$2035,2,0)</f>
        <v>--</v>
      </c>
      <c r="H9">
        <v>70.7</v>
      </c>
      <c r="I9" s="129" t="e">
        <f t="shared" si="0"/>
        <v>#VALUE!</v>
      </c>
      <c r="J9" s="63" t="e">
        <f t="shared" si="1"/>
        <v>#VALUE!</v>
      </c>
    </row>
    <row r="10" spans="1:10">
      <c r="A10" s="118">
        <v>19.03</v>
      </c>
      <c r="B10" s="118">
        <v>889.88</v>
      </c>
      <c r="C10" s="118">
        <v>9.3699999999999992</v>
      </c>
      <c r="D10" s="118">
        <v>40.51</v>
      </c>
      <c r="E10" s="118">
        <v>3701</v>
      </c>
      <c r="F10" t="s">
        <v>4029</v>
      </c>
      <c r="G10" s="28">
        <f>VLOOKUP($E10,STOCKS!$D$2:$E$2035,2,0)</f>
        <v>65.3</v>
      </c>
      <c r="H10">
        <v>46.45</v>
      </c>
      <c r="I10" s="129">
        <f t="shared" si="0"/>
        <v>18.849999999999994</v>
      </c>
      <c r="J10" s="63">
        <f t="shared" si="1"/>
        <v>0.40581270182992452</v>
      </c>
    </row>
    <row r="11" spans="1:10">
      <c r="A11" s="118">
        <v>10.7</v>
      </c>
      <c r="B11" s="118">
        <v>706.87</v>
      </c>
      <c r="C11" s="118">
        <v>7.07</v>
      </c>
      <c r="D11" s="118">
        <v>36.81</v>
      </c>
      <c r="E11" s="118">
        <v>4739</v>
      </c>
      <c r="F11" t="s">
        <v>3851</v>
      </c>
      <c r="G11" s="28">
        <f>VLOOKUP($E11,STOCKS!$D$2:$E$2035,2,0)</f>
        <v>149</v>
      </c>
      <c r="H11">
        <v>171.5</v>
      </c>
      <c r="I11" s="129">
        <f t="shared" si="0"/>
        <v>-22.5</v>
      </c>
      <c r="J11" s="63">
        <f t="shared" si="1"/>
        <v>-0.13119533527696792</v>
      </c>
    </row>
    <row r="12" spans="1:10">
      <c r="A12" s="118">
        <v>18.21</v>
      </c>
      <c r="B12" s="118">
        <v>189.33</v>
      </c>
      <c r="C12" s="118">
        <v>1.7</v>
      </c>
      <c r="D12" s="118">
        <v>29.36</v>
      </c>
      <c r="E12" s="118">
        <v>2351</v>
      </c>
      <c r="F12" t="s">
        <v>3642</v>
      </c>
      <c r="G12" s="28" t="str">
        <f>VLOOKUP($E12,STOCKS!$D$2:$E$2035,2,0)</f>
        <v>--</v>
      </c>
      <c r="H12">
        <v>166</v>
      </c>
      <c r="I12" s="129" t="e">
        <f t="shared" si="0"/>
        <v>#VALUE!</v>
      </c>
      <c r="J12" s="63" t="e">
        <f t="shared" si="1"/>
        <v>#VALUE!</v>
      </c>
    </row>
    <row r="13" spans="1:10">
      <c r="A13" s="118">
        <v>49.45</v>
      </c>
      <c r="B13" s="118">
        <v>3015.2</v>
      </c>
      <c r="C13" s="118">
        <v>11.78</v>
      </c>
      <c r="D13" s="118">
        <v>-3.68</v>
      </c>
      <c r="E13" s="118">
        <v>2388</v>
      </c>
      <c r="F13" t="s">
        <v>3952</v>
      </c>
      <c r="G13" s="28">
        <f>VLOOKUP($E13,STOCKS!$D$2:$E$2035,2,0)</f>
        <v>86.9</v>
      </c>
      <c r="H13">
        <v>62.1</v>
      </c>
      <c r="I13" s="129">
        <f t="shared" si="0"/>
        <v>24.800000000000004</v>
      </c>
      <c r="J13" s="63">
        <f t="shared" si="1"/>
        <v>0.39935587761674723</v>
      </c>
    </row>
    <row r="14" spans="1:10">
      <c r="A14" s="118">
        <v>7</v>
      </c>
      <c r="B14" s="118">
        <v>124.8</v>
      </c>
      <c r="C14" s="118">
        <v>26.97</v>
      </c>
      <c r="D14" s="118">
        <v>58.75</v>
      </c>
      <c r="E14" s="118">
        <v>6491</v>
      </c>
      <c r="F14" t="s">
        <v>3875</v>
      </c>
      <c r="G14" s="28" t="str">
        <f>VLOOKUP($E14,STOCKS!$D$2:$E$2035,2,0)</f>
        <v>--</v>
      </c>
      <c r="H14">
        <v>544</v>
      </c>
      <c r="I14" s="129" t="e">
        <f t="shared" si="0"/>
        <v>#VALUE!</v>
      </c>
      <c r="J14" s="63" t="e">
        <f t="shared" si="1"/>
        <v>#VALUE!</v>
      </c>
    </row>
    <row r="15" spans="1:10">
      <c r="A15" s="118">
        <v>10.210000000000001</v>
      </c>
      <c r="B15" s="118">
        <v>-13.13</v>
      </c>
      <c r="C15" s="118">
        <v>4.66</v>
      </c>
      <c r="D15" s="118">
        <v>116.39</v>
      </c>
      <c r="E15" s="118">
        <v>3508</v>
      </c>
      <c r="F15" t="s">
        <v>5015</v>
      </c>
      <c r="G15" s="28" t="str">
        <f>VLOOKUP($E15,STOCKS!$D$2:$E$2035,2,0)</f>
        <v>--</v>
      </c>
      <c r="H15">
        <v>31.1</v>
      </c>
      <c r="I15" s="129" t="e">
        <f t="shared" si="0"/>
        <v>#VALUE!</v>
      </c>
      <c r="J15" s="63" t="e">
        <f t="shared" si="1"/>
        <v>#VALUE!</v>
      </c>
    </row>
    <row r="16" spans="1:10">
      <c r="A16" s="118">
        <v>81.95</v>
      </c>
      <c r="B16" s="118">
        <v>54.66</v>
      </c>
      <c r="C16" s="118">
        <v>64.03</v>
      </c>
      <c r="D16" s="118">
        <v>-26.43</v>
      </c>
      <c r="E16" s="118">
        <v>2498</v>
      </c>
      <c r="F16" t="s">
        <v>4118</v>
      </c>
      <c r="G16" s="28">
        <f>VLOOKUP($E16,STOCKS!$D$2:$E$2035,2,0)</f>
        <v>79.7</v>
      </c>
      <c r="H16">
        <v>65.599999999999994</v>
      </c>
      <c r="I16" s="129">
        <f t="shared" si="0"/>
        <v>14.100000000000009</v>
      </c>
      <c r="J16" s="63">
        <f t="shared" si="1"/>
        <v>0.21493902439024404</v>
      </c>
    </row>
    <row r="17" spans="1:10">
      <c r="A17" s="118">
        <v>17.32</v>
      </c>
      <c r="B17" s="118">
        <v>59.57</v>
      </c>
      <c r="C17" s="118">
        <v>1.29</v>
      </c>
      <c r="D17" s="118">
        <v>13.25</v>
      </c>
      <c r="E17" s="118">
        <v>6509</v>
      </c>
      <c r="F17" t="s">
        <v>4572</v>
      </c>
      <c r="G17" s="28">
        <f>VLOOKUP($E17,STOCKS!$D$2:$E$2035,2,0)</f>
        <v>70.2</v>
      </c>
      <c r="H17">
        <v>80.099999999999994</v>
      </c>
      <c r="I17" s="129">
        <f t="shared" si="0"/>
        <v>-9.8999999999999915</v>
      </c>
      <c r="J17" s="63">
        <f t="shared" si="1"/>
        <v>-0.12359550561797743</v>
      </c>
    </row>
    <row r="18" spans="1:10">
      <c r="A18" s="118">
        <v>7.6</v>
      </c>
      <c r="B18" s="118">
        <v>171.06</v>
      </c>
      <c r="C18" s="118">
        <v>9.19</v>
      </c>
      <c r="D18" s="118">
        <v>31.56</v>
      </c>
      <c r="E18" s="118">
        <v>5011</v>
      </c>
      <c r="F18" t="s">
        <v>4652</v>
      </c>
      <c r="G18" s="28" t="str">
        <f>VLOOKUP($E18,STOCKS!$D$2:$E$2035,2,0)</f>
        <v>--</v>
      </c>
      <c r="H18">
        <v>30.6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8.5399999999999991</v>
      </c>
      <c r="B19" s="118">
        <v>490.39</v>
      </c>
      <c r="C19" s="118">
        <v>10.99</v>
      </c>
      <c r="D19" s="118">
        <v>6.34</v>
      </c>
      <c r="E19" s="118">
        <v>6781</v>
      </c>
      <c r="F19" t="s">
        <v>36</v>
      </c>
      <c r="G19" s="28" t="str">
        <f>VLOOKUP($E19,STOCKS!$D$2:$E$2035,2,0)</f>
        <v>--</v>
      </c>
      <c r="H19">
        <v>1225</v>
      </c>
      <c r="I19" s="129" t="e">
        <f t="shared" si="0"/>
        <v>#VALUE!</v>
      </c>
      <c r="J19" s="63" t="e">
        <f t="shared" si="1"/>
        <v>#VALUE!</v>
      </c>
    </row>
    <row r="20" spans="1:10">
      <c r="A20" s="118">
        <v>6.22</v>
      </c>
      <c r="B20" s="118">
        <v>50.07</v>
      </c>
      <c r="C20" s="118">
        <v>3.26</v>
      </c>
      <c r="D20" s="118">
        <v>23.19</v>
      </c>
      <c r="E20" s="118">
        <v>3491</v>
      </c>
      <c r="F20" t="s">
        <v>4826</v>
      </c>
      <c r="G20" s="28" t="str">
        <f>VLOOKUP($E20,STOCKS!$D$2:$E$2035,2,0)</f>
        <v>--</v>
      </c>
      <c r="H20">
        <v>124.5</v>
      </c>
      <c r="I20" s="129" t="e">
        <f t="shared" si="0"/>
        <v>#VALUE!</v>
      </c>
      <c r="J20" s="63" t="e">
        <f t="shared" si="1"/>
        <v>#VALUE!</v>
      </c>
    </row>
    <row r="21" spans="1:10">
      <c r="A21" s="118">
        <v>32.07</v>
      </c>
      <c r="B21" s="118">
        <v>303.04000000000002</v>
      </c>
      <c r="C21" s="118">
        <v>-5.07</v>
      </c>
      <c r="D21" s="118">
        <v>1.03</v>
      </c>
      <c r="E21" s="118">
        <v>8215</v>
      </c>
      <c r="F21" t="s">
        <v>4107</v>
      </c>
      <c r="G21" s="28" t="str">
        <f>VLOOKUP($E21,STOCKS!$D$2:$E$2035,2,0)</f>
        <v>--</v>
      </c>
      <c r="H21">
        <v>39.35</v>
      </c>
      <c r="I21" s="129" t="e">
        <f t="shared" si="0"/>
        <v>#VALUE!</v>
      </c>
      <c r="J21" s="63" t="e">
        <f t="shared" si="1"/>
        <v>#VALUE!</v>
      </c>
    </row>
    <row r="22" spans="1:10">
      <c r="A22" s="118">
        <v>8</v>
      </c>
      <c r="B22" s="118">
        <v>104.88</v>
      </c>
      <c r="C22" s="118">
        <v>-8.07</v>
      </c>
      <c r="D22" s="118">
        <v>5.37</v>
      </c>
      <c r="E22" s="118">
        <v>3257</v>
      </c>
      <c r="F22" t="s">
        <v>3970</v>
      </c>
      <c r="G22" s="28" t="str">
        <f>VLOOKUP($E22,STOCKS!$D$2:$E$2035,2,0)</f>
        <v>--</v>
      </c>
      <c r="H22">
        <v>71.599999999999994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9.2100000000000009</v>
      </c>
      <c r="B23" s="118">
        <v>-103.4</v>
      </c>
      <c r="C23" s="118">
        <v>18.82</v>
      </c>
      <c r="D23" s="118">
        <v>91.67</v>
      </c>
      <c r="E23" s="118">
        <v>5227</v>
      </c>
      <c r="F23" t="s">
        <v>4906</v>
      </c>
      <c r="G23" s="28" t="str">
        <f>VLOOKUP($E23,STOCKS!$D$2:$E$2035,2,0)</f>
        <v>--</v>
      </c>
      <c r="H23">
        <v>45.95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51.66</v>
      </c>
      <c r="B24" s="118">
        <v>-74.260000000000005</v>
      </c>
      <c r="C24" s="118">
        <v>-0.25</v>
      </c>
      <c r="D24" s="118">
        <v>2.2000000000000002</v>
      </c>
      <c r="E24" s="118">
        <v>6282</v>
      </c>
      <c r="F24" t="s">
        <v>4221</v>
      </c>
      <c r="G24" s="28" t="str">
        <f>VLOOKUP($E24,STOCKS!$D$2:$E$2035,2,0)</f>
        <v>--</v>
      </c>
      <c r="H24">
        <v>34.6</v>
      </c>
      <c r="I24" s="129" t="e">
        <f t="shared" si="0"/>
        <v>#VALUE!</v>
      </c>
      <c r="J24" s="63" t="e">
        <f t="shared" si="1"/>
        <v>#VALUE!</v>
      </c>
    </row>
    <row r="25" spans="1:10">
      <c r="A25" s="118">
        <v>32.340000000000003</v>
      </c>
      <c r="B25" s="118">
        <v>134.12</v>
      </c>
      <c r="C25" s="118">
        <v>2.06</v>
      </c>
      <c r="D25" s="118">
        <v>37.1</v>
      </c>
      <c r="E25" s="118">
        <v>3707</v>
      </c>
      <c r="F25" t="s">
        <v>3626</v>
      </c>
      <c r="G25" s="28" t="str">
        <f>VLOOKUP($E25,STOCKS!$D$2:$E$2035,2,0)</f>
        <v>--</v>
      </c>
      <c r="H25">
        <v>152.5</v>
      </c>
      <c r="I25" s="129" t="e">
        <f t="shared" si="0"/>
        <v>#VALUE!</v>
      </c>
      <c r="J25" s="63" t="e">
        <f t="shared" si="1"/>
        <v>#VALUE!</v>
      </c>
    </row>
    <row r="26" spans="1:10">
      <c r="A26" s="118">
        <v>9.0500000000000007</v>
      </c>
      <c r="B26" s="118">
        <v>383.96</v>
      </c>
      <c r="C26" s="118">
        <v>6.69</v>
      </c>
      <c r="D26" s="118">
        <v>-19.43</v>
      </c>
      <c r="E26" s="118">
        <v>8054</v>
      </c>
      <c r="F26" t="s">
        <v>4725</v>
      </c>
      <c r="G26" s="28" t="str">
        <f>VLOOKUP($E26,STOCKS!$D$2:$E$2035,2,0)</f>
        <v>--</v>
      </c>
      <c r="H26">
        <v>56.5</v>
      </c>
      <c r="I26" s="129" t="e">
        <f t="shared" si="0"/>
        <v>#VALUE!</v>
      </c>
      <c r="J26" s="63" t="e">
        <f t="shared" si="1"/>
        <v>#VALUE!</v>
      </c>
    </row>
    <row r="27" spans="1:10">
      <c r="A27" s="118">
        <v>24.9</v>
      </c>
      <c r="B27" s="118">
        <v>-1378.91</v>
      </c>
      <c r="C27" s="118">
        <v>-15.51</v>
      </c>
      <c r="D27" s="118">
        <v>-21.94</v>
      </c>
      <c r="E27" s="118">
        <v>6125</v>
      </c>
      <c r="F27" t="s">
        <v>4804</v>
      </c>
      <c r="G27" s="28" t="str">
        <f>VLOOKUP($E27,STOCKS!$D$2:$E$2035,2,0)</f>
        <v>--</v>
      </c>
      <c r="H27">
        <v>27.8</v>
      </c>
      <c r="I27" s="129" t="e">
        <f t="shared" si="0"/>
        <v>#VALUE!</v>
      </c>
      <c r="J27" s="63" t="e">
        <f t="shared" si="1"/>
        <v>#VALUE!</v>
      </c>
    </row>
    <row r="28" spans="1:10">
      <c r="A28" s="118">
        <v>9.15</v>
      </c>
      <c r="B28" s="118">
        <v>1187.48</v>
      </c>
      <c r="C28" s="118">
        <v>20.57</v>
      </c>
      <c r="D28" s="118">
        <v>-6.49</v>
      </c>
      <c r="E28" s="118">
        <v>8255</v>
      </c>
      <c r="F28" t="s">
        <v>4557</v>
      </c>
      <c r="G28" s="28" t="str">
        <f>VLOOKUP($E28,STOCKS!$D$2:$E$2035,2,0)</f>
        <v>--</v>
      </c>
      <c r="H28">
        <v>259</v>
      </c>
      <c r="I28" s="129" t="e">
        <f t="shared" si="0"/>
        <v>#VALUE!</v>
      </c>
      <c r="J28" s="63" t="e">
        <f t="shared" si="1"/>
        <v>#VALUE!</v>
      </c>
    </row>
    <row r="29" spans="1:10">
      <c r="A29" s="118">
        <v>529.08000000000004</v>
      </c>
      <c r="B29" s="118">
        <v>2783.03</v>
      </c>
      <c r="C29" s="118">
        <v>-1.78</v>
      </c>
      <c r="D29" s="118">
        <v>153.84</v>
      </c>
      <c r="E29" s="118">
        <v>2603</v>
      </c>
      <c r="F29" t="s">
        <v>3536</v>
      </c>
      <c r="G29" s="28" t="str">
        <f>VLOOKUP($E29,STOCKS!$D$2:$E$2035,2,0)</f>
        <v>--</v>
      </c>
      <c r="H29">
        <v>99.5</v>
      </c>
      <c r="I29" s="129" t="e">
        <f t="shared" si="0"/>
        <v>#VALUE!</v>
      </c>
      <c r="J29" s="63" t="e">
        <f t="shared" si="1"/>
        <v>#VALUE!</v>
      </c>
    </row>
    <row r="30" spans="1:10">
      <c r="A30" s="118">
        <v>14.19</v>
      </c>
      <c r="B30" s="118">
        <v>82.71</v>
      </c>
      <c r="C30" s="118">
        <v>-7.38</v>
      </c>
      <c r="D30" s="118">
        <v>-9.7200000000000006</v>
      </c>
      <c r="E30" s="118">
        <v>2462</v>
      </c>
      <c r="F30" t="s">
        <v>4165</v>
      </c>
      <c r="G30" s="28" t="str">
        <f>VLOOKUP($E30,STOCKS!$D$2:$E$2035,2,0)</f>
        <v>--</v>
      </c>
      <c r="H30">
        <v>30.95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9.2899999999999991</v>
      </c>
      <c r="B31" s="118">
        <v>95.7</v>
      </c>
      <c r="C31" s="118">
        <v>3.81</v>
      </c>
      <c r="D31" s="118">
        <v>11.52</v>
      </c>
      <c r="E31" s="118">
        <v>3236</v>
      </c>
      <c r="F31" t="s">
        <v>4876</v>
      </c>
      <c r="G31" s="28" t="str">
        <f>VLOOKUP($E31,STOCKS!$D$2:$E$2035,2,0)</f>
        <v>--</v>
      </c>
      <c r="H31">
        <v>28.6</v>
      </c>
      <c r="I31" s="129" t="e">
        <f t="shared" si="0"/>
        <v>#VALUE!</v>
      </c>
      <c r="J31" s="63" t="e">
        <f t="shared" si="1"/>
        <v>#VALUE!</v>
      </c>
    </row>
    <row r="32" spans="1:10">
      <c r="A32" s="118">
        <v>6.13</v>
      </c>
      <c r="B32" s="118">
        <v>134.5</v>
      </c>
      <c r="C32" s="118">
        <v>-4.3</v>
      </c>
      <c r="D32" s="118">
        <v>-9.94</v>
      </c>
      <c r="E32" s="118">
        <v>3317</v>
      </c>
      <c r="F32" t="s">
        <v>4669</v>
      </c>
      <c r="G32" s="28" t="str">
        <f>VLOOKUP($E32,STOCKS!$D$2:$E$2035,2,0)</f>
        <v>--</v>
      </c>
      <c r="H32">
        <v>74.8</v>
      </c>
      <c r="I32" s="129" t="e">
        <f t="shared" si="0"/>
        <v>#VALUE!</v>
      </c>
      <c r="J32" s="63" t="e">
        <f t="shared" si="1"/>
        <v>#VALUE!</v>
      </c>
    </row>
    <row r="33" spans="1:10">
      <c r="A33" s="118">
        <v>8.9499999999999993</v>
      </c>
      <c r="B33" s="118">
        <v>-32.630000000000003</v>
      </c>
      <c r="C33" s="118">
        <v>3.52</v>
      </c>
      <c r="D33" s="118">
        <v>33.47</v>
      </c>
      <c r="E33" s="118">
        <v>5258</v>
      </c>
      <c r="F33" t="s">
        <v>4035</v>
      </c>
      <c r="G33" s="28" t="str">
        <f>VLOOKUP($E33,STOCKS!$D$2:$E$2035,2,0)</f>
        <v>--</v>
      </c>
      <c r="H33">
        <v>35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349.21</v>
      </c>
      <c r="B34" s="118">
        <v>7708.77</v>
      </c>
      <c r="C34" s="118">
        <v>1.32</v>
      </c>
      <c r="D34" s="118">
        <v>145.04</v>
      </c>
      <c r="E34" s="118">
        <v>2609</v>
      </c>
      <c r="F34" t="s">
        <v>3567</v>
      </c>
      <c r="G34" s="28">
        <f>VLOOKUP($E34,STOCKS!$D$2:$E$2035,2,0)</f>
        <v>111.5</v>
      </c>
      <c r="H34">
        <v>96.5</v>
      </c>
      <c r="I34" s="129">
        <f t="shared" si="0"/>
        <v>15</v>
      </c>
      <c r="J34" s="63">
        <f t="shared" si="1"/>
        <v>0.15544041450777202</v>
      </c>
    </row>
    <row r="35" spans="1:10">
      <c r="A35" s="118">
        <v>150.47</v>
      </c>
      <c r="B35" s="118">
        <v>152.74</v>
      </c>
      <c r="C35" s="118">
        <v>-1.21</v>
      </c>
      <c r="D35" s="118">
        <v>19.309999999999999</v>
      </c>
      <c r="E35" s="118">
        <v>3037</v>
      </c>
      <c r="F35" t="s">
        <v>4181</v>
      </c>
      <c r="G35" s="28">
        <f>VLOOKUP($E35,STOCKS!$D$2:$E$2035,2,0)</f>
        <v>195.5</v>
      </c>
      <c r="H35">
        <v>190</v>
      </c>
      <c r="I35" s="129">
        <f t="shared" si="0"/>
        <v>5.5</v>
      </c>
      <c r="J35" s="63">
        <f t="shared" si="1"/>
        <v>2.8947368421052631E-2</v>
      </c>
    </row>
    <row r="36" spans="1:10">
      <c r="A36" s="118">
        <v>12.29</v>
      </c>
      <c r="B36" s="118">
        <v>119.13</v>
      </c>
      <c r="C36" s="118">
        <v>-6.1</v>
      </c>
      <c r="D36" s="118">
        <v>-14.27</v>
      </c>
      <c r="E36" s="118">
        <v>3515</v>
      </c>
      <c r="F36" t="s">
        <v>4028</v>
      </c>
      <c r="G36" s="28" t="str">
        <f>VLOOKUP($E36,STOCKS!$D$2:$E$2035,2,0)</f>
        <v>--</v>
      </c>
      <c r="H36">
        <v>173.5</v>
      </c>
      <c r="I36" s="129" t="e">
        <f t="shared" si="0"/>
        <v>#VALUE!</v>
      </c>
      <c r="J36" s="63" t="e">
        <f t="shared" si="1"/>
        <v>#VALUE!</v>
      </c>
    </row>
    <row r="37" spans="1:10">
      <c r="A37" s="118">
        <v>33.08</v>
      </c>
      <c r="B37" s="118">
        <v>-28.71</v>
      </c>
      <c r="C37" s="118">
        <v>-11.06</v>
      </c>
      <c r="D37" s="118">
        <v>-61.49</v>
      </c>
      <c r="E37" s="118">
        <v>6142</v>
      </c>
      <c r="F37" t="s">
        <v>4135</v>
      </c>
      <c r="G37" s="28" t="str">
        <f>VLOOKUP($E37,STOCKS!$D$2:$E$2035,2,0)</f>
        <v>--</v>
      </c>
      <c r="H37">
        <v>13.4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18.78</v>
      </c>
      <c r="B38" s="118">
        <v>289.57</v>
      </c>
      <c r="C38" s="118">
        <v>3.78</v>
      </c>
      <c r="D38" s="118">
        <v>36.96</v>
      </c>
      <c r="E38" s="118">
        <v>2476</v>
      </c>
      <c r="F38" t="s">
        <v>4168</v>
      </c>
      <c r="G38" s="28" t="str">
        <f>VLOOKUP($E38,STOCKS!$D$2:$E$2035,2,0)</f>
        <v>--</v>
      </c>
      <c r="H38">
        <v>66.3</v>
      </c>
      <c r="I38" s="129" t="e">
        <f t="shared" si="0"/>
        <v>#VALUE!</v>
      </c>
      <c r="J38" s="63" t="e">
        <f t="shared" si="1"/>
        <v>#VALUE!</v>
      </c>
    </row>
    <row r="39" spans="1:10">
      <c r="A39" s="118">
        <v>52.9</v>
      </c>
      <c r="B39" s="118">
        <v>145.76</v>
      </c>
      <c r="C39" s="118">
        <v>-1.5</v>
      </c>
      <c r="D39" s="118">
        <v>2.4900000000000002</v>
      </c>
      <c r="E39" s="118">
        <v>2614</v>
      </c>
      <c r="F39" t="s">
        <v>3597</v>
      </c>
      <c r="G39" s="28" t="str">
        <f>VLOOKUP($E39,STOCKS!$D$2:$E$2035,2,0)</f>
        <v>--</v>
      </c>
      <c r="H39">
        <v>31.75</v>
      </c>
      <c r="I39" s="129" t="e">
        <f t="shared" si="0"/>
        <v>#VALUE!</v>
      </c>
      <c r="J39" s="63" t="e">
        <f t="shared" si="1"/>
        <v>#VALUE!</v>
      </c>
    </row>
    <row r="40" spans="1:10">
      <c r="A40" s="118">
        <v>5.36</v>
      </c>
      <c r="B40" s="118">
        <v>40452.43</v>
      </c>
      <c r="C40" s="118">
        <v>3.24</v>
      </c>
      <c r="D40" s="118">
        <v>82</v>
      </c>
      <c r="E40" s="118">
        <v>2465</v>
      </c>
      <c r="F40" t="s">
        <v>3538</v>
      </c>
      <c r="G40" s="28">
        <f>VLOOKUP($E40,STOCKS!$D$2:$E$2035,2,0)</f>
        <v>70.2</v>
      </c>
      <c r="H40">
        <v>65</v>
      </c>
      <c r="I40" s="129">
        <f t="shared" si="0"/>
        <v>5.2000000000000028</v>
      </c>
      <c r="J40" s="63">
        <f t="shared" si="1"/>
        <v>8.0000000000000043E-2</v>
      </c>
    </row>
    <row r="41" spans="1:10">
      <c r="A41" s="118">
        <v>64.62</v>
      </c>
      <c r="B41" s="118">
        <v>201.13</v>
      </c>
      <c r="C41" s="118">
        <v>-4.59</v>
      </c>
      <c r="D41" s="118">
        <v>29.1</v>
      </c>
      <c r="E41" s="118">
        <v>8046</v>
      </c>
      <c r="F41" t="s">
        <v>4226</v>
      </c>
      <c r="G41" s="28" t="str">
        <f>VLOOKUP($E41,STOCKS!$D$2:$E$2035,2,0)</f>
        <v>--</v>
      </c>
      <c r="H41">
        <v>490.5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6.21</v>
      </c>
      <c r="B42" s="118">
        <v>-437.58</v>
      </c>
      <c r="C42" s="118">
        <v>-7.24</v>
      </c>
      <c r="D42" s="118">
        <v>45.9</v>
      </c>
      <c r="E42" s="118">
        <v>2482</v>
      </c>
      <c r="F42" t="s">
        <v>4274</v>
      </c>
      <c r="G42" s="28" t="str">
        <f>VLOOKUP($E42,STOCKS!$D$2:$E$2035,2,0)</f>
        <v>--</v>
      </c>
      <c r="H42">
        <v>14.1</v>
      </c>
      <c r="I42" s="129" t="e">
        <f t="shared" si="0"/>
        <v>#VALUE!</v>
      </c>
      <c r="J42" s="63" t="e">
        <f t="shared" si="1"/>
        <v>#VALUE!</v>
      </c>
    </row>
    <row r="43" spans="1:10">
      <c r="A43" s="118">
        <v>9.7100000000000009</v>
      </c>
      <c r="B43" s="118">
        <v>151.47999999999999</v>
      </c>
      <c r="C43" s="118">
        <v>26.46</v>
      </c>
      <c r="D43" s="118">
        <v>7.99</v>
      </c>
      <c r="E43" s="118">
        <v>8406</v>
      </c>
      <c r="F43" t="s">
        <v>4645</v>
      </c>
      <c r="G43" s="28">
        <f>VLOOKUP($E43,STOCKS!$D$2:$E$2035,2,0)</f>
        <v>197.5</v>
      </c>
      <c r="H43">
        <v>201.5</v>
      </c>
      <c r="I43" s="129">
        <f t="shared" si="0"/>
        <v>-4</v>
      </c>
      <c r="J43" s="63">
        <f t="shared" si="1"/>
        <v>-1.9851116625310174E-2</v>
      </c>
    </row>
    <row r="44" spans="1:10">
      <c r="A44" s="118">
        <v>12.71</v>
      </c>
      <c r="B44" s="118">
        <v>228.4</v>
      </c>
      <c r="C44" s="118">
        <v>-3.51</v>
      </c>
      <c r="D44" s="118">
        <v>218.34</v>
      </c>
      <c r="E44" s="118">
        <v>5475</v>
      </c>
      <c r="F44" t="s">
        <v>3620</v>
      </c>
      <c r="G44" s="28" t="str">
        <f>VLOOKUP($E44,STOCKS!$D$2:$E$2035,2,0)</f>
        <v>--</v>
      </c>
      <c r="H44">
        <v>30.35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18.989999999999998</v>
      </c>
      <c r="B45" s="118">
        <v>-29.33</v>
      </c>
      <c r="C45" s="118">
        <v>9.4499999999999993</v>
      </c>
      <c r="D45" s="118">
        <v>26.39</v>
      </c>
      <c r="E45" s="118">
        <v>4927</v>
      </c>
      <c r="F45" t="s">
        <v>4204</v>
      </c>
      <c r="G45" s="28" t="str">
        <f>VLOOKUP($E45,STOCKS!$D$2:$E$2035,2,0)</f>
        <v>--</v>
      </c>
      <c r="H45">
        <v>78</v>
      </c>
      <c r="I45" s="129" t="e">
        <f t="shared" si="0"/>
        <v>#VALUE!</v>
      </c>
      <c r="J45" s="63" t="e">
        <f t="shared" si="1"/>
        <v>#VALUE!</v>
      </c>
    </row>
    <row r="46" spans="1:10">
      <c r="A46" s="118">
        <v>12.76</v>
      </c>
      <c r="B46" s="118">
        <v>20.98</v>
      </c>
      <c r="C46" s="118">
        <v>-8.1999999999999993</v>
      </c>
      <c r="D46" s="118">
        <v>18.559999999999999</v>
      </c>
      <c r="E46" s="118">
        <v>8044</v>
      </c>
      <c r="F46" t="s">
        <v>3547</v>
      </c>
      <c r="G46" s="28" t="str">
        <f>VLOOKUP($E46,STOCKS!$D$2:$E$2035,2,0)</f>
        <v>--</v>
      </c>
      <c r="H46">
        <v>145</v>
      </c>
      <c r="I46" s="129" t="e">
        <f t="shared" si="0"/>
        <v>#VALUE!</v>
      </c>
      <c r="J46" s="63" t="e">
        <f t="shared" si="1"/>
        <v>#VALUE!</v>
      </c>
    </row>
    <row r="47" spans="1:10">
      <c r="A47" s="118">
        <v>63.57</v>
      </c>
      <c r="B47" s="118">
        <v>229.97</v>
      </c>
      <c r="C47" s="118">
        <v>23.28</v>
      </c>
      <c r="D47" s="118">
        <v>60.58</v>
      </c>
      <c r="E47" s="118">
        <v>2376</v>
      </c>
      <c r="F47" t="s">
        <v>3690</v>
      </c>
      <c r="G47" s="28">
        <f>VLOOKUP($E47,STOCKS!$D$2:$E$2035,2,0)</f>
        <v>135</v>
      </c>
      <c r="H47">
        <v>112.5</v>
      </c>
      <c r="I47" s="129">
        <f t="shared" si="0"/>
        <v>22.5</v>
      </c>
      <c r="J47" s="63">
        <f t="shared" si="1"/>
        <v>0.2</v>
      </c>
    </row>
    <row r="48" spans="1:10">
      <c r="A48" s="118">
        <v>38.28</v>
      </c>
      <c r="B48" s="118">
        <v>114</v>
      </c>
      <c r="C48" s="118">
        <v>1.52</v>
      </c>
      <c r="D48" s="118">
        <v>26.27</v>
      </c>
      <c r="E48" s="118">
        <v>2481</v>
      </c>
      <c r="F48" t="s">
        <v>3962</v>
      </c>
      <c r="G48" s="28">
        <f>VLOOKUP($E48,STOCKS!$D$2:$E$2035,2,0)</f>
        <v>110.5</v>
      </c>
      <c r="H48">
        <v>112.5</v>
      </c>
      <c r="I48" s="129">
        <f t="shared" si="0"/>
        <v>-2</v>
      </c>
      <c r="J48" s="63">
        <f t="shared" si="1"/>
        <v>-1.7777777777777778E-2</v>
      </c>
    </row>
    <row r="49" spans="1:10">
      <c r="A49" s="118">
        <v>9.5500000000000007</v>
      </c>
      <c r="B49" s="118">
        <v>28.37</v>
      </c>
      <c r="C49" s="118">
        <v>0.51</v>
      </c>
      <c r="D49" s="118">
        <v>7.94</v>
      </c>
      <c r="E49" s="118">
        <v>2642</v>
      </c>
      <c r="F49" t="s">
        <v>3557</v>
      </c>
      <c r="G49" s="28" t="str">
        <f>VLOOKUP($E49,STOCKS!$D$2:$E$2035,2,0)</f>
        <v>--</v>
      </c>
      <c r="H49">
        <v>72.400000000000006</v>
      </c>
      <c r="I49" s="129" t="e">
        <f t="shared" si="0"/>
        <v>#VALUE!</v>
      </c>
      <c r="J49" s="63" t="e">
        <f t="shared" si="1"/>
        <v>#VALUE!</v>
      </c>
    </row>
    <row r="50" spans="1:10">
      <c r="A50" s="118">
        <v>17.87</v>
      </c>
      <c r="B50" s="118">
        <v>94.24</v>
      </c>
      <c r="C50" s="118">
        <v>7.75</v>
      </c>
      <c r="D50" s="118">
        <v>25.01</v>
      </c>
      <c r="E50" s="118">
        <v>6271</v>
      </c>
      <c r="F50" t="s">
        <v>3986</v>
      </c>
      <c r="G50" s="28">
        <f>VLOOKUP($E50,STOCKS!$D$2:$E$2035,2,0)</f>
        <v>317</v>
      </c>
      <c r="H50">
        <v>264</v>
      </c>
      <c r="I50" s="129">
        <f t="shared" si="0"/>
        <v>53</v>
      </c>
      <c r="J50" s="63">
        <f t="shared" si="1"/>
        <v>0.20075757575757575</v>
      </c>
    </row>
    <row r="51" spans="1:10">
      <c r="A51" s="118">
        <v>4.68</v>
      </c>
      <c r="B51" s="118">
        <v>61.34</v>
      </c>
      <c r="C51" s="118">
        <v>-18.91</v>
      </c>
      <c r="D51" s="118">
        <v>176.6</v>
      </c>
      <c r="E51" s="118">
        <v>4950</v>
      </c>
      <c r="F51" t="s">
        <v>5134</v>
      </c>
      <c r="G51" s="28" t="str">
        <f>VLOOKUP($E51,STOCKS!$D$2:$E$2035,2,0)</f>
        <v>--</v>
      </c>
      <c r="H51">
        <v>16.2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5.98</v>
      </c>
      <c r="B52" s="118">
        <v>-140.4</v>
      </c>
      <c r="C52" s="118">
        <v>-80.45</v>
      </c>
      <c r="D52" s="118">
        <v>-72.63</v>
      </c>
      <c r="E52" s="118">
        <v>8038</v>
      </c>
      <c r="F52" t="s">
        <v>4950</v>
      </c>
      <c r="G52" s="28" t="str">
        <f>VLOOKUP($E52,STOCKS!$D$2:$E$2035,2,0)</f>
        <v>--</v>
      </c>
      <c r="H52">
        <v>38.450000000000003</v>
      </c>
      <c r="I52" s="129" t="e">
        <f t="shared" si="0"/>
        <v>#VALUE!</v>
      </c>
      <c r="J52" s="63" t="e">
        <f t="shared" si="1"/>
        <v>#VALUE!</v>
      </c>
    </row>
    <row r="53" spans="1:10">
      <c r="A53" s="118">
        <v>3.85</v>
      </c>
      <c r="B53" s="118">
        <v>-25.35</v>
      </c>
      <c r="C53" s="118">
        <v>16.97</v>
      </c>
      <c r="D53" s="118">
        <v>72.040000000000006</v>
      </c>
      <c r="E53" s="118">
        <v>3693</v>
      </c>
      <c r="F53" t="s">
        <v>4747</v>
      </c>
      <c r="G53" s="28" t="str">
        <f>VLOOKUP($E53,STOCKS!$D$2:$E$2035,2,0)</f>
        <v>--</v>
      </c>
      <c r="H53">
        <v>63.5</v>
      </c>
      <c r="I53" s="129" t="e">
        <f t="shared" si="0"/>
        <v>#VALUE!</v>
      </c>
      <c r="J53" s="63" t="e">
        <f t="shared" si="1"/>
        <v>#VALUE!</v>
      </c>
    </row>
    <row r="54" spans="1:10">
      <c r="A54" s="118">
        <v>4.09</v>
      </c>
      <c r="B54" s="118">
        <v>8206.14</v>
      </c>
      <c r="C54" s="118">
        <v>3.98</v>
      </c>
      <c r="D54" s="118">
        <v>100.66</v>
      </c>
      <c r="E54" s="118">
        <v>6485</v>
      </c>
      <c r="F54" t="s">
        <v>4710</v>
      </c>
      <c r="G54" s="28" t="str">
        <f>VLOOKUP($E54,STOCKS!$D$2:$E$2035,2,0)</f>
        <v>--</v>
      </c>
      <c r="H54">
        <v>131.5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12.24</v>
      </c>
      <c r="B55" s="118">
        <v>225.1</v>
      </c>
      <c r="C55" s="118">
        <v>-6.27</v>
      </c>
      <c r="D55" s="118">
        <v>17.239999999999998</v>
      </c>
      <c r="E55" s="118">
        <v>3605</v>
      </c>
      <c r="F55" t="s">
        <v>4197</v>
      </c>
      <c r="G55" s="28" t="str">
        <f>VLOOKUP($E55,STOCKS!$D$2:$E$2035,2,0)</f>
        <v>--</v>
      </c>
      <c r="H55">
        <v>47.45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6.6</v>
      </c>
      <c r="B56" s="118">
        <v>233.51</v>
      </c>
      <c r="C56" s="118">
        <v>4.32</v>
      </c>
      <c r="D56" s="118">
        <v>17.39</v>
      </c>
      <c r="E56" s="118">
        <v>6217</v>
      </c>
      <c r="F56" t="s">
        <v>4936</v>
      </c>
      <c r="G56" s="28" t="str">
        <f>VLOOKUP($E56,STOCKS!$D$2:$E$2035,2,0)</f>
        <v>--</v>
      </c>
      <c r="H56">
        <v>61</v>
      </c>
      <c r="I56" s="129" t="e">
        <f t="shared" si="0"/>
        <v>#VALUE!</v>
      </c>
      <c r="J56" s="63" t="e">
        <f t="shared" si="1"/>
        <v>#VALUE!</v>
      </c>
    </row>
    <row r="57" spans="1:10">
      <c r="A57" s="118">
        <v>244.01</v>
      </c>
      <c r="B57" s="118">
        <v>1798.15</v>
      </c>
      <c r="C57" s="118">
        <v>4.46</v>
      </c>
      <c r="D57" s="118">
        <v>264.76</v>
      </c>
      <c r="E57" s="118">
        <v>2615</v>
      </c>
      <c r="F57" t="s">
        <v>4349</v>
      </c>
      <c r="G57" s="28" t="str">
        <f>VLOOKUP($E57,STOCKS!$D$2:$E$2035,2,0)</f>
        <v>--</v>
      </c>
      <c r="H57">
        <v>160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4.4400000000000004</v>
      </c>
      <c r="B58" s="118">
        <v>122.14</v>
      </c>
      <c r="C58" s="118">
        <v>0.44</v>
      </c>
      <c r="D58" s="118">
        <v>123.18</v>
      </c>
      <c r="E58" s="118">
        <v>3675</v>
      </c>
      <c r="F58" t="s">
        <v>4679</v>
      </c>
      <c r="G58" s="28" t="str">
        <f>VLOOKUP($E58,STOCKS!$D$2:$E$2035,2,0)</f>
        <v>--</v>
      </c>
      <c r="H58">
        <v>271</v>
      </c>
      <c r="I58" s="129" t="e">
        <f t="shared" si="0"/>
        <v>#VALUE!</v>
      </c>
      <c r="J58" s="63" t="e">
        <f t="shared" si="1"/>
        <v>#VALUE!</v>
      </c>
    </row>
    <row r="59" spans="1:10">
      <c r="A59" s="118">
        <v>54.09</v>
      </c>
      <c r="B59" s="118">
        <v>111.3</v>
      </c>
      <c r="C59" s="118">
        <v>2.42</v>
      </c>
      <c r="D59" s="118">
        <v>46.21</v>
      </c>
      <c r="E59" s="118">
        <v>6182</v>
      </c>
      <c r="F59" t="s">
        <v>4699</v>
      </c>
      <c r="G59" s="28">
        <f>VLOOKUP($E59,STOCKS!$D$2:$E$2035,2,0)</f>
        <v>76.400000000000006</v>
      </c>
      <c r="H59">
        <v>64.2</v>
      </c>
      <c r="I59" s="129">
        <f t="shared" si="0"/>
        <v>12.200000000000003</v>
      </c>
      <c r="J59" s="63">
        <f t="shared" si="1"/>
        <v>0.19003115264797513</v>
      </c>
    </row>
    <row r="60" spans="1:10">
      <c r="A60" s="118">
        <v>3.19</v>
      </c>
      <c r="B60" s="118">
        <v>115.05</v>
      </c>
      <c r="C60" s="118">
        <v>-10.23</v>
      </c>
      <c r="D60" s="118">
        <v>1.19</v>
      </c>
      <c r="E60" s="118">
        <v>6457</v>
      </c>
      <c r="F60" t="s">
        <v>4708</v>
      </c>
      <c r="G60" s="28" t="str">
        <f>VLOOKUP($E60,STOCKS!$D$2:$E$2035,2,0)</f>
        <v>--</v>
      </c>
      <c r="H60">
        <v>174</v>
      </c>
      <c r="I60" s="129" t="e">
        <f t="shared" si="0"/>
        <v>#VALUE!</v>
      </c>
      <c r="J60" s="63" t="e">
        <f t="shared" si="1"/>
        <v>#VALUE!</v>
      </c>
    </row>
    <row r="61" spans="1:10">
      <c r="A61" s="118">
        <v>39.1</v>
      </c>
      <c r="B61" s="118">
        <v>47.51</v>
      </c>
      <c r="C61" s="118">
        <v>18.14</v>
      </c>
      <c r="D61" s="118">
        <v>12.83</v>
      </c>
      <c r="E61" s="118">
        <v>5371</v>
      </c>
      <c r="F61" t="s">
        <v>4802</v>
      </c>
      <c r="G61" s="28" t="str">
        <f>VLOOKUP($E61,STOCKS!$D$2:$E$2035,2,0)</f>
        <v>--</v>
      </c>
      <c r="H61">
        <v>57.4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7.04</v>
      </c>
      <c r="B62" s="118">
        <v>112.18</v>
      </c>
      <c r="C62" s="118">
        <v>7.67</v>
      </c>
      <c r="D62" s="118">
        <v>38.75</v>
      </c>
      <c r="E62" s="118">
        <v>3661</v>
      </c>
      <c r="F62" t="s">
        <v>3976</v>
      </c>
      <c r="G62" s="28" t="str">
        <f>VLOOKUP($E62,STOCKS!$D$2:$E$2035,2,0)</f>
        <v>--</v>
      </c>
      <c r="H62">
        <v>1030</v>
      </c>
      <c r="I62" s="129" t="e">
        <f t="shared" si="0"/>
        <v>#VALUE!</v>
      </c>
      <c r="J62" s="63" t="e">
        <f t="shared" si="1"/>
        <v>#VALUE!</v>
      </c>
    </row>
    <row r="63" spans="1:10">
      <c r="A63" s="118">
        <v>24.19</v>
      </c>
      <c r="B63" s="118">
        <v>54.21</v>
      </c>
      <c r="C63" s="118">
        <v>-9.5</v>
      </c>
      <c r="D63" s="118">
        <v>-7.34</v>
      </c>
      <c r="E63" s="118">
        <v>1477</v>
      </c>
      <c r="F63" t="s">
        <v>3768</v>
      </c>
      <c r="G63" s="28" t="str">
        <f>VLOOKUP($E63,STOCKS!$D$2:$E$2035,2,0)</f>
        <v>--</v>
      </c>
      <c r="H63">
        <v>242.5</v>
      </c>
      <c r="I63" s="129" t="e">
        <f t="shared" si="0"/>
        <v>#VALUE!</v>
      </c>
      <c r="J63" s="63" t="e">
        <f t="shared" si="1"/>
        <v>#VALUE!</v>
      </c>
    </row>
    <row r="64" spans="1:10">
      <c r="A64" s="118">
        <v>14.38</v>
      </c>
      <c r="B64" s="118">
        <v>-3721.25</v>
      </c>
      <c r="C64" s="118">
        <v>4.87</v>
      </c>
      <c r="D64" s="118">
        <v>13.07</v>
      </c>
      <c r="E64" s="118">
        <v>5426</v>
      </c>
      <c r="F64" t="s">
        <v>4755</v>
      </c>
      <c r="G64" s="28" t="str">
        <f>VLOOKUP($E64,STOCKS!$D$2:$E$2035,2,0)</f>
        <v>--</v>
      </c>
      <c r="H64">
        <v>14.2</v>
      </c>
      <c r="I64" s="129" t="e">
        <f t="shared" si="0"/>
        <v>#VALUE!</v>
      </c>
      <c r="J64" s="63" t="e">
        <f t="shared" si="1"/>
        <v>#VALUE!</v>
      </c>
    </row>
    <row r="65" spans="1:10">
      <c r="A65" s="118">
        <v>3.64</v>
      </c>
      <c r="B65" s="118">
        <v>67.09</v>
      </c>
      <c r="C65" s="118">
        <v>1.7</v>
      </c>
      <c r="D65" s="118">
        <v>29.66</v>
      </c>
      <c r="E65" s="118">
        <v>6548</v>
      </c>
      <c r="F65" t="s">
        <v>4714</v>
      </c>
      <c r="G65" s="28" t="str">
        <f>VLOOKUP($E65,STOCKS!$D$2:$E$2035,2,0)</f>
        <v>--</v>
      </c>
      <c r="H65">
        <v>104</v>
      </c>
      <c r="I65" s="129" t="e">
        <f t="shared" si="0"/>
        <v>#VALUE!</v>
      </c>
      <c r="J65" s="63" t="e">
        <f t="shared" si="1"/>
        <v>#VALUE!</v>
      </c>
    </row>
    <row r="66" spans="1:10">
      <c r="A66" s="118">
        <v>4.9800000000000004</v>
      </c>
      <c r="B66" s="118">
        <v>-47.78</v>
      </c>
      <c r="C66" s="118">
        <v>18.97</v>
      </c>
      <c r="D66" s="118">
        <v>22.67</v>
      </c>
      <c r="E66" s="118">
        <v>8155</v>
      </c>
      <c r="F66" t="s">
        <v>4960</v>
      </c>
      <c r="G66" s="28" t="str">
        <f>VLOOKUP($E66,STOCKS!$D$2:$E$2035,2,0)</f>
        <v>--</v>
      </c>
      <c r="H66">
        <v>143.5</v>
      </c>
      <c r="I66" s="129" t="e">
        <f t="shared" si="0"/>
        <v>#VALUE!</v>
      </c>
      <c r="J66" s="63" t="e">
        <f t="shared" si="1"/>
        <v>#VALUE!</v>
      </c>
    </row>
    <row r="67" spans="1:10">
      <c r="A67" s="118">
        <v>5.87</v>
      </c>
      <c r="B67" s="118">
        <v>-76.150000000000006</v>
      </c>
      <c r="C67" s="118">
        <v>-47.86</v>
      </c>
      <c r="D67" s="118">
        <v>106.54</v>
      </c>
      <c r="E67" s="118">
        <v>8171</v>
      </c>
      <c r="F67" t="s">
        <v>4863</v>
      </c>
      <c r="G67" s="28" t="str">
        <f>VLOOKUP($E67,STOCKS!$D$2:$E$2035,2,0)</f>
        <v>--</v>
      </c>
      <c r="H67">
        <v>51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15.46</v>
      </c>
      <c r="B68" s="118">
        <v>121.06</v>
      </c>
      <c r="C68" s="118">
        <v>-11.53</v>
      </c>
      <c r="D68" s="118">
        <v>82.74</v>
      </c>
      <c r="E68" s="118">
        <v>5309</v>
      </c>
      <c r="F68" t="s">
        <v>4908</v>
      </c>
      <c r="G68" s="28" t="str">
        <f>VLOOKUP($E68,STOCKS!$D$2:$E$2035,2,0)</f>
        <v>--</v>
      </c>
      <c r="H68">
        <v>37.1</v>
      </c>
      <c r="I68" s="129" t="e">
        <f t="shared" si="2"/>
        <v>#VALUE!</v>
      </c>
      <c r="J68" s="63" t="e">
        <f t="shared" si="3"/>
        <v>#VALUE!</v>
      </c>
    </row>
    <row r="69" spans="1:10">
      <c r="A69" s="118">
        <v>19.39</v>
      </c>
      <c r="B69" s="118">
        <v>0.72</v>
      </c>
      <c r="C69" s="118">
        <v>-0.56999999999999995</v>
      </c>
      <c r="D69" s="118">
        <v>39.17</v>
      </c>
      <c r="E69" s="118">
        <v>3041</v>
      </c>
      <c r="F69" t="s">
        <v>3967</v>
      </c>
      <c r="G69" s="28" t="str">
        <f>VLOOKUP($E69,STOCKS!$D$2:$E$2035,2,0)</f>
        <v>--</v>
      </c>
      <c r="H69">
        <v>28.45</v>
      </c>
      <c r="I69" s="129" t="e">
        <f t="shared" si="2"/>
        <v>#VALUE!</v>
      </c>
      <c r="J69" s="63" t="e">
        <f t="shared" si="3"/>
        <v>#VALUE!</v>
      </c>
    </row>
    <row r="70" spans="1:10">
      <c r="A70" s="118">
        <v>10.17</v>
      </c>
      <c r="B70" s="118">
        <v>502.77</v>
      </c>
      <c r="C70" s="118">
        <v>3.15</v>
      </c>
      <c r="D70" s="118">
        <v>48.38</v>
      </c>
      <c r="E70" s="118">
        <v>5285</v>
      </c>
      <c r="F70" t="s">
        <v>3982</v>
      </c>
      <c r="G70" s="28" t="str">
        <f>VLOOKUP($E70,STOCKS!$D$2:$E$2035,2,0)</f>
        <v>--</v>
      </c>
      <c r="H70">
        <v>122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73.430000000000007</v>
      </c>
      <c r="B71" s="118">
        <v>141.31</v>
      </c>
      <c r="C71" s="118">
        <v>-41.32</v>
      </c>
      <c r="D71" s="118">
        <v>24.22</v>
      </c>
      <c r="E71" s="118">
        <v>2915</v>
      </c>
      <c r="F71" t="s">
        <v>4419</v>
      </c>
      <c r="G71" s="28" t="str">
        <f>VLOOKUP($E71,STOCKS!$D$2:$E$2035,2,0)</f>
        <v>--</v>
      </c>
      <c r="H71">
        <v>108.5</v>
      </c>
      <c r="I71" s="129" t="e">
        <f t="shared" si="2"/>
        <v>#VALUE!</v>
      </c>
      <c r="J71" s="63" t="e">
        <f t="shared" si="3"/>
        <v>#VALUE!</v>
      </c>
    </row>
    <row r="72" spans="1:10">
      <c r="A72" s="118">
        <v>11.88</v>
      </c>
      <c r="B72" s="118">
        <v>100.54</v>
      </c>
      <c r="C72" s="118">
        <v>11.51</v>
      </c>
      <c r="D72" s="118">
        <v>27.74</v>
      </c>
      <c r="E72" s="118">
        <v>2497</v>
      </c>
      <c r="F72" t="s">
        <v>3934</v>
      </c>
      <c r="G72" s="28" t="str">
        <f>VLOOKUP($E72,STOCKS!$D$2:$E$2035,2,0)</f>
        <v>--</v>
      </c>
      <c r="H72">
        <v>38.200000000000003</v>
      </c>
      <c r="I72" s="129" t="e">
        <f t="shared" si="2"/>
        <v>#VALUE!</v>
      </c>
      <c r="J72" s="63" t="e">
        <f t="shared" si="3"/>
        <v>#VALUE!</v>
      </c>
    </row>
    <row r="73" spans="1:10">
      <c r="A73" s="118">
        <v>19.010000000000002</v>
      </c>
      <c r="B73" s="118">
        <v>115.78</v>
      </c>
      <c r="C73" s="118">
        <v>8.06</v>
      </c>
      <c r="D73" s="118">
        <v>133.41</v>
      </c>
      <c r="E73" s="118">
        <v>2641</v>
      </c>
      <c r="F73" t="s">
        <v>3579</v>
      </c>
      <c r="G73" s="28" t="str">
        <f>VLOOKUP($E73,STOCKS!$D$2:$E$2035,2,0)</f>
        <v>--</v>
      </c>
      <c r="H73">
        <v>24</v>
      </c>
      <c r="I73" s="129" t="e">
        <f t="shared" si="2"/>
        <v>#VALUE!</v>
      </c>
      <c r="J73" s="63" t="e">
        <f t="shared" si="3"/>
        <v>#VALUE!</v>
      </c>
    </row>
    <row r="74" spans="1:10">
      <c r="A74" s="118">
        <v>14.6</v>
      </c>
      <c r="B74" s="118">
        <v>13.98</v>
      </c>
      <c r="C74" s="118">
        <v>15.7</v>
      </c>
      <c r="D74" s="118">
        <v>15.28</v>
      </c>
      <c r="E74" s="118">
        <v>3050</v>
      </c>
      <c r="F74" t="s">
        <v>4066</v>
      </c>
      <c r="G74" s="28" t="str">
        <f>VLOOKUP($E74,STOCKS!$D$2:$E$2035,2,0)</f>
        <v>--</v>
      </c>
      <c r="H74">
        <v>17.100000000000001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12.69</v>
      </c>
      <c r="B75" s="118">
        <v>-0.77</v>
      </c>
      <c r="C75" s="118">
        <v>-7.71</v>
      </c>
      <c r="D75" s="118">
        <v>104.16</v>
      </c>
      <c r="E75" s="118">
        <v>3029</v>
      </c>
      <c r="F75" t="s">
        <v>4256</v>
      </c>
      <c r="G75" s="28" t="str">
        <f>VLOOKUP($E75,STOCKS!$D$2:$E$2035,2,0)</f>
        <v>--</v>
      </c>
      <c r="H75">
        <v>46.1</v>
      </c>
      <c r="I75" s="129" t="e">
        <f t="shared" si="2"/>
        <v>#VALUE!</v>
      </c>
      <c r="J75" s="63" t="e">
        <f t="shared" si="3"/>
        <v>#VALUE!</v>
      </c>
    </row>
    <row r="76" spans="1:10">
      <c r="A76" s="118">
        <v>58.62</v>
      </c>
      <c r="B76" s="118">
        <v>14.46</v>
      </c>
      <c r="C76" s="118">
        <v>7.34</v>
      </c>
      <c r="D76" s="118">
        <v>13.2</v>
      </c>
      <c r="E76" s="118">
        <v>5483</v>
      </c>
      <c r="F76" t="s">
        <v>4693</v>
      </c>
      <c r="G76" s="28" t="str">
        <f>VLOOKUP($E76,STOCKS!$D$2:$E$2035,2,0)</f>
        <v>--</v>
      </c>
      <c r="H76">
        <v>189.5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32.86</v>
      </c>
      <c r="B77" s="118">
        <v>-321.67</v>
      </c>
      <c r="C77" s="118">
        <v>17.36</v>
      </c>
      <c r="D77" s="118">
        <v>-15.11</v>
      </c>
      <c r="E77" s="118">
        <v>3062</v>
      </c>
      <c r="F77" t="s">
        <v>4123</v>
      </c>
      <c r="G77" s="28" t="str">
        <f>VLOOKUP($E77,STOCKS!$D$2:$E$2035,2,0)</f>
        <v>--</v>
      </c>
      <c r="H77">
        <v>26.45</v>
      </c>
      <c r="I77" s="129" t="e">
        <f t="shared" si="2"/>
        <v>#VALUE!</v>
      </c>
      <c r="J77" s="63" t="e">
        <f t="shared" si="3"/>
        <v>#VALUE!</v>
      </c>
    </row>
    <row r="78" spans="1:10">
      <c r="A78" s="118">
        <v>12.9</v>
      </c>
      <c r="B78" s="118">
        <v>19.88</v>
      </c>
      <c r="C78" s="118">
        <v>2.93</v>
      </c>
      <c r="D78" s="118">
        <v>30.9</v>
      </c>
      <c r="E78" s="118">
        <v>6525</v>
      </c>
      <c r="F78" t="s">
        <v>3669</v>
      </c>
      <c r="G78" s="28" t="str">
        <f>VLOOKUP($E78,STOCKS!$D$2:$E$2035,2,0)</f>
        <v>--</v>
      </c>
      <c r="H78">
        <v>99.6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23.69</v>
      </c>
      <c r="B79" s="118">
        <v>51.43</v>
      </c>
      <c r="C79" s="118">
        <v>5.81</v>
      </c>
      <c r="D79" s="118">
        <v>102.22</v>
      </c>
      <c r="E79" s="118">
        <v>1723</v>
      </c>
      <c r="F79" t="s">
        <v>3841</v>
      </c>
      <c r="G79" s="28" t="str">
        <f>VLOOKUP($E79,STOCKS!$D$2:$E$2035,2,0)</f>
        <v>--</v>
      </c>
      <c r="H79">
        <v>123.5</v>
      </c>
      <c r="I79" s="129" t="e">
        <f t="shared" si="2"/>
        <v>#VALUE!</v>
      </c>
      <c r="J79" s="63" t="e">
        <f t="shared" si="3"/>
        <v>#VALUE!</v>
      </c>
    </row>
    <row r="80" spans="1:10">
      <c r="A80" s="118">
        <v>18.5</v>
      </c>
      <c r="B80" s="118">
        <v>78.63</v>
      </c>
      <c r="C80" s="118">
        <v>1.46</v>
      </c>
      <c r="D80" s="118">
        <v>-3.14</v>
      </c>
      <c r="E80" s="118">
        <v>6121</v>
      </c>
      <c r="F80" t="s">
        <v>4760</v>
      </c>
      <c r="G80" s="28" t="str">
        <f>VLOOKUP($E80,STOCKS!$D$2:$E$2035,2,0)</f>
        <v>--</v>
      </c>
      <c r="H80">
        <v>299</v>
      </c>
      <c r="I80" s="129" t="e">
        <f t="shared" si="2"/>
        <v>#VALUE!</v>
      </c>
      <c r="J80" s="63" t="e">
        <f t="shared" si="3"/>
        <v>#VALUE!</v>
      </c>
    </row>
    <row r="81" spans="1:10">
      <c r="A81" s="118">
        <v>30.01</v>
      </c>
      <c r="B81" s="118">
        <v>672.29</v>
      </c>
      <c r="C81" s="118">
        <v>-6.4</v>
      </c>
      <c r="D81" s="118">
        <v>1470.32</v>
      </c>
      <c r="E81" s="118">
        <v>6026</v>
      </c>
      <c r="F81" t="s">
        <v>5108</v>
      </c>
      <c r="G81" s="28" t="str">
        <f>VLOOKUP($E81,STOCKS!$D$2:$E$2035,2,0)</f>
        <v>--</v>
      </c>
      <c r="H81">
        <v>15.95</v>
      </c>
      <c r="I81" s="129" t="e">
        <f t="shared" si="2"/>
        <v>#VALUE!</v>
      </c>
      <c r="J81" s="63" t="e">
        <f t="shared" si="3"/>
        <v>#VALUE!</v>
      </c>
    </row>
    <row r="82" spans="1:10">
      <c r="A82" s="118">
        <v>127.77</v>
      </c>
      <c r="B82" s="118">
        <v>1458.4</v>
      </c>
      <c r="C82" s="118">
        <v>-4.96</v>
      </c>
      <c r="D82" s="118">
        <v>23.15</v>
      </c>
      <c r="E82" s="118">
        <v>1909</v>
      </c>
      <c r="F82" t="s">
        <v>3885</v>
      </c>
      <c r="G82" s="28" t="str">
        <f>VLOOKUP($E82,STOCKS!$D$2:$E$2035,2,0)</f>
        <v>--</v>
      </c>
      <c r="H82">
        <v>24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18.57</v>
      </c>
      <c r="B83" s="118">
        <v>114.7</v>
      </c>
      <c r="C83" s="118">
        <v>-17.27</v>
      </c>
      <c r="D83" s="118">
        <v>142.99</v>
      </c>
      <c r="E83" s="118">
        <v>8429</v>
      </c>
      <c r="F83" t="s">
        <v>4425</v>
      </c>
      <c r="G83" s="28" t="str">
        <f>VLOOKUP($E83,STOCKS!$D$2:$E$2035,2,0)</f>
        <v>--</v>
      </c>
      <c r="H83">
        <v>14.45</v>
      </c>
      <c r="I83" s="129" t="e">
        <f t="shared" si="2"/>
        <v>#VALUE!</v>
      </c>
      <c r="J83" s="63" t="e">
        <f t="shared" si="3"/>
        <v>#VALUE!</v>
      </c>
    </row>
    <row r="84" spans="1:10">
      <c r="A84" s="118">
        <v>15.22</v>
      </c>
      <c r="B84" s="118">
        <v>979.59</v>
      </c>
      <c r="C84" s="118">
        <v>10.98</v>
      </c>
      <c r="D84" s="118">
        <v>193.07</v>
      </c>
      <c r="E84" s="118">
        <v>2636</v>
      </c>
      <c r="F84" t="s">
        <v>4354</v>
      </c>
      <c r="G84" s="28" t="str">
        <f>VLOOKUP($E84,STOCKS!$D$2:$E$2035,2,0)</f>
        <v>--</v>
      </c>
      <c r="H84">
        <v>129</v>
      </c>
      <c r="I84" s="129" t="e">
        <f t="shared" si="2"/>
        <v>#VALUE!</v>
      </c>
      <c r="J84" s="63" t="e">
        <f t="shared" si="3"/>
        <v>#VALUE!</v>
      </c>
    </row>
    <row r="85" spans="1:10">
      <c r="A85" s="118">
        <v>16.22</v>
      </c>
      <c r="B85" s="118">
        <v>-42.16</v>
      </c>
      <c r="C85" s="118">
        <v>-10.130000000000001</v>
      </c>
      <c r="D85" s="118">
        <v>50</v>
      </c>
      <c r="E85" s="118">
        <v>6167</v>
      </c>
      <c r="F85" t="s">
        <v>4805</v>
      </c>
      <c r="G85" s="28" t="str">
        <f>VLOOKUP($E85,STOCKS!$D$2:$E$2035,2,0)</f>
        <v>--</v>
      </c>
      <c r="H85">
        <v>9.42</v>
      </c>
      <c r="I85" s="129" t="e">
        <f t="shared" si="2"/>
        <v>#VALUE!</v>
      </c>
      <c r="J85" s="63" t="e">
        <f t="shared" si="3"/>
        <v>#VALUE!</v>
      </c>
    </row>
    <row r="86" spans="1:10">
      <c r="A86" s="118">
        <v>6.22</v>
      </c>
      <c r="B86" s="118">
        <v>134.56</v>
      </c>
      <c r="C86" s="118">
        <v>9.1</v>
      </c>
      <c r="D86" s="118">
        <v>91.86</v>
      </c>
      <c r="E86" s="118">
        <v>3169</v>
      </c>
      <c r="F86" t="s">
        <v>3609</v>
      </c>
      <c r="G86" s="28" t="str">
        <f>VLOOKUP($E86,STOCKS!$D$2:$E$2035,2,0)</f>
        <v>--</v>
      </c>
      <c r="H86">
        <v>179.5</v>
      </c>
      <c r="I86" s="129" t="e">
        <f t="shared" si="2"/>
        <v>#VALUE!</v>
      </c>
      <c r="J86" s="63" t="e">
        <f t="shared" si="3"/>
        <v>#VALUE!</v>
      </c>
    </row>
    <row r="87" spans="1:10">
      <c r="A87" s="118">
        <v>18.78</v>
      </c>
      <c r="B87" s="118">
        <v>23.65</v>
      </c>
      <c r="C87" s="118">
        <v>8.36</v>
      </c>
      <c r="D87" s="118">
        <v>139.65</v>
      </c>
      <c r="E87" s="118">
        <v>1316</v>
      </c>
      <c r="F87" t="s">
        <v>4297</v>
      </c>
      <c r="G87" s="28">
        <f>VLOOKUP($E87,STOCKS!$D$2:$E$2035,2,0)</f>
        <v>20.3</v>
      </c>
      <c r="H87">
        <v>15.05</v>
      </c>
      <c r="I87" s="129">
        <f t="shared" si="2"/>
        <v>5.25</v>
      </c>
      <c r="J87" s="63">
        <f t="shared" si="3"/>
        <v>0.34883720930232559</v>
      </c>
    </row>
    <row r="88" spans="1:10">
      <c r="A88" s="118">
        <v>22.5</v>
      </c>
      <c r="B88" s="118">
        <v>-675.52</v>
      </c>
      <c r="C88" s="118">
        <v>-37.49</v>
      </c>
      <c r="D88" s="118">
        <v>-59.94</v>
      </c>
      <c r="E88" s="118">
        <v>4934</v>
      </c>
      <c r="F88" t="s">
        <v>4083</v>
      </c>
      <c r="G88" s="28" t="str">
        <f>VLOOKUP($E88,STOCKS!$D$2:$E$2035,2,0)</f>
        <v>--</v>
      </c>
      <c r="H88">
        <v>37.299999999999997</v>
      </c>
      <c r="I88" s="129" t="e">
        <f t="shared" si="2"/>
        <v>#VALUE!</v>
      </c>
      <c r="J88" s="63" t="e">
        <f t="shared" si="3"/>
        <v>#VALUE!</v>
      </c>
    </row>
    <row r="89" spans="1:10">
      <c r="A89" s="118">
        <v>76.09</v>
      </c>
      <c r="B89" s="118">
        <v>-47.88</v>
      </c>
      <c r="C89" s="118">
        <v>-29.48</v>
      </c>
      <c r="D89" s="118">
        <v>-27.75</v>
      </c>
      <c r="E89" s="118">
        <v>2841</v>
      </c>
      <c r="F89" t="s">
        <v>4328</v>
      </c>
      <c r="G89" s="28" t="str">
        <f>VLOOKUP($E89,STOCKS!$D$2:$E$2035,2,0)</f>
        <v>--</v>
      </c>
      <c r="H89">
        <v>3.4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12.13</v>
      </c>
      <c r="B90" s="118">
        <v>203.74</v>
      </c>
      <c r="C90" s="118">
        <v>6.59</v>
      </c>
      <c r="D90" s="118">
        <v>58.6</v>
      </c>
      <c r="E90" s="118">
        <v>8183</v>
      </c>
      <c r="F90" t="s">
        <v>3611</v>
      </c>
      <c r="G90" s="28">
        <f>VLOOKUP($E90,STOCKS!$D$2:$E$2035,2,0)</f>
        <v>64.099999999999994</v>
      </c>
      <c r="H90">
        <v>49.95</v>
      </c>
      <c r="I90" s="129">
        <f t="shared" si="2"/>
        <v>14.149999999999991</v>
      </c>
      <c r="J90" s="63">
        <f t="shared" si="3"/>
        <v>0.28328328328328312</v>
      </c>
    </row>
    <row r="91" spans="1:10">
      <c r="A91" s="118">
        <v>49.02</v>
      </c>
      <c r="B91" s="118">
        <v>53.7</v>
      </c>
      <c r="C91" s="118">
        <v>-5.23</v>
      </c>
      <c r="D91" s="118">
        <v>24.33</v>
      </c>
      <c r="E91" s="118">
        <v>3264</v>
      </c>
      <c r="F91" t="s">
        <v>4666</v>
      </c>
      <c r="G91" s="28" t="str">
        <f>VLOOKUP($E91,STOCKS!$D$2:$E$2035,2,0)</f>
        <v>--</v>
      </c>
      <c r="H91">
        <v>59.4</v>
      </c>
      <c r="I91" s="129" t="e">
        <f t="shared" si="2"/>
        <v>#VALUE!</v>
      </c>
      <c r="J91" s="63" t="e">
        <f t="shared" si="3"/>
        <v>#VALUE!</v>
      </c>
    </row>
    <row r="92" spans="1:10">
      <c r="A92" s="118">
        <v>15.31</v>
      </c>
      <c r="B92" s="118">
        <v>1554.77</v>
      </c>
      <c r="C92" s="118">
        <v>-17.78</v>
      </c>
      <c r="D92" s="118">
        <v>40.97</v>
      </c>
      <c r="E92" s="118">
        <v>4989</v>
      </c>
      <c r="F92" t="s">
        <v>4206</v>
      </c>
      <c r="G92" s="28" t="str">
        <f>VLOOKUP($E92,STOCKS!$D$2:$E$2035,2,0)</f>
        <v>--</v>
      </c>
      <c r="H92">
        <v>42</v>
      </c>
      <c r="I92" s="129" t="e">
        <f t="shared" si="2"/>
        <v>#VALUE!</v>
      </c>
      <c r="J92" s="63" t="e">
        <f t="shared" si="3"/>
        <v>#VALUE!</v>
      </c>
    </row>
    <row r="93" spans="1:10">
      <c r="A93" s="118">
        <v>22.45</v>
      </c>
      <c r="B93" s="118">
        <v>-68.95</v>
      </c>
      <c r="C93" s="118">
        <v>2.8</v>
      </c>
      <c r="D93" s="118">
        <v>-47.67</v>
      </c>
      <c r="E93" s="118">
        <v>2365</v>
      </c>
      <c r="F93" t="s">
        <v>4010</v>
      </c>
      <c r="G93" s="28" t="str">
        <f>VLOOKUP($E93,STOCKS!$D$2:$E$2035,2,0)</f>
        <v>--</v>
      </c>
      <c r="H93">
        <v>10.6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25.26</v>
      </c>
      <c r="B94" s="118">
        <v>98.09</v>
      </c>
      <c r="C94" s="118">
        <v>0.41</v>
      </c>
      <c r="D94" s="118">
        <v>62.7</v>
      </c>
      <c r="E94" s="118">
        <v>8358</v>
      </c>
      <c r="F94" t="s">
        <v>3643</v>
      </c>
      <c r="G94" s="28">
        <f>VLOOKUP($E94,STOCKS!$D$2:$E$2035,2,0)</f>
        <v>78.8</v>
      </c>
      <c r="H94">
        <v>74.7</v>
      </c>
      <c r="I94" s="129">
        <f t="shared" si="2"/>
        <v>4.0999999999999943</v>
      </c>
      <c r="J94" s="63">
        <f t="shared" si="3"/>
        <v>5.4886211512717456E-2</v>
      </c>
    </row>
    <row r="95" spans="1:10">
      <c r="A95" s="118">
        <v>8</v>
      </c>
      <c r="B95" s="118">
        <v>1722.98</v>
      </c>
      <c r="C95" s="118">
        <v>36.869999999999997</v>
      </c>
      <c r="D95" s="118">
        <v>-38.75</v>
      </c>
      <c r="E95" s="118">
        <v>2415</v>
      </c>
      <c r="F95" t="s">
        <v>4157</v>
      </c>
      <c r="G95" s="28" t="str">
        <f>VLOOKUP($E95,STOCKS!$D$2:$E$2035,2,0)</f>
        <v>--</v>
      </c>
      <c r="H95">
        <v>46.25</v>
      </c>
      <c r="I95" s="129" t="e">
        <f t="shared" si="2"/>
        <v>#VALUE!</v>
      </c>
      <c r="J95" s="63" t="e">
        <f t="shared" si="3"/>
        <v>#VALUE!</v>
      </c>
    </row>
    <row r="96" spans="1:10">
      <c r="A96" s="118">
        <v>8.7100000000000009</v>
      </c>
      <c r="B96" s="118">
        <v>-63.35</v>
      </c>
      <c r="C96" s="118">
        <v>6.38</v>
      </c>
      <c r="D96" s="118">
        <v>85.77</v>
      </c>
      <c r="E96" s="118">
        <v>3363</v>
      </c>
      <c r="F96" t="s">
        <v>4824</v>
      </c>
      <c r="G96" s="28" t="str">
        <f>VLOOKUP($E96,STOCKS!$D$2:$E$2035,2,0)</f>
        <v>--</v>
      </c>
      <c r="H96">
        <v>33.799999999999997</v>
      </c>
      <c r="I96" s="129" t="e">
        <f t="shared" si="2"/>
        <v>#VALUE!</v>
      </c>
      <c r="J96" s="63" t="e">
        <f t="shared" si="3"/>
        <v>#VALUE!</v>
      </c>
    </row>
    <row r="97" spans="1:10">
      <c r="A97" s="118">
        <v>15.57</v>
      </c>
      <c r="B97" s="118">
        <v>70.17</v>
      </c>
      <c r="C97" s="118">
        <v>11.35</v>
      </c>
      <c r="D97" s="118">
        <v>50.35</v>
      </c>
      <c r="E97" s="118">
        <v>3003</v>
      </c>
      <c r="F97" t="s">
        <v>4174</v>
      </c>
      <c r="G97" s="28">
        <f>VLOOKUP($E97,STOCKS!$D$2:$E$2035,2,0)</f>
        <v>94.6</v>
      </c>
      <c r="H97">
        <v>96.9</v>
      </c>
      <c r="I97" s="129">
        <f t="shared" si="2"/>
        <v>-2.3000000000000114</v>
      </c>
      <c r="J97" s="63">
        <f t="shared" si="3"/>
        <v>-2.3735810113519207E-2</v>
      </c>
    </row>
    <row r="98" spans="1:10">
      <c r="A98" s="118">
        <v>118</v>
      </c>
      <c r="B98" s="118">
        <v>25.83</v>
      </c>
      <c r="C98" s="118">
        <v>8.41</v>
      </c>
      <c r="D98" s="118">
        <v>8.4600000000000009</v>
      </c>
      <c r="E98" s="118">
        <v>2504</v>
      </c>
      <c r="F98" t="s">
        <v>4304</v>
      </c>
      <c r="G98" s="28" t="str">
        <f>VLOOKUP($E98,STOCKS!$D$2:$E$2035,2,0)</f>
        <v>--</v>
      </c>
      <c r="H98">
        <v>25.7</v>
      </c>
      <c r="I98" s="129" t="e">
        <f t="shared" si="2"/>
        <v>#VALUE!</v>
      </c>
      <c r="J98" s="63" t="e">
        <f t="shared" si="3"/>
        <v>#VALUE!</v>
      </c>
    </row>
    <row r="99" spans="1:10">
      <c r="A99" s="118">
        <v>9.81</v>
      </c>
      <c r="B99" s="118">
        <v>15</v>
      </c>
      <c r="C99" s="118">
        <v>-15.3</v>
      </c>
      <c r="D99" s="118">
        <v>12.57</v>
      </c>
      <c r="E99" s="118">
        <v>3625</v>
      </c>
      <c r="F99" t="s">
        <v>4745</v>
      </c>
      <c r="G99" s="28">
        <f>VLOOKUP($E99,STOCKS!$D$2:$E$2035,2,0)</f>
        <v>23.35</v>
      </c>
      <c r="H99">
        <v>23.9</v>
      </c>
      <c r="I99" s="129">
        <f t="shared" si="2"/>
        <v>-0.54999999999999716</v>
      </c>
      <c r="J99" s="63">
        <f t="shared" si="3"/>
        <v>-2.3012552301255113E-2</v>
      </c>
    </row>
    <row r="100" spans="1:10">
      <c r="A100" s="118">
        <v>110.28</v>
      </c>
      <c r="B100" s="118">
        <v>515.54999999999995</v>
      </c>
      <c r="C100" s="118">
        <v>0.2</v>
      </c>
      <c r="D100" s="118">
        <v>10.5</v>
      </c>
      <c r="E100" s="118">
        <v>1905</v>
      </c>
      <c r="F100" t="s">
        <v>3539</v>
      </c>
      <c r="G100" s="28" t="str">
        <f>VLOOKUP($E100,STOCKS!$D$2:$E$2035,2,0)</f>
        <v>--</v>
      </c>
      <c r="H100">
        <v>22.2</v>
      </c>
      <c r="I100" s="129" t="e">
        <f t="shared" si="2"/>
        <v>#VALUE!</v>
      </c>
      <c r="J100" s="63" t="e">
        <f t="shared" si="3"/>
        <v>#VALUE!</v>
      </c>
    </row>
    <row r="101" spans="1:10">
      <c r="A101" s="118">
        <v>1055.96</v>
      </c>
      <c r="B101" s="118">
        <v>428.54</v>
      </c>
      <c r="C101" s="118">
        <v>-6.15</v>
      </c>
      <c r="D101" s="118">
        <v>11.76</v>
      </c>
      <c r="E101" s="118">
        <v>3481</v>
      </c>
      <c r="F101" t="s">
        <v>4075</v>
      </c>
      <c r="G101" s="28">
        <f>VLOOKUP($E101,STOCKS!$D$2:$E$2035,2,0)</f>
        <v>18.75</v>
      </c>
      <c r="H101">
        <v>16.7</v>
      </c>
      <c r="I101" s="129">
        <f t="shared" si="2"/>
        <v>2.0500000000000007</v>
      </c>
      <c r="J101" s="63">
        <f t="shared" si="3"/>
        <v>0.12275449101796412</v>
      </c>
    </row>
  </sheetData>
  <phoneticPr fontId="38" type="noConversion"/>
  <conditionalFormatting sqref="J1:J1048576">
    <cfRule type="cellIs" dxfId="13" priority="1" operator="lessThan">
      <formula>0</formula>
    </cfRule>
    <cfRule type="cellIs" dxfId="12" priority="2" operator="greater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17CB2-CA17-4B14-BF56-546E79AF4CEF}">
  <sheetPr codeName="工作表10"/>
  <dimension ref="A1:J101"/>
  <sheetViews>
    <sheetView workbookViewId="0">
      <selection activeCell="M28" sqref="M28"/>
    </sheetView>
  </sheetViews>
  <sheetFormatPr defaultRowHeight="16.2"/>
  <cols>
    <col min="7" max="7" width="10.44140625" style="60" bestFit="1" customWidth="1"/>
    <col min="9" max="9" width="8.88671875" style="60"/>
    <col min="10" max="10" width="8.88671875" style="63"/>
  </cols>
  <sheetData>
    <row r="1" spans="1:10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0">
      <c r="A2" s="118">
        <v>9.2100000000000009</v>
      </c>
      <c r="B2" s="118">
        <v>-103.4</v>
      </c>
      <c r="C2" s="118">
        <v>18.82</v>
      </c>
      <c r="D2" s="118">
        <v>91.67</v>
      </c>
      <c r="E2" s="118">
        <v>5227</v>
      </c>
      <c r="F2" t="s">
        <v>4906</v>
      </c>
      <c r="G2" s="28" t="str">
        <f>VLOOKUP($E2,STOCKS!$D$2:$E$2035,2,0)</f>
        <v>--</v>
      </c>
      <c r="H2">
        <v>45.95</v>
      </c>
      <c r="I2" s="129" t="e">
        <f>$G2-$H2</f>
        <v>#VALUE!</v>
      </c>
      <c r="J2" s="63" t="e">
        <f>$I2/$H2</f>
        <v>#VALUE!</v>
      </c>
    </row>
    <row r="3" spans="1:10">
      <c r="A3" s="118">
        <v>6.22</v>
      </c>
      <c r="B3" s="118">
        <v>50.07</v>
      </c>
      <c r="C3" s="118">
        <v>3.26</v>
      </c>
      <c r="D3" s="118">
        <v>23.19</v>
      </c>
      <c r="E3" s="118">
        <v>3491</v>
      </c>
      <c r="F3" t="s">
        <v>4826</v>
      </c>
      <c r="G3" s="28" t="str">
        <f>VLOOKUP($E3,STOCKS!$D$2:$E$2035,2,0)</f>
        <v>--</v>
      </c>
      <c r="H3">
        <v>124.5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0">
      <c r="A4" s="118">
        <v>10.7</v>
      </c>
      <c r="B4" s="118">
        <v>706.87</v>
      </c>
      <c r="C4" s="118">
        <v>7.07</v>
      </c>
      <c r="D4" s="118">
        <v>36.81</v>
      </c>
      <c r="E4" s="118">
        <v>4739</v>
      </c>
      <c r="F4" t="s">
        <v>3851</v>
      </c>
      <c r="G4" s="28">
        <f>VLOOKUP($E4,STOCKS!$D$2:$E$2035,2,0)</f>
        <v>149</v>
      </c>
      <c r="H4">
        <v>171.5</v>
      </c>
      <c r="I4" s="129">
        <f t="shared" si="0"/>
        <v>-22.5</v>
      </c>
      <c r="J4" s="63">
        <f t="shared" si="1"/>
        <v>-0.13119533527696792</v>
      </c>
    </row>
    <row r="5" spans="1:10">
      <c r="A5" s="118">
        <v>150.47</v>
      </c>
      <c r="B5" s="118">
        <v>152.74</v>
      </c>
      <c r="C5" s="118">
        <v>-1.21</v>
      </c>
      <c r="D5" s="118">
        <v>19.309999999999999</v>
      </c>
      <c r="E5" s="118">
        <v>3037</v>
      </c>
      <c r="F5" t="s">
        <v>4181</v>
      </c>
      <c r="G5" s="28">
        <f>VLOOKUP($E5,STOCKS!$D$2:$E$2035,2,0)</f>
        <v>195.5</v>
      </c>
      <c r="H5">
        <v>190</v>
      </c>
      <c r="I5" s="129">
        <f t="shared" si="0"/>
        <v>5.5</v>
      </c>
      <c r="J5" s="63">
        <f t="shared" si="1"/>
        <v>2.8947368421052631E-2</v>
      </c>
    </row>
    <row r="6" spans="1:10">
      <c r="A6" s="118">
        <v>7.5</v>
      </c>
      <c r="B6" s="118">
        <v>127.26</v>
      </c>
      <c r="C6" s="118">
        <v>20.239999999999998</v>
      </c>
      <c r="D6" s="118">
        <v>162.86000000000001</v>
      </c>
      <c r="E6" s="118">
        <v>4721</v>
      </c>
      <c r="F6" t="s">
        <v>4567</v>
      </c>
      <c r="G6" s="28" t="str">
        <f>VLOOKUP($E6,STOCKS!$D$2:$E$2035,2,0)</f>
        <v>--</v>
      </c>
      <c r="H6">
        <v>170.5</v>
      </c>
      <c r="I6" s="129" t="e">
        <f t="shared" si="0"/>
        <v>#VALUE!</v>
      </c>
      <c r="J6" s="63" t="e">
        <f t="shared" si="1"/>
        <v>#VALUE!</v>
      </c>
    </row>
    <row r="7" spans="1:10">
      <c r="A7" s="118">
        <v>4.24</v>
      </c>
      <c r="B7" s="118">
        <v>-4178.7</v>
      </c>
      <c r="C7" s="118">
        <v>-17.09</v>
      </c>
      <c r="D7" s="118">
        <v>-42.46</v>
      </c>
      <c r="E7" s="118">
        <v>6441</v>
      </c>
      <c r="F7" t="s">
        <v>4767</v>
      </c>
      <c r="G7" s="28" t="str">
        <f>VLOOKUP($E7,STOCKS!$D$2:$E$2035,2,0)</f>
        <v>--</v>
      </c>
      <c r="H7">
        <v>51.9</v>
      </c>
      <c r="I7" s="129" t="e">
        <f t="shared" si="0"/>
        <v>#VALUE!</v>
      </c>
      <c r="J7" s="63" t="e">
        <f t="shared" si="1"/>
        <v>#VALUE!</v>
      </c>
    </row>
    <row r="8" spans="1:10">
      <c r="A8" s="118">
        <v>17.32</v>
      </c>
      <c r="B8" s="118">
        <v>59.57</v>
      </c>
      <c r="C8" s="118">
        <v>1.29</v>
      </c>
      <c r="D8" s="118">
        <v>13.25</v>
      </c>
      <c r="E8" s="118">
        <v>6509</v>
      </c>
      <c r="F8" t="s">
        <v>4572</v>
      </c>
      <c r="G8" s="28">
        <f>VLOOKUP($E8,STOCKS!$D$2:$E$2035,2,0)</f>
        <v>70.2</v>
      </c>
      <c r="H8">
        <v>80.099999999999994</v>
      </c>
      <c r="I8" s="129">
        <f t="shared" si="0"/>
        <v>-9.8999999999999915</v>
      </c>
      <c r="J8" s="63">
        <f t="shared" si="1"/>
        <v>-0.12359550561797743</v>
      </c>
    </row>
    <row r="9" spans="1:10">
      <c r="A9" s="118">
        <v>49.45</v>
      </c>
      <c r="B9" s="118">
        <v>3015.2</v>
      </c>
      <c r="C9" s="118">
        <v>11.78</v>
      </c>
      <c r="D9" s="118">
        <v>-3.68</v>
      </c>
      <c r="E9" s="118">
        <v>2388</v>
      </c>
      <c r="F9" t="s">
        <v>3952</v>
      </c>
      <c r="G9" s="28">
        <f>VLOOKUP($E9,STOCKS!$D$2:$E$2035,2,0)</f>
        <v>86.9</v>
      </c>
      <c r="H9">
        <v>62.1</v>
      </c>
      <c r="I9" s="129">
        <f t="shared" si="0"/>
        <v>24.800000000000004</v>
      </c>
      <c r="J9" s="63">
        <f t="shared" si="1"/>
        <v>0.39935587761674723</v>
      </c>
    </row>
    <row r="10" spans="1:10">
      <c r="A10" s="118">
        <v>8.98</v>
      </c>
      <c r="B10" s="118">
        <v>300.7</v>
      </c>
      <c r="C10" s="118">
        <v>35.35</v>
      </c>
      <c r="D10" s="118">
        <v>10.75</v>
      </c>
      <c r="E10" s="118">
        <v>8444</v>
      </c>
      <c r="F10" t="s">
        <v>5158</v>
      </c>
      <c r="G10" s="28" t="str">
        <f>VLOOKUP($E10,STOCKS!$D$2:$E$2035,2,0)</f>
        <v>--</v>
      </c>
      <c r="H10">
        <v>107.5</v>
      </c>
      <c r="I10" s="129" t="e">
        <f t="shared" si="0"/>
        <v>#VALUE!</v>
      </c>
      <c r="J10" s="63" t="e">
        <f t="shared" si="1"/>
        <v>#VALUE!</v>
      </c>
    </row>
    <row r="11" spans="1:10">
      <c r="A11" s="118">
        <v>32.86</v>
      </c>
      <c r="B11" s="118">
        <v>-321.67</v>
      </c>
      <c r="C11" s="118">
        <v>17.36</v>
      </c>
      <c r="D11" s="118">
        <v>-15.11</v>
      </c>
      <c r="E11" s="118">
        <v>3062</v>
      </c>
      <c r="F11" t="s">
        <v>4123</v>
      </c>
      <c r="G11" s="28" t="str">
        <f>VLOOKUP($E11,STOCKS!$D$2:$E$2035,2,0)</f>
        <v>--</v>
      </c>
      <c r="H11">
        <v>26.45</v>
      </c>
      <c r="I11" s="129" t="e">
        <f t="shared" si="0"/>
        <v>#VALUE!</v>
      </c>
      <c r="J11" s="63" t="e">
        <f t="shared" si="1"/>
        <v>#VALUE!</v>
      </c>
    </row>
    <row r="12" spans="1:10">
      <c r="A12" s="118">
        <v>3.17</v>
      </c>
      <c r="B12" s="118">
        <v>30.09</v>
      </c>
      <c r="C12" s="118">
        <v>-65.77</v>
      </c>
      <c r="D12" s="118">
        <v>-56.63</v>
      </c>
      <c r="E12" s="118">
        <v>6236</v>
      </c>
      <c r="F12" t="s">
        <v>5142</v>
      </c>
      <c r="G12" s="28" t="str">
        <f>VLOOKUP($E12,STOCKS!$D$2:$E$2035,2,0)</f>
        <v>--</v>
      </c>
      <c r="H12">
        <v>21.5</v>
      </c>
      <c r="I12" s="129" t="e">
        <f t="shared" si="0"/>
        <v>#VALUE!</v>
      </c>
      <c r="J12" s="63" t="e">
        <f t="shared" si="1"/>
        <v>#VALUE!</v>
      </c>
    </row>
    <row r="13" spans="1:10">
      <c r="A13" s="118">
        <v>9.2899999999999991</v>
      </c>
      <c r="B13" s="118">
        <v>95.7</v>
      </c>
      <c r="C13" s="118">
        <v>3.81</v>
      </c>
      <c r="D13" s="118">
        <v>11.52</v>
      </c>
      <c r="E13" s="118">
        <v>3236</v>
      </c>
      <c r="F13" t="s">
        <v>4876</v>
      </c>
      <c r="G13" s="28" t="str">
        <f>VLOOKUP($E13,STOCKS!$D$2:$E$2035,2,0)</f>
        <v>--</v>
      </c>
      <c r="H13">
        <v>28.6</v>
      </c>
      <c r="I13" s="129" t="e">
        <f t="shared" si="0"/>
        <v>#VALUE!</v>
      </c>
      <c r="J13" s="63" t="e">
        <f t="shared" si="1"/>
        <v>#VALUE!</v>
      </c>
    </row>
    <row r="14" spans="1:10">
      <c r="A14" s="118">
        <v>7.6</v>
      </c>
      <c r="B14" s="118">
        <v>171.06</v>
      </c>
      <c r="C14" s="118">
        <v>9.19</v>
      </c>
      <c r="D14" s="118">
        <v>31.56</v>
      </c>
      <c r="E14" s="118">
        <v>5011</v>
      </c>
      <c r="F14" t="s">
        <v>4652</v>
      </c>
      <c r="G14" s="28" t="str">
        <f>VLOOKUP($E14,STOCKS!$D$2:$E$2035,2,0)</f>
        <v>--</v>
      </c>
      <c r="H14">
        <v>30.6</v>
      </c>
      <c r="I14" s="129" t="e">
        <f t="shared" si="0"/>
        <v>#VALUE!</v>
      </c>
      <c r="J14" s="63" t="e">
        <f t="shared" si="1"/>
        <v>#VALUE!</v>
      </c>
    </row>
    <row r="15" spans="1:10">
      <c r="A15" s="118">
        <v>4.38</v>
      </c>
      <c r="B15" s="118">
        <v>165.28</v>
      </c>
      <c r="C15" s="118">
        <v>0.67</v>
      </c>
      <c r="D15" s="118">
        <v>30.23</v>
      </c>
      <c r="E15" s="118">
        <v>3207</v>
      </c>
      <c r="F15" t="s">
        <v>4875</v>
      </c>
      <c r="G15" s="28" t="str">
        <f>VLOOKUP($E15,STOCKS!$D$2:$E$2035,2,0)</f>
        <v>--</v>
      </c>
      <c r="H15">
        <v>22.7</v>
      </c>
      <c r="I15" s="129" t="e">
        <f t="shared" si="0"/>
        <v>#VALUE!</v>
      </c>
      <c r="J15" s="63" t="e">
        <f t="shared" si="1"/>
        <v>#VALUE!</v>
      </c>
    </row>
    <row r="16" spans="1:10">
      <c r="A16" s="118">
        <v>44.9</v>
      </c>
      <c r="B16" s="118">
        <v>1966.44</v>
      </c>
      <c r="C16" s="118">
        <v>4.21</v>
      </c>
      <c r="D16" s="118">
        <v>2.99</v>
      </c>
      <c r="E16" s="118">
        <v>3704</v>
      </c>
      <c r="F16" t="s">
        <v>4130</v>
      </c>
      <c r="G16" s="28" t="str">
        <f>VLOOKUP($E16,STOCKS!$D$2:$E$2035,2,0)</f>
        <v>--</v>
      </c>
      <c r="H16">
        <v>31.2</v>
      </c>
      <c r="I16" s="129" t="e">
        <f t="shared" si="0"/>
        <v>#VALUE!</v>
      </c>
      <c r="J16" s="63" t="e">
        <f t="shared" si="1"/>
        <v>#VALUE!</v>
      </c>
    </row>
    <row r="17" spans="1:10">
      <c r="A17" s="118">
        <v>81.95</v>
      </c>
      <c r="B17" s="118">
        <v>54.66</v>
      </c>
      <c r="C17" s="118">
        <v>64.03</v>
      </c>
      <c r="D17" s="118">
        <v>-26.43</v>
      </c>
      <c r="E17" s="118">
        <v>2498</v>
      </c>
      <c r="F17" t="s">
        <v>4118</v>
      </c>
      <c r="G17" s="28">
        <f>VLOOKUP($E17,STOCKS!$D$2:$E$2035,2,0)</f>
        <v>79.7</v>
      </c>
      <c r="H17">
        <v>65.599999999999994</v>
      </c>
      <c r="I17" s="129">
        <f t="shared" si="0"/>
        <v>14.100000000000009</v>
      </c>
      <c r="J17" s="63">
        <f t="shared" si="1"/>
        <v>0.21493902439024404</v>
      </c>
    </row>
    <row r="18" spans="1:10">
      <c r="A18" s="118">
        <v>51.66</v>
      </c>
      <c r="B18" s="118">
        <v>-74.260000000000005</v>
      </c>
      <c r="C18" s="118">
        <v>-0.25</v>
      </c>
      <c r="D18" s="118">
        <v>2.2000000000000002</v>
      </c>
      <c r="E18" s="118">
        <v>6282</v>
      </c>
      <c r="F18" t="s">
        <v>4221</v>
      </c>
      <c r="G18" s="28" t="str">
        <f>VLOOKUP($E18,STOCKS!$D$2:$E$2035,2,0)</f>
        <v>--</v>
      </c>
      <c r="H18">
        <v>34.6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32.07</v>
      </c>
      <c r="B19" s="118">
        <v>303.04000000000002</v>
      </c>
      <c r="C19" s="118">
        <v>-5.07</v>
      </c>
      <c r="D19" s="118">
        <v>1.03</v>
      </c>
      <c r="E19" s="118">
        <v>8215</v>
      </c>
      <c r="F19" t="s">
        <v>4107</v>
      </c>
      <c r="G19" s="28" t="str">
        <f>VLOOKUP($E19,STOCKS!$D$2:$E$2035,2,0)</f>
        <v>--</v>
      </c>
      <c r="H19">
        <v>39.35</v>
      </c>
      <c r="I19" s="129" t="e">
        <f t="shared" si="0"/>
        <v>#VALUE!</v>
      </c>
      <c r="J19" s="63" t="e">
        <f t="shared" si="1"/>
        <v>#VALUE!</v>
      </c>
    </row>
    <row r="20" spans="1:10">
      <c r="A20" s="118">
        <v>43.86</v>
      </c>
      <c r="B20" s="118">
        <v>123.5</v>
      </c>
      <c r="C20" s="118">
        <v>2.59</v>
      </c>
      <c r="D20" s="118">
        <v>-9.73</v>
      </c>
      <c r="E20" s="118">
        <v>2340</v>
      </c>
      <c r="F20" t="s">
        <v>4052</v>
      </c>
      <c r="G20" s="28">
        <f>VLOOKUP($E20,STOCKS!$D$2:$E$2035,2,0)</f>
        <v>60.4</v>
      </c>
      <c r="H20">
        <v>42.9</v>
      </c>
      <c r="I20" s="129">
        <f t="shared" si="0"/>
        <v>17.5</v>
      </c>
      <c r="J20" s="63">
        <f t="shared" si="1"/>
        <v>0.40792540792540793</v>
      </c>
    </row>
    <row r="21" spans="1:10">
      <c r="A21" s="118">
        <v>14.38</v>
      </c>
      <c r="B21" s="118">
        <v>-3721.25</v>
      </c>
      <c r="C21" s="118">
        <v>4.87</v>
      </c>
      <c r="D21" s="118">
        <v>13.07</v>
      </c>
      <c r="E21" s="118">
        <v>5426</v>
      </c>
      <c r="F21" t="s">
        <v>4755</v>
      </c>
      <c r="G21" s="28" t="str">
        <f>VLOOKUP($E21,STOCKS!$D$2:$E$2035,2,0)</f>
        <v>--</v>
      </c>
      <c r="H21">
        <v>14.2</v>
      </c>
      <c r="I21" s="129" t="e">
        <f t="shared" si="0"/>
        <v>#VALUE!</v>
      </c>
      <c r="J21" s="63" t="e">
        <f t="shared" si="1"/>
        <v>#VALUE!</v>
      </c>
    </row>
    <row r="22" spans="1:10">
      <c r="A22" s="118">
        <v>4.04</v>
      </c>
      <c r="B22" s="118">
        <v>10.07</v>
      </c>
      <c r="C22" s="118">
        <v>-8.61</v>
      </c>
      <c r="D22" s="118">
        <v>-59.13</v>
      </c>
      <c r="E22" s="118">
        <v>5474</v>
      </c>
      <c r="F22" t="s">
        <v>4758</v>
      </c>
      <c r="G22" s="28" t="str">
        <f>VLOOKUP($E22,STOCKS!$D$2:$E$2035,2,0)</f>
        <v>--</v>
      </c>
      <c r="H22">
        <v>117.5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3</v>
      </c>
      <c r="B23" s="118">
        <v>4.95</v>
      </c>
      <c r="C23" s="118">
        <v>-21.33</v>
      </c>
      <c r="D23" s="118">
        <v>-13.27</v>
      </c>
      <c r="E23" s="118">
        <v>6514</v>
      </c>
      <c r="F23" t="s">
        <v>4854</v>
      </c>
      <c r="G23" s="28" t="str">
        <f>VLOOKUP($E23,STOCKS!$D$2:$E$2035,2,0)</f>
        <v>--</v>
      </c>
      <c r="H23">
        <v>51.2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24.86</v>
      </c>
      <c r="B24" s="118">
        <v>225.76</v>
      </c>
      <c r="C24" s="118">
        <v>14.84</v>
      </c>
      <c r="D24" s="118">
        <v>67.650000000000006</v>
      </c>
      <c r="E24" s="118">
        <v>3035</v>
      </c>
      <c r="F24" t="s">
        <v>3966</v>
      </c>
      <c r="G24" s="28" t="str">
        <f>VLOOKUP($E24,STOCKS!$D$2:$E$2035,2,0)</f>
        <v>--</v>
      </c>
      <c r="H24">
        <v>201</v>
      </c>
      <c r="I24" s="129" t="e">
        <f t="shared" si="0"/>
        <v>#VALUE!</v>
      </c>
      <c r="J24" s="63" t="e">
        <f t="shared" si="1"/>
        <v>#VALUE!</v>
      </c>
    </row>
    <row r="25" spans="1:10">
      <c r="A25" s="118">
        <v>26.99</v>
      </c>
      <c r="B25" s="118">
        <v>217.94</v>
      </c>
      <c r="C25" s="118">
        <v>16.79</v>
      </c>
      <c r="D25" s="118">
        <v>106.02</v>
      </c>
      <c r="E25" s="118">
        <v>5351</v>
      </c>
      <c r="F25" t="s">
        <v>4690</v>
      </c>
      <c r="G25" s="28">
        <f>VLOOKUP($E25,STOCKS!$D$2:$E$2035,2,0)</f>
        <v>88.8</v>
      </c>
      <c r="H25">
        <v>59.4</v>
      </c>
      <c r="I25" s="129">
        <f t="shared" si="0"/>
        <v>29.4</v>
      </c>
      <c r="J25" s="63">
        <f t="shared" si="1"/>
        <v>0.49494949494949492</v>
      </c>
    </row>
    <row r="26" spans="1:10">
      <c r="A26" s="118">
        <v>12.13</v>
      </c>
      <c r="B26" s="118">
        <v>203.74</v>
      </c>
      <c r="C26" s="118">
        <v>6.59</v>
      </c>
      <c r="D26" s="118">
        <v>58.6</v>
      </c>
      <c r="E26" s="118">
        <v>8183</v>
      </c>
      <c r="F26" t="s">
        <v>3611</v>
      </c>
      <c r="G26" s="28">
        <f>VLOOKUP($E26,STOCKS!$D$2:$E$2035,2,0)</f>
        <v>64.099999999999994</v>
      </c>
      <c r="H26">
        <v>49.95</v>
      </c>
      <c r="I26" s="129">
        <f t="shared" si="0"/>
        <v>14.149999999999991</v>
      </c>
      <c r="J26" s="63">
        <f t="shared" si="1"/>
        <v>0.28328328328328312</v>
      </c>
    </row>
    <row r="27" spans="1:10">
      <c r="A27" s="118">
        <v>14.19</v>
      </c>
      <c r="B27" s="118">
        <v>82.71</v>
      </c>
      <c r="C27" s="118">
        <v>-7.38</v>
      </c>
      <c r="D27" s="118">
        <v>-9.7200000000000006</v>
      </c>
      <c r="E27" s="118">
        <v>2462</v>
      </c>
      <c r="F27" t="s">
        <v>4165</v>
      </c>
      <c r="G27" s="28" t="str">
        <f>VLOOKUP($E27,STOCKS!$D$2:$E$2035,2,0)</f>
        <v>--</v>
      </c>
      <c r="H27">
        <v>30.95</v>
      </c>
      <c r="I27" s="129" t="e">
        <f t="shared" si="0"/>
        <v>#VALUE!</v>
      </c>
      <c r="J27" s="63" t="e">
        <f t="shared" si="1"/>
        <v>#VALUE!</v>
      </c>
    </row>
    <row r="28" spans="1:10">
      <c r="A28" s="118">
        <v>5.87</v>
      </c>
      <c r="B28" s="118">
        <v>-76.150000000000006</v>
      </c>
      <c r="C28" s="118">
        <v>-47.86</v>
      </c>
      <c r="D28" s="118">
        <v>106.54</v>
      </c>
      <c r="E28" s="118">
        <v>8171</v>
      </c>
      <c r="F28" t="s">
        <v>4863</v>
      </c>
      <c r="G28" s="28" t="str">
        <f>VLOOKUP($E28,STOCKS!$D$2:$E$2035,2,0)</f>
        <v>--</v>
      </c>
      <c r="H28">
        <v>51</v>
      </c>
      <c r="I28" s="129" t="e">
        <f t="shared" si="0"/>
        <v>#VALUE!</v>
      </c>
      <c r="J28" s="63" t="e">
        <f t="shared" si="1"/>
        <v>#VALUE!</v>
      </c>
    </row>
    <row r="29" spans="1:10">
      <c r="A29" s="118">
        <v>8.9700000000000006</v>
      </c>
      <c r="B29" s="118">
        <v>-3.18</v>
      </c>
      <c r="C29" s="118">
        <v>-15.13</v>
      </c>
      <c r="D29" s="118">
        <v>-32.729999999999997</v>
      </c>
      <c r="E29" s="118">
        <v>6170</v>
      </c>
      <c r="F29" t="s">
        <v>4844</v>
      </c>
      <c r="G29" s="28" t="str">
        <f>VLOOKUP($E29,STOCKS!$D$2:$E$2035,2,0)</f>
        <v>--</v>
      </c>
      <c r="H29">
        <v>51.4</v>
      </c>
      <c r="I29" s="129" t="e">
        <f t="shared" si="0"/>
        <v>#VALUE!</v>
      </c>
      <c r="J29" s="63" t="e">
        <f t="shared" si="1"/>
        <v>#VALUE!</v>
      </c>
    </row>
    <row r="30" spans="1:10">
      <c r="A30" s="118">
        <v>13.83</v>
      </c>
      <c r="B30" s="118">
        <v>450.96</v>
      </c>
      <c r="C30" s="118">
        <v>13.49</v>
      </c>
      <c r="D30" s="118">
        <v>33.58</v>
      </c>
      <c r="E30" s="118">
        <v>3305</v>
      </c>
      <c r="F30" t="s">
        <v>4280</v>
      </c>
      <c r="G30" s="28" t="str">
        <f>VLOOKUP($E30,STOCKS!$D$2:$E$2035,2,0)</f>
        <v>--</v>
      </c>
      <c r="H30">
        <v>70.7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22.8</v>
      </c>
      <c r="B31" s="118">
        <v>-11968.94</v>
      </c>
      <c r="C31" s="118">
        <v>15.29</v>
      </c>
      <c r="D31" s="118">
        <v>22.26</v>
      </c>
      <c r="E31" s="118">
        <v>2314</v>
      </c>
      <c r="F31" t="s">
        <v>4108</v>
      </c>
      <c r="G31" s="28">
        <f>VLOOKUP($E31,STOCKS!$D$2:$E$2035,2,0)</f>
        <v>83.9</v>
      </c>
      <c r="H31">
        <v>78.8</v>
      </c>
      <c r="I31" s="129">
        <f t="shared" si="0"/>
        <v>5.1000000000000085</v>
      </c>
      <c r="J31" s="63">
        <f t="shared" si="1"/>
        <v>6.4720812182741227E-2</v>
      </c>
    </row>
    <row r="32" spans="1:10">
      <c r="A32" s="118">
        <v>5.98</v>
      </c>
      <c r="B32" s="118">
        <v>-140.4</v>
      </c>
      <c r="C32" s="118">
        <v>-80.45</v>
      </c>
      <c r="D32" s="118">
        <v>-72.63</v>
      </c>
      <c r="E32" s="118">
        <v>8038</v>
      </c>
      <c r="F32" t="s">
        <v>4950</v>
      </c>
      <c r="G32" s="28" t="str">
        <f>VLOOKUP($E32,STOCKS!$D$2:$E$2035,2,0)</f>
        <v>--</v>
      </c>
      <c r="H32">
        <v>38.450000000000003</v>
      </c>
      <c r="I32" s="129" t="e">
        <f t="shared" si="0"/>
        <v>#VALUE!</v>
      </c>
      <c r="J32" s="63" t="e">
        <f t="shared" si="1"/>
        <v>#VALUE!</v>
      </c>
    </row>
    <row r="33" spans="1:10">
      <c r="A33" s="118">
        <v>10.210000000000001</v>
      </c>
      <c r="B33" s="118">
        <v>-13.13</v>
      </c>
      <c r="C33" s="118">
        <v>4.66</v>
      </c>
      <c r="D33" s="118">
        <v>116.39</v>
      </c>
      <c r="E33" s="118">
        <v>3508</v>
      </c>
      <c r="F33" t="s">
        <v>5015</v>
      </c>
      <c r="G33" s="28" t="str">
        <f>VLOOKUP($E33,STOCKS!$D$2:$E$2035,2,0)</f>
        <v>--</v>
      </c>
      <c r="H33">
        <v>31.1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18.3</v>
      </c>
      <c r="B34" s="118">
        <v>9.51</v>
      </c>
      <c r="C34" s="118">
        <v>1.26</v>
      </c>
      <c r="D34" s="118">
        <v>61.06</v>
      </c>
      <c r="E34" s="118">
        <v>8121</v>
      </c>
      <c r="F34" t="s">
        <v>4958</v>
      </c>
      <c r="G34" s="28" t="str">
        <f>VLOOKUP($E34,STOCKS!$D$2:$E$2035,2,0)</f>
        <v>--</v>
      </c>
      <c r="H34">
        <v>47.5</v>
      </c>
      <c r="I34" s="129" t="e">
        <f t="shared" si="0"/>
        <v>#VALUE!</v>
      </c>
      <c r="J34" s="63" t="e">
        <f t="shared" si="1"/>
        <v>#VALUE!</v>
      </c>
    </row>
    <row r="35" spans="1:10">
      <c r="A35" s="118">
        <v>4.7300000000000004</v>
      </c>
      <c r="B35" s="118">
        <v>40.86</v>
      </c>
      <c r="C35" s="118">
        <v>-9.6999999999999993</v>
      </c>
      <c r="D35" s="118">
        <v>-34.119999999999997</v>
      </c>
      <c r="E35" s="118">
        <v>3521</v>
      </c>
      <c r="F35" t="s">
        <v>4740</v>
      </c>
      <c r="G35" s="28" t="str">
        <f>VLOOKUP($E35,STOCKS!$D$2:$E$2035,2,0)</f>
        <v>--</v>
      </c>
      <c r="H35">
        <v>14.55</v>
      </c>
      <c r="I35" s="129" t="e">
        <f t="shared" si="0"/>
        <v>#VALUE!</v>
      </c>
      <c r="J35" s="63" t="e">
        <f t="shared" si="1"/>
        <v>#VALUE!</v>
      </c>
    </row>
    <row r="36" spans="1:10">
      <c r="A36" s="118">
        <v>33.08</v>
      </c>
      <c r="B36" s="118">
        <v>-28.71</v>
      </c>
      <c r="C36" s="118">
        <v>-11.06</v>
      </c>
      <c r="D36" s="118">
        <v>-61.49</v>
      </c>
      <c r="E36" s="118">
        <v>6142</v>
      </c>
      <c r="F36" t="s">
        <v>4135</v>
      </c>
      <c r="G36" s="28" t="str">
        <f>VLOOKUP($E36,STOCKS!$D$2:$E$2035,2,0)</f>
        <v>--</v>
      </c>
      <c r="H36">
        <v>13.4</v>
      </c>
      <c r="I36" s="129" t="e">
        <f t="shared" si="0"/>
        <v>#VALUE!</v>
      </c>
      <c r="J36" s="63" t="e">
        <f t="shared" si="1"/>
        <v>#VALUE!</v>
      </c>
    </row>
    <row r="37" spans="1:10">
      <c r="A37" s="118">
        <v>9.0500000000000007</v>
      </c>
      <c r="B37" s="118">
        <v>383.96</v>
      </c>
      <c r="C37" s="118">
        <v>6.69</v>
      </c>
      <c r="D37" s="118">
        <v>-19.43</v>
      </c>
      <c r="E37" s="118">
        <v>8054</v>
      </c>
      <c r="F37" t="s">
        <v>4725</v>
      </c>
      <c r="G37" s="28" t="str">
        <f>VLOOKUP($E37,STOCKS!$D$2:$E$2035,2,0)</f>
        <v>--</v>
      </c>
      <c r="H37">
        <v>56.5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42.4</v>
      </c>
      <c r="B38" s="118">
        <v>-37.229999999999997</v>
      </c>
      <c r="C38" s="118">
        <v>2.08</v>
      </c>
      <c r="D38" s="118">
        <v>3.67</v>
      </c>
      <c r="E38" s="118">
        <v>3105</v>
      </c>
      <c r="F38" t="s">
        <v>3618</v>
      </c>
      <c r="G38" s="28" t="str">
        <f>VLOOKUP($E38,STOCKS!$D$2:$E$2035,2,0)</f>
        <v>--</v>
      </c>
      <c r="H38">
        <v>357.5</v>
      </c>
      <c r="I38" s="129" t="e">
        <f t="shared" si="0"/>
        <v>#VALUE!</v>
      </c>
      <c r="J38" s="63" t="e">
        <f t="shared" si="1"/>
        <v>#VALUE!</v>
      </c>
    </row>
    <row r="39" spans="1:10">
      <c r="A39" s="118">
        <v>210.68</v>
      </c>
      <c r="B39" s="118">
        <v>139.11000000000001</v>
      </c>
      <c r="C39" s="118">
        <v>-44.68</v>
      </c>
      <c r="D39" s="118">
        <v>2.57</v>
      </c>
      <c r="E39" s="118">
        <v>9945</v>
      </c>
      <c r="F39" t="s">
        <v>4498</v>
      </c>
      <c r="G39" s="28" t="str">
        <f>VLOOKUP($E39,STOCKS!$D$2:$E$2035,2,0)</f>
        <v>--</v>
      </c>
      <c r="H39">
        <v>70.900000000000006</v>
      </c>
      <c r="I39" s="129" t="e">
        <f t="shared" si="0"/>
        <v>#VALUE!</v>
      </c>
      <c r="J39" s="63" t="e">
        <f t="shared" si="1"/>
        <v>#VALUE!</v>
      </c>
    </row>
    <row r="40" spans="1:10">
      <c r="A40" s="118">
        <v>3.23</v>
      </c>
      <c r="B40" s="118">
        <v>9.0299999999999994</v>
      </c>
      <c r="C40" s="118">
        <v>18.170000000000002</v>
      </c>
      <c r="D40" s="118">
        <v>22.38</v>
      </c>
      <c r="E40" s="118">
        <v>3672</v>
      </c>
      <c r="F40" t="s">
        <v>4832</v>
      </c>
      <c r="G40" s="28">
        <f>VLOOKUP($E40,STOCKS!$D$2:$E$2035,2,0)</f>
        <v>29.9</v>
      </c>
      <c r="H40">
        <v>23.85</v>
      </c>
      <c r="I40" s="129">
        <f t="shared" si="0"/>
        <v>6.0499999999999972</v>
      </c>
      <c r="J40" s="63">
        <f t="shared" si="1"/>
        <v>0.25366876310272524</v>
      </c>
    </row>
    <row r="41" spans="1:10">
      <c r="A41" s="118">
        <v>15.46</v>
      </c>
      <c r="B41" s="118">
        <v>121.06</v>
      </c>
      <c r="C41" s="118">
        <v>-11.53</v>
      </c>
      <c r="D41" s="118">
        <v>82.74</v>
      </c>
      <c r="E41" s="118">
        <v>5309</v>
      </c>
      <c r="F41" t="s">
        <v>4908</v>
      </c>
      <c r="G41" s="28" t="str">
        <f>VLOOKUP($E41,STOCKS!$D$2:$E$2035,2,0)</f>
        <v>--</v>
      </c>
      <c r="H41">
        <v>37.1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5.72</v>
      </c>
      <c r="B42" s="118">
        <v>-108.56</v>
      </c>
      <c r="C42" s="118">
        <v>61.62</v>
      </c>
      <c r="D42" s="118">
        <v>-27.98</v>
      </c>
      <c r="E42" s="118">
        <v>8089</v>
      </c>
      <c r="F42" t="s">
        <v>4861</v>
      </c>
      <c r="G42" s="28" t="str">
        <f>VLOOKUP($E42,STOCKS!$D$2:$E$2035,2,0)</f>
        <v>--</v>
      </c>
      <c r="H42">
        <v>28</v>
      </c>
      <c r="I42" s="129" t="e">
        <f t="shared" si="0"/>
        <v>#VALUE!</v>
      </c>
      <c r="J42" s="63" t="e">
        <f t="shared" si="1"/>
        <v>#VALUE!</v>
      </c>
    </row>
    <row r="43" spans="1:10">
      <c r="A43" s="118">
        <v>6.01</v>
      </c>
      <c r="B43" s="118">
        <v>185.23</v>
      </c>
      <c r="C43" s="118">
        <v>-17.75</v>
      </c>
      <c r="D43" s="118">
        <v>-60.75</v>
      </c>
      <c r="E43" s="118">
        <v>3089</v>
      </c>
      <c r="F43" t="s">
        <v>5521</v>
      </c>
      <c r="G43" s="28" t="str">
        <f>VLOOKUP($E43,STOCKS!$D$2:$E$2035,2,0)</f>
        <v>--</v>
      </c>
      <c r="H43">
        <v>34.9</v>
      </c>
      <c r="I43" s="129" t="e">
        <f t="shared" si="0"/>
        <v>#VALUE!</v>
      </c>
      <c r="J43" s="63" t="e">
        <f t="shared" si="1"/>
        <v>#VALUE!</v>
      </c>
    </row>
    <row r="44" spans="1:10">
      <c r="A44" s="118">
        <v>73.430000000000007</v>
      </c>
      <c r="B44" s="118">
        <v>141.31</v>
      </c>
      <c r="C44" s="118">
        <v>-41.32</v>
      </c>
      <c r="D44" s="118">
        <v>24.22</v>
      </c>
      <c r="E44" s="118">
        <v>2915</v>
      </c>
      <c r="F44" t="s">
        <v>4419</v>
      </c>
      <c r="G44" s="28" t="str">
        <f>VLOOKUP($E44,STOCKS!$D$2:$E$2035,2,0)</f>
        <v>--</v>
      </c>
      <c r="H44">
        <v>108.5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21.29</v>
      </c>
      <c r="B45" s="118">
        <v>-10.32</v>
      </c>
      <c r="C45" s="118">
        <v>-28.68</v>
      </c>
      <c r="D45" s="118">
        <v>29619.200000000001</v>
      </c>
      <c r="E45" s="118">
        <v>6547</v>
      </c>
      <c r="F45" t="s">
        <v>45</v>
      </c>
      <c r="G45" s="28" t="str">
        <f>VLOOKUP($E45,STOCKS!$D$2:$E$2035,2,0)</f>
        <v>--</v>
      </c>
      <c r="H45">
        <v>240</v>
      </c>
      <c r="I45" s="129" t="e">
        <f t="shared" si="0"/>
        <v>#VALUE!</v>
      </c>
      <c r="J45" s="63" t="e">
        <f t="shared" si="1"/>
        <v>#VALUE!</v>
      </c>
    </row>
    <row r="46" spans="1:10">
      <c r="A46" s="118">
        <v>9.89</v>
      </c>
      <c r="B46" s="118">
        <v>7.06</v>
      </c>
      <c r="C46" s="118">
        <v>-8.2899999999999991</v>
      </c>
      <c r="D46" s="118">
        <v>11.7</v>
      </c>
      <c r="E46" s="118">
        <v>3027</v>
      </c>
      <c r="F46" t="s">
        <v>4120</v>
      </c>
      <c r="G46" s="28" t="str">
        <f>VLOOKUP($E46,STOCKS!$D$2:$E$2035,2,0)</f>
        <v>--</v>
      </c>
      <c r="H46">
        <v>24.5</v>
      </c>
      <c r="I46" s="129" t="e">
        <f t="shared" si="0"/>
        <v>#VALUE!</v>
      </c>
      <c r="J46" s="63" t="e">
        <f t="shared" si="1"/>
        <v>#VALUE!</v>
      </c>
    </row>
    <row r="47" spans="1:10">
      <c r="A47" s="118">
        <v>6.6</v>
      </c>
      <c r="B47" s="118">
        <v>233.51</v>
      </c>
      <c r="C47" s="118">
        <v>4.32</v>
      </c>
      <c r="D47" s="118">
        <v>17.39</v>
      </c>
      <c r="E47" s="118">
        <v>6217</v>
      </c>
      <c r="F47" t="s">
        <v>4936</v>
      </c>
      <c r="G47" s="28" t="str">
        <f>VLOOKUP($E47,STOCKS!$D$2:$E$2035,2,0)</f>
        <v>--</v>
      </c>
      <c r="H47">
        <v>61</v>
      </c>
      <c r="I47" s="129" t="e">
        <f t="shared" si="0"/>
        <v>#VALUE!</v>
      </c>
      <c r="J47" s="63" t="e">
        <f t="shared" si="1"/>
        <v>#VALUE!</v>
      </c>
    </row>
    <row r="48" spans="1:10">
      <c r="A48" s="118">
        <v>28.11</v>
      </c>
      <c r="B48" s="118">
        <v>372.36</v>
      </c>
      <c r="C48" s="118">
        <v>1.95</v>
      </c>
      <c r="D48" s="118">
        <v>19.46</v>
      </c>
      <c r="E48" s="118">
        <v>3019</v>
      </c>
      <c r="F48" t="s">
        <v>4061</v>
      </c>
      <c r="G48" s="28" t="str">
        <f>VLOOKUP($E48,STOCKS!$D$2:$E$2035,2,0)</f>
        <v>--</v>
      </c>
      <c r="H48">
        <v>88.5</v>
      </c>
      <c r="I48" s="129" t="e">
        <f t="shared" si="0"/>
        <v>#VALUE!</v>
      </c>
      <c r="J48" s="63" t="e">
        <f t="shared" si="1"/>
        <v>#VALUE!</v>
      </c>
    </row>
    <row r="49" spans="1:10">
      <c r="A49" s="118">
        <v>18.21</v>
      </c>
      <c r="B49" s="118">
        <v>189.33</v>
      </c>
      <c r="C49" s="118">
        <v>1.7</v>
      </c>
      <c r="D49" s="118">
        <v>29.36</v>
      </c>
      <c r="E49" s="118">
        <v>2351</v>
      </c>
      <c r="F49" t="s">
        <v>3642</v>
      </c>
      <c r="G49" s="28" t="str">
        <f>VLOOKUP($E49,STOCKS!$D$2:$E$2035,2,0)</f>
        <v>--</v>
      </c>
      <c r="H49">
        <v>166</v>
      </c>
      <c r="I49" s="129" t="e">
        <f t="shared" si="0"/>
        <v>#VALUE!</v>
      </c>
      <c r="J49" s="63" t="e">
        <f t="shared" si="1"/>
        <v>#VALUE!</v>
      </c>
    </row>
    <row r="50" spans="1:10">
      <c r="A50" s="118">
        <v>3.44</v>
      </c>
      <c r="B50" s="118">
        <v>1.35</v>
      </c>
      <c r="C50" s="118">
        <v>0.84</v>
      </c>
      <c r="D50" s="118">
        <v>47.75</v>
      </c>
      <c r="E50" s="118">
        <v>5274</v>
      </c>
      <c r="F50" t="s">
        <v>4685</v>
      </c>
      <c r="G50" s="28" t="str">
        <f>VLOOKUP($E50,STOCKS!$D$2:$E$2035,2,0)</f>
        <v>--</v>
      </c>
      <c r="H50">
        <v>2770</v>
      </c>
      <c r="I50" s="129" t="e">
        <f t="shared" si="0"/>
        <v>#VALUE!</v>
      </c>
      <c r="J50" s="63" t="e">
        <f t="shared" si="1"/>
        <v>#VALUE!</v>
      </c>
    </row>
    <row r="51" spans="1:10">
      <c r="A51" s="118">
        <v>13.15</v>
      </c>
      <c r="B51" s="118">
        <v>93.63</v>
      </c>
      <c r="C51" s="118">
        <v>12.69</v>
      </c>
      <c r="D51" s="118">
        <v>1.27</v>
      </c>
      <c r="E51" s="118">
        <v>3362</v>
      </c>
      <c r="F51" t="s">
        <v>3598</v>
      </c>
      <c r="G51" s="28" t="str">
        <f>VLOOKUP($E51,STOCKS!$D$2:$E$2035,2,0)</f>
        <v>--</v>
      </c>
      <c r="H51">
        <v>72.2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32.270000000000003</v>
      </c>
      <c r="B52" s="118">
        <v>-90.68</v>
      </c>
      <c r="C52" s="118">
        <v>-4.24</v>
      </c>
      <c r="D52" s="118">
        <v>-12.57</v>
      </c>
      <c r="E52" s="118">
        <v>1611</v>
      </c>
      <c r="F52" t="s">
        <v>3821</v>
      </c>
      <c r="G52" s="28" t="str">
        <f>VLOOKUP($E52,STOCKS!$D$2:$E$2035,2,0)</f>
        <v>--</v>
      </c>
      <c r="H52">
        <v>11.55</v>
      </c>
      <c r="I52" s="129" t="e">
        <f t="shared" si="0"/>
        <v>#VALUE!</v>
      </c>
      <c r="J52" s="63" t="e">
        <f t="shared" si="1"/>
        <v>#VALUE!</v>
      </c>
    </row>
    <row r="53" spans="1:10">
      <c r="A53" s="118">
        <v>7.54</v>
      </c>
      <c r="B53" s="118">
        <v>605.25</v>
      </c>
      <c r="C53" s="118">
        <v>9.6999999999999993</v>
      </c>
      <c r="D53" s="118">
        <v>109.47</v>
      </c>
      <c r="E53" s="118">
        <v>3141</v>
      </c>
      <c r="F53" t="s">
        <v>4662</v>
      </c>
      <c r="G53" s="28">
        <f>VLOOKUP($E53,STOCKS!$D$2:$E$2035,2,0)</f>
        <v>259.5</v>
      </c>
      <c r="H53">
        <v>216</v>
      </c>
      <c r="I53" s="129">
        <f t="shared" si="0"/>
        <v>43.5</v>
      </c>
      <c r="J53" s="63">
        <f t="shared" si="1"/>
        <v>0.2013888888888889</v>
      </c>
    </row>
    <row r="54" spans="1:10">
      <c r="A54" s="118">
        <v>12.76</v>
      </c>
      <c r="B54" s="118">
        <v>20.98</v>
      </c>
      <c r="C54" s="118">
        <v>-8.1999999999999993</v>
      </c>
      <c r="D54" s="118">
        <v>18.559999999999999</v>
      </c>
      <c r="E54" s="118">
        <v>8044</v>
      </c>
      <c r="F54" t="s">
        <v>3547</v>
      </c>
      <c r="G54" s="28" t="str">
        <f>VLOOKUP($E54,STOCKS!$D$2:$E$2035,2,0)</f>
        <v>--</v>
      </c>
      <c r="H54">
        <v>145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7.5</v>
      </c>
      <c r="B55" s="118">
        <v>-21.93</v>
      </c>
      <c r="C55" s="118">
        <v>3.92</v>
      </c>
      <c r="D55" s="118">
        <v>28.74</v>
      </c>
      <c r="E55" s="118">
        <v>5353</v>
      </c>
      <c r="F55" t="s">
        <v>4840</v>
      </c>
      <c r="G55" s="28" t="str">
        <f>VLOOKUP($E55,STOCKS!$D$2:$E$2035,2,0)</f>
        <v>--</v>
      </c>
      <c r="H55">
        <v>20.2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3.45</v>
      </c>
      <c r="B56" s="118">
        <v>-174.24</v>
      </c>
      <c r="C56" s="118">
        <v>5.52</v>
      </c>
      <c r="D56" s="118">
        <v>24.12</v>
      </c>
      <c r="E56" s="118">
        <v>6418</v>
      </c>
      <c r="F56" t="s">
        <v>4945</v>
      </c>
      <c r="G56" s="28" t="str">
        <f>VLOOKUP($E56,STOCKS!$D$2:$E$2035,2,0)</f>
        <v>--</v>
      </c>
      <c r="H56">
        <v>18.600000000000001</v>
      </c>
      <c r="I56" s="129" t="e">
        <f t="shared" si="0"/>
        <v>#VALUE!</v>
      </c>
      <c r="J56" s="63" t="e">
        <f t="shared" si="1"/>
        <v>#VALUE!</v>
      </c>
    </row>
    <row r="57" spans="1:10">
      <c r="A57" s="118">
        <v>2.78</v>
      </c>
      <c r="B57" s="118">
        <v>29.57</v>
      </c>
      <c r="C57" s="118">
        <v>10.86</v>
      </c>
      <c r="D57" s="118">
        <v>31.77</v>
      </c>
      <c r="E57" s="118">
        <v>5468</v>
      </c>
      <c r="F57" t="s">
        <v>4692</v>
      </c>
      <c r="G57" s="28" t="str">
        <f>VLOOKUP($E57,STOCKS!$D$2:$E$2035,2,0)</f>
        <v>--</v>
      </c>
      <c r="H57">
        <v>18.2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962.42</v>
      </c>
      <c r="B58" s="118">
        <v>453.03</v>
      </c>
      <c r="C58" s="118">
        <v>0.88</v>
      </c>
      <c r="D58" s="118">
        <v>26.54</v>
      </c>
      <c r="E58" s="118">
        <v>2409</v>
      </c>
      <c r="F58" t="s">
        <v>4055</v>
      </c>
      <c r="G58" s="28">
        <f>VLOOKUP($E58,STOCKS!$D$2:$E$2035,2,0)</f>
        <v>21.2</v>
      </c>
      <c r="H58">
        <v>19.2</v>
      </c>
      <c r="I58" s="129">
        <f t="shared" si="0"/>
        <v>2</v>
      </c>
      <c r="J58" s="63">
        <f t="shared" si="1"/>
        <v>0.10416666666666667</v>
      </c>
    </row>
    <row r="59" spans="1:10">
      <c r="A59" s="118">
        <v>19.649999999999999</v>
      </c>
      <c r="B59" s="118">
        <v>14.94</v>
      </c>
      <c r="C59" s="118">
        <v>2.57</v>
      </c>
      <c r="D59" s="118">
        <v>40.97</v>
      </c>
      <c r="E59" s="118">
        <v>8086</v>
      </c>
      <c r="F59" t="s">
        <v>4726</v>
      </c>
      <c r="G59" s="28">
        <f>VLOOKUP($E59,STOCKS!$D$2:$E$2035,2,0)</f>
        <v>150.5</v>
      </c>
      <c r="H59">
        <v>159.5</v>
      </c>
      <c r="I59" s="129">
        <f t="shared" si="0"/>
        <v>-9</v>
      </c>
      <c r="J59" s="63">
        <f t="shared" si="1"/>
        <v>-5.6426332288401257E-2</v>
      </c>
    </row>
    <row r="60" spans="1:10">
      <c r="A60" s="118">
        <v>3.68</v>
      </c>
      <c r="B60" s="118">
        <v>135.62</v>
      </c>
      <c r="C60" s="118">
        <v>35.04</v>
      </c>
      <c r="D60" s="118">
        <v>37.58</v>
      </c>
      <c r="E60" s="118">
        <v>3297</v>
      </c>
      <c r="F60" t="s">
        <v>4777</v>
      </c>
      <c r="G60" s="28" t="str">
        <f>VLOOKUP($E60,STOCKS!$D$2:$E$2035,2,0)</f>
        <v>--</v>
      </c>
      <c r="H60">
        <v>20.05</v>
      </c>
      <c r="I60" s="129" t="e">
        <f t="shared" si="0"/>
        <v>#VALUE!</v>
      </c>
      <c r="J60" s="63" t="e">
        <f t="shared" si="1"/>
        <v>#VALUE!</v>
      </c>
    </row>
    <row r="61" spans="1:10">
      <c r="A61" s="118">
        <v>18.78</v>
      </c>
      <c r="B61" s="118">
        <v>289.57</v>
      </c>
      <c r="C61" s="118">
        <v>3.78</v>
      </c>
      <c r="D61" s="118">
        <v>36.96</v>
      </c>
      <c r="E61" s="118">
        <v>2476</v>
      </c>
      <c r="F61" t="s">
        <v>4168</v>
      </c>
      <c r="G61" s="28" t="str">
        <f>VLOOKUP($E61,STOCKS!$D$2:$E$2035,2,0)</f>
        <v>--</v>
      </c>
      <c r="H61">
        <v>66.3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9.81</v>
      </c>
      <c r="B62" s="118">
        <v>15</v>
      </c>
      <c r="C62" s="118">
        <v>-15.3</v>
      </c>
      <c r="D62" s="118">
        <v>12.57</v>
      </c>
      <c r="E62" s="118">
        <v>3625</v>
      </c>
      <c r="F62" t="s">
        <v>4745</v>
      </c>
      <c r="G62" s="28">
        <f>VLOOKUP($E62,STOCKS!$D$2:$E$2035,2,0)</f>
        <v>23.35</v>
      </c>
      <c r="H62">
        <v>23.9</v>
      </c>
      <c r="I62" s="129">
        <f t="shared" si="0"/>
        <v>-0.54999999999999716</v>
      </c>
      <c r="J62" s="63">
        <f t="shared" si="1"/>
        <v>-2.3012552301255113E-2</v>
      </c>
    </row>
    <row r="63" spans="1:10">
      <c r="A63" s="118">
        <v>7.08</v>
      </c>
      <c r="B63" s="118">
        <v>-133.22</v>
      </c>
      <c r="C63" s="118">
        <v>61.99</v>
      </c>
      <c r="D63" s="118">
        <v>-32.200000000000003</v>
      </c>
      <c r="E63" s="118">
        <v>6462</v>
      </c>
      <c r="F63" t="s">
        <v>4709</v>
      </c>
      <c r="G63" s="28" t="str">
        <f>VLOOKUP($E63,STOCKS!$D$2:$E$2035,2,0)</f>
        <v>--</v>
      </c>
      <c r="H63">
        <v>132.5</v>
      </c>
      <c r="I63" s="129" t="e">
        <f t="shared" si="0"/>
        <v>#VALUE!</v>
      </c>
      <c r="J63" s="63" t="e">
        <f t="shared" si="1"/>
        <v>#VALUE!</v>
      </c>
    </row>
    <row r="64" spans="1:10">
      <c r="A64" s="118">
        <v>3.85</v>
      </c>
      <c r="B64" s="118">
        <v>-80.52</v>
      </c>
      <c r="C64" s="118">
        <v>7.26</v>
      </c>
      <c r="D64" s="118">
        <v>-25.54</v>
      </c>
      <c r="E64" s="118">
        <v>6426</v>
      </c>
      <c r="F64" t="s">
        <v>3680</v>
      </c>
      <c r="G64" s="28" t="str">
        <f>VLOOKUP($E64,STOCKS!$D$2:$E$2035,2,0)</f>
        <v>--</v>
      </c>
      <c r="H64">
        <v>70.7</v>
      </c>
      <c r="I64" s="129" t="e">
        <f t="shared" si="0"/>
        <v>#VALUE!</v>
      </c>
      <c r="J64" s="63" t="e">
        <f t="shared" si="1"/>
        <v>#VALUE!</v>
      </c>
    </row>
    <row r="65" spans="1:10">
      <c r="A65" s="118">
        <v>7.49</v>
      </c>
      <c r="B65" s="118">
        <v>302.5</v>
      </c>
      <c r="C65" s="118">
        <v>4.21</v>
      </c>
      <c r="D65" s="118">
        <v>7.16</v>
      </c>
      <c r="E65" s="118">
        <v>8114</v>
      </c>
      <c r="F65" t="s">
        <v>4047</v>
      </c>
      <c r="G65" s="28" t="str">
        <f>VLOOKUP($E65,STOCKS!$D$2:$E$2035,2,0)</f>
        <v>--</v>
      </c>
      <c r="H65">
        <v>91</v>
      </c>
      <c r="I65" s="129" t="e">
        <f t="shared" si="0"/>
        <v>#VALUE!</v>
      </c>
      <c r="J65" s="63" t="e">
        <f t="shared" si="1"/>
        <v>#VALUE!</v>
      </c>
    </row>
    <row r="66" spans="1:10">
      <c r="A66" s="118">
        <v>50.5</v>
      </c>
      <c r="B66" s="118">
        <v>211.41</v>
      </c>
      <c r="C66" s="118">
        <v>12.21</v>
      </c>
      <c r="D66" s="118">
        <v>-37.58</v>
      </c>
      <c r="E66" s="118">
        <v>4123</v>
      </c>
      <c r="F66" t="s">
        <v>4589</v>
      </c>
      <c r="G66" s="28" t="str">
        <f>VLOOKUP($E66,STOCKS!$D$2:$E$2035,2,0)</f>
        <v>--</v>
      </c>
      <c r="H66">
        <v>66.5</v>
      </c>
      <c r="I66" s="129" t="e">
        <f t="shared" si="0"/>
        <v>#VALUE!</v>
      </c>
      <c r="J66" s="63" t="e">
        <f t="shared" si="1"/>
        <v>#VALUE!</v>
      </c>
    </row>
    <row r="67" spans="1:10">
      <c r="A67" s="118">
        <v>8.7899999999999991</v>
      </c>
      <c r="B67" s="118">
        <v>41.63</v>
      </c>
      <c r="C67" s="118">
        <v>36.15</v>
      </c>
      <c r="D67" s="118">
        <v>18.899999999999999</v>
      </c>
      <c r="E67" s="118">
        <v>6216</v>
      </c>
      <c r="F67" t="s">
        <v>4137</v>
      </c>
      <c r="G67" s="28" t="str">
        <f>VLOOKUP($E67,STOCKS!$D$2:$E$2035,2,0)</f>
        <v>--</v>
      </c>
      <c r="H67">
        <v>28.2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349.21</v>
      </c>
      <c r="B68" s="118">
        <v>7708.77</v>
      </c>
      <c r="C68" s="118">
        <v>1.32</v>
      </c>
      <c r="D68" s="118">
        <v>145.04</v>
      </c>
      <c r="E68" s="118">
        <v>2609</v>
      </c>
      <c r="F68" t="s">
        <v>3567</v>
      </c>
      <c r="G68" s="28">
        <f>VLOOKUP($E68,STOCKS!$D$2:$E$2035,2,0)</f>
        <v>111.5</v>
      </c>
      <c r="H68">
        <v>96.5</v>
      </c>
      <c r="I68" s="129">
        <f t="shared" si="2"/>
        <v>15</v>
      </c>
      <c r="J68" s="63">
        <f t="shared" si="3"/>
        <v>0.15544041450777202</v>
      </c>
    </row>
    <row r="69" spans="1:10">
      <c r="A69" s="118">
        <v>8.85</v>
      </c>
      <c r="B69" s="118">
        <v>0.04</v>
      </c>
      <c r="C69" s="118">
        <v>-17</v>
      </c>
      <c r="D69" s="118">
        <v>-53.24</v>
      </c>
      <c r="E69" s="118">
        <v>4968</v>
      </c>
      <c r="F69" t="s">
        <v>3981</v>
      </c>
      <c r="G69" s="28" t="str">
        <f>VLOOKUP($E69,STOCKS!$D$2:$E$2035,2,0)</f>
        <v>--</v>
      </c>
      <c r="H69">
        <v>288</v>
      </c>
      <c r="I69" s="129" t="e">
        <f t="shared" si="2"/>
        <v>#VALUE!</v>
      </c>
      <c r="J69" s="63" t="e">
        <f t="shared" si="3"/>
        <v>#VALUE!</v>
      </c>
    </row>
    <row r="70" spans="1:10">
      <c r="A70" s="118">
        <v>14.79</v>
      </c>
      <c r="B70" s="118">
        <v>-6355.53</v>
      </c>
      <c r="C70" s="118">
        <v>9.19</v>
      </c>
      <c r="D70" s="118">
        <v>-8.73</v>
      </c>
      <c r="E70" s="118">
        <v>6283</v>
      </c>
      <c r="F70" t="s">
        <v>4291</v>
      </c>
      <c r="G70" s="28" t="str">
        <f>VLOOKUP($E70,STOCKS!$D$2:$E$2035,2,0)</f>
        <v>--</v>
      </c>
      <c r="H70">
        <v>49.15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8.94</v>
      </c>
      <c r="B71" s="118">
        <v>-7.56</v>
      </c>
      <c r="C71" s="118">
        <v>5</v>
      </c>
      <c r="D71" s="118">
        <v>14.47</v>
      </c>
      <c r="E71" s="118">
        <v>8996</v>
      </c>
      <c r="F71" t="s">
        <v>3816</v>
      </c>
      <c r="G71" s="28" t="str">
        <f>VLOOKUP($E71,STOCKS!$D$2:$E$2035,2,0)</f>
        <v>--</v>
      </c>
      <c r="H71">
        <v>50.3</v>
      </c>
      <c r="I71" s="129" t="e">
        <f t="shared" si="2"/>
        <v>#VALUE!</v>
      </c>
      <c r="J71" s="63" t="e">
        <f t="shared" si="3"/>
        <v>#VALUE!</v>
      </c>
    </row>
    <row r="72" spans="1:10">
      <c r="A72" s="118">
        <v>8.1999999999999993</v>
      </c>
      <c r="B72" s="118">
        <v>9787.8700000000008</v>
      </c>
      <c r="C72" s="118">
        <v>-193.14</v>
      </c>
      <c r="D72" s="118">
        <v>-723.3</v>
      </c>
      <c r="E72" s="118">
        <v>2491</v>
      </c>
      <c r="F72" t="s">
        <v>3541</v>
      </c>
      <c r="G72" s="28" t="str">
        <f>VLOOKUP($E72,STOCKS!$D$2:$E$2035,2,0)</f>
        <v>--</v>
      </c>
      <c r="H72">
        <v>22.5</v>
      </c>
      <c r="I72" s="129" t="e">
        <f t="shared" si="2"/>
        <v>#VALUE!</v>
      </c>
      <c r="J72" s="63" t="e">
        <f t="shared" si="3"/>
        <v>#VALUE!</v>
      </c>
    </row>
    <row r="73" spans="1:10">
      <c r="A73" s="118">
        <v>8.0299999999999994</v>
      </c>
      <c r="B73" s="118">
        <v>-0.8</v>
      </c>
      <c r="C73" s="118">
        <v>109.64</v>
      </c>
      <c r="D73" s="118">
        <v>32.54</v>
      </c>
      <c r="E73" s="118">
        <v>3323</v>
      </c>
      <c r="F73" t="s">
        <v>4736</v>
      </c>
      <c r="G73" s="28" t="str">
        <f>VLOOKUP($E73,STOCKS!$D$2:$E$2035,2,0)</f>
        <v>--</v>
      </c>
      <c r="H73">
        <v>46.35</v>
      </c>
      <c r="I73" s="129" t="e">
        <f t="shared" si="2"/>
        <v>#VALUE!</v>
      </c>
      <c r="J73" s="63" t="e">
        <f t="shared" si="3"/>
        <v>#VALUE!</v>
      </c>
    </row>
    <row r="74" spans="1:10">
      <c r="A74" s="118">
        <v>32.340000000000003</v>
      </c>
      <c r="B74" s="118">
        <v>134.12</v>
      </c>
      <c r="C74" s="118">
        <v>2.06</v>
      </c>
      <c r="D74" s="118">
        <v>37.1</v>
      </c>
      <c r="E74" s="118">
        <v>3707</v>
      </c>
      <c r="F74" t="s">
        <v>3626</v>
      </c>
      <c r="G74" s="28" t="str">
        <f>VLOOKUP($E74,STOCKS!$D$2:$E$2035,2,0)</f>
        <v>--</v>
      </c>
      <c r="H74">
        <v>152.5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8.35</v>
      </c>
      <c r="B75" s="118">
        <v>187.95</v>
      </c>
      <c r="C75" s="118">
        <v>1.85</v>
      </c>
      <c r="D75" s="118">
        <v>-4.71</v>
      </c>
      <c r="E75" s="118">
        <v>4916</v>
      </c>
      <c r="F75" t="s">
        <v>4032</v>
      </c>
      <c r="G75" s="28" t="str">
        <f>VLOOKUP($E75,STOCKS!$D$2:$E$2035,2,0)</f>
        <v>--</v>
      </c>
      <c r="H75">
        <v>26.05</v>
      </c>
      <c r="I75" s="129" t="e">
        <f t="shared" si="2"/>
        <v>#VALUE!</v>
      </c>
      <c r="J75" s="63" t="e">
        <f t="shared" si="3"/>
        <v>#VALUE!</v>
      </c>
    </row>
    <row r="76" spans="1:10">
      <c r="A76" s="118">
        <v>7.35</v>
      </c>
      <c r="B76" s="118">
        <v>40.17</v>
      </c>
      <c r="C76" s="118">
        <v>-17.37</v>
      </c>
      <c r="D76" s="118">
        <v>-3.24</v>
      </c>
      <c r="E76" s="118">
        <v>3663</v>
      </c>
      <c r="F76" t="s">
        <v>5023</v>
      </c>
      <c r="G76" s="28">
        <f>VLOOKUP($E76,STOCKS!$D$2:$E$2035,2,0)</f>
        <v>38.299999999999997</v>
      </c>
      <c r="H76">
        <v>42.85</v>
      </c>
      <c r="I76" s="129">
        <f t="shared" si="2"/>
        <v>-4.5500000000000043</v>
      </c>
      <c r="J76" s="63">
        <f t="shared" si="3"/>
        <v>-0.10618436406067687</v>
      </c>
    </row>
    <row r="77" spans="1:10">
      <c r="A77" s="118">
        <v>6.02</v>
      </c>
      <c r="B77" s="118">
        <v>24.62</v>
      </c>
      <c r="C77" s="118">
        <v>24.76</v>
      </c>
      <c r="D77" s="118">
        <v>35.07</v>
      </c>
      <c r="E77" s="118">
        <v>2438</v>
      </c>
      <c r="F77" t="s">
        <v>4057</v>
      </c>
      <c r="G77" s="28" t="str">
        <f>VLOOKUP($E77,STOCKS!$D$2:$E$2035,2,0)</f>
        <v>--</v>
      </c>
      <c r="H77">
        <v>13.2</v>
      </c>
      <c r="I77" s="129" t="e">
        <f t="shared" si="2"/>
        <v>#VALUE!</v>
      </c>
      <c r="J77" s="63" t="e">
        <f t="shared" si="3"/>
        <v>#VALUE!</v>
      </c>
    </row>
    <row r="78" spans="1:10">
      <c r="A78" s="118">
        <v>3.2</v>
      </c>
      <c r="B78" s="118">
        <v>1969.51</v>
      </c>
      <c r="C78" s="118">
        <v>-5.57</v>
      </c>
      <c r="D78" s="118">
        <v>-13.04</v>
      </c>
      <c r="E78" s="118">
        <v>5211</v>
      </c>
      <c r="F78" t="s">
        <v>4986</v>
      </c>
      <c r="G78" s="28" t="str">
        <f>VLOOKUP($E78,STOCKS!$D$2:$E$2035,2,0)</f>
        <v>--</v>
      </c>
      <c r="H78">
        <v>22.45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10.68</v>
      </c>
      <c r="B79" s="118">
        <v>-46.04</v>
      </c>
      <c r="C79" s="118">
        <v>7.64</v>
      </c>
      <c r="D79" s="118">
        <v>16.739999999999998</v>
      </c>
      <c r="E79" s="118">
        <v>3536</v>
      </c>
      <c r="F79" t="s">
        <v>3612</v>
      </c>
      <c r="G79" s="28" t="str">
        <f>VLOOKUP($E79,STOCKS!$D$2:$E$2035,2,0)</f>
        <v>--</v>
      </c>
      <c r="H79">
        <v>6.73</v>
      </c>
      <c r="I79" s="129" t="e">
        <f t="shared" si="2"/>
        <v>#VALUE!</v>
      </c>
      <c r="J79" s="63" t="e">
        <f t="shared" si="3"/>
        <v>#VALUE!</v>
      </c>
    </row>
    <row r="80" spans="1:10">
      <c r="A80" s="118">
        <v>2.7</v>
      </c>
      <c r="B80" s="118">
        <v>228.89</v>
      </c>
      <c r="C80" s="118">
        <v>-12.23</v>
      </c>
      <c r="D80" s="118">
        <v>-28.22</v>
      </c>
      <c r="E80" s="118">
        <v>2250</v>
      </c>
      <c r="F80" t="s">
        <v>5517</v>
      </c>
      <c r="G80" s="28" t="str">
        <f>VLOOKUP($E80,STOCKS!$D$2:$E$2035,2,0)</f>
        <v>--</v>
      </c>
      <c r="H80">
        <v>120</v>
      </c>
      <c r="I80" s="129" t="e">
        <f t="shared" si="2"/>
        <v>#VALUE!</v>
      </c>
      <c r="J80" s="63" t="e">
        <f t="shared" si="3"/>
        <v>#VALUE!</v>
      </c>
    </row>
    <row r="81" spans="1:10">
      <c r="A81" s="118">
        <v>4.4000000000000004</v>
      </c>
      <c r="B81" s="118">
        <v>32.99</v>
      </c>
      <c r="C81" s="118">
        <v>5.16</v>
      </c>
      <c r="D81" s="118">
        <v>-46.44</v>
      </c>
      <c r="E81" s="118">
        <v>3287</v>
      </c>
      <c r="F81" t="s">
        <v>4735</v>
      </c>
      <c r="G81" s="28" t="str">
        <f>VLOOKUP($E81,STOCKS!$D$2:$E$2035,2,0)</f>
        <v>--</v>
      </c>
      <c r="H81">
        <v>17.350000000000001</v>
      </c>
      <c r="I81" s="129" t="e">
        <f t="shared" si="2"/>
        <v>#VALUE!</v>
      </c>
      <c r="J81" s="63" t="e">
        <f t="shared" si="3"/>
        <v>#VALUE!</v>
      </c>
    </row>
    <row r="82" spans="1:10">
      <c r="A82" s="118">
        <v>8</v>
      </c>
      <c r="B82" s="118">
        <v>104.88</v>
      </c>
      <c r="C82" s="118">
        <v>-8.07</v>
      </c>
      <c r="D82" s="118">
        <v>5.37</v>
      </c>
      <c r="E82" s="118">
        <v>3257</v>
      </c>
      <c r="F82" t="s">
        <v>3970</v>
      </c>
      <c r="G82" s="28" t="str">
        <f>VLOOKUP($E82,STOCKS!$D$2:$E$2035,2,0)</f>
        <v>--</v>
      </c>
      <c r="H82">
        <v>71.599999999999994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10.43</v>
      </c>
      <c r="B83" s="118">
        <v>-61.26</v>
      </c>
      <c r="C83" s="118">
        <v>-72.89</v>
      </c>
      <c r="D83" s="118">
        <v>-96.24</v>
      </c>
      <c r="E83" s="118">
        <v>8427</v>
      </c>
      <c r="F83" t="s">
        <v>4465</v>
      </c>
      <c r="G83" s="28" t="str">
        <f>VLOOKUP($E83,STOCKS!$D$2:$E$2035,2,0)</f>
        <v>--</v>
      </c>
      <c r="H83">
        <v>52.9</v>
      </c>
      <c r="I83" s="129" t="e">
        <f t="shared" si="2"/>
        <v>#VALUE!</v>
      </c>
      <c r="J83" s="63" t="e">
        <f t="shared" si="3"/>
        <v>#VALUE!</v>
      </c>
    </row>
    <row r="84" spans="1:10">
      <c r="A84" s="118">
        <v>19.52</v>
      </c>
      <c r="B84" s="118">
        <v>-71.19</v>
      </c>
      <c r="C84" s="118">
        <v>8.75</v>
      </c>
      <c r="D84" s="118">
        <v>-12.5</v>
      </c>
      <c r="E84" s="118">
        <v>6288</v>
      </c>
      <c r="F84" t="s">
        <v>3939</v>
      </c>
      <c r="G84" s="28" t="str">
        <f>VLOOKUP($E84,STOCKS!$D$2:$E$2035,2,0)</f>
        <v>--</v>
      </c>
      <c r="H84">
        <v>29</v>
      </c>
      <c r="I84" s="129" t="e">
        <f t="shared" si="2"/>
        <v>#VALUE!</v>
      </c>
      <c r="J84" s="63" t="e">
        <f t="shared" si="3"/>
        <v>#VALUE!</v>
      </c>
    </row>
    <row r="85" spans="1:10">
      <c r="A85" s="118">
        <v>21.4</v>
      </c>
      <c r="B85" s="118">
        <v>361.42</v>
      </c>
      <c r="C85" s="118">
        <v>10.44</v>
      </c>
      <c r="D85" s="118">
        <v>14.01</v>
      </c>
      <c r="E85" s="118">
        <v>2390</v>
      </c>
      <c r="F85" t="s">
        <v>3545</v>
      </c>
      <c r="G85" s="28">
        <f>VLOOKUP($E85,STOCKS!$D$2:$E$2035,2,0)</f>
        <v>21.4</v>
      </c>
      <c r="H85">
        <v>21.9</v>
      </c>
      <c r="I85" s="129">
        <f t="shared" si="2"/>
        <v>-0.5</v>
      </c>
      <c r="J85" s="63">
        <f t="shared" si="3"/>
        <v>-2.2831050228310504E-2</v>
      </c>
    </row>
    <row r="86" spans="1:10">
      <c r="A86" s="118">
        <v>35</v>
      </c>
      <c r="B86" s="118">
        <v>296.19</v>
      </c>
      <c r="C86" s="118">
        <v>2.93</v>
      </c>
      <c r="D86" s="118">
        <v>66.94</v>
      </c>
      <c r="E86" s="118">
        <v>2035</v>
      </c>
      <c r="F86" t="s">
        <v>4648</v>
      </c>
      <c r="G86" s="28" t="str">
        <f>VLOOKUP($E86,STOCKS!$D$2:$E$2035,2,0)</f>
        <v>--</v>
      </c>
      <c r="H86">
        <v>37.25</v>
      </c>
      <c r="I86" s="129" t="e">
        <f t="shared" si="2"/>
        <v>#VALUE!</v>
      </c>
      <c r="J86" s="63" t="e">
        <f t="shared" si="3"/>
        <v>#VALUE!</v>
      </c>
    </row>
    <row r="87" spans="1:10">
      <c r="A87" s="118">
        <v>15.61</v>
      </c>
      <c r="B87" s="118">
        <v>67.47</v>
      </c>
      <c r="C87" s="118">
        <v>16.55</v>
      </c>
      <c r="D87" s="118">
        <v>7.7</v>
      </c>
      <c r="E87" s="118">
        <v>3321</v>
      </c>
      <c r="F87" t="s">
        <v>4190</v>
      </c>
      <c r="G87" s="28" t="str">
        <f>VLOOKUP($E87,STOCKS!$D$2:$E$2035,2,0)</f>
        <v>--</v>
      </c>
      <c r="H87">
        <v>12.9</v>
      </c>
      <c r="I87" s="129" t="e">
        <f t="shared" si="2"/>
        <v>#VALUE!</v>
      </c>
      <c r="J87" s="63" t="e">
        <f t="shared" si="3"/>
        <v>#VALUE!</v>
      </c>
    </row>
    <row r="88" spans="1:10">
      <c r="A88" s="118">
        <v>9.34</v>
      </c>
      <c r="B88" s="118">
        <v>-235.16</v>
      </c>
      <c r="C88" s="118">
        <v>-1.1299999999999999</v>
      </c>
      <c r="D88" s="118">
        <v>-22.8</v>
      </c>
      <c r="E88" s="118">
        <v>4909</v>
      </c>
      <c r="F88" t="s">
        <v>4837</v>
      </c>
      <c r="G88" s="28" t="str">
        <f>VLOOKUP($E88,STOCKS!$D$2:$E$2035,2,0)</f>
        <v>--</v>
      </c>
      <c r="H88">
        <v>22.5</v>
      </c>
      <c r="I88" s="129" t="e">
        <f t="shared" si="2"/>
        <v>#VALUE!</v>
      </c>
      <c r="J88" s="63" t="e">
        <f t="shared" si="3"/>
        <v>#VALUE!</v>
      </c>
    </row>
    <row r="89" spans="1:10">
      <c r="A89" s="118">
        <v>529.08000000000004</v>
      </c>
      <c r="B89" s="118">
        <v>2783.03</v>
      </c>
      <c r="C89" s="118">
        <v>-1.78</v>
      </c>
      <c r="D89" s="118">
        <v>153.84</v>
      </c>
      <c r="E89" s="118">
        <v>2603</v>
      </c>
      <c r="F89" t="s">
        <v>3536</v>
      </c>
      <c r="G89" s="28" t="str">
        <f>VLOOKUP($E89,STOCKS!$D$2:$E$2035,2,0)</f>
        <v>--</v>
      </c>
      <c r="H89">
        <v>99.5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18.649999999999999</v>
      </c>
      <c r="B90" s="118">
        <v>2372.63</v>
      </c>
      <c r="C90" s="118">
        <v>1.97</v>
      </c>
      <c r="D90" s="118">
        <v>110.81</v>
      </c>
      <c r="E90" s="118">
        <v>4961</v>
      </c>
      <c r="F90" t="s">
        <v>3979</v>
      </c>
      <c r="G90" s="28">
        <f>VLOOKUP($E90,STOCKS!$D$2:$E$2035,2,0)</f>
        <v>260</v>
      </c>
      <c r="H90">
        <v>213</v>
      </c>
      <c r="I90" s="129">
        <f t="shared" si="2"/>
        <v>47</v>
      </c>
      <c r="J90" s="63">
        <f t="shared" si="3"/>
        <v>0.22065727699530516</v>
      </c>
    </row>
    <row r="91" spans="1:10">
      <c r="A91" s="118">
        <v>64.62</v>
      </c>
      <c r="B91" s="118">
        <v>201.13</v>
      </c>
      <c r="C91" s="118">
        <v>-4.59</v>
      </c>
      <c r="D91" s="118">
        <v>29.1</v>
      </c>
      <c r="E91" s="118">
        <v>8046</v>
      </c>
      <c r="F91" t="s">
        <v>4226</v>
      </c>
      <c r="G91" s="28" t="str">
        <f>VLOOKUP($E91,STOCKS!$D$2:$E$2035,2,0)</f>
        <v>--</v>
      </c>
      <c r="H91">
        <v>490.5</v>
      </c>
      <c r="I91" s="129" t="e">
        <f t="shared" si="2"/>
        <v>#VALUE!</v>
      </c>
      <c r="J91" s="63" t="e">
        <f t="shared" si="3"/>
        <v>#VALUE!</v>
      </c>
    </row>
    <row r="92" spans="1:10">
      <c r="A92" s="118">
        <v>28.62</v>
      </c>
      <c r="B92" s="118">
        <v>227.38</v>
      </c>
      <c r="C92" s="118">
        <v>-2.8</v>
      </c>
      <c r="D92" s="118">
        <v>44.27</v>
      </c>
      <c r="E92" s="118">
        <v>3006</v>
      </c>
      <c r="F92" t="s">
        <v>3625</v>
      </c>
      <c r="G92" s="28">
        <f>VLOOKUP($E92,STOCKS!$D$2:$E$2035,2,0)</f>
        <v>162</v>
      </c>
      <c r="H92">
        <v>142.5</v>
      </c>
      <c r="I92" s="129">
        <f t="shared" si="2"/>
        <v>19.5</v>
      </c>
      <c r="J92" s="63">
        <f t="shared" si="3"/>
        <v>0.1368421052631579</v>
      </c>
    </row>
    <row r="93" spans="1:10">
      <c r="A93" s="118">
        <v>7</v>
      </c>
      <c r="B93" s="118">
        <v>124.8</v>
      </c>
      <c r="C93" s="118">
        <v>26.97</v>
      </c>
      <c r="D93" s="118">
        <v>58.75</v>
      </c>
      <c r="E93" s="118">
        <v>6491</v>
      </c>
      <c r="F93" t="s">
        <v>3875</v>
      </c>
      <c r="G93" s="28" t="str">
        <f>VLOOKUP($E93,STOCKS!$D$2:$E$2035,2,0)</f>
        <v>--</v>
      </c>
      <c r="H93">
        <v>544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8.01</v>
      </c>
      <c r="B94" s="118">
        <v>1912.35</v>
      </c>
      <c r="C94" s="118">
        <v>-58.54</v>
      </c>
      <c r="D94" s="118">
        <v>-23.17</v>
      </c>
      <c r="E94" s="118">
        <v>6237</v>
      </c>
      <c r="F94" t="s">
        <v>3672</v>
      </c>
      <c r="G94" s="28">
        <f>VLOOKUP($E94,STOCKS!$D$2:$E$2035,2,0)</f>
        <v>110</v>
      </c>
      <c r="H94">
        <v>102</v>
      </c>
      <c r="I94" s="129">
        <f t="shared" si="2"/>
        <v>8</v>
      </c>
      <c r="J94" s="63">
        <f t="shared" si="3"/>
        <v>7.8431372549019607E-2</v>
      </c>
    </row>
    <row r="95" spans="1:10">
      <c r="A95" s="118">
        <v>9.09</v>
      </c>
      <c r="B95" s="118">
        <v>475.03</v>
      </c>
      <c r="C95" s="118">
        <v>-13.55</v>
      </c>
      <c r="D95" s="118">
        <v>11.1</v>
      </c>
      <c r="E95" s="118">
        <v>6118</v>
      </c>
      <c r="F95" t="s">
        <v>4969</v>
      </c>
      <c r="G95" s="28" t="str">
        <f>VLOOKUP($E95,STOCKS!$D$2:$E$2035,2,0)</f>
        <v>--</v>
      </c>
      <c r="H95">
        <v>16.350000000000001</v>
      </c>
      <c r="I95" s="129" t="e">
        <f t="shared" si="2"/>
        <v>#VALUE!</v>
      </c>
      <c r="J95" s="63" t="e">
        <f t="shared" si="3"/>
        <v>#VALUE!</v>
      </c>
    </row>
    <row r="96" spans="1:10">
      <c r="A96" s="118">
        <v>12.71</v>
      </c>
      <c r="B96" s="118">
        <v>228.4</v>
      </c>
      <c r="C96" s="118">
        <v>-3.51</v>
      </c>
      <c r="D96" s="118">
        <v>218.34</v>
      </c>
      <c r="E96" s="118">
        <v>5475</v>
      </c>
      <c r="F96" t="s">
        <v>3620</v>
      </c>
      <c r="G96" s="28" t="str">
        <f>VLOOKUP($E96,STOCKS!$D$2:$E$2035,2,0)</f>
        <v>--</v>
      </c>
      <c r="H96">
        <v>30.35</v>
      </c>
      <c r="I96" s="129" t="e">
        <f t="shared" si="2"/>
        <v>#VALUE!</v>
      </c>
      <c r="J96" s="63" t="e">
        <f t="shared" si="3"/>
        <v>#VALUE!</v>
      </c>
    </row>
    <row r="97" spans="1:10">
      <c r="A97" s="118">
        <v>20.12</v>
      </c>
      <c r="B97" s="118">
        <v>248.62</v>
      </c>
      <c r="C97" s="118">
        <v>15.61</v>
      </c>
      <c r="D97" s="118">
        <v>51.24</v>
      </c>
      <c r="E97" s="118">
        <v>5538</v>
      </c>
      <c r="F97" t="s">
        <v>3899</v>
      </c>
      <c r="G97" s="28" t="str">
        <f>VLOOKUP($E97,STOCKS!$D$2:$E$2035,2,0)</f>
        <v>--</v>
      </c>
      <c r="H97">
        <v>45.3</v>
      </c>
      <c r="I97" s="129" t="e">
        <f t="shared" si="2"/>
        <v>#VALUE!</v>
      </c>
      <c r="J97" s="63" t="e">
        <f t="shared" si="3"/>
        <v>#VALUE!</v>
      </c>
    </row>
    <row r="98" spans="1:10">
      <c r="A98" s="118">
        <v>40.67</v>
      </c>
      <c r="B98" s="118">
        <v>92.7</v>
      </c>
      <c r="C98" s="118">
        <v>2.4</v>
      </c>
      <c r="D98" s="118">
        <v>-23.29</v>
      </c>
      <c r="E98" s="118">
        <v>3673</v>
      </c>
      <c r="F98" t="s">
        <v>1813</v>
      </c>
      <c r="G98" s="28" t="str">
        <f>VLOOKUP($E98,STOCKS!$D$2:$E$2035,2,0)</f>
        <v>--</v>
      </c>
      <c r="H98">
        <v>42.5</v>
      </c>
      <c r="I98" s="129" t="e">
        <f t="shared" si="2"/>
        <v>#VALUE!</v>
      </c>
      <c r="J98" s="63" t="e">
        <f t="shared" si="3"/>
        <v>#VALUE!</v>
      </c>
    </row>
    <row r="99" spans="1:10">
      <c r="A99" s="118">
        <v>1055.96</v>
      </c>
      <c r="B99" s="118">
        <v>428.54</v>
      </c>
      <c r="C99" s="118">
        <v>-6.15</v>
      </c>
      <c r="D99" s="118">
        <v>11.76</v>
      </c>
      <c r="E99" s="118">
        <v>3481</v>
      </c>
      <c r="F99" t="s">
        <v>4075</v>
      </c>
      <c r="G99" s="28">
        <f>VLOOKUP($E99,STOCKS!$D$2:$E$2035,2,0)</f>
        <v>18.75</v>
      </c>
      <c r="H99">
        <v>16.7</v>
      </c>
      <c r="I99" s="129">
        <f t="shared" si="2"/>
        <v>2.0500000000000007</v>
      </c>
      <c r="J99" s="63">
        <f t="shared" si="3"/>
        <v>0.12275449101796412</v>
      </c>
    </row>
    <row r="100" spans="1:10">
      <c r="A100" s="118">
        <v>7.43</v>
      </c>
      <c r="B100" s="118">
        <v>587.76</v>
      </c>
      <c r="C100" s="118">
        <v>-14.14</v>
      </c>
      <c r="D100" s="118">
        <v>89.81</v>
      </c>
      <c r="E100" s="118">
        <v>6531</v>
      </c>
      <c r="F100" t="s">
        <v>5513</v>
      </c>
      <c r="G100" s="28" t="str">
        <f>VLOOKUP($E100,STOCKS!$D$2:$E$2035,2,0)</f>
        <v>--</v>
      </c>
      <c r="H100">
        <v>538</v>
      </c>
      <c r="I100" s="129" t="e">
        <f t="shared" si="2"/>
        <v>#VALUE!</v>
      </c>
      <c r="J100" s="63" t="e">
        <f t="shared" si="3"/>
        <v>#VALUE!</v>
      </c>
    </row>
    <row r="101" spans="1:10">
      <c r="A101" s="118">
        <v>38.28</v>
      </c>
      <c r="B101" s="118">
        <v>114</v>
      </c>
      <c r="C101" s="118">
        <v>1.52</v>
      </c>
      <c r="D101" s="118">
        <v>26.27</v>
      </c>
      <c r="E101" s="118">
        <v>2481</v>
      </c>
      <c r="F101" t="s">
        <v>3962</v>
      </c>
      <c r="G101" s="28">
        <f>VLOOKUP($E101,STOCKS!$D$2:$E$2035,2,0)</f>
        <v>110.5</v>
      </c>
      <c r="H101">
        <v>112.5</v>
      </c>
      <c r="I101" s="129">
        <f t="shared" si="2"/>
        <v>-2</v>
      </c>
      <c r="J101" s="63">
        <f t="shared" si="3"/>
        <v>-1.7777777777777778E-2</v>
      </c>
    </row>
  </sheetData>
  <phoneticPr fontId="38" type="noConversion"/>
  <conditionalFormatting sqref="J1:J1048576">
    <cfRule type="cellIs" dxfId="11" priority="1" operator="lessThan">
      <formula>0</formula>
    </cfRule>
    <cfRule type="cellIs" dxfId="10" priority="2" operator="greater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89C7E-F253-4C2F-9DD2-C7D7CB5603E7}">
  <sheetPr codeName="工作表11">
    <tabColor rgb="FF00B050"/>
  </sheetPr>
  <dimension ref="A1:J101"/>
  <sheetViews>
    <sheetView topLeftCell="A52" workbookViewId="0">
      <selection activeCell="L39" sqref="L39"/>
    </sheetView>
  </sheetViews>
  <sheetFormatPr defaultRowHeight="16.2"/>
  <cols>
    <col min="1" max="4" width="8.88671875" style="60"/>
    <col min="7" max="7" width="10.44140625" style="60" bestFit="1" customWidth="1"/>
    <col min="9" max="9" width="8.88671875" style="60"/>
    <col min="10" max="10" width="8.88671875" style="63"/>
  </cols>
  <sheetData>
    <row r="1" spans="1:10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0">
      <c r="A2" s="118">
        <v>8.85</v>
      </c>
      <c r="B2" s="118">
        <v>0.04</v>
      </c>
      <c r="C2" s="118">
        <v>-17</v>
      </c>
      <c r="D2" s="118">
        <v>-53.24</v>
      </c>
      <c r="E2" s="118">
        <v>4968</v>
      </c>
      <c r="F2" t="s">
        <v>3981</v>
      </c>
      <c r="G2" s="28" t="str">
        <f>VLOOKUP($E2,STOCKS!$D$2:$E$2035,2,0)</f>
        <v>--</v>
      </c>
      <c r="H2">
        <v>288</v>
      </c>
      <c r="I2" s="129" t="e">
        <f>$G2-$H2</f>
        <v>#VALUE!</v>
      </c>
      <c r="J2" s="63" t="e">
        <f>$I2/$H2</f>
        <v>#VALUE!</v>
      </c>
    </row>
    <row r="3" spans="1:10">
      <c r="A3" s="118">
        <v>17.68</v>
      </c>
      <c r="B3" s="118">
        <v>89.3</v>
      </c>
      <c r="C3" s="118">
        <v>6.25</v>
      </c>
      <c r="D3" s="118">
        <v>1.51</v>
      </c>
      <c r="E3" s="118">
        <v>4141</v>
      </c>
      <c r="F3" t="s">
        <v>3869</v>
      </c>
      <c r="G3" s="28" t="str">
        <f>VLOOKUP($E3,STOCKS!$D$2:$E$2035,2,0)</f>
        <v>--</v>
      </c>
      <c r="H3">
        <v>22.35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0">
      <c r="A4" s="118">
        <v>5.07</v>
      </c>
      <c r="B4" s="118">
        <v>258.24</v>
      </c>
      <c r="C4" s="118">
        <v>-47.77</v>
      </c>
      <c r="D4" s="118">
        <v>0.54</v>
      </c>
      <c r="E4" s="118">
        <v>6533</v>
      </c>
      <c r="F4" t="s">
        <v>3989</v>
      </c>
      <c r="G4" s="28" t="str">
        <f>VLOOKUP($E4,STOCKS!$D$2:$E$2035,2,0)</f>
        <v>--</v>
      </c>
      <c r="H4">
        <v>504</v>
      </c>
      <c r="I4" s="129" t="e">
        <f t="shared" si="0"/>
        <v>#VALUE!</v>
      </c>
      <c r="J4" s="63" t="e">
        <f t="shared" si="1"/>
        <v>#VALUE!</v>
      </c>
    </row>
    <row r="5" spans="1:10">
      <c r="A5" s="118">
        <v>30.02</v>
      </c>
      <c r="B5" s="118">
        <v>44.16</v>
      </c>
      <c r="C5" s="118">
        <v>-54.61</v>
      </c>
      <c r="D5" s="118">
        <v>-70.53</v>
      </c>
      <c r="E5" s="118">
        <v>6589</v>
      </c>
      <c r="F5" t="s">
        <v>4631</v>
      </c>
      <c r="G5" s="28" t="str">
        <f>VLOOKUP($E5,STOCKS!$D$2:$E$2035,2,0)</f>
        <v>--</v>
      </c>
      <c r="H5">
        <v>108.5</v>
      </c>
      <c r="I5" s="129" t="e">
        <f t="shared" si="0"/>
        <v>#VALUE!</v>
      </c>
      <c r="J5" s="63" t="e">
        <f t="shared" si="1"/>
        <v>#VALUE!</v>
      </c>
    </row>
    <row r="6" spans="1:10">
      <c r="A6" s="118">
        <v>11.45</v>
      </c>
      <c r="B6" s="118">
        <v>-44.89</v>
      </c>
      <c r="C6" s="118">
        <v>26</v>
      </c>
      <c r="D6" s="118">
        <v>-61.78</v>
      </c>
      <c r="E6" s="118">
        <v>6477</v>
      </c>
      <c r="F6" t="s">
        <v>4102</v>
      </c>
      <c r="G6" s="28" t="str">
        <f>VLOOKUP($E6,STOCKS!$D$2:$E$2035,2,0)</f>
        <v>--</v>
      </c>
      <c r="H6">
        <v>45.2</v>
      </c>
      <c r="I6" s="129" t="e">
        <f t="shared" si="0"/>
        <v>#VALUE!</v>
      </c>
      <c r="J6" s="63" t="e">
        <f t="shared" si="1"/>
        <v>#VALUE!</v>
      </c>
    </row>
    <row r="7" spans="1:10">
      <c r="A7" s="118">
        <v>6.78</v>
      </c>
      <c r="B7" s="118">
        <v>164.55</v>
      </c>
      <c r="C7" s="118">
        <v>77.010000000000005</v>
      </c>
      <c r="D7" s="118">
        <v>12.01</v>
      </c>
      <c r="E7" s="118">
        <v>5222</v>
      </c>
      <c r="F7" t="s">
        <v>5303</v>
      </c>
      <c r="G7" s="28" t="str">
        <f>VLOOKUP($E7,STOCKS!$D$2:$E$2035,2,0)</f>
        <v>--</v>
      </c>
      <c r="H7">
        <v>178.5</v>
      </c>
      <c r="I7" s="129" t="e">
        <f t="shared" si="0"/>
        <v>#VALUE!</v>
      </c>
      <c r="J7" s="63" t="e">
        <f t="shared" si="1"/>
        <v>#VALUE!</v>
      </c>
    </row>
    <row r="8" spans="1:10">
      <c r="A8" s="118">
        <v>10.75</v>
      </c>
      <c r="B8" s="118">
        <v>81.36</v>
      </c>
      <c r="C8" s="118">
        <v>3.34</v>
      </c>
      <c r="D8" s="118">
        <v>-37.36</v>
      </c>
      <c r="E8" s="118">
        <v>6451</v>
      </c>
      <c r="F8" t="s">
        <v>3636</v>
      </c>
      <c r="G8" s="28" t="str">
        <f>VLOOKUP($E8,STOCKS!$D$2:$E$2035,2,0)</f>
        <v>--</v>
      </c>
      <c r="H8">
        <v>90.2</v>
      </c>
      <c r="I8" s="129" t="e">
        <f t="shared" si="0"/>
        <v>#VALUE!</v>
      </c>
      <c r="J8" s="63" t="e">
        <f t="shared" si="1"/>
        <v>#VALUE!</v>
      </c>
    </row>
    <row r="9" spans="1:10">
      <c r="A9" s="118">
        <v>8.7899999999999991</v>
      </c>
      <c r="B9" s="118">
        <v>41.63</v>
      </c>
      <c r="C9" s="118">
        <v>36.15</v>
      </c>
      <c r="D9" s="118">
        <v>18.899999999999999</v>
      </c>
      <c r="E9" s="118">
        <v>6216</v>
      </c>
      <c r="F9" t="s">
        <v>4137</v>
      </c>
      <c r="G9" s="28" t="str">
        <f>VLOOKUP($E9,STOCKS!$D$2:$E$2035,2,0)</f>
        <v>--</v>
      </c>
      <c r="H9">
        <v>28.2</v>
      </c>
      <c r="I9" s="129" t="e">
        <f t="shared" si="0"/>
        <v>#VALUE!</v>
      </c>
      <c r="J9" s="63" t="e">
        <f t="shared" si="1"/>
        <v>#VALUE!</v>
      </c>
    </row>
    <row r="10" spans="1:10">
      <c r="A10" s="118">
        <v>18.170000000000002</v>
      </c>
      <c r="B10" s="118">
        <v>242.67</v>
      </c>
      <c r="C10" s="118">
        <v>0.53</v>
      </c>
      <c r="D10" s="118">
        <v>-8.6999999999999993</v>
      </c>
      <c r="E10" s="118">
        <v>3031</v>
      </c>
      <c r="F10" t="s">
        <v>4063</v>
      </c>
      <c r="G10" s="28">
        <f>VLOOKUP($E10,STOCKS!$D$2:$E$2035,2,0)</f>
        <v>25.55</v>
      </c>
      <c r="H10">
        <v>23.4</v>
      </c>
      <c r="I10" s="129">
        <f t="shared" si="0"/>
        <v>2.1500000000000021</v>
      </c>
      <c r="J10" s="63">
        <f t="shared" si="1"/>
        <v>9.188034188034197E-2</v>
      </c>
    </row>
    <row r="11" spans="1:10">
      <c r="A11" s="118">
        <v>13.94</v>
      </c>
      <c r="B11" s="118">
        <v>-11.49</v>
      </c>
      <c r="C11" s="118">
        <v>-23.79</v>
      </c>
      <c r="D11" s="118">
        <v>838.72</v>
      </c>
      <c r="E11" s="118">
        <v>3176</v>
      </c>
      <c r="F11" t="s">
        <v>4581</v>
      </c>
      <c r="G11" s="28">
        <f>VLOOKUP($E11,STOCKS!$D$2:$E$2035,2,0)</f>
        <v>52.4</v>
      </c>
      <c r="H11">
        <v>54.5</v>
      </c>
      <c r="I11" s="129">
        <f t="shared" si="0"/>
        <v>-2.1000000000000014</v>
      </c>
      <c r="J11" s="63">
        <f t="shared" si="1"/>
        <v>-3.8532110091743142E-2</v>
      </c>
    </row>
    <row r="12" spans="1:10">
      <c r="A12" s="118">
        <v>5.0599999999999996</v>
      </c>
      <c r="B12" s="118">
        <v>-400.43</v>
      </c>
      <c r="C12" s="118">
        <v>-14.24</v>
      </c>
      <c r="D12" s="118">
        <v>-35.630000000000003</v>
      </c>
      <c r="E12" s="118">
        <v>8929</v>
      </c>
      <c r="F12" t="s">
        <v>5166</v>
      </c>
      <c r="G12" s="28" t="str">
        <f>VLOOKUP($E12,STOCKS!$D$2:$E$2035,2,0)</f>
        <v>--</v>
      </c>
      <c r="H12">
        <v>21.65</v>
      </c>
      <c r="I12" s="129" t="e">
        <f t="shared" si="0"/>
        <v>#VALUE!</v>
      </c>
      <c r="J12" s="63" t="e">
        <f t="shared" si="1"/>
        <v>#VALUE!</v>
      </c>
    </row>
    <row r="13" spans="1:10">
      <c r="A13" s="118">
        <v>36.619999999999997</v>
      </c>
      <c r="B13" s="118">
        <v>4371.8500000000004</v>
      </c>
      <c r="C13" s="118">
        <v>-4.59</v>
      </c>
      <c r="D13" s="118">
        <v>-28.52</v>
      </c>
      <c r="E13" s="118">
        <v>1442</v>
      </c>
      <c r="F13" t="s">
        <v>4301</v>
      </c>
      <c r="G13" s="28">
        <f>VLOOKUP($E13,STOCKS!$D$2:$E$2035,2,0)</f>
        <v>24.1</v>
      </c>
      <c r="H13">
        <v>25.1</v>
      </c>
      <c r="I13" s="129">
        <f t="shared" si="0"/>
        <v>-1</v>
      </c>
      <c r="J13" s="63">
        <f t="shared" si="1"/>
        <v>-3.9840637450199202E-2</v>
      </c>
    </row>
    <row r="14" spans="1:10">
      <c r="A14" s="118">
        <v>9.35</v>
      </c>
      <c r="B14" s="118">
        <v>-61.24</v>
      </c>
      <c r="C14" s="118">
        <v>20.309999999999999</v>
      </c>
      <c r="D14" s="118">
        <v>-18.760000000000002</v>
      </c>
      <c r="E14" s="118">
        <v>3708</v>
      </c>
      <c r="F14" t="s">
        <v>3848</v>
      </c>
      <c r="G14" s="28" t="str">
        <f>VLOOKUP($E14,STOCKS!$D$2:$E$2035,2,0)</f>
        <v>--</v>
      </c>
      <c r="H14">
        <v>98.7</v>
      </c>
      <c r="I14" s="129" t="e">
        <f t="shared" si="0"/>
        <v>#VALUE!</v>
      </c>
      <c r="J14" s="63" t="e">
        <f t="shared" si="1"/>
        <v>#VALUE!</v>
      </c>
    </row>
    <row r="15" spans="1:10">
      <c r="A15" s="118">
        <v>40.67</v>
      </c>
      <c r="B15" s="118">
        <v>92.7</v>
      </c>
      <c r="C15" s="118">
        <v>2.4</v>
      </c>
      <c r="D15" s="118">
        <v>-23.29</v>
      </c>
      <c r="E15" s="118">
        <v>3673</v>
      </c>
      <c r="F15" t="s">
        <v>1813</v>
      </c>
      <c r="G15" s="28" t="str">
        <f>VLOOKUP($E15,STOCKS!$D$2:$E$2035,2,0)</f>
        <v>--</v>
      </c>
      <c r="H15">
        <v>42.5</v>
      </c>
      <c r="I15" s="129" t="e">
        <f t="shared" si="0"/>
        <v>#VALUE!</v>
      </c>
      <c r="J15" s="63" t="e">
        <f t="shared" si="1"/>
        <v>#VALUE!</v>
      </c>
    </row>
    <row r="16" spans="1:10">
      <c r="A16" s="118">
        <v>21.2</v>
      </c>
      <c r="B16" s="118">
        <v>-303.02</v>
      </c>
      <c r="C16" s="118">
        <v>-3.03</v>
      </c>
      <c r="D16" s="118">
        <v>-15.91</v>
      </c>
      <c r="E16" s="118">
        <v>3710</v>
      </c>
      <c r="F16" t="s">
        <v>4902</v>
      </c>
      <c r="G16" s="28" t="str">
        <f>VLOOKUP($E16,STOCKS!$D$2:$E$2035,2,0)</f>
        <v>--</v>
      </c>
      <c r="H16">
        <v>7.63</v>
      </c>
      <c r="I16" s="129" t="e">
        <f t="shared" si="0"/>
        <v>#VALUE!</v>
      </c>
      <c r="J16" s="63" t="e">
        <f t="shared" si="1"/>
        <v>#VALUE!</v>
      </c>
    </row>
    <row r="17" spans="1:10">
      <c r="A17" s="118">
        <v>2.27</v>
      </c>
      <c r="B17" s="118">
        <v>177.1</v>
      </c>
      <c r="C17" s="118">
        <v>68.33</v>
      </c>
      <c r="D17" s="118">
        <v>61.24</v>
      </c>
      <c r="E17" s="118">
        <v>3434</v>
      </c>
      <c r="F17" t="s">
        <v>4779</v>
      </c>
      <c r="G17" s="28" t="str">
        <f>VLOOKUP($E17,STOCKS!$D$2:$E$2035,2,0)</f>
        <v>--</v>
      </c>
      <c r="H17">
        <v>16.5</v>
      </c>
      <c r="I17" s="129" t="e">
        <f t="shared" si="0"/>
        <v>#VALUE!</v>
      </c>
      <c r="J17" s="63" t="e">
        <f t="shared" si="1"/>
        <v>#VALUE!</v>
      </c>
    </row>
    <row r="18" spans="1:10">
      <c r="A18" s="118">
        <v>6.43</v>
      </c>
      <c r="B18" s="118">
        <v>91.67</v>
      </c>
      <c r="C18" s="118">
        <v>35.65</v>
      </c>
      <c r="D18" s="118">
        <v>-35.06</v>
      </c>
      <c r="E18" s="118">
        <v>6218</v>
      </c>
      <c r="F18" t="s">
        <v>4846</v>
      </c>
      <c r="G18" s="28" t="str">
        <f>VLOOKUP($E18,STOCKS!$D$2:$E$2035,2,0)</f>
        <v>--</v>
      </c>
      <c r="H18">
        <v>20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17.809999999999999</v>
      </c>
      <c r="B19" s="118">
        <v>830.55</v>
      </c>
      <c r="C19" s="118">
        <v>-20.71</v>
      </c>
      <c r="D19" s="118">
        <v>-21.67</v>
      </c>
      <c r="E19" s="118">
        <v>2399</v>
      </c>
      <c r="F19" t="s">
        <v>3570</v>
      </c>
      <c r="G19" s="28">
        <f>VLOOKUP($E19,STOCKS!$D$2:$E$2035,2,0)</f>
        <v>22.85</v>
      </c>
      <c r="H19">
        <v>20.25</v>
      </c>
      <c r="I19" s="129">
        <f t="shared" si="0"/>
        <v>2.6000000000000014</v>
      </c>
      <c r="J19" s="63">
        <f t="shared" si="1"/>
        <v>0.12839506172839513</v>
      </c>
    </row>
    <row r="20" spans="1:10">
      <c r="A20" s="118">
        <v>8.33</v>
      </c>
      <c r="B20" s="118">
        <v>177.23</v>
      </c>
      <c r="C20" s="118">
        <v>-4.62</v>
      </c>
      <c r="D20" s="118">
        <v>71.849999999999994</v>
      </c>
      <c r="E20" s="118">
        <v>6187</v>
      </c>
      <c r="F20" t="s">
        <v>5033</v>
      </c>
      <c r="G20" s="28" t="str">
        <f>VLOOKUP($E20,STOCKS!$D$2:$E$2035,2,0)</f>
        <v>--</v>
      </c>
      <c r="H20">
        <v>109</v>
      </c>
      <c r="I20" s="129" t="e">
        <f t="shared" si="0"/>
        <v>#VALUE!</v>
      </c>
      <c r="J20" s="63" t="e">
        <f t="shared" si="1"/>
        <v>#VALUE!</v>
      </c>
    </row>
    <row r="21" spans="1:10">
      <c r="A21" s="118">
        <v>12.25</v>
      </c>
      <c r="B21" s="118">
        <v>204.66</v>
      </c>
      <c r="C21" s="118">
        <v>-10.84</v>
      </c>
      <c r="D21" s="118">
        <v>64.7</v>
      </c>
      <c r="E21" s="118">
        <v>1584</v>
      </c>
      <c r="F21" t="s">
        <v>3589</v>
      </c>
      <c r="G21" s="28" t="str">
        <f>VLOOKUP($E21,STOCKS!$D$2:$E$2035,2,0)</f>
        <v>--</v>
      </c>
      <c r="H21">
        <v>19.600000000000001</v>
      </c>
      <c r="I21" s="129" t="e">
        <f t="shared" si="0"/>
        <v>#VALUE!</v>
      </c>
      <c r="J21" s="63" t="e">
        <f t="shared" si="1"/>
        <v>#VALUE!</v>
      </c>
    </row>
    <row r="22" spans="1:10">
      <c r="A22" s="118">
        <v>38.01</v>
      </c>
      <c r="B22" s="118">
        <v>380.16</v>
      </c>
      <c r="C22" s="118">
        <v>-9.24</v>
      </c>
      <c r="D22" s="118">
        <v>40.98</v>
      </c>
      <c r="E22" s="118">
        <v>2369</v>
      </c>
      <c r="F22" t="s">
        <v>3950</v>
      </c>
      <c r="G22" s="28" t="str">
        <f>VLOOKUP($E22,STOCKS!$D$2:$E$2035,2,0)</f>
        <v>--</v>
      </c>
      <c r="H22">
        <v>25.2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4.8899999999999997</v>
      </c>
      <c r="B23" s="118">
        <v>16.82</v>
      </c>
      <c r="C23" s="118">
        <v>-17.670000000000002</v>
      </c>
      <c r="D23" s="118">
        <v>5.82</v>
      </c>
      <c r="E23" s="118">
        <v>6732</v>
      </c>
      <c r="F23" t="s">
        <v>4721</v>
      </c>
      <c r="G23" s="28" t="str">
        <f>VLOOKUP($E23,STOCKS!$D$2:$E$2035,2,0)</f>
        <v>--</v>
      </c>
      <c r="H23">
        <v>579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7.14</v>
      </c>
      <c r="B24" s="118">
        <v>151.01</v>
      </c>
      <c r="C24" s="118">
        <v>69.5</v>
      </c>
      <c r="D24" s="118">
        <v>152.93</v>
      </c>
      <c r="E24" s="118">
        <v>3046</v>
      </c>
      <c r="F24" t="s">
        <v>4023</v>
      </c>
      <c r="G24" s="28" t="str">
        <f>VLOOKUP($E24,STOCKS!$D$2:$E$2035,2,0)</f>
        <v>--</v>
      </c>
      <c r="H24">
        <v>23.2</v>
      </c>
      <c r="I24" s="129" t="e">
        <f t="shared" si="0"/>
        <v>#VALUE!</v>
      </c>
      <c r="J24" s="63" t="e">
        <f t="shared" si="1"/>
        <v>#VALUE!</v>
      </c>
    </row>
    <row r="25" spans="1:10">
      <c r="A25" s="118">
        <v>3.83</v>
      </c>
      <c r="B25" s="118">
        <v>269.69</v>
      </c>
      <c r="C25" s="118">
        <v>5.99</v>
      </c>
      <c r="D25" s="118">
        <v>70.39</v>
      </c>
      <c r="E25" s="118">
        <v>3122</v>
      </c>
      <c r="F25" t="s">
        <v>3607</v>
      </c>
      <c r="G25" s="28" t="str">
        <f>VLOOKUP($E25,STOCKS!$D$2:$E$2035,2,0)</f>
        <v>--</v>
      </c>
      <c r="H25">
        <v>46.45</v>
      </c>
      <c r="I25" s="129" t="e">
        <f t="shared" si="0"/>
        <v>#VALUE!</v>
      </c>
      <c r="J25" s="63" t="e">
        <f t="shared" si="1"/>
        <v>#VALUE!</v>
      </c>
    </row>
    <row r="26" spans="1:10">
      <c r="A26" s="118">
        <v>8.99</v>
      </c>
      <c r="B26" s="118">
        <v>-187.04</v>
      </c>
      <c r="C26" s="118">
        <v>10.73</v>
      </c>
      <c r="D26" s="118">
        <v>50.99</v>
      </c>
      <c r="E26" s="118">
        <v>2241</v>
      </c>
      <c r="F26" t="s">
        <v>3798</v>
      </c>
      <c r="G26" s="28" t="str">
        <f>VLOOKUP($E26,STOCKS!$D$2:$E$2035,2,0)</f>
        <v>--</v>
      </c>
      <c r="H26">
        <v>55.9</v>
      </c>
      <c r="I26" s="129" t="e">
        <f t="shared" si="0"/>
        <v>#VALUE!</v>
      </c>
      <c r="J26" s="63" t="e">
        <f t="shared" si="1"/>
        <v>#VALUE!</v>
      </c>
    </row>
    <row r="27" spans="1:10">
      <c r="A27" s="118">
        <v>20.64</v>
      </c>
      <c r="B27" s="118">
        <v>99.09</v>
      </c>
      <c r="C27" s="118">
        <v>7.98</v>
      </c>
      <c r="D27" s="118">
        <v>-8.86</v>
      </c>
      <c r="E27" s="118">
        <v>3149</v>
      </c>
      <c r="F27" t="s">
        <v>4069</v>
      </c>
      <c r="G27" s="28" t="str">
        <f>VLOOKUP($E27,STOCKS!$D$2:$E$2035,2,0)</f>
        <v>--</v>
      </c>
      <c r="H27">
        <v>31.9</v>
      </c>
      <c r="I27" s="129" t="e">
        <f t="shared" si="0"/>
        <v>#VALUE!</v>
      </c>
      <c r="J27" s="63" t="e">
        <f t="shared" si="1"/>
        <v>#VALUE!</v>
      </c>
    </row>
    <row r="28" spans="1:10">
      <c r="A28" s="118">
        <v>9.0299999999999994</v>
      </c>
      <c r="B28" s="118">
        <v>-5.37</v>
      </c>
      <c r="C28" s="118">
        <v>14.7</v>
      </c>
      <c r="D28" s="118">
        <v>41.15</v>
      </c>
      <c r="E28" s="118">
        <v>6104</v>
      </c>
      <c r="F28" t="s">
        <v>3630</v>
      </c>
      <c r="G28" s="28">
        <f>VLOOKUP($E28,STOCKS!$D$2:$E$2035,2,0)</f>
        <v>189.5</v>
      </c>
      <c r="H28">
        <v>144</v>
      </c>
      <c r="I28" s="129">
        <f t="shared" si="0"/>
        <v>45.5</v>
      </c>
      <c r="J28" s="63">
        <f t="shared" si="1"/>
        <v>0.31597222222222221</v>
      </c>
    </row>
    <row r="29" spans="1:10">
      <c r="A29" s="118">
        <v>1242.33</v>
      </c>
      <c r="B29" s="118">
        <v>140.06</v>
      </c>
      <c r="C29" s="118">
        <v>-0.21</v>
      </c>
      <c r="D29" s="118">
        <v>29.01</v>
      </c>
      <c r="E29" s="118">
        <v>2303</v>
      </c>
      <c r="F29" t="s">
        <v>3942</v>
      </c>
      <c r="G29" s="28">
        <f>VLOOKUP($E29,STOCKS!$D$2:$E$2035,2,0)</f>
        <v>63.1</v>
      </c>
      <c r="H29">
        <v>58</v>
      </c>
      <c r="I29" s="129">
        <f t="shared" si="0"/>
        <v>5.1000000000000014</v>
      </c>
      <c r="J29" s="63">
        <f t="shared" si="1"/>
        <v>8.7931034482758644E-2</v>
      </c>
    </row>
    <row r="30" spans="1:10">
      <c r="A30" s="118">
        <v>5.85</v>
      </c>
      <c r="B30" s="118">
        <v>134.83000000000001</v>
      </c>
      <c r="C30" s="118">
        <v>-3.29</v>
      </c>
      <c r="D30" s="118">
        <v>-19.690000000000001</v>
      </c>
      <c r="E30" s="118">
        <v>5236</v>
      </c>
      <c r="F30" t="s">
        <v>5304</v>
      </c>
      <c r="G30" s="28" t="str">
        <f>VLOOKUP($E30,STOCKS!$D$2:$E$2035,2,0)</f>
        <v>--</v>
      </c>
      <c r="H30">
        <v>130.5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259.75</v>
      </c>
      <c r="B31" s="118">
        <v>11.51</v>
      </c>
      <c r="C31" s="118">
        <v>5.48</v>
      </c>
      <c r="D31" s="118">
        <v>2.02</v>
      </c>
      <c r="E31" s="118">
        <v>2308</v>
      </c>
      <c r="F31" t="s">
        <v>4147</v>
      </c>
      <c r="G31" s="28">
        <f>VLOOKUP($E31,STOCKS!$D$2:$E$2035,2,0)</f>
        <v>258</v>
      </c>
      <c r="H31">
        <v>245</v>
      </c>
      <c r="I31" s="129">
        <f t="shared" si="0"/>
        <v>13</v>
      </c>
      <c r="J31" s="63">
        <f t="shared" si="1"/>
        <v>5.3061224489795916E-2</v>
      </c>
    </row>
    <row r="32" spans="1:10">
      <c r="A32" s="118">
        <v>3.73</v>
      </c>
      <c r="B32" s="118">
        <v>59.15</v>
      </c>
      <c r="C32" s="118">
        <v>2.09</v>
      </c>
      <c r="D32" s="118">
        <v>-82.72</v>
      </c>
      <c r="E32" s="118">
        <v>2734</v>
      </c>
      <c r="F32" t="s">
        <v>5083</v>
      </c>
      <c r="G32" s="28" t="str">
        <f>VLOOKUP($E32,STOCKS!$D$2:$E$2035,2,0)</f>
        <v>--</v>
      </c>
      <c r="H32">
        <v>21.25</v>
      </c>
      <c r="I32" s="129" t="e">
        <f t="shared" si="0"/>
        <v>#VALUE!</v>
      </c>
      <c r="J32" s="63" t="e">
        <f t="shared" si="1"/>
        <v>#VALUE!</v>
      </c>
    </row>
    <row r="33" spans="1:10">
      <c r="A33" s="118">
        <v>18</v>
      </c>
      <c r="B33" s="118">
        <v>147.93</v>
      </c>
      <c r="C33" s="118">
        <v>0.7</v>
      </c>
      <c r="D33" s="118">
        <v>-7.21</v>
      </c>
      <c r="E33" s="118">
        <v>2723</v>
      </c>
      <c r="F33" t="s">
        <v>4365</v>
      </c>
      <c r="G33" s="28" t="str">
        <f>VLOOKUP($E33,STOCKS!$D$2:$E$2035,2,0)</f>
        <v>--</v>
      </c>
      <c r="H33">
        <v>131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8.34</v>
      </c>
      <c r="B34" s="118">
        <v>6151.05</v>
      </c>
      <c r="C34" s="118">
        <v>-35.549999999999997</v>
      </c>
      <c r="D34" s="118">
        <v>-84.47</v>
      </c>
      <c r="E34" s="118">
        <v>3054</v>
      </c>
      <c r="F34" t="s">
        <v>3968</v>
      </c>
      <c r="G34" s="28" t="str">
        <f>VLOOKUP($E34,STOCKS!$D$2:$E$2035,2,0)</f>
        <v>--</v>
      </c>
      <c r="H34">
        <v>26.9</v>
      </c>
      <c r="I34" s="129" t="e">
        <f t="shared" si="0"/>
        <v>#VALUE!</v>
      </c>
      <c r="J34" s="63" t="e">
        <f t="shared" si="1"/>
        <v>#VALUE!</v>
      </c>
    </row>
    <row r="35" spans="1:10">
      <c r="A35" s="118">
        <v>7.5</v>
      </c>
      <c r="B35" s="118">
        <v>-21.93</v>
      </c>
      <c r="C35" s="118">
        <v>3.92</v>
      </c>
      <c r="D35" s="118">
        <v>28.74</v>
      </c>
      <c r="E35" s="118">
        <v>5353</v>
      </c>
      <c r="F35" t="s">
        <v>4840</v>
      </c>
      <c r="G35" s="28" t="str">
        <f>VLOOKUP($E35,STOCKS!$D$2:$E$2035,2,0)</f>
        <v>--</v>
      </c>
      <c r="H35">
        <v>20.2</v>
      </c>
      <c r="I35" s="129" t="e">
        <f t="shared" si="0"/>
        <v>#VALUE!</v>
      </c>
      <c r="J35" s="63" t="e">
        <f t="shared" si="1"/>
        <v>#VALUE!</v>
      </c>
    </row>
    <row r="36" spans="1:10">
      <c r="A36" s="118">
        <v>54.17</v>
      </c>
      <c r="B36" s="118">
        <v>82.91</v>
      </c>
      <c r="C36" s="118">
        <v>37.07</v>
      </c>
      <c r="D36" s="118">
        <v>-22.72</v>
      </c>
      <c r="E36" s="118">
        <v>3380</v>
      </c>
      <c r="F36" t="s">
        <v>4125</v>
      </c>
      <c r="G36" s="28" t="str">
        <f>VLOOKUP($E36,STOCKS!$D$2:$E$2035,2,0)</f>
        <v>--</v>
      </c>
      <c r="H36">
        <v>27</v>
      </c>
      <c r="I36" s="129" t="e">
        <f t="shared" si="0"/>
        <v>#VALUE!</v>
      </c>
      <c r="J36" s="63" t="e">
        <f t="shared" si="1"/>
        <v>#VALUE!</v>
      </c>
    </row>
    <row r="37" spans="1:10">
      <c r="A37" s="118">
        <v>14.94</v>
      </c>
      <c r="B37" s="118">
        <v>169.28</v>
      </c>
      <c r="C37" s="118">
        <v>-35.380000000000003</v>
      </c>
      <c r="D37" s="118">
        <v>-12.71</v>
      </c>
      <c r="E37" s="118">
        <v>6603</v>
      </c>
      <c r="F37" t="s">
        <v>4553</v>
      </c>
      <c r="G37" s="28" t="str">
        <f>VLOOKUP($E37,STOCKS!$D$2:$E$2035,2,0)</f>
        <v>--</v>
      </c>
      <c r="H37">
        <v>17.3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38.24</v>
      </c>
      <c r="B38" s="118">
        <v>-221.61</v>
      </c>
      <c r="C38" s="118">
        <v>-15.34</v>
      </c>
      <c r="D38" s="118">
        <v>1286.0899999999999</v>
      </c>
      <c r="E38" s="118">
        <v>4743</v>
      </c>
      <c r="F38" t="s">
        <v>4613</v>
      </c>
      <c r="G38" s="28">
        <f>VLOOKUP($E38,STOCKS!$D$2:$E$2035,2,0)</f>
        <v>300</v>
      </c>
      <c r="H38">
        <v>262</v>
      </c>
      <c r="I38" s="129">
        <f t="shared" si="0"/>
        <v>38</v>
      </c>
      <c r="J38" s="63">
        <f t="shared" si="1"/>
        <v>0.14503816793893129</v>
      </c>
    </row>
    <row r="39" spans="1:10">
      <c r="A39" s="118">
        <v>16.649999999999999</v>
      </c>
      <c r="B39" s="118">
        <v>168.6</v>
      </c>
      <c r="C39" s="118">
        <v>0.46</v>
      </c>
      <c r="D39" s="118">
        <v>18.36</v>
      </c>
      <c r="E39" s="118">
        <v>2430</v>
      </c>
      <c r="F39" t="s">
        <v>4232</v>
      </c>
      <c r="G39" s="28" t="str">
        <f>VLOOKUP($E39,STOCKS!$D$2:$E$2035,2,0)</f>
        <v>--</v>
      </c>
      <c r="H39">
        <v>42.3</v>
      </c>
      <c r="I39" s="129" t="e">
        <f t="shared" si="0"/>
        <v>#VALUE!</v>
      </c>
      <c r="J39" s="63" t="e">
        <f t="shared" si="1"/>
        <v>#VALUE!</v>
      </c>
    </row>
    <row r="40" spans="1:10">
      <c r="A40" s="118">
        <v>13.87</v>
      </c>
      <c r="B40" s="118">
        <v>154.55000000000001</v>
      </c>
      <c r="C40" s="118">
        <v>26.53</v>
      </c>
      <c r="D40" s="118">
        <v>-12.36</v>
      </c>
      <c r="E40" s="118">
        <v>4976</v>
      </c>
      <c r="F40" t="s">
        <v>3596</v>
      </c>
      <c r="G40" s="28" t="str">
        <f>VLOOKUP($E40,STOCKS!$D$2:$E$2035,2,0)</f>
        <v>--</v>
      </c>
      <c r="H40">
        <v>67.400000000000006</v>
      </c>
      <c r="I40" s="129" t="e">
        <f t="shared" si="0"/>
        <v>#VALUE!</v>
      </c>
      <c r="J40" s="63" t="e">
        <f t="shared" si="1"/>
        <v>#VALUE!</v>
      </c>
    </row>
    <row r="41" spans="1:10">
      <c r="A41" s="118">
        <v>18.09</v>
      </c>
      <c r="B41" s="118">
        <v>192.78</v>
      </c>
      <c r="C41" s="118">
        <v>10.36</v>
      </c>
      <c r="D41" s="118">
        <v>51.39</v>
      </c>
      <c r="E41" s="118">
        <v>6129</v>
      </c>
      <c r="F41" t="s">
        <v>4696</v>
      </c>
      <c r="G41" s="28" t="str">
        <f>VLOOKUP($E41,STOCKS!$D$2:$E$2035,2,0)</f>
        <v>--</v>
      </c>
      <c r="H41">
        <v>30.75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27.03</v>
      </c>
      <c r="B42" s="118">
        <v>467.52</v>
      </c>
      <c r="C42" s="118">
        <v>73.819999999999993</v>
      </c>
      <c r="D42" s="118">
        <v>31.93</v>
      </c>
      <c r="E42" s="118">
        <v>2527</v>
      </c>
      <c r="F42" t="s">
        <v>4313</v>
      </c>
      <c r="G42" s="28" t="str">
        <f>VLOOKUP($E42,STOCKS!$D$2:$E$2035,2,0)</f>
        <v>--</v>
      </c>
      <c r="H42">
        <v>29.9</v>
      </c>
      <c r="I42" s="129" t="e">
        <f t="shared" si="0"/>
        <v>#VALUE!</v>
      </c>
      <c r="J42" s="63" t="e">
        <f t="shared" si="1"/>
        <v>#VALUE!</v>
      </c>
    </row>
    <row r="43" spans="1:10">
      <c r="A43" s="118">
        <v>77.91</v>
      </c>
      <c r="B43" s="118">
        <v>27.01</v>
      </c>
      <c r="C43" s="118">
        <v>-3.67</v>
      </c>
      <c r="D43" s="118">
        <v>15.04</v>
      </c>
      <c r="E43" s="118">
        <v>6239</v>
      </c>
      <c r="F43" t="s">
        <v>3687</v>
      </c>
      <c r="G43" s="28" t="str">
        <f>VLOOKUP($E43,STOCKS!$D$2:$E$2035,2,0)</f>
        <v>--</v>
      </c>
      <c r="H43">
        <v>97.4</v>
      </c>
      <c r="I43" s="129" t="e">
        <f t="shared" si="0"/>
        <v>#VALUE!</v>
      </c>
      <c r="J43" s="63" t="e">
        <f t="shared" si="1"/>
        <v>#VALUE!</v>
      </c>
    </row>
    <row r="44" spans="1:10">
      <c r="A44" s="118">
        <v>36.58</v>
      </c>
      <c r="B44" s="118">
        <v>461.58</v>
      </c>
      <c r="C44" s="118">
        <v>-11.2</v>
      </c>
      <c r="D44" s="118">
        <v>-24.71</v>
      </c>
      <c r="E44" s="118">
        <v>4906</v>
      </c>
      <c r="F44" t="s">
        <v>4132</v>
      </c>
      <c r="G44" s="28" t="str">
        <f>VLOOKUP($E44,STOCKS!$D$2:$E$2035,2,0)</f>
        <v>--</v>
      </c>
      <c r="H44">
        <v>27.4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12.03</v>
      </c>
      <c r="B45" s="118">
        <v>338.03</v>
      </c>
      <c r="C45" s="118">
        <v>31.27</v>
      </c>
      <c r="D45" s="118">
        <v>-0.38</v>
      </c>
      <c r="E45" s="118">
        <v>4746</v>
      </c>
      <c r="F45" t="s">
        <v>52</v>
      </c>
      <c r="G45" s="28" t="str">
        <f>VLOOKUP($E45,STOCKS!$D$2:$E$2035,2,0)</f>
        <v>--</v>
      </c>
      <c r="H45">
        <v>59.2</v>
      </c>
      <c r="I45" s="129" t="e">
        <f t="shared" si="0"/>
        <v>#VALUE!</v>
      </c>
      <c r="J45" s="63" t="e">
        <f t="shared" si="1"/>
        <v>#VALUE!</v>
      </c>
    </row>
    <row r="46" spans="1:10">
      <c r="A46" s="118">
        <v>15.04</v>
      </c>
      <c r="B46" s="118">
        <v>-40.54</v>
      </c>
      <c r="C46" s="118">
        <v>-12.01</v>
      </c>
      <c r="D46" s="118">
        <v>0.68</v>
      </c>
      <c r="E46" s="118">
        <v>3694</v>
      </c>
      <c r="F46" t="s">
        <v>4129</v>
      </c>
      <c r="G46" s="28" t="str">
        <f>VLOOKUP($E46,STOCKS!$D$2:$E$2035,2,0)</f>
        <v>--</v>
      </c>
      <c r="H46">
        <v>21.75</v>
      </c>
      <c r="I46" s="129" t="e">
        <f t="shared" si="0"/>
        <v>#VALUE!</v>
      </c>
      <c r="J46" s="63" t="e">
        <f t="shared" si="1"/>
        <v>#VALUE!</v>
      </c>
    </row>
    <row r="47" spans="1:10">
      <c r="A47" s="118">
        <v>159.88</v>
      </c>
      <c r="B47" s="118">
        <v>306.89999999999998</v>
      </c>
      <c r="C47" s="118">
        <v>11.91</v>
      </c>
      <c r="D47" s="118">
        <v>26.51</v>
      </c>
      <c r="E47" s="118">
        <v>2454</v>
      </c>
      <c r="F47" t="s">
        <v>3960</v>
      </c>
      <c r="G47" s="28" t="str">
        <f>VLOOKUP($E47,STOCKS!$D$2:$E$2035,2,0)</f>
        <v>--</v>
      </c>
      <c r="H47">
        <v>913</v>
      </c>
      <c r="I47" s="129" t="e">
        <f t="shared" si="0"/>
        <v>#VALUE!</v>
      </c>
      <c r="J47" s="63" t="e">
        <f t="shared" si="1"/>
        <v>#VALUE!</v>
      </c>
    </row>
    <row r="48" spans="1:10">
      <c r="A48" s="118">
        <v>21.68</v>
      </c>
      <c r="B48" s="118">
        <v>1729.51</v>
      </c>
      <c r="C48" s="118">
        <v>-0.88</v>
      </c>
      <c r="D48" s="118">
        <v>55.17</v>
      </c>
      <c r="E48" s="118">
        <v>3545</v>
      </c>
      <c r="F48" t="s">
        <v>3973</v>
      </c>
      <c r="G48" s="28">
        <f>VLOOKUP($E48,STOCKS!$D$2:$E$2035,2,0)</f>
        <v>170.5</v>
      </c>
      <c r="H48">
        <v>160</v>
      </c>
      <c r="I48" s="129">
        <f t="shared" si="0"/>
        <v>10.5</v>
      </c>
      <c r="J48" s="63">
        <f t="shared" si="1"/>
        <v>6.5625000000000003E-2</v>
      </c>
    </row>
    <row r="49" spans="1:10">
      <c r="A49" s="118">
        <v>18.489999999999998</v>
      </c>
      <c r="B49" s="118">
        <v>64.819999999999993</v>
      </c>
      <c r="C49" s="118">
        <v>8.42</v>
      </c>
      <c r="D49" s="118">
        <v>55.24</v>
      </c>
      <c r="E49" s="118">
        <v>2455</v>
      </c>
      <c r="F49" t="s">
        <v>4117</v>
      </c>
      <c r="G49" s="28">
        <f>VLOOKUP($E49,STOCKS!$D$2:$E$2035,2,0)</f>
        <v>146</v>
      </c>
      <c r="H49">
        <v>140.5</v>
      </c>
      <c r="I49" s="129">
        <f t="shared" si="0"/>
        <v>5.5</v>
      </c>
      <c r="J49" s="63">
        <f t="shared" si="1"/>
        <v>3.9145907473309607E-2</v>
      </c>
    </row>
    <row r="50" spans="1:10">
      <c r="A50" s="118">
        <v>4.7300000000000004</v>
      </c>
      <c r="B50" s="118">
        <v>40.86</v>
      </c>
      <c r="C50" s="118">
        <v>-9.6999999999999993</v>
      </c>
      <c r="D50" s="118">
        <v>-34.119999999999997</v>
      </c>
      <c r="E50" s="118">
        <v>3521</v>
      </c>
      <c r="F50" t="s">
        <v>4740</v>
      </c>
      <c r="G50" s="28" t="str">
        <f>VLOOKUP($E50,STOCKS!$D$2:$E$2035,2,0)</f>
        <v>--</v>
      </c>
      <c r="H50">
        <v>14.55</v>
      </c>
      <c r="I50" s="129" t="e">
        <f t="shared" si="0"/>
        <v>#VALUE!</v>
      </c>
      <c r="J50" s="63" t="e">
        <f t="shared" si="1"/>
        <v>#VALUE!</v>
      </c>
    </row>
    <row r="51" spans="1:10">
      <c r="A51" s="118">
        <v>19.93</v>
      </c>
      <c r="B51" s="118">
        <v>-4.4800000000000004</v>
      </c>
      <c r="C51" s="118">
        <v>-36.01</v>
      </c>
      <c r="D51" s="118">
        <v>-20.76</v>
      </c>
      <c r="E51" s="118">
        <v>4174</v>
      </c>
      <c r="F51" t="s">
        <v>4606</v>
      </c>
      <c r="G51" s="28" t="str">
        <f>VLOOKUP($E51,STOCKS!$D$2:$E$2035,2,0)</f>
        <v>--</v>
      </c>
      <c r="H51">
        <v>106.5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15.61</v>
      </c>
      <c r="B52" s="118">
        <v>67.47</v>
      </c>
      <c r="C52" s="118">
        <v>16.55</v>
      </c>
      <c r="D52" s="118">
        <v>7.7</v>
      </c>
      <c r="E52" s="118">
        <v>3321</v>
      </c>
      <c r="F52" t="s">
        <v>4190</v>
      </c>
      <c r="G52" s="28" t="str">
        <f>VLOOKUP($E52,STOCKS!$D$2:$E$2035,2,0)</f>
        <v>--</v>
      </c>
      <c r="H52">
        <v>12.9</v>
      </c>
      <c r="I52" s="129" t="e">
        <f t="shared" si="0"/>
        <v>#VALUE!</v>
      </c>
      <c r="J52" s="63" t="e">
        <f t="shared" si="1"/>
        <v>#VALUE!</v>
      </c>
    </row>
    <row r="53" spans="1:10">
      <c r="A53" s="118">
        <v>7.54</v>
      </c>
      <c r="B53" s="118">
        <v>605.25</v>
      </c>
      <c r="C53" s="118">
        <v>9.6999999999999993</v>
      </c>
      <c r="D53" s="118">
        <v>109.47</v>
      </c>
      <c r="E53" s="118">
        <v>3141</v>
      </c>
      <c r="F53" t="s">
        <v>4662</v>
      </c>
      <c r="G53" s="28">
        <f>VLOOKUP($E53,STOCKS!$D$2:$E$2035,2,0)</f>
        <v>259.5</v>
      </c>
      <c r="H53">
        <v>216</v>
      </c>
      <c r="I53" s="129">
        <f t="shared" si="0"/>
        <v>43.5</v>
      </c>
      <c r="J53" s="63">
        <f t="shared" si="1"/>
        <v>0.2013888888888889</v>
      </c>
    </row>
    <row r="54" spans="1:10">
      <c r="A54" s="118">
        <v>5.32</v>
      </c>
      <c r="B54" s="118">
        <v>2457.6799999999998</v>
      </c>
      <c r="C54" s="118">
        <v>-6.68</v>
      </c>
      <c r="D54" s="118">
        <v>39.96</v>
      </c>
      <c r="E54" s="118">
        <v>6165</v>
      </c>
      <c r="F54" t="s">
        <v>3629</v>
      </c>
      <c r="G54" s="28" t="str">
        <f>VLOOKUP($E54,STOCKS!$D$2:$E$2035,2,0)</f>
        <v>--</v>
      </c>
      <c r="H54">
        <v>42.6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7.65</v>
      </c>
      <c r="B55" s="118">
        <v>-984.79</v>
      </c>
      <c r="C55" s="118">
        <v>0.99</v>
      </c>
      <c r="D55" s="118">
        <v>-13.38</v>
      </c>
      <c r="E55" s="118">
        <v>3234</v>
      </c>
      <c r="F55" t="s">
        <v>4822</v>
      </c>
      <c r="G55" s="28" t="str">
        <f>VLOOKUP($E55,STOCKS!$D$2:$E$2035,2,0)</f>
        <v>--</v>
      </c>
      <c r="H55">
        <v>27.1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10.7</v>
      </c>
      <c r="B56" s="118">
        <v>114.87</v>
      </c>
      <c r="C56" s="118">
        <v>-9.56</v>
      </c>
      <c r="D56" s="118">
        <v>8.0500000000000007</v>
      </c>
      <c r="E56" s="118">
        <v>8182</v>
      </c>
      <c r="F56" t="s">
        <v>4961</v>
      </c>
      <c r="G56" s="28" t="str">
        <f>VLOOKUP($E56,STOCKS!$D$2:$E$2035,2,0)</f>
        <v>--</v>
      </c>
      <c r="H56">
        <v>43</v>
      </c>
      <c r="I56" s="129" t="e">
        <f t="shared" si="0"/>
        <v>#VALUE!</v>
      </c>
      <c r="J56" s="63" t="e">
        <f t="shared" si="1"/>
        <v>#VALUE!</v>
      </c>
    </row>
    <row r="57" spans="1:10">
      <c r="A57" s="118">
        <v>8.57</v>
      </c>
      <c r="B57" s="118">
        <v>820.81</v>
      </c>
      <c r="C57" s="118">
        <v>-35.270000000000003</v>
      </c>
      <c r="D57" s="118">
        <v>9.0399999999999991</v>
      </c>
      <c r="E57" s="118">
        <v>1760</v>
      </c>
      <c r="F57" t="s">
        <v>3551</v>
      </c>
      <c r="G57" s="28" t="str">
        <f>VLOOKUP($E57,STOCKS!$D$2:$E$2035,2,0)</f>
        <v>--</v>
      </c>
      <c r="H57">
        <v>68.599999999999994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5.72</v>
      </c>
      <c r="B58" s="118">
        <v>-108.56</v>
      </c>
      <c r="C58" s="118">
        <v>61.62</v>
      </c>
      <c r="D58" s="118">
        <v>-27.98</v>
      </c>
      <c r="E58" s="118">
        <v>8089</v>
      </c>
      <c r="F58" t="s">
        <v>4861</v>
      </c>
      <c r="G58" s="28" t="str">
        <f>VLOOKUP($E58,STOCKS!$D$2:$E$2035,2,0)</f>
        <v>--</v>
      </c>
      <c r="H58">
        <v>28</v>
      </c>
      <c r="I58" s="129" t="e">
        <f t="shared" si="0"/>
        <v>#VALUE!</v>
      </c>
      <c r="J58" s="63" t="e">
        <f t="shared" si="1"/>
        <v>#VALUE!</v>
      </c>
    </row>
    <row r="59" spans="1:10">
      <c r="A59" s="118">
        <v>3.16</v>
      </c>
      <c r="B59" s="118">
        <v>-20.96</v>
      </c>
      <c r="C59" s="118">
        <v>-21.2</v>
      </c>
      <c r="D59" s="118">
        <v>-15.33</v>
      </c>
      <c r="E59" s="118">
        <v>6643</v>
      </c>
      <c r="F59" t="s">
        <v>2877</v>
      </c>
      <c r="G59" s="28" t="str">
        <f>VLOOKUP($E59,STOCKS!$D$2:$E$2035,2,0)</f>
        <v>--</v>
      </c>
      <c r="H59">
        <v>397</v>
      </c>
      <c r="I59" s="129" t="e">
        <f t="shared" si="0"/>
        <v>#VALUE!</v>
      </c>
      <c r="J59" s="63" t="e">
        <f t="shared" si="1"/>
        <v>#VALUE!</v>
      </c>
    </row>
    <row r="60" spans="1:10">
      <c r="A60" s="118">
        <v>4.67</v>
      </c>
      <c r="B60" s="118">
        <v>33.83</v>
      </c>
      <c r="C60" s="118">
        <v>3.67</v>
      </c>
      <c r="D60" s="118">
        <v>27.26</v>
      </c>
      <c r="E60" s="118">
        <v>3138</v>
      </c>
      <c r="F60" t="s">
        <v>43</v>
      </c>
      <c r="G60" s="28" t="str">
        <f>VLOOKUP($E60,STOCKS!$D$2:$E$2035,2,0)</f>
        <v>--</v>
      </c>
      <c r="H60">
        <v>213.5</v>
      </c>
      <c r="I60" s="129" t="e">
        <f t="shared" si="0"/>
        <v>#VALUE!</v>
      </c>
      <c r="J60" s="63" t="e">
        <f t="shared" si="1"/>
        <v>#VALUE!</v>
      </c>
    </row>
    <row r="61" spans="1:10">
      <c r="A61" s="118">
        <v>72.72</v>
      </c>
      <c r="B61" s="118">
        <v>78.33</v>
      </c>
      <c r="C61" s="118">
        <v>-2.31</v>
      </c>
      <c r="D61" s="118">
        <v>23.55</v>
      </c>
      <c r="E61" s="118">
        <v>8150</v>
      </c>
      <c r="F61" t="s">
        <v>3997</v>
      </c>
      <c r="G61" s="28" t="str">
        <f>VLOOKUP($E61,STOCKS!$D$2:$E$2035,2,0)</f>
        <v>--</v>
      </c>
      <c r="H61">
        <v>46.15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15.43</v>
      </c>
      <c r="B62" s="118">
        <v>62.53</v>
      </c>
      <c r="C62" s="118">
        <v>-10.46</v>
      </c>
      <c r="D62" s="118">
        <v>-71.88</v>
      </c>
      <c r="E62" s="118">
        <v>2417</v>
      </c>
      <c r="F62" t="s">
        <v>3595</v>
      </c>
      <c r="G62" s="28" t="str">
        <f>VLOOKUP($E62,STOCKS!$D$2:$E$2035,2,0)</f>
        <v>--</v>
      </c>
      <c r="H62">
        <v>27.15</v>
      </c>
      <c r="I62" s="129" t="e">
        <f t="shared" si="0"/>
        <v>#VALUE!</v>
      </c>
      <c r="J62" s="63" t="e">
        <f t="shared" si="1"/>
        <v>#VALUE!</v>
      </c>
    </row>
    <row r="63" spans="1:10">
      <c r="A63" s="118">
        <v>65</v>
      </c>
      <c r="B63" s="118">
        <v>492.98</v>
      </c>
      <c r="C63" s="118">
        <v>0.23</v>
      </c>
      <c r="D63" s="118">
        <v>15.73</v>
      </c>
      <c r="E63" s="118">
        <v>2329</v>
      </c>
      <c r="F63" t="s">
        <v>3943</v>
      </c>
      <c r="G63" s="28">
        <f>VLOOKUP($E63,STOCKS!$D$2:$E$2035,2,0)</f>
        <v>24.8</v>
      </c>
      <c r="H63">
        <v>24.8</v>
      </c>
      <c r="I63" s="129">
        <f t="shared" si="0"/>
        <v>0</v>
      </c>
      <c r="J63" s="63">
        <f t="shared" si="1"/>
        <v>0</v>
      </c>
    </row>
    <row r="64" spans="1:10">
      <c r="A64" s="118">
        <v>15.33</v>
      </c>
      <c r="B64" s="118">
        <v>-20.62</v>
      </c>
      <c r="C64" s="118">
        <v>71.03</v>
      </c>
      <c r="D64" s="118">
        <v>19.79</v>
      </c>
      <c r="E64" s="118">
        <v>4726</v>
      </c>
      <c r="F64" t="s">
        <v>37</v>
      </c>
      <c r="G64" s="28" t="str">
        <f>VLOOKUP($E64,STOCKS!$D$2:$E$2035,2,0)</f>
        <v>--</v>
      </c>
      <c r="H64">
        <v>34.799999999999997</v>
      </c>
      <c r="I64" s="129" t="e">
        <f t="shared" si="0"/>
        <v>#VALUE!</v>
      </c>
      <c r="J64" s="63" t="e">
        <f t="shared" si="1"/>
        <v>#VALUE!</v>
      </c>
    </row>
    <row r="65" spans="1:10">
      <c r="A65" s="118">
        <v>952.6</v>
      </c>
      <c r="B65" s="118">
        <v>268.54000000000002</v>
      </c>
      <c r="C65" s="118">
        <v>5.94</v>
      </c>
      <c r="D65" s="118">
        <v>87.38</v>
      </c>
      <c r="E65" s="118">
        <v>6505</v>
      </c>
      <c r="F65" t="s">
        <v>4429</v>
      </c>
      <c r="G65" s="28" t="str">
        <f>VLOOKUP($E65,STOCKS!$D$2:$E$2035,2,0)</f>
        <v>--</v>
      </c>
      <c r="H65">
        <v>100</v>
      </c>
      <c r="I65" s="129" t="e">
        <f t="shared" si="0"/>
        <v>#VALUE!</v>
      </c>
      <c r="J65" s="63" t="e">
        <f t="shared" si="1"/>
        <v>#VALUE!</v>
      </c>
    </row>
    <row r="66" spans="1:10">
      <c r="A66" s="118">
        <v>17.21</v>
      </c>
      <c r="B66" s="118">
        <v>544.21</v>
      </c>
      <c r="C66" s="118">
        <v>-2.98</v>
      </c>
      <c r="D66" s="118">
        <v>54.65</v>
      </c>
      <c r="E66" s="118">
        <v>3372</v>
      </c>
      <c r="F66" t="s">
        <v>4670</v>
      </c>
      <c r="G66" s="28" t="str">
        <f>VLOOKUP($E66,STOCKS!$D$2:$E$2035,2,0)</f>
        <v>--</v>
      </c>
      <c r="H66">
        <v>22.5</v>
      </c>
      <c r="I66" s="129" t="e">
        <f t="shared" si="0"/>
        <v>#VALUE!</v>
      </c>
      <c r="J66" s="63" t="e">
        <f t="shared" si="1"/>
        <v>#VALUE!</v>
      </c>
    </row>
    <row r="67" spans="1:10">
      <c r="A67" s="118">
        <v>7.15</v>
      </c>
      <c r="B67" s="118">
        <v>117.63</v>
      </c>
      <c r="C67" s="118">
        <v>-5.8</v>
      </c>
      <c r="D67" s="118">
        <v>78.05</v>
      </c>
      <c r="E67" s="118">
        <v>6672</v>
      </c>
      <c r="F67" t="s">
        <v>4224</v>
      </c>
      <c r="G67" s="28" t="str">
        <f>VLOOKUP($E67,STOCKS!$D$2:$E$2035,2,0)</f>
        <v>--</v>
      </c>
      <c r="H67">
        <v>126.5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168.62</v>
      </c>
      <c r="B68" s="118">
        <v>144.61000000000001</v>
      </c>
      <c r="C68" s="118">
        <v>-2.77</v>
      </c>
      <c r="D68" s="118">
        <v>-45.41</v>
      </c>
      <c r="E68" s="118">
        <v>1718</v>
      </c>
      <c r="F68" t="s">
        <v>3838</v>
      </c>
      <c r="G68" s="28" t="str">
        <f>VLOOKUP($E68,STOCKS!$D$2:$E$2035,2,0)</f>
        <v>--</v>
      </c>
      <c r="H68">
        <v>10.15</v>
      </c>
      <c r="I68" s="129" t="e">
        <f t="shared" si="2"/>
        <v>#VALUE!</v>
      </c>
      <c r="J68" s="63" t="e">
        <f t="shared" si="3"/>
        <v>#VALUE!</v>
      </c>
    </row>
    <row r="69" spans="1:10">
      <c r="A69" s="118">
        <v>100</v>
      </c>
      <c r="B69" s="118">
        <v>125.75</v>
      </c>
      <c r="C69" s="118">
        <v>8.7200000000000006</v>
      </c>
      <c r="D69" s="118">
        <v>-0.71</v>
      </c>
      <c r="E69" s="118">
        <v>2201</v>
      </c>
      <c r="F69" t="s">
        <v>3923</v>
      </c>
      <c r="G69" s="28" t="str">
        <f>VLOOKUP($E69,STOCKS!$D$2:$E$2035,2,0)</f>
        <v>--</v>
      </c>
      <c r="H69">
        <v>41.1</v>
      </c>
      <c r="I69" s="129" t="e">
        <f t="shared" si="2"/>
        <v>#VALUE!</v>
      </c>
      <c r="J69" s="63" t="e">
        <f t="shared" si="3"/>
        <v>#VALUE!</v>
      </c>
    </row>
    <row r="70" spans="1:10">
      <c r="A70" s="118">
        <v>22.62</v>
      </c>
      <c r="B70" s="118">
        <v>133.16</v>
      </c>
      <c r="C70" s="118">
        <v>9.16</v>
      </c>
      <c r="D70" s="118">
        <v>45.73</v>
      </c>
      <c r="E70" s="118">
        <v>6202</v>
      </c>
      <c r="F70" t="s">
        <v>3984</v>
      </c>
      <c r="G70" s="28" t="str">
        <f>VLOOKUP($E70,STOCKS!$D$2:$E$2035,2,0)</f>
        <v>--</v>
      </c>
      <c r="H70">
        <v>103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42.17</v>
      </c>
      <c r="B71" s="118">
        <v>155.94</v>
      </c>
      <c r="C71" s="118">
        <v>2.0499999999999998</v>
      </c>
      <c r="D71" s="118">
        <v>9.42</v>
      </c>
      <c r="E71" s="118">
        <v>2360</v>
      </c>
      <c r="F71" t="s">
        <v>3604</v>
      </c>
      <c r="G71" s="28" t="str">
        <f>VLOOKUP($E71,STOCKS!$D$2:$E$2035,2,0)</f>
        <v>--</v>
      </c>
      <c r="H71">
        <v>181</v>
      </c>
      <c r="I71" s="129" t="e">
        <f t="shared" si="2"/>
        <v>#VALUE!</v>
      </c>
      <c r="J71" s="63" t="e">
        <f t="shared" si="3"/>
        <v>#VALUE!</v>
      </c>
    </row>
    <row r="72" spans="1:10">
      <c r="A72" s="118">
        <v>324.14</v>
      </c>
      <c r="B72" s="118">
        <v>1082.07</v>
      </c>
      <c r="C72" s="118">
        <v>2.29</v>
      </c>
      <c r="D72" s="118">
        <v>-18.579999999999998</v>
      </c>
      <c r="E72" s="118">
        <v>2105</v>
      </c>
      <c r="F72" t="s">
        <v>3905</v>
      </c>
      <c r="G72" s="28">
        <f>VLOOKUP($E72,STOCKS!$D$2:$E$2035,2,0)</f>
        <v>34.65</v>
      </c>
      <c r="H72">
        <v>34.1</v>
      </c>
      <c r="I72" s="129">
        <f t="shared" si="2"/>
        <v>0.54999999999999716</v>
      </c>
      <c r="J72" s="63">
        <f t="shared" si="3"/>
        <v>1.6129032258064432E-2</v>
      </c>
    </row>
    <row r="73" spans="1:10">
      <c r="A73" s="118">
        <v>7.22</v>
      </c>
      <c r="B73" s="118">
        <v>215.6</v>
      </c>
      <c r="C73" s="118">
        <v>0.75</v>
      </c>
      <c r="D73" s="118">
        <v>126.74</v>
      </c>
      <c r="E73" s="118">
        <v>6706</v>
      </c>
      <c r="F73" t="s">
        <v>4104</v>
      </c>
      <c r="G73" s="28" t="str">
        <f>VLOOKUP($E73,STOCKS!$D$2:$E$2035,2,0)</f>
        <v>--</v>
      </c>
      <c r="H73">
        <v>210</v>
      </c>
      <c r="I73" s="129" t="e">
        <f t="shared" si="2"/>
        <v>#VALUE!</v>
      </c>
      <c r="J73" s="63" t="e">
        <f t="shared" si="3"/>
        <v>#VALUE!</v>
      </c>
    </row>
    <row r="74" spans="1:10">
      <c r="A74" s="118">
        <v>8.31</v>
      </c>
      <c r="B74" s="118">
        <v>194.48</v>
      </c>
      <c r="C74" s="118">
        <v>108.88</v>
      </c>
      <c r="D74" s="118">
        <v>-42.2</v>
      </c>
      <c r="E74" s="118">
        <v>3489</v>
      </c>
      <c r="F74" t="s">
        <v>5049</v>
      </c>
      <c r="G74" s="28" t="str">
        <f>VLOOKUP($E74,STOCKS!$D$2:$E$2035,2,0)</f>
        <v>--</v>
      </c>
      <c r="H74">
        <v>13.25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64.98</v>
      </c>
      <c r="B75" s="118">
        <v>566.04</v>
      </c>
      <c r="C75" s="118">
        <v>-2.73</v>
      </c>
      <c r="D75" s="118">
        <v>20.04</v>
      </c>
      <c r="E75" s="118">
        <v>2362</v>
      </c>
      <c r="F75" t="s">
        <v>4008</v>
      </c>
      <c r="G75" s="28" t="str">
        <f>VLOOKUP($E75,STOCKS!$D$2:$E$2035,2,0)</f>
        <v>--</v>
      </c>
      <c r="H75">
        <v>34.450000000000003</v>
      </c>
      <c r="I75" s="129" t="e">
        <f t="shared" si="2"/>
        <v>#VALUE!</v>
      </c>
      <c r="J75" s="63" t="e">
        <f t="shared" si="3"/>
        <v>#VALUE!</v>
      </c>
    </row>
    <row r="76" spans="1:10">
      <c r="A76" s="118">
        <v>11.35</v>
      </c>
      <c r="B76" s="118">
        <v>60.62</v>
      </c>
      <c r="C76" s="118">
        <v>7.91</v>
      </c>
      <c r="D76" s="118">
        <v>149.82</v>
      </c>
      <c r="E76" s="118">
        <v>3686</v>
      </c>
      <c r="F76" t="s">
        <v>3639</v>
      </c>
      <c r="G76" s="28" t="str">
        <f>VLOOKUP($E76,STOCKS!$D$2:$E$2035,2,0)</f>
        <v>--</v>
      </c>
      <c r="H76">
        <v>16.05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4.4400000000000004</v>
      </c>
      <c r="B77" s="118">
        <v>420.37</v>
      </c>
      <c r="C77" s="118">
        <v>-2.25</v>
      </c>
      <c r="D77" s="118">
        <v>85.01</v>
      </c>
      <c r="E77" s="118">
        <v>3527</v>
      </c>
      <c r="F77" t="s">
        <v>4673</v>
      </c>
      <c r="G77" s="28" t="str">
        <f>VLOOKUP($E77,STOCKS!$D$2:$E$2035,2,0)</f>
        <v>--</v>
      </c>
      <c r="H77">
        <v>215.5</v>
      </c>
      <c r="I77" s="129" t="e">
        <f t="shared" si="2"/>
        <v>#VALUE!</v>
      </c>
      <c r="J77" s="63" t="e">
        <f t="shared" si="3"/>
        <v>#VALUE!</v>
      </c>
    </row>
    <row r="78" spans="1:10">
      <c r="A78" s="118">
        <v>55.98</v>
      </c>
      <c r="B78" s="118">
        <v>-4.78</v>
      </c>
      <c r="C78" s="118">
        <v>-6.66</v>
      </c>
      <c r="D78" s="118">
        <v>-4.4000000000000004</v>
      </c>
      <c r="E78" s="118">
        <v>2345</v>
      </c>
      <c r="F78" t="s">
        <v>4111</v>
      </c>
      <c r="G78" s="28" t="str">
        <f>VLOOKUP($E78,STOCKS!$D$2:$E$2035,2,0)</f>
        <v>--</v>
      </c>
      <c r="H78">
        <v>243.5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14.3</v>
      </c>
      <c r="B79" s="118">
        <v>103.74</v>
      </c>
      <c r="C79" s="118">
        <v>5.68</v>
      </c>
      <c r="D79" s="118">
        <v>33.69</v>
      </c>
      <c r="E79" s="118">
        <v>6175</v>
      </c>
      <c r="F79" t="s">
        <v>4928</v>
      </c>
      <c r="G79" s="28" t="str">
        <f>VLOOKUP($E79,STOCKS!$D$2:$E$2035,2,0)</f>
        <v>--</v>
      </c>
      <c r="H79">
        <v>44.05</v>
      </c>
      <c r="I79" s="129" t="e">
        <f t="shared" si="2"/>
        <v>#VALUE!</v>
      </c>
      <c r="J79" s="63" t="e">
        <f t="shared" si="3"/>
        <v>#VALUE!</v>
      </c>
    </row>
    <row r="80" spans="1:10">
      <c r="A80" s="118">
        <v>10.83</v>
      </c>
      <c r="B80" s="118">
        <v>164.73</v>
      </c>
      <c r="C80" s="118">
        <v>6.17</v>
      </c>
      <c r="D80" s="118">
        <v>6.63</v>
      </c>
      <c r="E80" s="118">
        <v>1727</v>
      </c>
      <c r="F80" t="s">
        <v>3843</v>
      </c>
      <c r="G80" s="28">
        <f>VLOOKUP($E80,STOCKS!$D$2:$E$2035,2,0)</f>
        <v>59.1</v>
      </c>
      <c r="H80">
        <v>44.1</v>
      </c>
      <c r="I80" s="129">
        <f t="shared" si="2"/>
        <v>15</v>
      </c>
      <c r="J80" s="63">
        <f t="shared" si="3"/>
        <v>0.3401360544217687</v>
      </c>
    </row>
    <row r="81" spans="1:10">
      <c r="A81" s="118">
        <v>200.85</v>
      </c>
      <c r="B81" s="118">
        <v>757.86</v>
      </c>
      <c r="C81" s="118">
        <v>-1.68</v>
      </c>
      <c r="D81" s="118">
        <v>74.16</v>
      </c>
      <c r="E81" s="118">
        <v>2027</v>
      </c>
      <c r="F81" t="s">
        <v>46</v>
      </c>
      <c r="G81" s="28">
        <f>VLOOKUP($E81,STOCKS!$D$2:$E$2035,2,0)</f>
        <v>45.95</v>
      </c>
      <c r="H81">
        <v>44.15</v>
      </c>
      <c r="I81" s="129">
        <f t="shared" si="2"/>
        <v>1.8000000000000043</v>
      </c>
      <c r="J81" s="63">
        <f t="shared" si="3"/>
        <v>4.077010192525491E-2</v>
      </c>
    </row>
    <row r="82" spans="1:10">
      <c r="A82" s="118">
        <v>24.62</v>
      </c>
      <c r="B82" s="118">
        <v>243.87</v>
      </c>
      <c r="C82" s="118">
        <v>28.28</v>
      </c>
      <c r="D82" s="118">
        <v>48.12</v>
      </c>
      <c r="E82" s="118">
        <v>3712</v>
      </c>
      <c r="F82" t="s">
        <v>4031</v>
      </c>
      <c r="G82" s="28" t="str">
        <f>VLOOKUP($E82,STOCKS!$D$2:$E$2035,2,0)</f>
        <v>--</v>
      </c>
      <c r="H82">
        <v>33.299999999999997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20</v>
      </c>
      <c r="B83" s="118">
        <v>-48.48</v>
      </c>
      <c r="C83" s="118">
        <v>-6.79</v>
      </c>
      <c r="D83" s="118">
        <v>24.55</v>
      </c>
      <c r="E83" s="118">
        <v>2013</v>
      </c>
      <c r="F83" t="s">
        <v>3889</v>
      </c>
      <c r="G83" s="28">
        <f>VLOOKUP($E83,STOCKS!$D$2:$E$2035,2,0)</f>
        <v>53.2</v>
      </c>
      <c r="H83">
        <v>55.5</v>
      </c>
      <c r="I83" s="129">
        <f t="shared" si="2"/>
        <v>-2.2999999999999972</v>
      </c>
      <c r="J83" s="63">
        <f t="shared" si="3"/>
        <v>-4.1441441441441393E-2</v>
      </c>
    </row>
    <row r="84" spans="1:10">
      <c r="A84" s="118">
        <v>25.23</v>
      </c>
      <c r="B84" s="118">
        <v>-109.85</v>
      </c>
      <c r="C84" s="118">
        <v>-9.18</v>
      </c>
      <c r="D84" s="118">
        <v>6855.83</v>
      </c>
      <c r="E84" s="118">
        <v>4147</v>
      </c>
      <c r="F84" t="s">
        <v>4597</v>
      </c>
      <c r="G84" s="28" t="str">
        <f>VLOOKUP($E84,STOCKS!$D$2:$E$2035,2,0)</f>
        <v>--</v>
      </c>
      <c r="H84">
        <v>66.8</v>
      </c>
      <c r="I84" s="129" t="e">
        <f t="shared" si="2"/>
        <v>#VALUE!</v>
      </c>
      <c r="J84" s="63" t="e">
        <f t="shared" si="3"/>
        <v>#VALUE!</v>
      </c>
    </row>
    <row r="85" spans="1:10">
      <c r="A85" s="118">
        <v>98</v>
      </c>
      <c r="B85" s="118">
        <v>-4.7699999999999996</v>
      </c>
      <c r="C85" s="118">
        <v>17.600000000000001</v>
      </c>
      <c r="D85" s="118">
        <v>40.98</v>
      </c>
      <c r="E85" s="118">
        <v>1722</v>
      </c>
      <c r="F85" t="s">
        <v>3840</v>
      </c>
      <c r="G85" s="28" t="str">
        <f>VLOOKUP($E85,STOCKS!$D$2:$E$2035,2,0)</f>
        <v>--</v>
      </c>
      <c r="H85">
        <v>67.900000000000006</v>
      </c>
      <c r="I85" s="129" t="e">
        <f t="shared" si="2"/>
        <v>#VALUE!</v>
      </c>
      <c r="J85" s="63" t="e">
        <f t="shared" si="3"/>
        <v>#VALUE!</v>
      </c>
    </row>
    <row r="86" spans="1:10">
      <c r="A86" s="118">
        <v>17.8</v>
      </c>
      <c r="B86" s="118">
        <v>1495.84</v>
      </c>
      <c r="C86" s="118">
        <v>-0.69</v>
      </c>
      <c r="D86" s="118">
        <v>23.53</v>
      </c>
      <c r="E86" s="118">
        <v>2436</v>
      </c>
      <c r="F86" t="s">
        <v>3956</v>
      </c>
      <c r="G86" s="28">
        <f>VLOOKUP($E86,STOCKS!$D$2:$E$2035,2,0)</f>
        <v>100</v>
      </c>
      <c r="H86">
        <v>81.099999999999994</v>
      </c>
      <c r="I86" s="129">
        <f t="shared" si="2"/>
        <v>18.900000000000006</v>
      </c>
      <c r="J86" s="63">
        <f t="shared" si="3"/>
        <v>0.23304562268803955</v>
      </c>
    </row>
    <row r="87" spans="1:10">
      <c r="A87" s="118">
        <v>10.220000000000001</v>
      </c>
      <c r="B87" s="118">
        <v>65.67</v>
      </c>
      <c r="C87" s="118">
        <v>33.96</v>
      </c>
      <c r="D87" s="118">
        <v>-10.48</v>
      </c>
      <c r="E87" s="118">
        <v>4967</v>
      </c>
      <c r="F87" t="s">
        <v>3980</v>
      </c>
      <c r="G87" s="28" t="str">
        <f>VLOOKUP($E87,STOCKS!$D$2:$E$2035,2,0)</f>
        <v>--</v>
      </c>
      <c r="H87">
        <v>44.2</v>
      </c>
      <c r="I87" s="129" t="e">
        <f t="shared" si="2"/>
        <v>#VALUE!</v>
      </c>
      <c r="J87" s="63" t="e">
        <f t="shared" si="3"/>
        <v>#VALUE!</v>
      </c>
    </row>
    <row r="88" spans="1:10">
      <c r="A88" s="118">
        <v>9.14</v>
      </c>
      <c r="B88" s="118">
        <v>-8.91</v>
      </c>
      <c r="C88" s="118">
        <v>-33.22</v>
      </c>
      <c r="D88" s="118">
        <v>-52.34</v>
      </c>
      <c r="E88" s="118">
        <v>3081</v>
      </c>
      <c r="F88" t="s">
        <v>4818</v>
      </c>
      <c r="G88" s="28" t="str">
        <f>VLOOKUP($E88,STOCKS!$D$2:$E$2035,2,0)</f>
        <v>--</v>
      </c>
      <c r="H88">
        <v>178.5</v>
      </c>
      <c r="I88" s="129" t="e">
        <f t="shared" si="2"/>
        <v>#VALUE!</v>
      </c>
      <c r="J88" s="63" t="e">
        <f t="shared" si="3"/>
        <v>#VALUE!</v>
      </c>
    </row>
    <row r="89" spans="1:10">
      <c r="A89" s="118">
        <v>3.23</v>
      </c>
      <c r="B89" s="118">
        <v>9.0299999999999994</v>
      </c>
      <c r="C89" s="118">
        <v>18.170000000000002</v>
      </c>
      <c r="D89" s="118">
        <v>22.38</v>
      </c>
      <c r="E89" s="118">
        <v>3672</v>
      </c>
      <c r="F89" t="s">
        <v>4832</v>
      </c>
      <c r="G89" s="28">
        <f>VLOOKUP($E89,STOCKS!$D$2:$E$2035,2,0)</f>
        <v>29.9</v>
      </c>
      <c r="H89">
        <v>23.85</v>
      </c>
      <c r="I89" s="129">
        <f t="shared" si="2"/>
        <v>6.0499999999999972</v>
      </c>
      <c r="J89" s="63">
        <f t="shared" si="3"/>
        <v>0.25366876310272524</v>
      </c>
    </row>
    <row r="90" spans="1:10">
      <c r="A90" s="118">
        <v>32.9</v>
      </c>
      <c r="B90" s="118">
        <v>-48.77</v>
      </c>
      <c r="C90" s="118">
        <v>-5.75</v>
      </c>
      <c r="D90" s="118">
        <v>-36.909999999999997</v>
      </c>
      <c r="E90" s="118">
        <v>2419</v>
      </c>
      <c r="F90" t="s">
        <v>4113</v>
      </c>
      <c r="G90" s="28">
        <f>VLOOKUP($E90,STOCKS!$D$2:$E$2035,2,0)</f>
        <v>23.6</v>
      </c>
      <c r="H90">
        <v>21</v>
      </c>
      <c r="I90" s="129">
        <f t="shared" si="2"/>
        <v>2.6000000000000014</v>
      </c>
      <c r="J90" s="63">
        <f t="shared" si="3"/>
        <v>0.12380952380952388</v>
      </c>
    </row>
    <row r="91" spans="1:10">
      <c r="A91" s="118">
        <v>35.14</v>
      </c>
      <c r="B91" s="118">
        <v>-28.81</v>
      </c>
      <c r="C91" s="118">
        <v>5.99</v>
      </c>
      <c r="D91" s="118">
        <v>5.93</v>
      </c>
      <c r="E91" s="118">
        <v>6269</v>
      </c>
      <c r="F91" t="s">
        <v>4220</v>
      </c>
      <c r="G91" s="28" t="str">
        <f>VLOOKUP($E91,STOCKS!$D$2:$E$2035,2,0)</f>
        <v>--</v>
      </c>
      <c r="H91">
        <v>96.1</v>
      </c>
      <c r="I91" s="129" t="e">
        <f t="shared" si="2"/>
        <v>#VALUE!</v>
      </c>
      <c r="J91" s="63" t="e">
        <f t="shared" si="3"/>
        <v>#VALUE!</v>
      </c>
    </row>
    <row r="92" spans="1:10">
      <c r="A92" s="118">
        <v>48.58</v>
      </c>
      <c r="B92" s="118">
        <v>71.290000000000006</v>
      </c>
      <c r="C92" s="118">
        <v>-7.04</v>
      </c>
      <c r="D92" s="118">
        <v>-3.53</v>
      </c>
      <c r="E92" s="118">
        <v>2492</v>
      </c>
      <c r="F92" t="s">
        <v>4172</v>
      </c>
      <c r="G92" s="28" t="str">
        <f>VLOOKUP($E92,STOCKS!$D$2:$E$2035,2,0)</f>
        <v>--</v>
      </c>
      <c r="H92">
        <v>151</v>
      </c>
      <c r="I92" s="129" t="e">
        <f t="shared" si="2"/>
        <v>#VALUE!</v>
      </c>
      <c r="J92" s="63" t="e">
        <f t="shared" si="3"/>
        <v>#VALUE!</v>
      </c>
    </row>
    <row r="93" spans="1:10">
      <c r="A93" s="118">
        <v>18.649999999999999</v>
      </c>
      <c r="B93" s="118">
        <v>2372.63</v>
      </c>
      <c r="C93" s="118">
        <v>1.97</v>
      </c>
      <c r="D93" s="118">
        <v>110.81</v>
      </c>
      <c r="E93" s="118">
        <v>4961</v>
      </c>
      <c r="F93" t="s">
        <v>3979</v>
      </c>
      <c r="G93" s="28">
        <f>VLOOKUP($E93,STOCKS!$D$2:$E$2035,2,0)</f>
        <v>260</v>
      </c>
      <c r="H93">
        <v>213</v>
      </c>
      <c r="I93" s="129">
        <f t="shared" si="2"/>
        <v>47</v>
      </c>
      <c r="J93" s="63">
        <f t="shared" si="3"/>
        <v>0.22065727699530516</v>
      </c>
    </row>
    <row r="94" spans="1:10">
      <c r="A94" s="118">
        <v>440.71</v>
      </c>
      <c r="B94" s="118">
        <v>90.35</v>
      </c>
      <c r="C94" s="118">
        <v>23.54</v>
      </c>
      <c r="D94" s="118">
        <v>32.42</v>
      </c>
      <c r="E94" s="118">
        <v>2324</v>
      </c>
      <c r="F94" t="s">
        <v>4002</v>
      </c>
      <c r="G94" s="28">
        <f>VLOOKUP($E94,STOCKS!$D$2:$E$2035,2,0)</f>
        <v>23.7</v>
      </c>
      <c r="H94">
        <v>24.45</v>
      </c>
      <c r="I94" s="129">
        <f t="shared" si="2"/>
        <v>-0.75</v>
      </c>
      <c r="J94" s="63">
        <f t="shared" si="3"/>
        <v>-3.0674846625766871E-2</v>
      </c>
    </row>
    <row r="95" spans="1:10">
      <c r="A95" s="118">
        <v>122.27</v>
      </c>
      <c r="B95" s="118">
        <v>1.53</v>
      </c>
      <c r="C95" s="118">
        <v>-1.62</v>
      </c>
      <c r="D95" s="118">
        <v>25.34</v>
      </c>
      <c r="E95" s="118">
        <v>2449</v>
      </c>
      <c r="F95" t="s">
        <v>3958</v>
      </c>
      <c r="G95" s="28" t="str">
        <f>VLOOKUP($E95,STOCKS!$D$2:$E$2035,2,0)</f>
        <v>--</v>
      </c>
      <c r="H95">
        <v>39.75</v>
      </c>
      <c r="I95" s="129" t="e">
        <f t="shared" si="2"/>
        <v>#VALUE!</v>
      </c>
      <c r="J95" s="63" t="e">
        <f t="shared" si="3"/>
        <v>#VALUE!</v>
      </c>
    </row>
    <row r="96" spans="1:10">
      <c r="A96" s="118">
        <v>14.88</v>
      </c>
      <c r="B96" s="118">
        <v>267.7</v>
      </c>
      <c r="C96" s="118">
        <v>5.48</v>
      </c>
      <c r="D96" s="118">
        <v>45.04</v>
      </c>
      <c r="E96" s="118">
        <v>5452</v>
      </c>
      <c r="F96" t="s">
        <v>5027</v>
      </c>
      <c r="G96" s="28" t="str">
        <f>VLOOKUP($E96,STOCKS!$D$2:$E$2035,2,0)</f>
        <v>--</v>
      </c>
      <c r="H96">
        <v>21.7</v>
      </c>
      <c r="I96" s="129" t="e">
        <f t="shared" si="2"/>
        <v>#VALUE!</v>
      </c>
      <c r="J96" s="63" t="e">
        <f t="shared" si="3"/>
        <v>#VALUE!</v>
      </c>
    </row>
    <row r="97" spans="1:10">
      <c r="A97" s="118">
        <v>21.4</v>
      </c>
      <c r="B97" s="118">
        <v>361.42</v>
      </c>
      <c r="C97" s="118">
        <v>10.44</v>
      </c>
      <c r="D97" s="118">
        <v>14.01</v>
      </c>
      <c r="E97" s="118">
        <v>2390</v>
      </c>
      <c r="F97" t="s">
        <v>3545</v>
      </c>
      <c r="G97" s="28">
        <f>VLOOKUP($E97,STOCKS!$D$2:$E$2035,2,0)</f>
        <v>21.4</v>
      </c>
      <c r="H97">
        <v>21.9</v>
      </c>
      <c r="I97" s="129">
        <f t="shared" si="2"/>
        <v>-0.5</v>
      </c>
      <c r="J97" s="63">
        <f t="shared" si="3"/>
        <v>-2.2831050228310504E-2</v>
      </c>
    </row>
    <row r="98" spans="1:10">
      <c r="A98" s="118">
        <v>8.9700000000000006</v>
      </c>
      <c r="B98" s="118">
        <v>-2.29</v>
      </c>
      <c r="C98" s="118">
        <v>0</v>
      </c>
      <c r="D98" s="118">
        <v>0</v>
      </c>
      <c r="E98" s="118">
        <v>6492</v>
      </c>
      <c r="F98" t="s">
        <v>47</v>
      </c>
      <c r="G98" s="28" t="str">
        <f>VLOOKUP($E98,STOCKS!$D$2:$E$2035,2,0)</f>
        <v>--</v>
      </c>
      <c r="H98">
        <v>125.5</v>
      </c>
      <c r="I98" s="129" t="e">
        <f t="shared" si="2"/>
        <v>#VALUE!</v>
      </c>
      <c r="J98" s="63" t="e">
        <f t="shared" si="3"/>
        <v>#VALUE!</v>
      </c>
    </row>
    <row r="99" spans="1:10">
      <c r="A99" s="118">
        <v>94.7</v>
      </c>
      <c r="B99" s="118">
        <v>-20.010000000000002</v>
      </c>
      <c r="C99" s="118">
        <v>6.41</v>
      </c>
      <c r="D99" s="118">
        <v>33.5</v>
      </c>
      <c r="E99" s="118">
        <v>4958</v>
      </c>
      <c r="F99" t="s">
        <v>4205</v>
      </c>
      <c r="G99" s="28" t="str">
        <f>VLOOKUP($E99,STOCKS!$D$2:$E$2035,2,0)</f>
        <v>--</v>
      </c>
      <c r="H99">
        <v>96</v>
      </c>
      <c r="I99" s="129" t="e">
        <f t="shared" si="2"/>
        <v>#VALUE!</v>
      </c>
      <c r="J99" s="63" t="e">
        <f t="shared" si="3"/>
        <v>#VALUE!</v>
      </c>
    </row>
    <row r="100" spans="1:10">
      <c r="A100" s="118">
        <v>76.16</v>
      </c>
      <c r="B100" s="118">
        <v>-52.09</v>
      </c>
      <c r="C100" s="118">
        <v>-2.93</v>
      </c>
      <c r="D100" s="118">
        <v>-61.07</v>
      </c>
      <c r="E100" s="118">
        <v>2474</v>
      </c>
      <c r="F100" t="s">
        <v>4272</v>
      </c>
      <c r="G100" s="28" t="str">
        <f>VLOOKUP($E100,STOCKS!$D$2:$E$2035,2,0)</f>
        <v>--</v>
      </c>
      <c r="H100">
        <v>161</v>
      </c>
      <c r="I100" s="129" t="e">
        <f t="shared" si="2"/>
        <v>#VALUE!</v>
      </c>
      <c r="J100" s="63" t="e">
        <f t="shared" si="3"/>
        <v>#VALUE!</v>
      </c>
    </row>
    <row r="101" spans="1:10">
      <c r="A101" s="118">
        <v>33.79</v>
      </c>
      <c r="B101" s="118">
        <v>-20.12</v>
      </c>
      <c r="C101" s="118">
        <v>-0.11</v>
      </c>
      <c r="D101" s="118">
        <v>-3.85</v>
      </c>
      <c r="E101" s="118">
        <v>6456</v>
      </c>
      <c r="F101" t="s">
        <v>2772</v>
      </c>
      <c r="G101" s="28" t="str">
        <f>VLOOKUP($E101,STOCKS!$D$2:$E$2035,2,0)</f>
        <v>--</v>
      </c>
      <c r="H101">
        <v>97.1</v>
      </c>
      <c r="I101" s="129" t="e">
        <f t="shared" si="2"/>
        <v>#VALUE!</v>
      </c>
      <c r="J101" s="63" t="e">
        <f t="shared" si="3"/>
        <v>#VALUE!</v>
      </c>
    </row>
  </sheetData>
  <phoneticPr fontId="38" type="noConversion"/>
  <conditionalFormatting sqref="J1:J1048576">
    <cfRule type="cellIs" dxfId="9" priority="1" operator="lessThan">
      <formula>0</formula>
    </cfRule>
    <cfRule type="cellIs" dxfId="8" priority="2" operator="greater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BBCF8-7277-4D9B-B25B-780539D2D2DF}">
  <sheetPr codeName="工作表12"/>
  <dimension ref="A1:J101"/>
  <sheetViews>
    <sheetView workbookViewId="0">
      <selection activeCell="P33" sqref="P33"/>
    </sheetView>
  </sheetViews>
  <sheetFormatPr defaultRowHeight="16.2"/>
  <cols>
    <col min="1" max="4" width="8.88671875" style="60"/>
    <col min="7" max="7" width="10.44140625" style="60" bestFit="1" customWidth="1"/>
    <col min="9" max="9" width="8.88671875" style="60"/>
    <col min="10" max="10" width="8.88671875" style="63"/>
  </cols>
  <sheetData>
    <row r="1" spans="1:10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0">
      <c r="A2" s="118">
        <v>3</v>
      </c>
      <c r="B2" s="118">
        <v>459.35</v>
      </c>
      <c r="C2" s="118">
        <v>-44.57</v>
      </c>
      <c r="D2" s="118">
        <v>-2.81</v>
      </c>
      <c r="E2" s="118">
        <v>6172</v>
      </c>
      <c r="F2" t="s">
        <v>4039</v>
      </c>
      <c r="G2" s="28" t="str">
        <f>VLOOKUP($E2,STOCKS!$D$2:$E$2035,2,0)</f>
        <v>--</v>
      </c>
      <c r="H2">
        <v>23.15</v>
      </c>
      <c r="I2" s="129" t="e">
        <f>$G2-$H2</f>
        <v>#VALUE!</v>
      </c>
      <c r="J2" s="63" t="e">
        <f>$I2/$H2</f>
        <v>#VALUE!</v>
      </c>
    </row>
    <row r="3" spans="1:10">
      <c r="A3" s="118">
        <v>11.51</v>
      </c>
      <c r="B3" s="118">
        <v>17.739999999999998</v>
      </c>
      <c r="C3" s="118">
        <v>-22.54</v>
      </c>
      <c r="D3" s="118">
        <v>-77.86</v>
      </c>
      <c r="E3" s="118">
        <v>4192</v>
      </c>
      <c r="F3" t="s">
        <v>3600</v>
      </c>
      <c r="G3" s="28" t="str">
        <f>VLOOKUP($E3,STOCKS!$D$2:$E$2035,2,0)</f>
        <v>--</v>
      </c>
      <c r="H3">
        <v>72.7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0">
      <c r="A4" s="118">
        <v>16.77</v>
      </c>
      <c r="B4" s="118">
        <v>-15.21</v>
      </c>
      <c r="C4" s="118">
        <v>9.7799999999999994</v>
      </c>
      <c r="D4" s="118">
        <v>-10.75</v>
      </c>
      <c r="E4" s="118">
        <v>1734</v>
      </c>
      <c r="F4" t="s">
        <v>3552</v>
      </c>
      <c r="G4" s="28">
        <f>VLOOKUP($E4,STOCKS!$D$2:$E$2035,2,0)</f>
        <v>28.75</v>
      </c>
      <c r="H4">
        <v>29.2</v>
      </c>
      <c r="I4" s="129">
        <f t="shared" si="0"/>
        <v>-0.44999999999999929</v>
      </c>
      <c r="J4" s="63">
        <f t="shared" si="1"/>
        <v>-1.5410958904109566E-2</v>
      </c>
    </row>
    <row r="5" spans="1:10">
      <c r="A5" s="118">
        <v>6.43</v>
      </c>
      <c r="B5" s="118">
        <v>91.67</v>
      </c>
      <c r="C5" s="118">
        <v>35.65</v>
      </c>
      <c r="D5" s="118">
        <v>-35.06</v>
      </c>
      <c r="E5" s="118">
        <v>6218</v>
      </c>
      <c r="F5" t="s">
        <v>4846</v>
      </c>
      <c r="G5" s="28" t="str">
        <f>VLOOKUP($E5,STOCKS!$D$2:$E$2035,2,0)</f>
        <v>--</v>
      </c>
      <c r="H5">
        <v>20</v>
      </c>
      <c r="I5" s="129" t="e">
        <f t="shared" si="0"/>
        <v>#VALUE!</v>
      </c>
      <c r="J5" s="63" t="e">
        <f t="shared" si="1"/>
        <v>#VALUE!</v>
      </c>
    </row>
    <row r="6" spans="1:10">
      <c r="A6" s="118">
        <v>4.68</v>
      </c>
      <c r="B6" s="118">
        <v>61.34</v>
      </c>
      <c r="C6" s="118">
        <v>-18.91</v>
      </c>
      <c r="D6" s="118">
        <v>176.6</v>
      </c>
      <c r="E6" s="118">
        <v>4950</v>
      </c>
      <c r="F6" t="s">
        <v>5134</v>
      </c>
      <c r="G6" s="28" t="str">
        <f>VLOOKUP($E6,STOCKS!$D$2:$E$2035,2,0)</f>
        <v>--</v>
      </c>
      <c r="H6">
        <v>16.2</v>
      </c>
      <c r="I6" s="129" t="e">
        <f t="shared" si="0"/>
        <v>#VALUE!</v>
      </c>
      <c r="J6" s="63" t="e">
        <f t="shared" si="1"/>
        <v>#VALUE!</v>
      </c>
    </row>
    <row r="7" spans="1:10">
      <c r="A7" s="118">
        <v>4.49</v>
      </c>
      <c r="B7" s="118">
        <v>1871.91</v>
      </c>
      <c r="C7" s="118">
        <v>26.85</v>
      </c>
      <c r="D7" s="118">
        <v>69.5</v>
      </c>
      <c r="E7" s="118">
        <v>6150</v>
      </c>
      <c r="F7" t="s">
        <v>3531</v>
      </c>
      <c r="G7" s="28" t="str">
        <f>VLOOKUP($E7,STOCKS!$D$2:$E$2035,2,0)</f>
        <v>--</v>
      </c>
      <c r="H7">
        <v>150</v>
      </c>
      <c r="I7" s="129" t="e">
        <f t="shared" si="0"/>
        <v>#VALUE!</v>
      </c>
      <c r="J7" s="63" t="e">
        <f t="shared" si="1"/>
        <v>#VALUE!</v>
      </c>
    </row>
    <row r="8" spans="1:10">
      <c r="A8" s="118">
        <v>3.93</v>
      </c>
      <c r="B8" s="118">
        <v>-245.67</v>
      </c>
      <c r="C8" s="118">
        <v>17.8</v>
      </c>
      <c r="D8" s="118">
        <v>-14.93</v>
      </c>
      <c r="E8" s="118">
        <v>4503</v>
      </c>
      <c r="F8" t="s">
        <v>4533</v>
      </c>
      <c r="G8" s="28" t="str">
        <f>VLOOKUP($E8,STOCKS!$D$2:$E$2035,2,0)</f>
        <v>--</v>
      </c>
      <c r="H8">
        <v>28.9</v>
      </c>
      <c r="I8" s="129" t="e">
        <f t="shared" si="0"/>
        <v>#VALUE!</v>
      </c>
      <c r="J8" s="63" t="e">
        <f t="shared" si="1"/>
        <v>#VALUE!</v>
      </c>
    </row>
    <row r="9" spans="1:10">
      <c r="A9" s="118">
        <v>22.62</v>
      </c>
      <c r="B9" s="118">
        <v>133.16</v>
      </c>
      <c r="C9" s="118">
        <v>9.16</v>
      </c>
      <c r="D9" s="118">
        <v>45.73</v>
      </c>
      <c r="E9" s="118">
        <v>6202</v>
      </c>
      <c r="F9" t="s">
        <v>3984</v>
      </c>
      <c r="G9" s="28" t="str">
        <f>VLOOKUP($E9,STOCKS!$D$2:$E$2035,2,0)</f>
        <v>--</v>
      </c>
      <c r="H9">
        <v>103</v>
      </c>
      <c r="I9" s="129" t="e">
        <f t="shared" si="0"/>
        <v>#VALUE!</v>
      </c>
      <c r="J9" s="63" t="e">
        <f t="shared" si="1"/>
        <v>#VALUE!</v>
      </c>
    </row>
    <row r="10" spans="1:10">
      <c r="A10" s="118">
        <v>3.66</v>
      </c>
      <c r="B10" s="118">
        <v>37.31</v>
      </c>
      <c r="C10" s="118">
        <v>-17.2</v>
      </c>
      <c r="D10" s="118">
        <v>36.56</v>
      </c>
      <c r="E10" s="118">
        <v>3232</v>
      </c>
      <c r="F10" t="s">
        <v>4965</v>
      </c>
      <c r="G10" s="28" t="str">
        <f>VLOOKUP($E10,STOCKS!$D$2:$E$2035,2,0)</f>
        <v>--</v>
      </c>
      <c r="H10">
        <v>29.3</v>
      </c>
      <c r="I10" s="129" t="e">
        <f t="shared" si="0"/>
        <v>#VALUE!</v>
      </c>
      <c r="J10" s="63" t="e">
        <f t="shared" si="1"/>
        <v>#VALUE!</v>
      </c>
    </row>
    <row r="11" spans="1:10">
      <c r="A11" s="118">
        <v>41.72</v>
      </c>
      <c r="B11" s="118">
        <v>251.79</v>
      </c>
      <c r="C11" s="118">
        <v>11.81</v>
      </c>
      <c r="D11" s="118">
        <v>7.82</v>
      </c>
      <c r="E11" s="118">
        <v>4919</v>
      </c>
      <c r="F11" t="s">
        <v>3977</v>
      </c>
      <c r="G11" s="28" t="str">
        <f>VLOOKUP($E11,STOCKS!$D$2:$E$2035,2,0)</f>
        <v>--</v>
      </c>
      <c r="H11">
        <v>128</v>
      </c>
      <c r="I11" s="129" t="e">
        <f t="shared" si="0"/>
        <v>#VALUE!</v>
      </c>
      <c r="J11" s="63" t="e">
        <f t="shared" si="1"/>
        <v>#VALUE!</v>
      </c>
    </row>
    <row r="12" spans="1:10">
      <c r="A12" s="118">
        <v>2.48</v>
      </c>
      <c r="B12" s="118">
        <v>104.13</v>
      </c>
      <c r="C12" s="118">
        <v>23.35</v>
      </c>
      <c r="D12" s="118">
        <v>128.35</v>
      </c>
      <c r="E12" s="118">
        <v>5386</v>
      </c>
      <c r="F12" t="s">
        <v>3616</v>
      </c>
      <c r="G12" s="28" t="str">
        <f>VLOOKUP($E12,STOCKS!$D$2:$E$2035,2,0)</f>
        <v>--</v>
      </c>
      <c r="H12">
        <v>46</v>
      </c>
      <c r="I12" s="129" t="e">
        <f t="shared" si="0"/>
        <v>#VALUE!</v>
      </c>
      <c r="J12" s="63" t="e">
        <f t="shared" si="1"/>
        <v>#VALUE!</v>
      </c>
    </row>
    <row r="13" spans="1:10">
      <c r="A13" s="118">
        <v>16.649999999999999</v>
      </c>
      <c r="B13" s="118">
        <v>168.6</v>
      </c>
      <c r="C13" s="118">
        <v>0.46</v>
      </c>
      <c r="D13" s="118">
        <v>18.36</v>
      </c>
      <c r="E13" s="118">
        <v>2430</v>
      </c>
      <c r="F13" t="s">
        <v>4232</v>
      </c>
      <c r="G13" s="28" t="str">
        <f>VLOOKUP($E13,STOCKS!$D$2:$E$2035,2,0)</f>
        <v>--</v>
      </c>
      <c r="H13">
        <v>42.3</v>
      </c>
      <c r="I13" s="129" t="e">
        <f t="shared" si="0"/>
        <v>#VALUE!</v>
      </c>
      <c r="J13" s="63" t="e">
        <f t="shared" si="1"/>
        <v>#VALUE!</v>
      </c>
    </row>
    <row r="14" spans="1:10">
      <c r="A14" s="118">
        <v>5.91</v>
      </c>
      <c r="B14" s="118">
        <v>-26.18</v>
      </c>
      <c r="C14" s="118">
        <v>13.62</v>
      </c>
      <c r="D14" s="118">
        <v>32.479999999999997</v>
      </c>
      <c r="E14" s="118">
        <v>3564</v>
      </c>
      <c r="F14" t="s">
        <v>4829</v>
      </c>
      <c r="G14" s="28" t="str">
        <f>VLOOKUP($E14,STOCKS!$D$2:$E$2035,2,0)</f>
        <v>--</v>
      </c>
      <c r="H14">
        <v>28.9</v>
      </c>
      <c r="I14" s="129" t="e">
        <f t="shared" si="0"/>
        <v>#VALUE!</v>
      </c>
      <c r="J14" s="63" t="e">
        <f t="shared" si="1"/>
        <v>#VALUE!</v>
      </c>
    </row>
    <row r="15" spans="1:10">
      <c r="A15" s="118">
        <v>43.84</v>
      </c>
      <c r="B15" s="118">
        <v>-68.959999999999994</v>
      </c>
      <c r="C15" s="118">
        <v>-1.41</v>
      </c>
      <c r="D15" s="118">
        <v>-12.62</v>
      </c>
      <c r="E15" s="118">
        <v>2538</v>
      </c>
      <c r="F15" t="s">
        <v>4320</v>
      </c>
      <c r="G15" s="28" t="str">
        <f>VLOOKUP($E15,STOCKS!$D$2:$E$2035,2,0)</f>
        <v>--</v>
      </c>
      <c r="H15">
        <v>13.1</v>
      </c>
      <c r="I15" s="129" t="e">
        <f t="shared" si="0"/>
        <v>#VALUE!</v>
      </c>
      <c r="J15" s="63" t="e">
        <f t="shared" si="1"/>
        <v>#VALUE!</v>
      </c>
    </row>
    <row r="16" spans="1:10">
      <c r="A16" s="118">
        <v>9.15</v>
      </c>
      <c r="B16" s="118">
        <v>68.84</v>
      </c>
      <c r="C16" s="118">
        <v>-2.08</v>
      </c>
      <c r="D16" s="118">
        <v>17.670000000000002</v>
      </c>
      <c r="E16" s="118">
        <v>6411</v>
      </c>
      <c r="F16" t="s">
        <v>4706</v>
      </c>
      <c r="G16" s="28">
        <f>VLOOKUP($E16,STOCKS!$D$2:$E$2035,2,0)</f>
        <v>263</v>
      </c>
      <c r="H16">
        <v>204</v>
      </c>
      <c r="I16" s="129">
        <f t="shared" si="0"/>
        <v>59</v>
      </c>
      <c r="J16" s="63">
        <f t="shared" si="1"/>
        <v>0.28921568627450983</v>
      </c>
    </row>
    <row r="17" spans="1:10">
      <c r="A17" s="118">
        <v>6.18</v>
      </c>
      <c r="B17" s="118">
        <v>180.8</v>
      </c>
      <c r="C17" s="118">
        <v>3.64</v>
      </c>
      <c r="D17" s="118">
        <v>333.27</v>
      </c>
      <c r="E17" s="118">
        <v>6712</v>
      </c>
      <c r="F17" t="s">
        <v>4638</v>
      </c>
      <c r="G17" s="28" t="str">
        <f>VLOOKUP($E17,STOCKS!$D$2:$E$2035,2,0)</f>
        <v>--</v>
      </c>
      <c r="H17">
        <v>228.5</v>
      </c>
      <c r="I17" s="129" t="e">
        <f t="shared" si="0"/>
        <v>#VALUE!</v>
      </c>
      <c r="J17" s="63" t="e">
        <f t="shared" si="1"/>
        <v>#VALUE!</v>
      </c>
    </row>
    <row r="18" spans="1:10">
      <c r="A18" s="118">
        <v>8.34</v>
      </c>
      <c r="B18" s="118">
        <v>6151.05</v>
      </c>
      <c r="C18" s="118">
        <v>-35.549999999999997</v>
      </c>
      <c r="D18" s="118">
        <v>-84.47</v>
      </c>
      <c r="E18" s="118">
        <v>3054</v>
      </c>
      <c r="F18" t="s">
        <v>3968</v>
      </c>
      <c r="G18" s="28" t="str">
        <f>VLOOKUP($E18,STOCKS!$D$2:$E$2035,2,0)</f>
        <v>--</v>
      </c>
      <c r="H18">
        <v>26.9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8.99</v>
      </c>
      <c r="B19" s="118">
        <v>-187.04</v>
      </c>
      <c r="C19" s="118">
        <v>10.73</v>
      </c>
      <c r="D19" s="118">
        <v>50.99</v>
      </c>
      <c r="E19" s="118">
        <v>2241</v>
      </c>
      <c r="F19" t="s">
        <v>3798</v>
      </c>
      <c r="G19" s="28" t="str">
        <f>VLOOKUP($E19,STOCKS!$D$2:$E$2035,2,0)</f>
        <v>--</v>
      </c>
      <c r="H19">
        <v>55.9</v>
      </c>
      <c r="I19" s="129" t="e">
        <f t="shared" si="0"/>
        <v>#VALUE!</v>
      </c>
      <c r="J19" s="63" t="e">
        <f t="shared" si="1"/>
        <v>#VALUE!</v>
      </c>
    </row>
    <row r="20" spans="1:10">
      <c r="A20" s="118">
        <v>88.57</v>
      </c>
      <c r="B20" s="118">
        <v>290.8</v>
      </c>
      <c r="C20" s="118">
        <v>-8.33</v>
      </c>
      <c r="D20" s="118">
        <v>32.549999999999997</v>
      </c>
      <c r="E20" s="118">
        <v>1710</v>
      </c>
      <c r="F20" t="s">
        <v>3832</v>
      </c>
      <c r="G20" s="28" t="str">
        <f>VLOOKUP($E20,STOCKS!$D$2:$E$2035,2,0)</f>
        <v>--</v>
      </c>
      <c r="H20">
        <v>23.85</v>
      </c>
      <c r="I20" s="129" t="e">
        <f t="shared" si="0"/>
        <v>#VALUE!</v>
      </c>
      <c r="J20" s="63" t="e">
        <f t="shared" si="1"/>
        <v>#VALUE!</v>
      </c>
    </row>
    <row r="21" spans="1:10">
      <c r="A21" s="118">
        <v>35.24</v>
      </c>
      <c r="B21" s="118">
        <v>32.630000000000003</v>
      </c>
      <c r="C21" s="118">
        <v>-100</v>
      </c>
      <c r="D21" s="60" t="s">
        <v>5207</v>
      </c>
      <c r="E21" s="118">
        <v>6541</v>
      </c>
      <c r="F21" t="s">
        <v>3640</v>
      </c>
      <c r="G21" s="28" t="str">
        <f>VLOOKUP($E21,STOCKS!$D$2:$E$2035,2,0)</f>
        <v>--</v>
      </c>
      <c r="H21">
        <v>51.5</v>
      </c>
      <c r="I21" s="129" t="e">
        <f t="shared" si="0"/>
        <v>#VALUE!</v>
      </c>
      <c r="J21" s="63" t="e">
        <f t="shared" si="1"/>
        <v>#VALUE!</v>
      </c>
    </row>
    <row r="22" spans="1:10">
      <c r="A22" s="118">
        <v>2.27</v>
      </c>
      <c r="B22" s="118">
        <v>177.1</v>
      </c>
      <c r="C22" s="118">
        <v>68.33</v>
      </c>
      <c r="D22" s="118">
        <v>61.24</v>
      </c>
      <c r="E22" s="118">
        <v>3434</v>
      </c>
      <c r="F22" t="s">
        <v>4779</v>
      </c>
      <c r="G22" s="28" t="str">
        <f>VLOOKUP($E22,STOCKS!$D$2:$E$2035,2,0)</f>
        <v>--</v>
      </c>
      <c r="H22">
        <v>16.5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3.47</v>
      </c>
      <c r="B23" s="118">
        <v>21.89</v>
      </c>
      <c r="C23" s="118">
        <v>-10.34</v>
      </c>
      <c r="D23" s="118">
        <v>19.09</v>
      </c>
      <c r="E23" s="118">
        <v>6788</v>
      </c>
      <c r="F23" t="s">
        <v>5318</v>
      </c>
      <c r="G23" s="28">
        <f>VLOOKUP($E23,STOCKS!$D$2:$E$2035,2,0)</f>
        <v>235</v>
      </c>
      <c r="H23">
        <v>225.5</v>
      </c>
      <c r="I23" s="129">
        <f t="shared" si="0"/>
        <v>9.5</v>
      </c>
      <c r="J23" s="63">
        <f t="shared" si="1"/>
        <v>4.2128603104212861E-2</v>
      </c>
    </row>
    <row r="24" spans="1:10">
      <c r="A24" s="118">
        <v>47.33</v>
      </c>
      <c r="B24" s="118">
        <v>-66067.509999999995</v>
      </c>
      <c r="C24" s="118">
        <v>-21.25</v>
      </c>
      <c r="D24" s="118">
        <v>-84.41</v>
      </c>
      <c r="E24" s="118">
        <v>2102</v>
      </c>
      <c r="F24" t="s">
        <v>3902</v>
      </c>
      <c r="G24" s="28" t="str">
        <f>VLOOKUP($E24,STOCKS!$D$2:$E$2035,2,0)</f>
        <v>--</v>
      </c>
      <c r="H24">
        <v>26.9</v>
      </c>
      <c r="I24" s="129" t="e">
        <f t="shared" si="0"/>
        <v>#VALUE!</v>
      </c>
      <c r="J24" s="63" t="e">
        <f t="shared" si="1"/>
        <v>#VALUE!</v>
      </c>
    </row>
    <row r="25" spans="1:10">
      <c r="A25" s="118">
        <v>17.68</v>
      </c>
      <c r="B25" s="118">
        <v>89.3</v>
      </c>
      <c r="C25" s="118">
        <v>6.25</v>
      </c>
      <c r="D25" s="118">
        <v>1.51</v>
      </c>
      <c r="E25" s="118">
        <v>4141</v>
      </c>
      <c r="F25" t="s">
        <v>3869</v>
      </c>
      <c r="G25" s="28" t="str">
        <f>VLOOKUP($E25,STOCKS!$D$2:$E$2035,2,0)</f>
        <v>--</v>
      </c>
      <c r="H25">
        <v>22.35</v>
      </c>
      <c r="I25" s="129" t="e">
        <f t="shared" si="0"/>
        <v>#VALUE!</v>
      </c>
      <c r="J25" s="63" t="e">
        <f t="shared" si="1"/>
        <v>#VALUE!</v>
      </c>
    </row>
    <row r="26" spans="1:10">
      <c r="A26" s="118">
        <v>23.34</v>
      </c>
      <c r="B26" s="118">
        <v>17.440000000000001</v>
      </c>
      <c r="C26" s="118">
        <v>0.92</v>
      </c>
      <c r="D26" s="118">
        <v>9</v>
      </c>
      <c r="E26" s="118">
        <v>3023</v>
      </c>
      <c r="F26" t="s">
        <v>4178</v>
      </c>
      <c r="G26" s="28" t="str">
        <f>VLOOKUP($E26,STOCKS!$D$2:$E$2035,2,0)</f>
        <v>--</v>
      </c>
      <c r="H26">
        <v>230</v>
      </c>
      <c r="I26" s="129" t="e">
        <f t="shared" si="0"/>
        <v>#VALUE!</v>
      </c>
      <c r="J26" s="63" t="e">
        <f t="shared" si="1"/>
        <v>#VALUE!</v>
      </c>
    </row>
    <row r="27" spans="1:10">
      <c r="A27" s="118">
        <v>5.1100000000000003</v>
      </c>
      <c r="B27" s="118">
        <v>26.82</v>
      </c>
      <c r="C27" s="118">
        <v>23.32</v>
      </c>
      <c r="D27" s="118">
        <v>-8.25</v>
      </c>
      <c r="E27" s="118">
        <v>3664</v>
      </c>
      <c r="F27" t="s">
        <v>4831</v>
      </c>
      <c r="G27" s="28" t="str">
        <f>VLOOKUP($E27,STOCKS!$D$2:$E$2035,2,0)</f>
        <v>--</v>
      </c>
      <c r="H27">
        <v>8.2200000000000006</v>
      </c>
      <c r="I27" s="129" t="e">
        <f t="shared" si="0"/>
        <v>#VALUE!</v>
      </c>
      <c r="J27" s="63" t="e">
        <f t="shared" si="1"/>
        <v>#VALUE!</v>
      </c>
    </row>
    <row r="28" spans="1:10">
      <c r="A28" s="118">
        <v>32.200000000000003</v>
      </c>
      <c r="B28" s="118">
        <v>-15.03</v>
      </c>
      <c r="C28" s="118">
        <v>2.12</v>
      </c>
      <c r="D28" s="118">
        <v>9.76</v>
      </c>
      <c r="E28" s="118">
        <v>1219</v>
      </c>
      <c r="F28" t="s">
        <v>3631</v>
      </c>
      <c r="G28" s="28" t="str">
        <f>VLOOKUP($E28,STOCKS!$D$2:$E$2035,2,0)</f>
        <v>--</v>
      </c>
      <c r="H28">
        <v>21.1</v>
      </c>
      <c r="I28" s="129" t="e">
        <f t="shared" si="0"/>
        <v>#VALUE!</v>
      </c>
      <c r="J28" s="63" t="e">
        <f t="shared" si="1"/>
        <v>#VALUE!</v>
      </c>
    </row>
    <row r="29" spans="1:10">
      <c r="A29" s="118">
        <v>6</v>
      </c>
      <c r="B29" s="118">
        <v>-17.559999999999999</v>
      </c>
      <c r="C29" s="118">
        <v>-37.700000000000003</v>
      </c>
      <c r="D29" s="118">
        <v>-48.15</v>
      </c>
      <c r="E29" s="118">
        <v>5314</v>
      </c>
      <c r="F29" t="s">
        <v>4687</v>
      </c>
      <c r="G29" s="28" t="str">
        <f>VLOOKUP($E29,STOCKS!$D$2:$E$2035,2,0)</f>
        <v>--</v>
      </c>
      <c r="H29">
        <v>5.01</v>
      </c>
      <c r="I29" s="129" t="e">
        <f t="shared" si="0"/>
        <v>#VALUE!</v>
      </c>
      <c r="J29" s="63" t="e">
        <f t="shared" si="1"/>
        <v>#VALUE!</v>
      </c>
    </row>
    <row r="30" spans="1:10">
      <c r="A30" s="118">
        <v>76.09</v>
      </c>
      <c r="B30" s="118">
        <v>-47.88</v>
      </c>
      <c r="C30" s="118">
        <v>-29.48</v>
      </c>
      <c r="D30" s="118">
        <v>-27.75</v>
      </c>
      <c r="E30" s="118">
        <v>2841</v>
      </c>
      <c r="F30" t="s">
        <v>4328</v>
      </c>
      <c r="G30" s="28" t="str">
        <f>VLOOKUP($E30,STOCKS!$D$2:$E$2035,2,0)</f>
        <v>--</v>
      </c>
      <c r="H30">
        <v>3.4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5.7</v>
      </c>
      <c r="B31" s="118">
        <v>762.02</v>
      </c>
      <c r="C31" s="118">
        <v>0.14000000000000001</v>
      </c>
      <c r="D31" s="118">
        <v>22.08</v>
      </c>
      <c r="E31" s="118">
        <v>4543</v>
      </c>
      <c r="F31" t="s">
        <v>4545</v>
      </c>
      <c r="G31" s="28" t="str">
        <f>VLOOKUP($E31,STOCKS!$D$2:$E$2035,2,0)</f>
        <v>--</v>
      </c>
      <c r="H31">
        <v>19.399999999999999</v>
      </c>
      <c r="I31" s="129" t="e">
        <f t="shared" si="0"/>
        <v>#VALUE!</v>
      </c>
      <c r="J31" s="63" t="e">
        <f t="shared" si="1"/>
        <v>#VALUE!</v>
      </c>
    </row>
    <row r="32" spans="1:10">
      <c r="A32" s="118">
        <v>17.16</v>
      </c>
      <c r="B32" s="118">
        <v>-89.76</v>
      </c>
      <c r="C32" s="118">
        <v>8.15</v>
      </c>
      <c r="D32" s="118">
        <v>20.350000000000001</v>
      </c>
      <c r="E32" s="118">
        <v>6235</v>
      </c>
      <c r="F32" t="s">
        <v>4042</v>
      </c>
      <c r="G32" s="28" t="str">
        <f>VLOOKUP($E32,STOCKS!$D$2:$E$2035,2,0)</f>
        <v>--</v>
      </c>
      <c r="H32">
        <v>19.25</v>
      </c>
      <c r="I32" s="129" t="e">
        <f t="shared" si="0"/>
        <v>#VALUE!</v>
      </c>
      <c r="J32" s="63" t="e">
        <f t="shared" si="1"/>
        <v>#VALUE!</v>
      </c>
    </row>
    <row r="33" spans="1:10">
      <c r="A33" s="118">
        <v>8.09</v>
      </c>
      <c r="B33" s="118">
        <v>48.34</v>
      </c>
      <c r="C33" s="118">
        <v>5.55</v>
      </c>
      <c r="D33" s="118">
        <v>21.7</v>
      </c>
      <c r="E33" s="118">
        <v>4966</v>
      </c>
      <c r="F33" t="s">
        <v>4682</v>
      </c>
      <c r="G33" s="28" t="str">
        <f>VLOOKUP($E33,STOCKS!$D$2:$E$2035,2,0)</f>
        <v>--</v>
      </c>
      <c r="H33">
        <v>1785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3.08</v>
      </c>
      <c r="B34" s="118">
        <v>89.71</v>
      </c>
      <c r="C34" s="118">
        <v>-1.74</v>
      </c>
      <c r="D34" s="118">
        <v>-43.42</v>
      </c>
      <c r="E34" s="118">
        <v>6568</v>
      </c>
      <c r="F34" t="s">
        <v>4715</v>
      </c>
      <c r="G34" s="28" t="str">
        <f>VLOOKUP($E34,STOCKS!$D$2:$E$2035,2,0)</f>
        <v>--</v>
      </c>
      <c r="H34">
        <v>339</v>
      </c>
      <c r="I34" s="129" t="e">
        <f t="shared" si="0"/>
        <v>#VALUE!</v>
      </c>
      <c r="J34" s="63" t="e">
        <f t="shared" si="1"/>
        <v>#VALUE!</v>
      </c>
    </row>
    <row r="35" spans="1:10">
      <c r="A35" s="118">
        <v>6.24</v>
      </c>
      <c r="B35" s="118">
        <v>783.51</v>
      </c>
      <c r="C35" s="118">
        <v>34.53</v>
      </c>
      <c r="D35" s="118">
        <v>-41.84</v>
      </c>
      <c r="E35" s="118">
        <v>8201</v>
      </c>
      <c r="F35" t="s">
        <v>4296</v>
      </c>
      <c r="G35" s="28" t="str">
        <f>VLOOKUP($E35,STOCKS!$D$2:$E$2035,2,0)</f>
        <v>--</v>
      </c>
      <c r="H35">
        <v>17.350000000000001</v>
      </c>
      <c r="I35" s="129" t="e">
        <f t="shared" si="0"/>
        <v>#VALUE!</v>
      </c>
      <c r="J35" s="63" t="e">
        <f t="shared" si="1"/>
        <v>#VALUE!</v>
      </c>
    </row>
    <row r="36" spans="1:10">
      <c r="A36" s="118">
        <v>12.25</v>
      </c>
      <c r="B36" s="118">
        <v>204.66</v>
      </c>
      <c r="C36" s="118">
        <v>-10.84</v>
      </c>
      <c r="D36" s="118">
        <v>64.7</v>
      </c>
      <c r="E36" s="118">
        <v>1584</v>
      </c>
      <c r="F36" t="s">
        <v>3589</v>
      </c>
      <c r="G36" s="28" t="str">
        <f>VLOOKUP($E36,STOCKS!$D$2:$E$2035,2,0)</f>
        <v>--</v>
      </c>
      <c r="H36">
        <v>19.600000000000001</v>
      </c>
      <c r="I36" s="129" t="e">
        <f t="shared" si="0"/>
        <v>#VALUE!</v>
      </c>
      <c r="J36" s="63" t="e">
        <f t="shared" si="1"/>
        <v>#VALUE!</v>
      </c>
    </row>
    <row r="37" spans="1:10">
      <c r="A37" s="118">
        <v>7</v>
      </c>
      <c r="B37" s="118">
        <v>175.31</v>
      </c>
      <c r="C37" s="118">
        <v>-7.87</v>
      </c>
      <c r="D37" s="118">
        <v>22.19</v>
      </c>
      <c r="E37" s="118">
        <v>4303</v>
      </c>
      <c r="F37" t="s">
        <v>4505</v>
      </c>
      <c r="G37" s="28" t="str">
        <f>VLOOKUP($E37,STOCKS!$D$2:$E$2035,2,0)</f>
        <v>--</v>
      </c>
      <c r="H37">
        <v>18.2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5.68</v>
      </c>
      <c r="B38" s="118">
        <v>-54.76</v>
      </c>
      <c r="C38" s="118">
        <v>-83.1</v>
      </c>
      <c r="D38" s="118">
        <v>-87.87</v>
      </c>
      <c r="E38" s="118">
        <v>1418</v>
      </c>
      <c r="F38" t="s">
        <v>3742</v>
      </c>
      <c r="G38" s="28" t="str">
        <f>VLOOKUP($E38,STOCKS!$D$2:$E$2035,2,0)</f>
        <v>--</v>
      </c>
      <c r="H38">
        <v>10.8</v>
      </c>
      <c r="I38" s="129" t="e">
        <f t="shared" si="0"/>
        <v>#VALUE!</v>
      </c>
      <c r="J38" s="63" t="e">
        <f t="shared" si="1"/>
        <v>#VALUE!</v>
      </c>
    </row>
    <row r="39" spans="1:10">
      <c r="A39" s="118">
        <v>6.78</v>
      </c>
      <c r="B39" s="118">
        <v>164.55</v>
      </c>
      <c r="C39" s="118">
        <v>77.010000000000005</v>
      </c>
      <c r="D39" s="118">
        <v>12.01</v>
      </c>
      <c r="E39" s="118">
        <v>5222</v>
      </c>
      <c r="F39" t="s">
        <v>5303</v>
      </c>
      <c r="G39" s="28" t="str">
        <f>VLOOKUP($E39,STOCKS!$D$2:$E$2035,2,0)</f>
        <v>--</v>
      </c>
      <c r="H39">
        <v>178.5</v>
      </c>
      <c r="I39" s="129" t="e">
        <f t="shared" si="0"/>
        <v>#VALUE!</v>
      </c>
      <c r="J39" s="63" t="e">
        <f t="shared" si="1"/>
        <v>#VALUE!</v>
      </c>
    </row>
    <row r="40" spans="1:10">
      <c r="A40" s="118">
        <v>3.58</v>
      </c>
      <c r="B40" s="118">
        <v>151.27000000000001</v>
      </c>
      <c r="C40" s="118">
        <v>-1.1399999999999999</v>
      </c>
      <c r="D40" s="118">
        <v>-1.78</v>
      </c>
      <c r="E40" s="118">
        <v>2070</v>
      </c>
      <c r="F40" t="s">
        <v>4525</v>
      </c>
      <c r="G40" s="28" t="str">
        <f>VLOOKUP($E40,STOCKS!$D$2:$E$2035,2,0)</f>
        <v>--</v>
      </c>
      <c r="H40">
        <v>32.450000000000003</v>
      </c>
      <c r="I40" s="129" t="e">
        <f t="shared" si="0"/>
        <v>#VALUE!</v>
      </c>
      <c r="J40" s="63" t="e">
        <f t="shared" si="1"/>
        <v>#VALUE!</v>
      </c>
    </row>
    <row r="41" spans="1:10">
      <c r="A41" s="118">
        <v>8</v>
      </c>
      <c r="B41" s="118">
        <v>31.79</v>
      </c>
      <c r="C41" s="118">
        <v>-20.41</v>
      </c>
      <c r="D41" s="118">
        <v>27.81</v>
      </c>
      <c r="E41" s="118">
        <v>3685</v>
      </c>
      <c r="F41" t="s">
        <v>4789</v>
      </c>
      <c r="G41" s="28" t="str">
        <f>VLOOKUP($E41,STOCKS!$D$2:$E$2035,2,0)</f>
        <v>--</v>
      </c>
      <c r="H41">
        <v>31.75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6.78</v>
      </c>
      <c r="B42" s="118">
        <v>17066.060000000001</v>
      </c>
      <c r="C42" s="118">
        <v>1.19</v>
      </c>
      <c r="D42" s="118">
        <v>-51.74</v>
      </c>
      <c r="E42" s="118">
        <v>3228</v>
      </c>
      <c r="F42" t="s">
        <v>3518</v>
      </c>
      <c r="G42" s="28" t="str">
        <f>VLOOKUP($E42,STOCKS!$D$2:$E$2035,2,0)</f>
        <v>--</v>
      </c>
      <c r="H42">
        <v>396</v>
      </c>
      <c r="I42" s="129" t="e">
        <f t="shared" si="0"/>
        <v>#VALUE!</v>
      </c>
      <c r="J42" s="63" t="e">
        <f t="shared" si="1"/>
        <v>#VALUE!</v>
      </c>
    </row>
    <row r="43" spans="1:10">
      <c r="A43" s="118">
        <v>13.26</v>
      </c>
      <c r="B43" s="118">
        <v>-65.61</v>
      </c>
      <c r="C43" s="118">
        <v>44.99</v>
      </c>
      <c r="D43" s="118">
        <v>149.34</v>
      </c>
      <c r="E43" s="118">
        <v>8033</v>
      </c>
      <c r="F43" t="s">
        <v>4460</v>
      </c>
      <c r="G43" s="28" t="str">
        <f>VLOOKUP($E43,STOCKS!$D$2:$E$2035,2,0)</f>
        <v>--</v>
      </c>
      <c r="H43">
        <v>17.8</v>
      </c>
      <c r="I43" s="129" t="e">
        <f t="shared" si="0"/>
        <v>#VALUE!</v>
      </c>
      <c r="J43" s="63" t="e">
        <f t="shared" si="1"/>
        <v>#VALUE!</v>
      </c>
    </row>
    <row r="44" spans="1:10">
      <c r="A44" s="118">
        <v>3.22</v>
      </c>
      <c r="B44" s="118">
        <v>1577.01</v>
      </c>
      <c r="C44" s="118">
        <v>-6.12</v>
      </c>
      <c r="D44" s="118">
        <v>284.93</v>
      </c>
      <c r="E44" s="118">
        <v>3465</v>
      </c>
      <c r="F44" t="s">
        <v>4888</v>
      </c>
      <c r="G44" s="28" t="str">
        <f>VLOOKUP($E44,STOCKS!$D$2:$E$2035,2,0)</f>
        <v>--</v>
      </c>
      <c r="H44">
        <v>178.5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5.18</v>
      </c>
      <c r="B45" s="118">
        <v>169.1</v>
      </c>
      <c r="C45" s="118">
        <v>11.59</v>
      </c>
      <c r="D45" s="118">
        <v>30.55</v>
      </c>
      <c r="E45" s="118">
        <v>8032</v>
      </c>
      <c r="F45" t="s">
        <v>4974</v>
      </c>
      <c r="G45" s="28" t="str">
        <f>VLOOKUP($E45,STOCKS!$D$2:$E$2035,2,0)</f>
        <v>--</v>
      </c>
      <c r="H45">
        <v>29.75</v>
      </c>
      <c r="I45" s="129" t="e">
        <f t="shared" si="0"/>
        <v>#VALUE!</v>
      </c>
      <c r="J45" s="63" t="e">
        <f t="shared" si="1"/>
        <v>#VALUE!</v>
      </c>
    </row>
    <row r="46" spans="1:10">
      <c r="A46" s="118">
        <v>9.75</v>
      </c>
      <c r="B46" s="118">
        <v>33765.22</v>
      </c>
      <c r="C46" s="118">
        <v>-21.63</v>
      </c>
      <c r="D46" s="118">
        <v>3.08</v>
      </c>
      <c r="E46" s="118">
        <v>2024</v>
      </c>
      <c r="F46" t="s">
        <v>3891</v>
      </c>
      <c r="G46" s="28" t="str">
        <f>VLOOKUP($E46,STOCKS!$D$2:$E$2035,2,0)</f>
        <v>--</v>
      </c>
      <c r="H46">
        <v>18.05</v>
      </c>
      <c r="I46" s="129" t="e">
        <f t="shared" si="0"/>
        <v>#VALUE!</v>
      </c>
      <c r="J46" s="63" t="e">
        <f t="shared" si="1"/>
        <v>#VALUE!</v>
      </c>
    </row>
    <row r="47" spans="1:10">
      <c r="A47" s="118">
        <v>15</v>
      </c>
      <c r="B47" s="118">
        <v>-21.53</v>
      </c>
      <c r="C47" s="118">
        <v>157.91</v>
      </c>
      <c r="D47" s="118">
        <v>-28.35</v>
      </c>
      <c r="E47" s="118">
        <v>6743</v>
      </c>
      <c r="F47" t="s">
        <v>41</v>
      </c>
      <c r="G47" s="28" t="str">
        <f>VLOOKUP($E47,STOCKS!$D$2:$E$2035,2,0)</f>
        <v>--</v>
      </c>
      <c r="H47">
        <v>74.5</v>
      </c>
      <c r="I47" s="129" t="e">
        <f t="shared" si="0"/>
        <v>#VALUE!</v>
      </c>
      <c r="J47" s="63" t="e">
        <f t="shared" si="1"/>
        <v>#VALUE!</v>
      </c>
    </row>
    <row r="48" spans="1:10">
      <c r="A48" s="118">
        <v>21.87</v>
      </c>
      <c r="B48" s="118">
        <v>105.26</v>
      </c>
      <c r="C48" s="118">
        <v>-0.62</v>
      </c>
      <c r="D48" s="118">
        <v>25.13</v>
      </c>
      <c r="E48" s="118">
        <v>1225</v>
      </c>
      <c r="F48" t="s">
        <v>3710</v>
      </c>
      <c r="G48" s="28" t="str">
        <f>VLOOKUP($E48,STOCKS!$D$2:$E$2035,2,0)</f>
        <v>--</v>
      </c>
      <c r="H48">
        <v>51.8</v>
      </c>
      <c r="I48" s="129" t="e">
        <f t="shared" si="0"/>
        <v>#VALUE!</v>
      </c>
      <c r="J48" s="63" t="e">
        <f t="shared" si="1"/>
        <v>#VALUE!</v>
      </c>
    </row>
    <row r="49" spans="1:10">
      <c r="A49" s="118">
        <v>24.9</v>
      </c>
      <c r="B49" s="118">
        <v>294.44</v>
      </c>
      <c r="C49" s="118">
        <v>5.67</v>
      </c>
      <c r="D49" s="118">
        <v>28.3</v>
      </c>
      <c r="E49" s="118">
        <v>1708</v>
      </c>
      <c r="F49" t="s">
        <v>3830</v>
      </c>
      <c r="G49" s="28" t="str">
        <f>VLOOKUP($E49,STOCKS!$D$2:$E$2035,2,0)</f>
        <v>--</v>
      </c>
      <c r="H49">
        <v>30.7</v>
      </c>
      <c r="I49" s="129" t="e">
        <f t="shared" si="0"/>
        <v>#VALUE!</v>
      </c>
      <c r="J49" s="63" t="e">
        <f t="shared" si="1"/>
        <v>#VALUE!</v>
      </c>
    </row>
    <row r="50" spans="1:10">
      <c r="A50" s="118">
        <v>8.0500000000000007</v>
      </c>
      <c r="B50" s="118">
        <v>35.880000000000003</v>
      </c>
      <c r="C50" s="118">
        <v>63.81</v>
      </c>
      <c r="D50" s="118">
        <v>131.19</v>
      </c>
      <c r="E50" s="118">
        <v>4198</v>
      </c>
      <c r="F50" t="s">
        <v>4610</v>
      </c>
      <c r="G50" s="28" t="str">
        <f>VLOOKUP($E50,STOCKS!$D$2:$E$2035,2,0)</f>
        <v>--</v>
      </c>
      <c r="H50">
        <v>6.14</v>
      </c>
      <c r="I50" s="129" t="e">
        <f t="shared" si="0"/>
        <v>#VALUE!</v>
      </c>
      <c r="J50" s="63" t="e">
        <f t="shared" si="1"/>
        <v>#VALUE!</v>
      </c>
    </row>
    <row r="51" spans="1:10">
      <c r="A51" s="118">
        <v>6.23</v>
      </c>
      <c r="B51" s="118">
        <v>103.57</v>
      </c>
      <c r="C51" s="118">
        <v>0.95</v>
      </c>
      <c r="D51" s="118">
        <v>11.49</v>
      </c>
      <c r="E51" s="118">
        <v>3587</v>
      </c>
      <c r="F51" t="s">
        <v>5020</v>
      </c>
      <c r="G51" s="28" t="str">
        <f>VLOOKUP($E51,STOCKS!$D$2:$E$2035,2,0)</f>
        <v>--</v>
      </c>
      <c r="H51">
        <v>143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20.64</v>
      </c>
      <c r="B52" s="118">
        <v>99.09</v>
      </c>
      <c r="C52" s="118">
        <v>7.98</v>
      </c>
      <c r="D52" s="118">
        <v>-8.86</v>
      </c>
      <c r="E52" s="118">
        <v>3149</v>
      </c>
      <c r="F52" t="s">
        <v>4069</v>
      </c>
      <c r="G52" s="28" t="str">
        <f>VLOOKUP($E52,STOCKS!$D$2:$E$2035,2,0)</f>
        <v>--</v>
      </c>
      <c r="H52">
        <v>31.9</v>
      </c>
      <c r="I52" s="129" t="e">
        <f t="shared" si="0"/>
        <v>#VALUE!</v>
      </c>
      <c r="J52" s="63" t="e">
        <f t="shared" si="1"/>
        <v>#VALUE!</v>
      </c>
    </row>
    <row r="53" spans="1:10">
      <c r="A53" s="118">
        <v>53.07</v>
      </c>
      <c r="B53" s="118">
        <v>108.26</v>
      </c>
      <c r="C53" s="118">
        <v>-26.3</v>
      </c>
      <c r="D53" s="118">
        <v>20.399999999999999</v>
      </c>
      <c r="E53" s="118">
        <v>2007</v>
      </c>
      <c r="F53" t="s">
        <v>3572</v>
      </c>
      <c r="G53" s="28">
        <f>VLOOKUP($E53,STOCKS!$D$2:$E$2035,2,0)</f>
        <v>21.7</v>
      </c>
      <c r="H53">
        <v>22.35</v>
      </c>
      <c r="I53" s="129">
        <f t="shared" si="0"/>
        <v>-0.65000000000000213</v>
      </c>
      <c r="J53" s="63">
        <f t="shared" si="1"/>
        <v>-2.9082774049217094E-2</v>
      </c>
    </row>
    <row r="54" spans="1:10">
      <c r="A54" s="118">
        <v>2.71</v>
      </c>
      <c r="B54" s="118">
        <v>-340.73</v>
      </c>
      <c r="C54" s="118">
        <v>-5.42</v>
      </c>
      <c r="D54" s="118">
        <v>-66.13</v>
      </c>
      <c r="E54" s="118">
        <v>3073</v>
      </c>
      <c r="F54" t="s">
        <v>4661</v>
      </c>
      <c r="G54" s="28" t="str">
        <f>VLOOKUP($E54,STOCKS!$D$2:$E$2035,2,0)</f>
        <v>--</v>
      </c>
      <c r="H54">
        <v>25.4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4.59</v>
      </c>
      <c r="B55" s="118">
        <v>-2.69</v>
      </c>
      <c r="C55" s="118">
        <v>329.06</v>
      </c>
      <c r="D55" s="118">
        <v>531.28</v>
      </c>
      <c r="E55" s="118">
        <v>2243</v>
      </c>
      <c r="F55" t="s">
        <v>3932</v>
      </c>
      <c r="G55" s="28" t="str">
        <f>VLOOKUP($E55,STOCKS!$D$2:$E$2035,2,0)</f>
        <v>--</v>
      </c>
      <c r="H55">
        <v>18.649999999999999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5.91</v>
      </c>
      <c r="B56" s="118">
        <v>168.07</v>
      </c>
      <c r="C56" s="118">
        <v>-0.78</v>
      </c>
      <c r="D56" s="118">
        <v>-30.81</v>
      </c>
      <c r="E56" s="118">
        <v>5202</v>
      </c>
      <c r="F56" t="s">
        <v>4983</v>
      </c>
      <c r="G56" s="28" t="str">
        <f>VLOOKUP($E56,STOCKS!$D$2:$E$2035,2,0)</f>
        <v>--</v>
      </c>
      <c r="H56">
        <v>21.6</v>
      </c>
      <c r="I56" s="129" t="e">
        <f t="shared" si="0"/>
        <v>#VALUE!</v>
      </c>
      <c r="J56" s="63" t="e">
        <f t="shared" si="1"/>
        <v>#VALUE!</v>
      </c>
    </row>
    <row r="57" spans="1:10">
      <c r="A57" s="118">
        <v>2.67</v>
      </c>
      <c r="B57" s="118">
        <v>114.54</v>
      </c>
      <c r="C57" s="118">
        <v>-0.94</v>
      </c>
      <c r="D57" s="118">
        <v>-72.599999999999994</v>
      </c>
      <c r="E57" s="118">
        <v>3064</v>
      </c>
      <c r="F57" t="s">
        <v>5174</v>
      </c>
      <c r="G57" s="28" t="str">
        <f>VLOOKUP($E57,STOCKS!$D$2:$E$2035,2,0)</f>
        <v>--</v>
      </c>
      <c r="H57">
        <v>14.8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6.25</v>
      </c>
      <c r="B58" s="118">
        <v>96.71</v>
      </c>
      <c r="C58" s="118">
        <v>-19.23</v>
      </c>
      <c r="D58" s="118">
        <v>-30.38</v>
      </c>
      <c r="E58" s="118">
        <v>4912</v>
      </c>
      <c r="F58" t="s">
        <v>4202</v>
      </c>
      <c r="G58" s="28" t="str">
        <f>VLOOKUP($E58,STOCKS!$D$2:$E$2035,2,0)</f>
        <v>--</v>
      </c>
      <c r="H58">
        <v>148.5</v>
      </c>
      <c r="I58" s="129" t="e">
        <f t="shared" si="0"/>
        <v>#VALUE!</v>
      </c>
      <c r="J58" s="63" t="e">
        <f t="shared" si="1"/>
        <v>#VALUE!</v>
      </c>
    </row>
    <row r="59" spans="1:10">
      <c r="A59" s="118">
        <v>2.52</v>
      </c>
      <c r="B59" s="118">
        <v>118.85</v>
      </c>
      <c r="C59" s="118">
        <v>12.91</v>
      </c>
      <c r="D59" s="118">
        <v>9.5399999999999991</v>
      </c>
      <c r="E59" s="118">
        <v>8455</v>
      </c>
      <c r="F59" t="s">
        <v>5045</v>
      </c>
      <c r="G59" s="28" t="str">
        <f>VLOOKUP($E59,STOCKS!$D$2:$E$2035,2,0)</f>
        <v>--</v>
      </c>
      <c r="H59">
        <v>17.899999999999999</v>
      </c>
      <c r="I59" s="129" t="e">
        <f t="shared" si="0"/>
        <v>#VALUE!</v>
      </c>
      <c r="J59" s="63" t="e">
        <f t="shared" si="1"/>
        <v>#VALUE!</v>
      </c>
    </row>
    <row r="60" spans="1:10">
      <c r="A60" s="118">
        <v>7.51</v>
      </c>
      <c r="B60" s="118">
        <v>283.2</v>
      </c>
      <c r="C60" s="118">
        <v>-8.08</v>
      </c>
      <c r="D60" s="118">
        <v>20.99</v>
      </c>
      <c r="E60" s="118">
        <v>3652</v>
      </c>
      <c r="F60" t="s">
        <v>4746</v>
      </c>
      <c r="G60" s="28" t="str">
        <f>VLOOKUP($E60,STOCKS!$D$2:$E$2035,2,0)</f>
        <v>--</v>
      </c>
      <c r="H60">
        <v>25.6</v>
      </c>
      <c r="I60" s="129" t="e">
        <f t="shared" si="0"/>
        <v>#VALUE!</v>
      </c>
      <c r="J60" s="63" t="e">
        <f t="shared" si="1"/>
        <v>#VALUE!</v>
      </c>
    </row>
    <row r="61" spans="1:10">
      <c r="A61" s="118">
        <v>12.22</v>
      </c>
      <c r="B61" s="118">
        <v>-25.24</v>
      </c>
      <c r="C61" s="118">
        <v>1.06</v>
      </c>
      <c r="D61" s="118">
        <v>35.44</v>
      </c>
      <c r="E61" s="118">
        <v>3653</v>
      </c>
      <c r="F61" t="s">
        <v>3556</v>
      </c>
      <c r="G61" s="28">
        <f>VLOOKUP($E61,STOCKS!$D$2:$E$2035,2,0)</f>
        <v>408.5</v>
      </c>
      <c r="H61">
        <v>369</v>
      </c>
      <c r="I61" s="129">
        <f t="shared" si="0"/>
        <v>39.5</v>
      </c>
      <c r="J61" s="63">
        <f t="shared" si="1"/>
        <v>0.10704607046070461</v>
      </c>
    </row>
    <row r="62" spans="1:10">
      <c r="A62" s="118">
        <v>4.46</v>
      </c>
      <c r="B62" s="118">
        <v>122.88</v>
      </c>
      <c r="C62" s="118">
        <v>-10.73</v>
      </c>
      <c r="D62" s="118">
        <v>-9.5399999999999991</v>
      </c>
      <c r="E62" s="118">
        <v>2321</v>
      </c>
      <c r="F62" t="s">
        <v>4109</v>
      </c>
      <c r="G62" s="28" t="str">
        <f>VLOOKUP($E62,STOCKS!$D$2:$E$2035,2,0)</f>
        <v>--</v>
      </c>
      <c r="H62">
        <v>6.2</v>
      </c>
      <c r="I62" s="129" t="e">
        <f t="shared" si="0"/>
        <v>#VALUE!</v>
      </c>
      <c r="J62" s="63" t="e">
        <f t="shared" si="1"/>
        <v>#VALUE!</v>
      </c>
    </row>
    <row r="63" spans="1:10">
      <c r="A63" s="118">
        <v>54.65</v>
      </c>
      <c r="B63" s="118">
        <v>16.48</v>
      </c>
      <c r="C63" s="118">
        <v>-5.65</v>
      </c>
      <c r="D63" s="118">
        <v>11.57</v>
      </c>
      <c r="E63" s="118">
        <v>2368</v>
      </c>
      <c r="F63" t="s">
        <v>3564</v>
      </c>
      <c r="G63" s="28">
        <f>VLOOKUP($E63,STOCKS!$D$2:$E$2035,2,0)</f>
        <v>70.099999999999994</v>
      </c>
      <c r="H63">
        <v>66.400000000000006</v>
      </c>
      <c r="I63" s="129">
        <f t="shared" si="0"/>
        <v>3.6999999999999886</v>
      </c>
      <c r="J63" s="63">
        <f t="shared" si="1"/>
        <v>5.5722891566264886E-2</v>
      </c>
    </row>
    <row r="64" spans="1:10">
      <c r="A64" s="118">
        <v>118.88</v>
      </c>
      <c r="B64" s="118">
        <v>301.92</v>
      </c>
      <c r="C64" s="118">
        <v>5.31</v>
      </c>
      <c r="D64" s="118">
        <v>48.5</v>
      </c>
      <c r="E64" s="118">
        <v>1304</v>
      </c>
      <c r="F64" t="s">
        <v>3658</v>
      </c>
      <c r="G64" s="28">
        <f>VLOOKUP($E64,STOCKS!$D$2:$E$2035,2,0)</f>
        <v>32.85</v>
      </c>
      <c r="H64">
        <v>34.4</v>
      </c>
      <c r="I64" s="129">
        <f t="shared" si="0"/>
        <v>-1.5499999999999972</v>
      </c>
      <c r="J64" s="63">
        <f t="shared" si="1"/>
        <v>-4.5058139534883641E-2</v>
      </c>
    </row>
    <row r="65" spans="1:10">
      <c r="A65" s="118">
        <v>7.11</v>
      </c>
      <c r="B65" s="118">
        <v>582.87</v>
      </c>
      <c r="C65" s="118">
        <v>-5.35</v>
      </c>
      <c r="D65" s="118">
        <v>51.82</v>
      </c>
      <c r="E65" s="118">
        <v>5464</v>
      </c>
      <c r="F65" t="s">
        <v>4916</v>
      </c>
      <c r="G65" s="28" t="str">
        <f>VLOOKUP($E65,STOCKS!$D$2:$E$2035,2,0)</f>
        <v>--</v>
      </c>
      <c r="H65">
        <v>23.9</v>
      </c>
      <c r="I65" s="129" t="e">
        <f t="shared" si="0"/>
        <v>#VALUE!</v>
      </c>
      <c r="J65" s="63" t="e">
        <f t="shared" si="1"/>
        <v>#VALUE!</v>
      </c>
    </row>
    <row r="66" spans="1:10">
      <c r="A66" s="118">
        <v>3.55</v>
      </c>
      <c r="B66" s="118">
        <v>292.66000000000003</v>
      </c>
      <c r="C66" s="118">
        <v>-25.08</v>
      </c>
      <c r="D66" s="118">
        <v>-37.950000000000003</v>
      </c>
      <c r="E66" s="118">
        <v>3492</v>
      </c>
      <c r="F66" t="s">
        <v>4890</v>
      </c>
      <c r="G66" s="28" t="str">
        <f>VLOOKUP($E66,STOCKS!$D$2:$E$2035,2,0)</f>
        <v>--</v>
      </c>
      <c r="H66">
        <v>19.75</v>
      </c>
      <c r="I66" s="129" t="e">
        <f t="shared" si="0"/>
        <v>#VALUE!</v>
      </c>
      <c r="J66" s="63" t="e">
        <f t="shared" si="1"/>
        <v>#VALUE!</v>
      </c>
    </row>
    <row r="67" spans="1:10">
      <c r="A67" s="118">
        <v>2.14</v>
      </c>
      <c r="B67" s="118">
        <v>199.23</v>
      </c>
      <c r="C67" s="118">
        <v>6.9</v>
      </c>
      <c r="D67" s="118">
        <v>46.11</v>
      </c>
      <c r="E67" s="118">
        <v>4554</v>
      </c>
      <c r="F67" t="s">
        <v>5024</v>
      </c>
      <c r="G67" s="28" t="str">
        <f>VLOOKUP($E67,STOCKS!$D$2:$E$2035,2,0)</f>
        <v>--</v>
      </c>
      <c r="H67">
        <v>31.1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17.809999999999999</v>
      </c>
      <c r="B68" s="118">
        <v>830.55</v>
      </c>
      <c r="C68" s="118">
        <v>-20.71</v>
      </c>
      <c r="D68" s="118">
        <v>-21.67</v>
      </c>
      <c r="E68" s="118">
        <v>2399</v>
      </c>
      <c r="F68" t="s">
        <v>3570</v>
      </c>
      <c r="G68" s="28">
        <f>VLOOKUP($E68,STOCKS!$D$2:$E$2035,2,0)</f>
        <v>22.85</v>
      </c>
      <c r="H68">
        <v>20.25</v>
      </c>
      <c r="I68" s="129">
        <f t="shared" si="2"/>
        <v>2.6000000000000014</v>
      </c>
      <c r="J68" s="63">
        <f t="shared" si="3"/>
        <v>0.12839506172839513</v>
      </c>
    </row>
    <row r="69" spans="1:10">
      <c r="A69" s="118">
        <v>3.91</v>
      </c>
      <c r="B69" s="118">
        <v>-5.63</v>
      </c>
      <c r="C69" s="118">
        <v>-5.25</v>
      </c>
      <c r="D69" s="118">
        <v>22.74</v>
      </c>
      <c r="E69" s="118">
        <v>3444</v>
      </c>
      <c r="F69" t="s">
        <v>4967</v>
      </c>
      <c r="G69" s="28" t="str">
        <f>VLOOKUP($E69,STOCKS!$D$2:$E$2035,2,0)</f>
        <v>--</v>
      </c>
      <c r="H69">
        <v>40.5</v>
      </c>
      <c r="I69" s="129" t="e">
        <f t="shared" si="2"/>
        <v>#VALUE!</v>
      </c>
      <c r="J69" s="63" t="e">
        <f t="shared" si="3"/>
        <v>#VALUE!</v>
      </c>
    </row>
    <row r="70" spans="1:10">
      <c r="A70" s="118">
        <v>76.37</v>
      </c>
      <c r="B70" s="118">
        <v>668.35</v>
      </c>
      <c r="C70" s="118">
        <v>0.04</v>
      </c>
      <c r="D70" s="118">
        <v>67.66</v>
      </c>
      <c r="E70" s="118">
        <v>2637</v>
      </c>
      <c r="F70" t="s">
        <v>3577</v>
      </c>
      <c r="G70" s="28" t="str">
        <f>VLOOKUP($E70,STOCKS!$D$2:$E$2035,2,0)</f>
        <v>--</v>
      </c>
      <c r="H70">
        <v>65.3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7.94</v>
      </c>
      <c r="B71" s="118">
        <v>129.44999999999999</v>
      </c>
      <c r="C71" s="118">
        <v>-5.41</v>
      </c>
      <c r="D71" s="118">
        <v>44.43</v>
      </c>
      <c r="E71" s="118">
        <v>5383</v>
      </c>
      <c r="F71" t="s">
        <v>5026</v>
      </c>
      <c r="G71" s="28" t="str">
        <f>VLOOKUP($E71,STOCKS!$D$2:$E$2035,2,0)</f>
        <v>--</v>
      </c>
      <c r="H71">
        <v>27.5</v>
      </c>
      <c r="I71" s="129" t="e">
        <f t="shared" si="2"/>
        <v>#VALUE!</v>
      </c>
      <c r="J71" s="63" t="e">
        <f t="shared" si="3"/>
        <v>#VALUE!</v>
      </c>
    </row>
    <row r="72" spans="1:10">
      <c r="A72" s="118">
        <v>8.6999999999999993</v>
      </c>
      <c r="B72" s="118">
        <v>-28.26</v>
      </c>
      <c r="C72" s="118">
        <v>-2.2400000000000002</v>
      </c>
      <c r="D72" s="118">
        <v>7.84</v>
      </c>
      <c r="E72" s="118">
        <v>3454</v>
      </c>
      <c r="F72" t="s">
        <v>4074</v>
      </c>
      <c r="G72" s="28" t="str">
        <f>VLOOKUP($E72,STOCKS!$D$2:$E$2035,2,0)</f>
        <v>--</v>
      </c>
      <c r="H72">
        <v>73.900000000000006</v>
      </c>
      <c r="I72" s="129" t="e">
        <f t="shared" si="2"/>
        <v>#VALUE!</v>
      </c>
      <c r="J72" s="63" t="e">
        <f t="shared" si="3"/>
        <v>#VALUE!</v>
      </c>
    </row>
    <row r="73" spans="1:10">
      <c r="A73" s="118">
        <v>10.83</v>
      </c>
      <c r="B73" s="118">
        <v>164.73</v>
      </c>
      <c r="C73" s="118">
        <v>6.17</v>
      </c>
      <c r="D73" s="118">
        <v>6.63</v>
      </c>
      <c r="E73" s="118">
        <v>1727</v>
      </c>
      <c r="F73" t="s">
        <v>3843</v>
      </c>
      <c r="G73" s="28">
        <f>VLOOKUP($E73,STOCKS!$D$2:$E$2035,2,0)</f>
        <v>59.1</v>
      </c>
      <c r="H73">
        <v>44.1</v>
      </c>
      <c r="I73" s="129">
        <f t="shared" si="2"/>
        <v>15</v>
      </c>
      <c r="J73" s="63">
        <f t="shared" si="3"/>
        <v>0.3401360544217687</v>
      </c>
    </row>
    <row r="74" spans="1:10">
      <c r="A74" s="118">
        <v>4.5999999999999996</v>
      </c>
      <c r="B74" s="118">
        <v>-33.270000000000003</v>
      </c>
      <c r="C74" s="118">
        <v>-5.55</v>
      </c>
      <c r="D74" s="118">
        <v>84.84</v>
      </c>
      <c r="E74" s="118">
        <v>4402</v>
      </c>
      <c r="F74" t="s">
        <v>4511</v>
      </c>
      <c r="G74" s="28" t="str">
        <f>VLOOKUP($E74,STOCKS!$D$2:$E$2035,2,0)</f>
        <v>--</v>
      </c>
      <c r="H74">
        <v>6.52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38.299999999999997</v>
      </c>
      <c r="B75" s="118">
        <v>23.82</v>
      </c>
      <c r="C75" s="118">
        <v>-10.93</v>
      </c>
      <c r="D75" s="118">
        <v>32.909999999999997</v>
      </c>
      <c r="E75" s="118">
        <v>6213</v>
      </c>
      <c r="F75" t="s">
        <v>4218</v>
      </c>
      <c r="G75" s="28">
        <f>VLOOKUP($E75,STOCKS!$D$2:$E$2035,2,0)</f>
        <v>128</v>
      </c>
      <c r="H75">
        <v>128.5</v>
      </c>
      <c r="I75" s="129">
        <f t="shared" si="2"/>
        <v>-0.5</v>
      </c>
      <c r="J75" s="63">
        <f t="shared" si="3"/>
        <v>-3.8910505836575876E-3</v>
      </c>
    </row>
    <row r="76" spans="1:10">
      <c r="A76" s="118">
        <v>81.89</v>
      </c>
      <c r="B76" s="118">
        <v>-69.53</v>
      </c>
      <c r="C76" s="118">
        <v>23.35</v>
      </c>
      <c r="D76" s="118">
        <v>18.190000000000001</v>
      </c>
      <c r="E76" s="118">
        <v>4414</v>
      </c>
      <c r="F76" t="s">
        <v>3769</v>
      </c>
      <c r="G76" s="28" t="str">
        <f>VLOOKUP($E76,STOCKS!$D$2:$E$2035,2,0)</f>
        <v>--</v>
      </c>
      <c r="H76">
        <v>8.44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26.29</v>
      </c>
      <c r="B77" s="118">
        <v>85.65</v>
      </c>
      <c r="C77" s="118">
        <v>8.1</v>
      </c>
      <c r="D77" s="118">
        <v>-0.76</v>
      </c>
      <c r="E77" s="118">
        <v>1795</v>
      </c>
      <c r="F77" t="s">
        <v>3637</v>
      </c>
      <c r="G77" s="28">
        <f>VLOOKUP($E77,STOCKS!$D$2:$E$2035,2,0)</f>
        <v>108.5</v>
      </c>
      <c r="H77">
        <v>94</v>
      </c>
      <c r="I77" s="129">
        <f t="shared" si="2"/>
        <v>14.5</v>
      </c>
      <c r="J77" s="63">
        <f t="shared" si="3"/>
        <v>0.15425531914893617</v>
      </c>
    </row>
    <row r="78" spans="1:10">
      <c r="A78" s="118">
        <v>13.05</v>
      </c>
      <c r="B78" s="118">
        <v>288.05</v>
      </c>
      <c r="C78" s="118">
        <v>12.57</v>
      </c>
      <c r="D78" s="118">
        <v>-0.13</v>
      </c>
      <c r="E78" s="118">
        <v>2032</v>
      </c>
      <c r="F78" t="s">
        <v>3566</v>
      </c>
      <c r="G78" s="28" t="str">
        <f>VLOOKUP($E78,STOCKS!$D$2:$E$2035,2,0)</f>
        <v>--</v>
      </c>
      <c r="H78">
        <v>23.6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168.62</v>
      </c>
      <c r="B79" s="118">
        <v>144.61000000000001</v>
      </c>
      <c r="C79" s="118">
        <v>-2.77</v>
      </c>
      <c r="D79" s="118">
        <v>-45.41</v>
      </c>
      <c r="E79" s="118">
        <v>1718</v>
      </c>
      <c r="F79" t="s">
        <v>3838</v>
      </c>
      <c r="G79" s="28" t="str">
        <f>VLOOKUP($E79,STOCKS!$D$2:$E$2035,2,0)</f>
        <v>--</v>
      </c>
      <c r="H79">
        <v>10.15</v>
      </c>
      <c r="I79" s="129" t="e">
        <f t="shared" si="2"/>
        <v>#VALUE!</v>
      </c>
      <c r="J79" s="63" t="e">
        <f t="shared" si="3"/>
        <v>#VALUE!</v>
      </c>
    </row>
    <row r="80" spans="1:10">
      <c r="A80" s="118">
        <v>59.19</v>
      </c>
      <c r="B80" s="118">
        <v>84.47</v>
      </c>
      <c r="C80" s="118">
        <v>-1.68</v>
      </c>
      <c r="D80" s="118">
        <v>-1.78</v>
      </c>
      <c r="E80" s="118">
        <v>1785</v>
      </c>
      <c r="F80" t="s">
        <v>5005</v>
      </c>
      <c r="G80" s="28" t="str">
        <f>VLOOKUP($E80,STOCKS!$D$2:$E$2035,2,0)</f>
        <v>--</v>
      </c>
      <c r="H80">
        <v>50</v>
      </c>
      <c r="I80" s="129" t="e">
        <f t="shared" si="2"/>
        <v>#VALUE!</v>
      </c>
      <c r="J80" s="63" t="e">
        <f t="shared" si="3"/>
        <v>#VALUE!</v>
      </c>
    </row>
    <row r="81" spans="1:10">
      <c r="A81" s="118">
        <v>50.61</v>
      </c>
      <c r="B81" s="118">
        <v>68.98</v>
      </c>
      <c r="C81" s="118">
        <v>-5.01</v>
      </c>
      <c r="D81" s="118">
        <v>2.87</v>
      </c>
      <c r="E81" s="118">
        <v>1201</v>
      </c>
      <c r="F81" t="s">
        <v>3702</v>
      </c>
      <c r="G81" s="28">
        <f>VLOOKUP($E81,STOCKS!$D$2:$E$2035,2,0)</f>
        <v>22.3</v>
      </c>
      <c r="H81">
        <v>22.85</v>
      </c>
      <c r="I81" s="129">
        <f t="shared" si="2"/>
        <v>-0.55000000000000071</v>
      </c>
      <c r="J81" s="63">
        <f t="shared" si="3"/>
        <v>-2.4070021881838103E-2</v>
      </c>
    </row>
    <row r="82" spans="1:10">
      <c r="A82" s="118">
        <v>3.13</v>
      </c>
      <c r="B82" s="118">
        <v>801.35</v>
      </c>
      <c r="C82" s="118">
        <v>-24.01</v>
      </c>
      <c r="D82" s="118">
        <v>3.31</v>
      </c>
      <c r="E82" s="118">
        <v>4413</v>
      </c>
      <c r="F82" t="s">
        <v>4512</v>
      </c>
      <c r="G82" s="28" t="str">
        <f>VLOOKUP($E82,STOCKS!$D$2:$E$2035,2,0)</f>
        <v>--</v>
      </c>
      <c r="H82">
        <v>12.15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10.3</v>
      </c>
      <c r="B83" s="118">
        <v>-79.41</v>
      </c>
      <c r="C83" s="118">
        <v>7.07</v>
      </c>
      <c r="D83" s="118">
        <v>46.37</v>
      </c>
      <c r="E83" s="118">
        <v>3523</v>
      </c>
      <c r="F83" t="s">
        <v>4784</v>
      </c>
      <c r="G83" s="28" t="str">
        <f>VLOOKUP($E83,STOCKS!$D$2:$E$2035,2,0)</f>
        <v>--</v>
      </c>
      <c r="H83">
        <v>6.7</v>
      </c>
      <c r="I83" s="129" t="e">
        <f t="shared" si="2"/>
        <v>#VALUE!</v>
      </c>
      <c r="J83" s="63" t="e">
        <f t="shared" si="3"/>
        <v>#VALUE!</v>
      </c>
    </row>
    <row r="84" spans="1:10">
      <c r="A84" s="118">
        <v>50</v>
      </c>
      <c r="B84" s="118">
        <v>-14.94</v>
      </c>
      <c r="C84" s="118">
        <v>-7.55</v>
      </c>
      <c r="D84" s="118">
        <v>8.44</v>
      </c>
      <c r="E84" s="118">
        <v>1218</v>
      </c>
      <c r="F84" t="s">
        <v>3708</v>
      </c>
      <c r="G84" s="28">
        <f>VLOOKUP($E84,STOCKS!$D$2:$E$2035,2,0)</f>
        <v>27.4</v>
      </c>
      <c r="H84">
        <v>27.3</v>
      </c>
      <c r="I84" s="129">
        <f t="shared" si="2"/>
        <v>9.9999999999997868E-2</v>
      </c>
      <c r="J84" s="63">
        <f t="shared" si="3"/>
        <v>3.6630036630035849E-3</v>
      </c>
    </row>
    <row r="85" spans="1:10">
      <c r="A85" s="118">
        <v>8.81</v>
      </c>
      <c r="B85" s="118">
        <v>-61.85</v>
      </c>
      <c r="C85" s="118">
        <v>0.54</v>
      </c>
      <c r="D85" s="118">
        <v>34.24</v>
      </c>
      <c r="E85" s="118">
        <v>4944</v>
      </c>
      <c r="F85" t="s">
        <v>4794</v>
      </c>
      <c r="G85" s="28" t="str">
        <f>VLOOKUP($E85,STOCKS!$D$2:$E$2035,2,0)</f>
        <v>--</v>
      </c>
      <c r="H85">
        <v>20.2</v>
      </c>
      <c r="I85" s="129" t="e">
        <f t="shared" si="2"/>
        <v>#VALUE!</v>
      </c>
      <c r="J85" s="63" t="e">
        <f t="shared" si="3"/>
        <v>#VALUE!</v>
      </c>
    </row>
    <row r="86" spans="1:10">
      <c r="A86" s="118">
        <v>793.08</v>
      </c>
      <c r="B86" s="118">
        <v>1053.1199999999999</v>
      </c>
      <c r="C86" s="118">
        <v>-4.58</v>
      </c>
      <c r="D86" s="118">
        <v>49.87</v>
      </c>
      <c r="E86" s="118">
        <v>1303</v>
      </c>
      <c r="F86" t="s">
        <v>3722</v>
      </c>
      <c r="G86" s="28">
        <f>VLOOKUP($E86,STOCKS!$D$2:$E$2035,2,0)</f>
        <v>85.8</v>
      </c>
      <c r="H86">
        <v>85.1</v>
      </c>
      <c r="I86" s="129">
        <f t="shared" si="2"/>
        <v>0.70000000000000284</v>
      </c>
      <c r="J86" s="63">
        <f t="shared" si="3"/>
        <v>8.2256169212691285E-3</v>
      </c>
    </row>
    <row r="87" spans="1:10">
      <c r="A87" s="118">
        <v>59.37</v>
      </c>
      <c r="B87" s="118">
        <v>302.04000000000002</v>
      </c>
      <c r="C87" s="118">
        <v>8.1999999999999993</v>
      </c>
      <c r="D87" s="118">
        <v>80.31</v>
      </c>
      <c r="E87" s="118">
        <v>1308</v>
      </c>
      <c r="F87" t="s">
        <v>3725</v>
      </c>
      <c r="G87" s="28">
        <f>VLOOKUP($E87,STOCKS!$D$2:$E$2035,2,0)</f>
        <v>37.549999999999997</v>
      </c>
      <c r="H87">
        <v>39.049999999999997</v>
      </c>
      <c r="I87" s="129">
        <f t="shared" si="2"/>
        <v>-1.5</v>
      </c>
      <c r="J87" s="63">
        <f t="shared" si="3"/>
        <v>-3.8412291933418698E-2</v>
      </c>
    </row>
    <row r="88" spans="1:10">
      <c r="A88" s="118">
        <v>17.8</v>
      </c>
      <c r="B88" s="118">
        <v>1495.84</v>
      </c>
      <c r="C88" s="118">
        <v>-0.69</v>
      </c>
      <c r="D88" s="118">
        <v>23.53</v>
      </c>
      <c r="E88" s="118">
        <v>2436</v>
      </c>
      <c r="F88" t="s">
        <v>3956</v>
      </c>
      <c r="G88" s="28">
        <f>VLOOKUP($E88,STOCKS!$D$2:$E$2035,2,0)</f>
        <v>100</v>
      </c>
      <c r="H88">
        <v>81.099999999999994</v>
      </c>
      <c r="I88" s="129">
        <f t="shared" si="2"/>
        <v>18.900000000000006</v>
      </c>
      <c r="J88" s="63">
        <f t="shared" si="3"/>
        <v>0.23304562268803955</v>
      </c>
    </row>
    <row r="89" spans="1:10">
      <c r="A89" s="118">
        <v>5.57</v>
      </c>
      <c r="B89" s="118">
        <v>11.88</v>
      </c>
      <c r="C89" s="118">
        <v>407.12</v>
      </c>
      <c r="D89" s="118">
        <v>436.02</v>
      </c>
      <c r="E89" s="118">
        <v>4911</v>
      </c>
      <c r="F89" t="s">
        <v>4617</v>
      </c>
      <c r="G89" s="28" t="str">
        <f>VLOOKUP($E89,STOCKS!$D$2:$E$2035,2,0)</f>
        <v>--</v>
      </c>
      <c r="H89">
        <v>27.8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1.94</v>
      </c>
      <c r="B90" s="118">
        <v>885.97</v>
      </c>
      <c r="C90" s="118">
        <v>-9.73</v>
      </c>
      <c r="D90" s="118">
        <v>78.489999999999995</v>
      </c>
      <c r="E90" s="118">
        <v>3086</v>
      </c>
      <c r="F90" t="s">
        <v>5176</v>
      </c>
      <c r="G90" s="28" t="str">
        <f>VLOOKUP($E90,STOCKS!$D$2:$E$2035,2,0)</f>
        <v>--</v>
      </c>
      <c r="H90">
        <v>81</v>
      </c>
      <c r="I90" s="129" t="e">
        <f t="shared" si="2"/>
        <v>#VALUE!</v>
      </c>
      <c r="J90" s="63" t="e">
        <f t="shared" si="3"/>
        <v>#VALUE!</v>
      </c>
    </row>
    <row r="91" spans="1:10">
      <c r="A91" s="118">
        <v>15.73</v>
      </c>
      <c r="B91" s="118">
        <v>122.21</v>
      </c>
      <c r="C91" s="118">
        <v>26.34</v>
      </c>
      <c r="D91" s="118">
        <v>31.24</v>
      </c>
      <c r="E91" s="118">
        <v>8085</v>
      </c>
      <c r="F91" t="s">
        <v>5041</v>
      </c>
      <c r="G91" s="28" t="str">
        <f>VLOOKUP($E91,STOCKS!$D$2:$E$2035,2,0)</f>
        <v>--</v>
      </c>
      <c r="H91">
        <v>18</v>
      </c>
      <c r="I91" s="129" t="e">
        <f t="shared" si="2"/>
        <v>#VALUE!</v>
      </c>
      <c r="J91" s="63" t="e">
        <f t="shared" si="3"/>
        <v>#VALUE!</v>
      </c>
    </row>
    <row r="92" spans="1:10">
      <c r="A92" s="118">
        <v>73.680000000000007</v>
      </c>
      <c r="B92" s="118">
        <v>148.07</v>
      </c>
      <c r="C92" s="118">
        <v>-12.9</v>
      </c>
      <c r="D92" s="118">
        <v>57.31</v>
      </c>
      <c r="E92" s="118">
        <v>9940</v>
      </c>
      <c r="F92" t="s">
        <v>3674</v>
      </c>
      <c r="G92" s="28" t="str">
        <f>VLOOKUP($E92,STOCKS!$D$2:$E$2035,2,0)</f>
        <v>--</v>
      </c>
      <c r="H92">
        <v>33.299999999999997</v>
      </c>
      <c r="I92" s="129" t="e">
        <f t="shared" si="2"/>
        <v>#VALUE!</v>
      </c>
      <c r="J92" s="63" t="e">
        <f t="shared" si="3"/>
        <v>#VALUE!</v>
      </c>
    </row>
    <row r="93" spans="1:10">
      <c r="A93" s="118">
        <v>8.93</v>
      </c>
      <c r="B93" s="118">
        <v>-237.92</v>
      </c>
      <c r="C93" s="118">
        <v>42.67</v>
      </c>
      <c r="D93" s="118">
        <v>28.68</v>
      </c>
      <c r="E93" s="118">
        <v>3057</v>
      </c>
      <c r="F93" t="s">
        <v>3580</v>
      </c>
      <c r="G93" s="28" t="str">
        <f>VLOOKUP($E93,STOCKS!$D$2:$E$2035,2,0)</f>
        <v>--</v>
      </c>
      <c r="H93">
        <v>13.9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8.24</v>
      </c>
      <c r="B94" s="118">
        <v>45.98</v>
      </c>
      <c r="C94" s="118">
        <v>-2.27</v>
      </c>
      <c r="D94" s="118">
        <v>37.78</v>
      </c>
      <c r="E94" s="118">
        <v>6506</v>
      </c>
      <c r="F94" t="s">
        <v>4571</v>
      </c>
      <c r="G94" s="28" t="str">
        <f>VLOOKUP($E94,STOCKS!$D$2:$E$2035,2,0)</f>
        <v>--</v>
      </c>
      <c r="H94">
        <v>18.100000000000001</v>
      </c>
      <c r="I94" s="129" t="e">
        <f t="shared" si="2"/>
        <v>#VALUE!</v>
      </c>
      <c r="J94" s="63" t="e">
        <f t="shared" si="3"/>
        <v>#VALUE!</v>
      </c>
    </row>
    <row r="95" spans="1:10">
      <c r="A95" s="118">
        <v>18.989999999999998</v>
      </c>
      <c r="B95" s="118">
        <v>-29.33</v>
      </c>
      <c r="C95" s="118">
        <v>9.4499999999999993</v>
      </c>
      <c r="D95" s="118">
        <v>26.39</v>
      </c>
      <c r="E95" s="118">
        <v>4927</v>
      </c>
      <c r="F95" t="s">
        <v>4204</v>
      </c>
      <c r="G95" s="28" t="str">
        <f>VLOOKUP($E95,STOCKS!$D$2:$E$2035,2,0)</f>
        <v>--</v>
      </c>
      <c r="H95">
        <v>78</v>
      </c>
      <c r="I95" s="129" t="e">
        <f t="shared" si="2"/>
        <v>#VALUE!</v>
      </c>
      <c r="J95" s="63" t="e">
        <f t="shared" si="3"/>
        <v>#VALUE!</v>
      </c>
    </row>
    <row r="96" spans="1:10">
      <c r="A96" s="118">
        <v>2.46</v>
      </c>
      <c r="B96" s="118">
        <v>1416.93</v>
      </c>
      <c r="C96" s="118">
        <v>1.19</v>
      </c>
      <c r="D96" s="118">
        <v>53.23</v>
      </c>
      <c r="E96" s="118">
        <v>6684</v>
      </c>
      <c r="F96" t="s">
        <v>5309</v>
      </c>
      <c r="G96" s="28" t="str">
        <f>VLOOKUP($E96,STOCKS!$D$2:$E$2035,2,0)</f>
        <v>--</v>
      </c>
      <c r="H96">
        <v>167.5</v>
      </c>
      <c r="I96" s="129" t="e">
        <f t="shared" si="2"/>
        <v>#VALUE!</v>
      </c>
      <c r="J96" s="63" t="e">
        <f t="shared" si="3"/>
        <v>#VALUE!</v>
      </c>
    </row>
    <row r="97" spans="1:10">
      <c r="A97" s="118">
        <v>8.08</v>
      </c>
      <c r="B97" s="118">
        <v>112.03</v>
      </c>
      <c r="C97" s="118">
        <v>-9.09</v>
      </c>
      <c r="D97" s="118">
        <v>-14.94</v>
      </c>
      <c r="E97" s="118">
        <v>3518</v>
      </c>
      <c r="F97" t="s">
        <v>4282</v>
      </c>
      <c r="G97" s="28" t="str">
        <f>VLOOKUP($E97,STOCKS!$D$2:$E$2035,2,0)</f>
        <v>--</v>
      </c>
      <c r="H97">
        <v>23.85</v>
      </c>
      <c r="I97" s="129" t="e">
        <f t="shared" si="2"/>
        <v>#VALUE!</v>
      </c>
      <c r="J97" s="63" t="e">
        <f t="shared" si="3"/>
        <v>#VALUE!</v>
      </c>
    </row>
    <row r="98" spans="1:10">
      <c r="A98" s="118">
        <v>0.25</v>
      </c>
      <c r="B98" s="118">
        <v>-32.47</v>
      </c>
      <c r="C98" s="60" t="s">
        <v>5207</v>
      </c>
      <c r="D98" s="60" t="s">
        <v>5207</v>
      </c>
      <c r="E98" s="118">
        <v>910861</v>
      </c>
      <c r="F98" t="s">
        <v>5669</v>
      </c>
      <c r="G98" s="28" t="e">
        <f>VLOOKUP($E98,STOCKS!$D$2:$E$2035,2,0)</f>
        <v>#N/A</v>
      </c>
      <c r="H98">
        <v>7.34</v>
      </c>
      <c r="I98" s="129" t="e">
        <f t="shared" si="2"/>
        <v>#N/A</v>
      </c>
      <c r="J98" s="63" t="e">
        <f t="shared" si="3"/>
        <v>#N/A</v>
      </c>
    </row>
    <row r="99" spans="1:10">
      <c r="A99" s="118">
        <v>2.31</v>
      </c>
      <c r="B99" s="118">
        <v>4877.96</v>
      </c>
      <c r="C99" s="118">
        <v>-7.77</v>
      </c>
      <c r="D99" s="118">
        <v>3.9</v>
      </c>
      <c r="E99" s="118">
        <v>6204</v>
      </c>
      <c r="F99" t="s">
        <v>4932</v>
      </c>
      <c r="G99" s="28" t="str">
        <f>VLOOKUP($E99,STOCKS!$D$2:$E$2035,2,0)</f>
        <v>--</v>
      </c>
      <c r="H99">
        <v>91.9</v>
      </c>
      <c r="I99" s="129" t="e">
        <f t="shared" si="2"/>
        <v>#VALUE!</v>
      </c>
      <c r="J99" s="63" t="e">
        <f t="shared" si="3"/>
        <v>#VALUE!</v>
      </c>
    </row>
    <row r="100" spans="1:10">
      <c r="A100" s="118">
        <v>1.6</v>
      </c>
      <c r="B100" s="118">
        <v>-96.66</v>
      </c>
      <c r="C100" s="60" t="s">
        <v>5207</v>
      </c>
      <c r="D100" s="60" t="s">
        <v>5207</v>
      </c>
      <c r="E100" s="118">
        <v>9136</v>
      </c>
      <c r="F100" t="s">
        <v>5670</v>
      </c>
      <c r="G100" s="28" t="e">
        <f>VLOOKUP($E100,STOCKS!$D$2:$E$2035,2,0)</f>
        <v>#N/A</v>
      </c>
      <c r="H100">
        <v>5.81</v>
      </c>
      <c r="I100" s="129" t="e">
        <f t="shared" si="2"/>
        <v>#N/A</v>
      </c>
      <c r="J100" s="63" t="e">
        <f t="shared" si="3"/>
        <v>#N/A</v>
      </c>
    </row>
    <row r="101" spans="1:10">
      <c r="A101" s="118">
        <v>6.92</v>
      </c>
      <c r="B101" s="118">
        <v>12.29</v>
      </c>
      <c r="C101" s="118">
        <v>-1.65</v>
      </c>
      <c r="D101" s="118">
        <v>-31.62</v>
      </c>
      <c r="E101" s="118">
        <v>5269</v>
      </c>
      <c r="F101" t="s">
        <v>3519</v>
      </c>
      <c r="G101" s="28" t="str">
        <f>VLOOKUP($E101,STOCKS!$D$2:$E$2035,2,0)</f>
        <v>--</v>
      </c>
      <c r="H101">
        <v>1625</v>
      </c>
      <c r="I101" s="129" t="e">
        <f t="shared" si="2"/>
        <v>#VALUE!</v>
      </c>
      <c r="J101" s="63" t="e">
        <f t="shared" si="3"/>
        <v>#VALUE!</v>
      </c>
    </row>
  </sheetData>
  <phoneticPr fontId="38" type="noConversion"/>
  <conditionalFormatting sqref="J1:J1048576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4DCC7-9E74-4B12-A1B5-CA3AB0D21D44}">
  <sheetPr codeName="工作表14"/>
  <dimension ref="A1:J101"/>
  <sheetViews>
    <sheetView topLeftCell="A73" workbookViewId="0">
      <selection activeCell="J91" sqref="J91"/>
    </sheetView>
  </sheetViews>
  <sheetFormatPr defaultRowHeight="16.2"/>
  <cols>
    <col min="7" max="7" width="10.44140625" style="60" bestFit="1" customWidth="1"/>
    <col min="9" max="9" width="8.88671875" style="60"/>
    <col min="10" max="10" width="8.88671875" style="63"/>
  </cols>
  <sheetData>
    <row r="1" spans="1:10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0">
      <c r="A2" s="118">
        <v>26.99</v>
      </c>
      <c r="B2" s="118">
        <v>217.94</v>
      </c>
      <c r="C2" s="118">
        <v>16.79</v>
      </c>
      <c r="D2" s="118">
        <v>106.02</v>
      </c>
      <c r="E2" s="118">
        <v>5351</v>
      </c>
      <c r="F2" t="s">
        <v>4690</v>
      </c>
      <c r="G2" s="28">
        <f>VLOOKUP($E2,STOCKS!$D$2:$E$2035,2,0)</f>
        <v>88.8</v>
      </c>
      <c r="H2">
        <v>65.3</v>
      </c>
      <c r="I2" s="129">
        <f>$G2-$H2</f>
        <v>23.5</v>
      </c>
      <c r="J2" s="63">
        <f>$I2/$H2</f>
        <v>0.35987748851454826</v>
      </c>
    </row>
    <row r="3" spans="1:10">
      <c r="A3" s="118">
        <v>10.32</v>
      </c>
      <c r="B3" s="118">
        <v>74.459999999999994</v>
      </c>
      <c r="C3" s="118">
        <v>-15.22</v>
      </c>
      <c r="D3" s="118">
        <v>-55.87</v>
      </c>
      <c r="E3" s="118">
        <v>9955</v>
      </c>
      <c r="F3" t="s">
        <v>4499</v>
      </c>
      <c r="G3" s="28" t="str">
        <f>VLOOKUP($E3,STOCKS!$D$2:$E$2035,2,0)</f>
        <v>--</v>
      </c>
      <c r="H3">
        <v>17.95</v>
      </c>
      <c r="I3" s="129" t="e">
        <f t="shared" ref="I3:I66" si="0">$G3-$H3</f>
        <v>#VALUE!</v>
      </c>
      <c r="J3" s="63" t="e">
        <f t="shared" ref="J3:J66" si="1">$I3/$H3</f>
        <v>#VALUE!</v>
      </c>
    </row>
    <row r="4" spans="1:10">
      <c r="A4" s="118">
        <v>6.24</v>
      </c>
      <c r="B4" s="118">
        <v>783.51</v>
      </c>
      <c r="C4" s="118">
        <v>34.53</v>
      </c>
      <c r="D4" s="118">
        <v>-41.84</v>
      </c>
      <c r="E4" s="118">
        <v>8201</v>
      </c>
      <c r="F4" t="s">
        <v>4296</v>
      </c>
      <c r="G4" s="28" t="str">
        <f>VLOOKUP($E4,STOCKS!$D$2:$E$2035,2,0)</f>
        <v>--</v>
      </c>
      <c r="H4">
        <v>18.45</v>
      </c>
      <c r="I4" s="129" t="e">
        <f t="shared" si="0"/>
        <v>#VALUE!</v>
      </c>
      <c r="J4" s="63" t="e">
        <f t="shared" si="1"/>
        <v>#VALUE!</v>
      </c>
    </row>
    <row r="5" spans="1:10">
      <c r="A5" s="118">
        <v>351.35</v>
      </c>
      <c r="B5" s="118">
        <v>-4.03</v>
      </c>
      <c r="C5" s="118">
        <v>-2.96</v>
      </c>
      <c r="D5" s="118">
        <v>19.84</v>
      </c>
      <c r="E5" s="118">
        <v>3045</v>
      </c>
      <c r="F5" t="s">
        <v>4121</v>
      </c>
      <c r="G5" s="28" t="str">
        <f>VLOOKUP($E5,STOCKS!$D$2:$E$2035,2,0)</f>
        <v>--</v>
      </c>
      <c r="H5">
        <v>98.4</v>
      </c>
      <c r="I5" s="129" t="e">
        <f t="shared" si="0"/>
        <v>#VALUE!</v>
      </c>
      <c r="J5" s="63" t="e">
        <f t="shared" si="1"/>
        <v>#VALUE!</v>
      </c>
    </row>
    <row r="6" spans="1:10">
      <c r="A6" s="118">
        <v>167.91</v>
      </c>
      <c r="B6" s="118">
        <v>49.63</v>
      </c>
      <c r="C6" s="118">
        <v>7.31</v>
      </c>
      <c r="D6" s="118">
        <v>26.66</v>
      </c>
      <c r="E6" s="118">
        <v>3702</v>
      </c>
      <c r="F6" t="s">
        <v>4243</v>
      </c>
      <c r="G6" s="28" t="str">
        <f>VLOOKUP($E6,STOCKS!$D$2:$E$2035,2,0)</f>
        <v>--</v>
      </c>
      <c r="H6">
        <v>52.6</v>
      </c>
      <c r="I6" s="129" t="e">
        <f t="shared" si="0"/>
        <v>#VALUE!</v>
      </c>
      <c r="J6" s="63" t="e">
        <f t="shared" si="1"/>
        <v>#VALUE!</v>
      </c>
    </row>
    <row r="7" spans="1:10">
      <c r="A7" s="118">
        <v>358.75</v>
      </c>
      <c r="B7" s="118">
        <v>-53.13</v>
      </c>
      <c r="C7" s="118">
        <v>4.5</v>
      </c>
      <c r="D7" s="118">
        <v>-2.06</v>
      </c>
      <c r="E7" s="118">
        <v>2356</v>
      </c>
      <c r="F7" t="s">
        <v>4006</v>
      </c>
      <c r="G7" s="28" t="str">
        <f>VLOOKUP($E7,STOCKS!$D$2:$E$2035,2,0)</f>
        <v>--</v>
      </c>
      <c r="H7">
        <v>26.55</v>
      </c>
      <c r="I7" s="129" t="e">
        <f t="shared" si="0"/>
        <v>#VALUE!</v>
      </c>
      <c r="J7" s="63" t="e">
        <f t="shared" si="1"/>
        <v>#VALUE!</v>
      </c>
    </row>
    <row r="8" spans="1:10">
      <c r="A8" s="118">
        <v>166.79</v>
      </c>
      <c r="B8" s="118">
        <v>64.099999999999994</v>
      </c>
      <c r="C8" s="118">
        <v>9.89</v>
      </c>
      <c r="D8" s="118">
        <v>12.65</v>
      </c>
      <c r="E8" s="118">
        <v>2347</v>
      </c>
      <c r="F8" t="s">
        <v>4230</v>
      </c>
      <c r="G8" s="28">
        <f>VLOOKUP($E8,STOCKS!$D$2:$E$2035,2,0)</f>
        <v>58.5</v>
      </c>
      <c r="H8">
        <v>54.2</v>
      </c>
      <c r="I8" s="129">
        <f t="shared" si="0"/>
        <v>4.2999999999999972</v>
      </c>
      <c r="J8" s="63">
        <f t="shared" si="1"/>
        <v>7.9335793357933518E-2</v>
      </c>
    </row>
    <row r="9" spans="1:10">
      <c r="A9" s="118">
        <v>377.25</v>
      </c>
      <c r="B9" s="118">
        <v>56.43</v>
      </c>
      <c r="C9" s="118">
        <v>-27.4</v>
      </c>
      <c r="D9" s="118">
        <v>12.9</v>
      </c>
      <c r="E9" s="118">
        <v>5820</v>
      </c>
      <c r="F9" t="s">
        <v>5100</v>
      </c>
      <c r="G9" s="28" t="str">
        <f>VLOOKUP($E9,STOCKS!$D$2:$E$2035,2,0)</f>
        <v>--</v>
      </c>
      <c r="H9">
        <v>13</v>
      </c>
      <c r="I9" s="129" t="e">
        <f t="shared" si="0"/>
        <v>#VALUE!</v>
      </c>
      <c r="J9" s="63" t="e">
        <f t="shared" si="1"/>
        <v>#VALUE!</v>
      </c>
    </row>
    <row r="10" spans="1:10">
      <c r="A10" s="118">
        <v>47.98</v>
      </c>
      <c r="B10" s="118">
        <v>347.99</v>
      </c>
      <c r="C10" s="118">
        <v>-21.83</v>
      </c>
      <c r="D10" s="118">
        <v>11.52</v>
      </c>
      <c r="E10" s="118">
        <v>2022</v>
      </c>
      <c r="F10" t="s">
        <v>3560</v>
      </c>
      <c r="G10" s="28" t="str">
        <f>VLOOKUP($E10,STOCKS!$D$2:$E$2035,2,0)</f>
        <v>--</v>
      </c>
      <c r="H10">
        <v>14.15</v>
      </c>
      <c r="I10" s="129" t="e">
        <f t="shared" si="0"/>
        <v>#VALUE!</v>
      </c>
      <c r="J10" s="63" t="e">
        <f t="shared" si="1"/>
        <v>#VALUE!</v>
      </c>
    </row>
    <row r="11" spans="1:10">
      <c r="A11" s="118">
        <v>68.14</v>
      </c>
      <c r="B11" s="118">
        <v>26.6</v>
      </c>
      <c r="C11" s="118">
        <v>88.76</v>
      </c>
      <c r="D11" s="118">
        <v>205.94</v>
      </c>
      <c r="E11" s="118">
        <v>2363</v>
      </c>
      <c r="F11" t="s">
        <v>3949</v>
      </c>
      <c r="G11" s="28">
        <f>VLOOKUP($E11,STOCKS!$D$2:$E$2035,2,0)</f>
        <v>25.65</v>
      </c>
      <c r="H11">
        <v>24.45</v>
      </c>
      <c r="I11" s="129">
        <f t="shared" si="0"/>
        <v>1.1999999999999993</v>
      </c>
      <c r="J11" s="63">
        <f t="shared" si="1"/>
        <v>4.9079754601226967E-2</v>
      </c>
    </row>
    <row r="12" spans="1:10">
      <c r="A12" s="118">
        <v>273.3</v>
      </c>
      <c r="B12" s="118">
        <v>71.09</v>
      </c>
      <c r="C12" s="118">
        <v>-6.69</v>
      </c>
      <c r="D12" s="118">
        <v>21.94</v>
      </c>
      <c r="E12" s="118">
        <v>2897</v>
      </c>
      <c r="F12" t="s">
        <v>4404</v>
      </c>
      <c r="G12" s="28" t="str">
        <f>VLOOKUP($E12,STOCKS!$D$2:$E$2035,2,0)</f>
        <v>--</v>
      </c>
      <c r="H12">
        <v>7.91</v>
      </c>
      <c r="I12" s="129" t="e">
        <f t="shared" si="0"/>
        <v>#VALUE!</v>
      </c>
      <c r="J12" s="63" t="e">
        <f t="shared" si="1"/>
        <v>#VALUE!</v>
      </c>
    </row>
    <row r="13" spans="1:10">
      <c r="A13" s="118">
        <v>185.6</v>
      </c>
      <c r="B13" s="118">
        <v>98.35</v>
      </c>
      <c r="C13" s="118">
        <v>13.32</v>
      </c>
      <c r="D13" s="118">
        <v>21.78</v>
      </c>
      <c r="E13" s="118">
        <v>2337</v>
      </c>
      <c r="F13" t="s">
        <v>3945</v>
      </c>
      <c r="G13" s="28">
        <f>VLOOKUP($E13,STOCKS!$D$2:$E$2035,2,0)</f>
        <v>44.1</v>
      </c>
      <c r="H13">
        <v>40.25</v>
      </c>
      <c r="I13" s="129">
        <f t="shared" si="0"/>
        <v>3.8500000000000014</v>
      </c>
      <c r="J13" s="63">
        <f t="shared" si="1"/>
        <v>9.5652173913043509E-2</v>
      </c>
    </row>
    <row r="14" spans="1:10">
      <c r="A14" s="118">
        <v>52.17</v>
      </c>
      <c r="B14" s="118">
        <v>55.04</v>
      </c>
      <c r="C14" s="118">
        <v>9.41</v>
      </c>
      <c r="D14" s="118">
        <v>57.81</v>
      </c>
      <c r="E14" s="118">
        <v>8110</v>
      </c>
      <c r="F14" t="s">
        <v>3995</v>
      </c>
      <c r="G14" s="28" t="str">
        <f>VLOOKUP($E14,STOCKS!$D$2:$E$2035,2,0)</f>
        <v>--</v>
      </c>
      <c r="H14">
        <v>17.55</v>
      </c>
      <c r="I14" s="129" t="e">
        <f t="shared" si="0"/>
        <v>#VALUE!</v>
      </c>
      <c r="J14" s="63" t="e">
        <f t="shared" si="1"/>
        <v>#VALUE!</v>
      </c>
    </row>
    <row r="15" spans="1:10">
      <c r="A15" s="118">
        <v>8.33</v>
      </c>
      <c r="B15" s="118">
        <v>177.23</v>
      </c>
      <c r="C15" s="118">
        <v>-4.62</v>
      </c>
      <c r="D15" s="118">
        <v>71.849999999999994</v>
      </c>
      <c r="E15" s="118">
        <v>6187</v>
      </c>
      <c r="F15" t="s">
        <v>5033</v>
      </c>
      <c r="G15" s="28" t="str">
        <f>VLOOKUP($E15,STOCKS!$D$2:$E$2035,2,0)</f>
        <v>--</v>
      </c>
      <c r="H15">
        <v>110.5</v>
      </c>
      <c r="I15" s="129" t="e">
        <f t="shared" si="0"/>
        <v>#VALUE!</v>
      </c>
      <c r="J15" s="63" t="e">
        <f t="shared" si="1"/>
        <v>#VALUE!</v>
      </c>
    </row>
    <row r="16" spans="1:10">
      <c r="A16" s="118">
        <v>15.62</v>
      </c>
      <c r="B16" s="118">
        <v>127.55</v>
      </c>
      <c r="C16" s="118">
        <v>-2.2000000000000002</v>
      </c>
      <c r="D16" s="118">
        <v>11.44</v>
      </c>
      <c r="E16" s="118">
        <v>2342</v>
      </c>
      <c r="F16" t="s">
        <v>3947</v>
      </c>
      <c r="G16" s="28">
        <f>VLOOKUP($E16,STOCKS!$D$2:$E$2035,2,0)</f>
        <v>48.1</v>
      </c>
      <c r="H16">
        <v>49.5</v>
      </c>
      <c r="I16" s="129">
        <f t="shared" si="0"/>
        <v>-1.3999999999999986</v>
      </c>
      <c r="J16" s="63">
        <f t="shared" si="1"/>
        <v>-2.8282828282828253E-2</v>
      </c>
    </row>
    <row r="17" spans="1:10">
      <c r="A17" s="118">
        <v>17.8</v>
      </c>
      <c r="B17" s="118">
        <v>1495.84</v>
      </c>
      <c r="C17" s="118">
        <v>-0.69</v>
      </c>
      <c r="D17" s="118">
        <v>23.53</v>
      </c>
      <c r="E17" s="118">
        <v>2436</v>
      </c>
      <c r="F17" t="s">
        <v>3956</v>
      </c>
      <c r="G17" s="28">
        <f>VLOOKUP($E17,STOCKS!$D$2:$E$2035,2,0)</f>
        <v>100</v>
      </c>
      <c r="H17">
        <v>89</v>
      </c>
      <c r="I17" s="129">
        <f t="shared" si="0"/>
        <v>11</v>
      </c>
      <c r="J17" s="63">
        <f t="shared" si="1"/>
        <v>0.12359550561797752</v>
      </c>
    </row>
    <row r="18" spans="1:10">
      <c r="A18" s="118">
        <v>65</v>
      </c>
      <c r="B18" s="118">
        <v>492.98</v>
      </c>
      <c r="C18" s="118">
        <v>0.23</v>
      </c>
      <c r="D18" s="118">
        <v>15.73</v>
      </c>
      <c r="E18" s="118">
        <v>2329</v>
      </c>
      <c r="F18" t="s">
        <v>3943</v>
      </c>
      <c r="G18" s="28">
        <f>VLOOKUP($E18,STOCKS!$D$2:$E$2035,2,0)</f>
        <v>24.8</v>
      </c>
      <c r="H18">
        <v>25.2</v>
      </c>
      <c r="I18" s="129">
        <f t="shared" si="0"/>
        <v>-0.39999999999999858</v>
      </c>
      <c r="J18" s="63">
        <f t="shared" si="1"/>
        <v>-1.5873015873015817E-2</v>
      </c>
    </row>
    <row r="19" spans="1:10">
      <c r="A19" s="118">
        <v>25.26</v>
      </c>
      <c r="B19" s="118">
        <v>98.09</v>
      </c>
      <c r="C19" s="118">
        <v>0.41</v>
      </c>
      <c r="D19" s="118">
        <v>62.7</v>
      </c>
      <c r="E19" s="118">
        <v>8358</v>
      </c>
      <c r="F19" t="s">
        <v>3643</v>
      </c>
      <c r="G19" s="28">
        <f>VLOOKUP($E19,STOCKS!$D$2:$E$2035,2,0)</f>
        <v>78.8</v>
      </c>
      <c r="H19">
        <v>76.900000000000006</v>
      </c>
      <c r="I19" s="129">
        <f t="shared" si="0"/>
        <v>1.8999999999999915</v>
      </c>
      <c r="J19" s="63">
        <f t="shared" si="1"/>
        <v>2.4707412223666986E-2</v>
      </c>
    </row>
    <row r="20" spans="1:10">
      <c r="A20" s="118">
        <v>36.99</v>
      </c>
      <c r="B20" s="118">
        <v>45.65</v>
      </c>
      <c r="C20" s="118">
        <v>-12.42</v>
      </c>
      <c r="D20" s="118">
        <v>-32.299999999999997</v>
      </c>
      <c r="E20" s="118">
        <v>1810</v>
      </c>
      <c r="F20" t="s">
        <v>3879</v>
      </c>
      <c r="G20" s="28" t="str">
        <f>VLOOKUP($E20,STOCKS!$D$2:$E$2035,2,0)</f>
        <v>--</v>
      </c>
      <c r="H20">
        <v>14.8</v>
      </c>
      <c r="I20" s="129" t="e">
        <f t="shared" si="0"/>
        <v>#VALUE!</v>
      </c>
      <c r="J20" s="63" t="e">
        <f t="shared" si="1"/>
        <v>#VALUE!</v>
      </c>
    </row>
    <row r="21" spans="1:10">
      <c r="A21" s="118">
        <v>64.59</v>
      </c>
      <c r="B21" s="118">
        <v>74.680000000000007</v>
      </c>
      <c r="C21" s="118">
        <v>6.04</v>
      </c>
      <c r="D21" s="118">
        <v>46.42</v>
      </c>
      <c r="E21" s="118">
        <v>1609</v>
      </c>
      <c r="F21" t="s">
        <v>3820</v>
      </c>
      <c r="G21" s="28" t="str">
        <f>VLOOKUP($E21,STOCKS!$D$2:$E$2035,2,0)</f>
        <v>--</v>
      </c>
      <c r="H21">
        <v>27.2</v>
      </c>
      <c r="I21" s="129" t="e">
        <f t="shared" si="0"/>
        <v>#VALUE!</v>
      </c>
      <c r="J21" s="63" t="e">
        <f t="shared" si="1"/>
        <v>#VALUE!</v>
      </c>
    </row>
    <row r="22" spans="1:10">
      <c r="A22" s="118">
        <v>66.56</v>
      </c>
      <c r="B22" s="118">
        <v>26.82</v>
      </c>
      <c r="C22" s="118">
        <v>4.49</v>
      </c>
      <c r="D22" s="118">
        <v>42.84</v>
      </c>
      <c r="E22" s="118">
        <v>6120</v>
      </c>
      <c r="F22" t="s">
        <v>4091</v>
      </c>
      <c r="G22" s="28" t="str">
        <f>VLOOKUP($E22,STOCKS!$D$2:$E$2035,2,0)</f>
        <v>--</v>
      </c>
      <c r="H22">
        <v>11.4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51.83</v>
      </c>
      <c r="B23" s="118">
        <v>227.13</v>
      </c>
      <c r="C23" s="118">
        <v>31.92</v>
      </c>
      <c r="D23" s="118">
        <v>54.81</v>
      </c>
      <c r="E23" s="118">
        <v>2328</v>
      </c>
      <c r="F23" t="s">
        <v>4150</v>
      </c>
      <c r="G23" s="28" t="str">
        <f>VLOOKUP($E23,STOCKS!$D$2:$E$2035,2,0)</f>
        <v>--</v>
      </c>
      <c r="H23">
        <v>41.8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290.81</v>
      </c>
      <c r="B24" s="118">
        <v>488.97</v>
      </c>
      <c r="C24" s="118">
        <v>-8.42</v>
      </c>
      <c r="D24" s="118">
        <v>15.32</v>
      </c>
      <c r="E24" s="118">
        <v>1802</v>
      </c>
      <c r="F24" t="s">
        <v>3532</v>
      </c>
      <c r="G24" s="28" t="str">
        <f>VLOOKUP($E24,STOCKS!$D$2:$E$2035,2,0)</f>
        <v>--</v>
      </c>
      <c r="H24">
        <v>27.85</v>
      </c>
      <c r="I24" s="129" t="e">
        <f t="shared" si="0"/>
        <v>#VALUE!</v>
      </c>
      <c r="J24" s="63" t="e">
        <f t="shared" si="1"/>
        <v>#VALUE!</v>
      </c>
    </row>
    <row r="25" spans="1:10">
      <c r="A25" s="118">
        <v>45.08</v>
      </c>
      <c r="B25" s="118">
        <v>60.79</v>
      </c>
      <c r="C25" s="118">
        <v>-3.98</v>
      </c>
      <c r="D25" s="118">
        <v>33.159999999999997</v>
      </c>
      <c r="E25" s="118">
        <v>6257</v>
      </c>
      <c r="F25" t="s">
        <v>3985</v>
      </c>
      <c r="G25" s="28" t="str">
        <f>VLOOKUP($E25,STOCKS!$D$2:$E$2035,2,0)</f>
        <v>--</v>
      </c>
      <c r="H25">
        <v>59.6</v>
      </c>
      <c r="I25" s="129" t="e">
        <f t="shared" si="0"/>
        <v>#VALUE!</v>
      </c>
      <c r="J25" s="63" t="e">
        <f t="shared" si="1"/>
        <v>#VALUE!</v>
      </c>
    </row>
    <row r="26" spans="1:10">
      <c r="A26" s="118">
        <v>325.85000000000002</v>
      </c>
      <c r="B26" s="118">
        <v>-13.8</v>
      </c>
      <c r="C26" s="118">
        <v>14.5</v>
      </c>
      <c r="D26" s="118">
        <v>25.28</v>
      </c>
      <c r="E26" s="118">
        <v>4904</v>
      </c>
      <c r="F26" t="s">
        <v>4131</v>
      </c>
      <c r="G26" s="28" t="str">
        <f>VLOOKUP($E26,STOCKS!$D$2:$E$2035,2,0)</f>
        <v>--</v>
      </c>
      <c r="H26">
        <v>61.5</v>
      </c>
      <c r="I26" s="129" t="e">
        <f t="shared" si="0"/>
        <v>#VALUE!</v>
      </c>
      <c r="J26" s="63" t="e">
        <f t="shared" si="1"/>
        <v>#VALUE!</v>
      </c>
    </row>
    <row r="27" spans="1:10">
      <c r="A27" s="118">
        <v>18.86</v>
      </c>
      <c r="B27" s="118">
        <v>-1392</v>
      </c>
      <c r="C27" s="118">
        <v>-8.33</v>
      </c>
      <c r="D27" s="118">
        <v>53.7</v>
      </c>
      <c r="E27" s="118">
        <v>8059</v>
      </c>
      <c r="F27" t="s">
        <v>4860</v>
      </c>
      <c r="G27" s="28" t="str">
        <f>VLOOKUP($E27,STOCKS!$D$2:$E$2035,2,0)</f>
        <v>--</v>
      </c>
      <c r="H27">
        <v>12.05</v>
      </c>
      <c r="I27" s="129" t="e">
        <f t="shared" si="0"/>
        <v>#VALUE!</v>
      </c>
      <c r="J27" s="63" t="e">
        <f t="shared" si="1"/>
        <v>#VALUE!</v>
      </c>
    </row>
    <row r="28" spans="1:10">
      <c r="A28" s="118">
        <v>59.19</v>
      </c>
      <c r="B28" s="118">
        <v>84.47</v>
      </c>
      <c r="C28" s="118">
        <v>-1.68</v>
      </c>
      <c r="D28" s="118">
        <v>-1.78</v>
      </c>
      <c r="E28" s="118">
        <v>1785</v>
      </c>
      <c r="F28" t="s">
        <v>5005</v>
      </c>
      <c r="G28" s="28" t="str">
        <f>VLOOKUP($E28,STOCKS!$D$2:$E$2035,2,0)</f>
        <v>--</v>
      </c>
      <c r="H28">
        <v>55</v>
      </c>
      <c r="I28" s="129" t="e">
        <f t="shared" si="0"/>
        <v>#VALUE!</v>
      </c>
      <c r="J28" s="63" t="e">
        <f t="shared" si="1"/>
        <v>#VALUE!</v>
      </c>
    </row>
    <row r="29" spans="1:10">
      <c r="A29" s="118">
        <v>94.7</v>
      </c>
      <c r="B29" s="118">
        <v>-20.010000000000002</v>
      </c>
      <c r="C29" s="118">
        <v>6.41</v>
      </c>
      <c r="D29" s="118">
        <v>33.5</v>
      </c>
      <c r="E29" s="118">
        <v>4958</v>
      </c>
      <c r="F29" t="s">
        <v>4205</v>
      </c>
      <c r="G29" s="28" t="str">
        <f>VLOOKUP($E29,STOCKS!$D$2:$E$2035,2,0)</f>
        <v>--</v>
      </c>
      <c r="H29">
        <v>98.2</v>
      </c>
      <c r="I29" s="129" t="e">
        <f t="shared" si="0"/>
        <v>#VALUE!</v>
      </c>
      <c r="J29" s="63" t="e">
        <f t="shared" si="1"/>
        <v>#VALUE!</v>
      </c>
    </row>
    <row r="30" spans="1:10">
      <c r="A30" s="118">
        <v>42.95</v>
      </c>
      <c r="B30" s="118">
        <v>-136.75</v>
      </c>
      <c r="C30" s="118">
        <v>97.11</v>
      </c>
      <c r="D30" s="118">
        <v>3.84</v>
      </c>
      <c r="E30" s="118">
        <v>4142</v>
      </c>
      <c r="F30" t="s">
        <v>3546</v>
      </c>
      <c r="G30" s="28" t="str">
        <f>VLOOKUP($E30,STOCKS!$D$2:$E$2035,2,0)</f>
        <v>--</v>
      </c>
      <c r="H30">
        <v>43.95</v>
      </c>
      <c r="I30" s="129" t="e">
        <f t="shared" si="0"/>
        <v>#VALUE!</v>
      </c>
      <c r="J30" s="63" t="e">
        <f t="shared" si="1"/>
        <v>#VALUE!</v>
      </c>
    </row>
    <row r="31" spans="1:10">
      <c r="A31" s="118">
        <v>159.88</v>
      </c>
      <c r="B31" s="118">
        <v>306.89999999999998</v>
      </c>
      <c r="C31" s="118">
        <v>11.91</v>
      </c>
      <c r="D31" s="118">
        <v>26.51</v>
      </c>
      <c r="E31" s="118">
        <v>2454</v>
      </c>
      <c r="F31" t="s">
        <v>3960</v>
      </c>
      <c r="G31" s="28" t="str">
        <f>VLOOKUP($E31,STOCKS!$D$2:$E$2035,2,0)</f>
        <v>--</v>
      </c>
      <c r="H31">
        <v>922</v>
      </c>
      <c r="I31" s="129" t="e">
        <f t="shared" si="0"/>
        <v>#VALUE!</v>
      </c>
      <c r="J31" s="63" t="e">
        <f t="shared" si="1"/>
        <v>#VALUE!</v>
      </c>
    </row>
    <row r="32" spans="1:10">
      <c r="A32" s="118">
        <v>28.23</v>
      </c>
      <c r="B32" s="118">
        <v>210.33</v>
      </c>
      <c r="C32" s="118">
        <v>1.5</v>
      </c>
      <c r="D32" s="118">
        <v>36.909999999999997</v>
      </c>
      <c r="E32" s="118">
        <v>3016</v>
      </c>
      <c r="F32" t="s">
        <v>3964</v>
      </c>
      <c r="G32" s="28" t="str">
        <f>VLOOKUP($E32,STOCKS!$D$2:$E$2035,2,0)</f>
        <v>--</v>
      </c>
      <c r="H32">
        <v>104.5</v>
      </c>
      <c r="I32" s="129" t="e">
        <f t="shared" si="0"/>
        <v>#VALUE!</v>
      </c>
      <c r="J32" s="63" t="e">
        <f t="shared" si="1"/>
        <v>#VALUE!</v>
      </c>
    </row>
    <row r="33" spans="1:10">
      <c r="A33" s="118">
        <v>7.15</v>
      </c>
      <c r="B33" s="118">
        <v>117.63</v>
      </c>
      <c r="C33" s="118">
        <v>-5.8</v>
      </c>
      <c r="D33" s="118">
        <v>78.05</v>
      </c>
      <c r="E33" s="118">
        <v>6672</v>
      </c>
      <c r="F33" t="s">
        <v>4224</v>
      </c>
      <c r="G33" s="28" t="str">
        <f>VLOOKUP($E33,STOCKS!$D$2:$E$2035,2,0)</f>
        <v>--</v>
      </c>
      <c r="H33">
        <v>130.5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513.91999999999996</v>
      </c>
      <c r="B34" s="118">
        <v>-16.760000000000002</v>
      </c>
      <c r="C34" s="118">
        <v>-5.12</v>
      </c>
      <c r="D34" s="118">
        <v>43.68</v>
      </c>
      <c r="E34" s="118">
        <v>2618</v>
      </c>
      <c r="F34" t="s">
        <v>4350</v>
      </c>
      <c r="G34" s="28">
        <f>VLOOKUP($E34,STOCKS!$D$2:$E$2035,2,0)</f>
        <v>26.15</v>
      </c>
      <c r="H34">
        <v>19.649999999999999</v>
      </c>
      <c r="I34" s="129">
        <f t="shared" si="0"/>
        <v>6.5</v>
      </c>
      <c r="J34" s="63">
        <f t="shared" si="1"/>
        <v>0.33078880407124683</v>
      </c>
    </row>
    <row r="35" spans="1:10">
      <c r="A35" s="118">
        <v>19.03</v>
      </c>
      <c r="B35" s="118">
        <v>889.88</v>
      </c>
      <c r="C35" s="118">
        <v>9.3699999999999992</v>
      </c>
      <c r="D35" s="118">
        <v>40.51</v>
      </c>
      <c r="E35" s="118">
        <v>3701</v>
      </c>
      <c r="F35" t="s">
        <v>4029</v>
      </c>
      <c r="G35" s="28">
        <f>VLOOKUP($E35,STOCKS!$D$2:$E$2035,2,0)</f>
        <v>65.3</v>
      </c>
      <c r="H35">
        <v>51</v>
      </c>
      <c r="I35" s="129">
        <f t="shared" si="0"/>
        <v>14.299999999999997</v>
      </c>
      <c r="J35" s="63">
        <f t="shared" si="1"/>
        <v>0.28039215686274505</v>
      </c>
    </row>
    <row r="36" spans="1:10">
      <c r="A36" s="118">
        <v>11.27</v>
      </c>
      <c r="B36" s="118">
        <v>-125.47</v>
      </c>
      <c r="C36" s="118">
        <v>-4.92</v>
      </c>
      <c r="D36" s="118">
        <v>14.54</v>
      </c>
      <c r="E36" s="118">
        <v>3011</v>
      </c>
      <c r="F36" t="s">
        <v>4175</v>
      </c>
      <c r="G36" s="28" t="str">
        <f>VLOOKUP($E36,STOCKS!$D$2:$E$2035,2,0)</f>
        <v>--</v>
      </c>
      <c r="H36">
        <v>12.55</v>
      </c>
      <c r="I36" s="129" t="e">
        <f t="shared" si="0"/>
        <v>#VALUE!</v>
      </c>
      <c r="J36" s="63" t="e">
        <f t="shared" si="1"/>
        <v>#VALUE!</v>
      </c>
    </row>
    <row r="37" spans="1:10">
      <c r="A37" s="118">
        <v>775.74</v>
      </c>
      <c r="B37" s="118">
        <v>5.69</v>
      </c>
      <c r="C37" s="118">
        <v>1.49</v>
      </c>
      <c r="D37" s="118">
        <v>-8.39</v>
      </c>
      <c r="E37" s="118">
        <v>2412</v>
      </c>
      <c r="F37" t="s">
        <v>4112</v>
      </c>
      <c r="G37" s="28" t="str">
        <f>VLOOKUP($E37,STOCKS!$D$2:$E$2035,2,0)</f>
        <v>--</v>
      </c>
      <c r="H37">
        <v>111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163.9</v>
      </c>
      <c r="B38" s="118">
        <v>62.82</v>
      </c>
      <c r="C38" s="118">
        <v>3.53</v>
      </c>
      <c r="D38" s="118">
        <v>46.36</v>
      </c>
      <c r="E38" s="118">
        <v>5347</v>
      </c>
      <c r="F38" t="s">
        <v>4689</v>
      </c>
      <c r="G38" s="28" t="str">
        <f>VLOOKUP($E38,STOCKS!$D$2:$E$2035,2,0)</f>
        <v>--</v>
      </c>
      <c r="H38">
        <v>148.5</v>
      </c>
      <c r="I38" s="129" t="e">
        <f t="shared" si="0"/>
        <v>#VALUE!</v>
      </c>
      <c r="J38" s="63" t="e">
        <f t="shared" si="1"/>
        <v>#VALUE!</v>
      </c>
    </row>
    <row r="39" spans="1:10">
      <c r="A39" s="118">
        <v>162.79</v>
      </c>
      <c r="B39" s="118">
        <v>42.21</v>
      </c>
      <c r="C39" s="118">
        <v>17.079999999999998</v>
      </c>
      <c r="D39" s="118">
        <v>4.42</v>
      </c>
      <c r="E39" s="118">
        <v>3576</v>
      </c>
      <c r="F39" t="s">
        <v>3646</v>
      </c>
      <c r="G39" s="28" t="str">
        <f>VLOOKUP($E39,STOCKS!$D$2:$E$2035,2,0)</f>
        <v>--</v>
      </c>
      <c r="H39">
        <v>26.25</v>
      </c>
      <c r="I39" s="129" t="e">
        <f t="shared" si="0"/>
        <v>#VALUE!</v>
      </c>
      <c r="J39" s="63" t="e">
        <f t="shared" si="1"/>
        <v>#VALUE!</v>
      </c>
    </row>
    <row r="40" spans="1:10">
      <c r="A40" s="118">
        <v>14.3</v>
      </c>
      <c r="B40" s="118">
        <v>103.74</v>
      </c>
      <c r="C40" s="118">
        <v>5.68</v>
      </c>
      <c r="D40" s="118">
        <v>33.69</v>
      </c>
      <c r="E40" s="118">
        <v>6175</v>
      </c>
      <c r="F40" t="s">
        <v>4928</v>
      </c>
      <c r="G40" s="28" t="str">
        <f>VLOOKUP($E40,STOCKS!$D$2:$E$2035,2,0)</f>
        <v>--</v>
      </c>
      <c r="H40">
        <v>45.25</v>
      </c>
      <c r="I40" s="129" t="e">
        <f t="shared" si="0"/>
        <v>#VALUE!</v>
      </c>
      <c r="J40" s="63" t="e">
        <f t="shared" si="1"/>
        <v>#VALUE!</v>
      </c>
    </row>
    <row r="41" spans="1:10">
      <c r="A41" s="118">
        <v>15.1</v>
      </c>
      <c r="B41" s="118">
        <v>113.4</v>
      </c>
      <c r="C41" s="118">
        <v>47.89</v>
      </c>
      <c r="D41" s="118">
        <v>310.44</v>
      </c>
      <c r="E41" s="118">
        <v>1906</v>
      </c>
      <c r="F41" t="s">
        <v>3883</v>
      </c>
      <c r="G41" s="28" t="str">
        <f>VLOOKUP($E41,STOCKS!$D$2:$E$2035,2,0)</f>
        <v>--</v>
      </c>
      <c r="H41">
        <v>20.3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7.04</v>
      </c>
      <c r="B42" s="118">
        <v>112.18</v>
      </c>
      <c r="C42" s="118">
        <v>7.67</v>
      </c>
      <c r="D42" s="118">
        <v>38.75</v>
      </c>
      <c r="E42" s="118">
        <v>3661</v>
      </c>
      <c r="F42" t="s">
        <v>3976</v>
      </c>
      <c r="G42" s="28" t="str">
        <f>VLOOKUP($E42,STOCKS!$D$2:$E$2035,2,0)</f>
        <v>--</v>
      </c>
      <c r="H42">
        <v>1130</v>
      </c>
      <c r="I42" s="129" t="e">
        <f t="shared" si="0"/>
        <v>#VALUE!</v>
      </c>
      <c r="J42" s="63" t="e">
        <f t="shared" si="1"/>
        <v>#VALUE!</v>
      </c>
    </row>
    <row r="43" spans="1:10">
      <c r="A43" s="118">
        <v>6.09</v>
      </c>
      <c r="B43" s="118">
        <v>53.69</v>
      </c>
      <c r="C43" s="118">
        <v>-27.83</v>
      </c>
      <c r="D43" s="118">
        <v>210.39</v>
      </c>
      <c r="E43" s="118">
        <v>3466</v>
      </c>
      <c r="F43" t="s">
        <v>4825</v>
      </c>
      <c r="G43" s="28" t="str">
        <f>VLOOKUP($E43,STOCKS!$D$2:$E$2035,2,0)</f>
        <v>--</v>
      </c>
      <c r="H43">
        <v>18.7</v>
      </c>
      <c r="I43" s="129" t="e">
        <f t="shared" si="0"/>
        <v>#VALUE!</v>
      </c>
      <c r="J43" s="63" t="e">
        <f t="shared" si="1"/>
        <v>#VALUE!</v>
      </c>
    </row>
    <row r="44" spans="1:10">
      <c r="A44" s="118">
        <v>22.62</v>
      </c>
      <c r="B44" s="118">
        <v>133.16</v>
      </c>
      <c r="C44" s="118">
        <v>9.16</v>
      </c>
      <c r="D44" s="118">
        <v>45.73</v>
      </c>
      <c r="E44" s="118">
        <v>6202</v>
      </c>
      <c r="F44" t="s">
        <v>3984</v>
      </c>
      <c r="G44" s="28" t="str">
        <f>VLOOKUP($E44,STOCKS!$D$2:$E$2035,2,0)</f>
        <v>--</v>
      </c>
      <c r="H44">
        <v>106</v>
      </c>
      <c r="I44" s="129" t="e">
        <f t="shared" si="0"/>
        <v>#VALUE!</v>
      </c>
      <c r="J44" s="63" t="e">
        <f t="shared" si="1"/>
        <v>#VALUE!</v>
      </c>
    </row>
    <row r="45" spans="1:10">
      <c r="A45" s="118">
        <v>52.84</v>
      </c>
      <c r="B45" s="118">
        <v>75.69</v>
      </c>
      <c r="C45" s="118">
        <v>-0.21</v>
      </c>
      <c r="D45" s="118">
        <v>41.6</v>
      </c>
      <c r="E45" s="118">
        <v>5469</v>
      </c>
      <c r="F45" t="s">
        <v>4208</v>
      </c>
      <c r="G45" s="28" t="str">
        <f>VLOOKUP($E45,STOCKS!$D$2:$E$2035,2,0)</f>
        <v>--</v>
      </c>
      <c r="H45">
        <v>42.9</v>
      </c>
      <c r="I45" s="129" t="e">
        <f t="shared" si="0"/>
        <v>#VALUE!</v>
      </c>
      <c r="J45" s="63" t="e">
        <f t="shared" si="1"/>
        <v>#VALUE!</v>
      </c>
    </row>
    <row r="46" spans="1:10">
      <c r="A46" s="118">
        <v>8.94</v>
      </c>
      <c r="B46" s="118">
        <v>-7.56</v>
      </c>
      <c r="C46" s="118">
        <v>5</v>
      </c>
      <c r="D46" s="118">
        <v>14.47</v>
      </c>
      <c r="E46" s="118">
        <v>8996</v>
      </c>
      <c r="F46" t="s">
        <v>3816</v>
      </c>
      <c r="G46" s="28" t="str">
        <f>VLOOKUP($E46,STOCKS!$D$2:$E$2035,2,0)</f>
        <v>--</v>
      </c>
      <c r="H46">
        <v>52.2</v>
      </c>
      <c r="I46" s="129" t="e">
        <f t="shared" si="0"/>
        <v>#VALUE!</v>
      </c>
      <c r="J46" s="63" t="e">
        <f t="shared" si="1"/>
        <v>#VALUE!</v>
      </c>
    </row>
    <row r="47" spans="1:10">
      <c r="A47" s="118">
        <v>122.27</v>
      </c>
      <c r="B47" s="118">
        <v>1.53</v>
      </c>
      <c r="C47" s="118">
        <v>-1.62</v>
      </c>
      <c r="D47" s="118">
        <v>25.34</v>
      </c>
      <c r="E47" s="118">
        <v>2449</v>
      </c>
      <c r="F47" t="s">
        <v>3958</v>
      </c>
      <c r="G47" s="28" t="str">
        <f>VLOOKUP($E47,STOCKS!$D$2:$E$2035,2,0)</f>
        <v>--</v>
      </c>
      <c r="H47">
        <v>40.1</v>
      </c>
      <c r="I47" s="129" t="e">
        <f t="shared" si="0"/>
        <v>#VALUE!</v>
      </c>
      <c r="J47" s="63" t="e">
        <f t="shared" si="1"/>
        <v>#VALUE!</v>
      </c>
    </row>
    <row r="48" spans="1:10">
      <c r="A48" s="118">
        <v>67.069999999999993</v>
      </c>
      <c r="B48" s="118">
        <v>317.74</v>
      </c>
      <c r="C48" s="118">
        <v>6.3</v>
      </c>
      <c r="D48" s="118">
        <v>19.25</v>
      </c>
      <c r="E48" s="118">
        <v>4960</v>
      </c>
      <c r="F48" t="s">
        <v>4087</v>
      </c>
      <c r="G48" s="28">
        <f>VLOOKUP($E48,STOCKS!$D$2:$E$2035,2,0)</f>
        <v>13.1</v>
      </c>
      <c r="H48">
        <v>12.15</v>
      </c>
      <c r="I48" s="129">
        <f t="shared" si="0"/>
        <v>0.94999999999999929</v>
      </c>
      <c r="J48" s="63">
        <f t="shared" si="1"/>
        <v>7.8189300411522569E-2</v>
      </c>
    </row>
    <row r="49" spans="1:10">
      <c r="A49" s="118">
        <v>38.01</v>
      </c>
      <c r="B49" s="118">
        <v>380.16</v>
      </c>
      <c r="C49" s="118">
        <v>-9.24</v>
      </c>
      <c r="D49" s="118">
        <v>40.98</v>
      </c>
      <c r="E49" s="118">
        <v>2369</v>
      </c>
      <c r="F49" t="s">
        <v>3950</v>
      </c>
      <c r="G49" s="28" t="str">
        <f>VLOOKUP($E49,STOCKS!$D$2:$E$2035,2,0)</f>
        <v>--</v>
      </c>
      <c r="H49">
        <v>25.95</v>
      </c>
      <c r="I49" s="129" t="e">
        <f t="shared" si="0"/>
        <v>#VALUE!</v>
      </c>
      <c r="J49" s="63" t="e">
        <f t="shared" si="1"/>
        <v>#VALUE!</v>
      </c>
    </row>
    <row r="50" spans="1:10">
      <c r="A50" s="118">
        <v>72.72</v>
      </c>
      <c r="B50" s="118">
        <v>78.33</v>
      </c>
      <c r="C50" s="118">
        <v>-2.31</v>
      </c>
      <c r="D50" s="118">
        <v>23.55</v>
      </c>
      <c r="E50" s="118">
        <v>8150</v>
      </c>
      <c r="F50" t="s">
        <v>3997</v>
      </c>
      <c r="G50" s="28" t="str">
        <f>VLOOKUP($E50,STOCKS!$D$2:$E$2035,2,0)</f>
        <v>--</v>
      </c>
      <c r="H50">
        <v>46.65</v>
      </c>
      <c r="I50" s="129" t="e">
        <f t="shared" si="0"/>
        <v>#VALUE!</v>
      </c>
      <c r="J50" s="63" t="e">
        <f t="shared" si="1"/>
        <v>#VALUE!</v>
      </c>
    </row>
    <row r="51" spans="1:10">
      <c r="A51" s="118">
        <v>35.14</v>
      </c>
      <c r="B51" s="118">
        <v>-28.81</v>
      </c>
      <c r="C51" s="118">
        <v>5.99</v>
      </c>
      <c r="D51" s="118">
        <v>5.93</v>
      </c>
      <c r="E51" s="118">
        <v>6269</v>
      </c>
      <c r="F51" t="s">
        <v>4220</v>
      </c>
      <c r="G51" s="28" t="str">
        <f>VLOOKUP($E51,STOCKS!$D$2:$E$2035,2,0)</f>
        <v>--</v>
      </c>
      <c r="H51">
        <v>96.3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134.71</v>
      </c>
      <c r="B52" s="118">
        <v>1268.76</v>
      </c>
      <c r="C52" s="118">
        <v>-3.1</v>
      </c>
      <c r="D52" s="118">
        <v>46</v>
      </c>
      <c r="E52" s="118">
        <v>1313</v>
      </c>
      <c r="F52" t="s">
        <v>3728</v>
      </c>
      <c r="G52" s="28">
        <f>VLOOKUP($E52,STOCKS!$D$2:$E$2035,2,0)</f>
        <v>22.1</v>
      </c>
      <c r="H52">
        <v>23.25</v>
      </c>
      <c r="I52" s="129">
        <f t="shared" si="0"/>
        <v>-1.1499999999999986</v>
      </c>
      <c r="J52" s="63">
        <f t="shared" si="1"/>
        <v>-4.9462365591397786E-2</v>
      </c>
    </row>
    <row r="53" spans="1:10">
      <c r="A53" s="118">
        <v>13.37</v>
      </c>
      <c r="B53" s="118">
        <v>15.75</v>
      </c>
      <c r="C53" s="118">
        <v>7.47</v>
      </c>
      <c r="D53" s="118">
        <v>30.35</v>
      </c>
      <c r="E53" s="118">
        <v>3665</v>
      </c>
      <c r="F53" t="s">
        <v>4284</v>
      </c>
      <c r="G53" s="28" t="str">
        <f>VLOOKUP($E53,STOCKS!$D$2:$E$2035,2,0)</f>
        <v>--</v>
      </c>
      <c r="H53">
        <v>267</v>
      </c>
      <c r="I53" s="129" t="e">
        <f t="shared" si="0"/>
        <v>#VALUE!</v>
      </c>
      <c r="J53" s="63" t="e">
        <f t="shared" si="1"/>
        <v>#VALUE!</v>
      </c>
    </row>
    <row r="54" spans="1:10">
      <c r="A54" s="118">
        <v>8.85</v>
      </c>
      <c r="B54" s="118">
        <v>0.04</v>
      </c>
      <c r="C54" s="118">
        <v>-17</v>
      </c>
      <c r="D54" s="118">
        <v>-53.24</v>
      </c>
      <c r="E54" s="118">
        <v>4968</v>
      </c>
      <c r="F54" t="s">
        <v>3981</v>
      </c>
      <c r="G54" s="28" t="str">
        <f>VLOOKUP($E54,STOCKS!$D$2:$E$2035,2,0)</f>
        <v>--</v>
      </c>
      <c r="H54">
        <v>300.5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17.809999999999999</v>
      </c>
      <c r="B55" s="118">
        <v>830.55</v>
      </c>
      <c r="C55" s="118">
        <v>-20.71</v>
      </c>
      <c r="D55" s="118">
        <v>-21.67</v>
      </c>
      <c r="E55" s="118">
        <v>2399</v>
      </c>
      <c r="F55" t="s">
        <v>3570</v>
      </c>
      <c r="G55" s="28">
        <f>VLOOKUP($E55,STOCKS!$D$2:$E$2035,2,0)</f>
        <v>22.85</v>
      </c>
      <c r="H55">
        <v>20.7</v>
      </c>
      <c r="I55" s="129">
        <f t="shared" si="0"/>
        <v>2.1500000000000021</v>
      </c>
      <c r="J55" s="63">
        <f t="shared" si="1"/>
        <v>0.10386473429951701</v>
      </c>
    </row>
    <row r="56" spans="1:10">
      <c r="A56" s="118">
        <v>8.11</v>
      </c>
      <c r="B56" s="118">
        <v>58.26</v>
      </c>
      <c r="C56" s="118">
        <v>3.56</v>
      </c>
      <c r="D56" s="118">
        <v>16.59</v>
      </c>
      <c r="E56" s="118">
        <v>3583</v>
      </c>
      <c r="F56" t="s">
        <v>3974</v>
      </c>
      <c r="G56" s="28">
        <f>VLOOKUP($E56,STOCKS!$D$2:$E$2035,2,0)</f>
        <v>80</v>
      </c>
      <c r="H56">
        <v>72.5</v>
      </c>
      <c r="I56" s="129">
        <f t="shared" si="0"/>
        <v>7.5</v>
      </c>
      <c r="J56" s="63">
        <f t="shared" si="1"/>
        <v>0.10344827586206896</v>
      </c>
    </row>
    <row r="57" spans="1:10">
      <c r="A57" s="118">
        <v>19.649999999999999</v>
      </c>
      <c r="B57" s="118">
        <v>14.94</v>
      </c>
      <c r="C57" s="118">
        <v>2.57</v>
      </c>
      <c r="D57" s="118">
        <v>40.97</v>
      </c>
      <c r="E57" s="118">
        <v>8086</v>
      </c>
      <c r="F57" t="s">
        <v>4726</v>
      </c>
      <c r="G57" s="28">
        <f>VLOOKUP($E57,STOCKS!$D$2:$E$2035,2,0)</f>
        <v>150.5</v>
      </c>
      <c r="H57">
        <v>161</v>
      </c>
      <c r="I57" s="129">
        <f t="shared" si="0"/>
        <v>-10.5</v>
      </c>
      <c r="J57" s="63">
        <f t="shared" si="1"/>
        <v>-6.5217391304347824E-2</v>
      </c>
    </row>
    <row r="58" spans="1:10">
      <c r="A58" s="118">
        <v>27.14</v>
      </c>
      <c r="B58" s="118">
        <v>181.56</v>
      </c>
      <c r="C58" s="118">
        <v>4.4800000000000004</v>
      </c>
      <c r="D58" s="118">
        <v>-1.8</v>
      </c>
      <c r="E58" s="118">
        <v>3374</v>
      </c>
      <c r="F58" t="s">
        <v>4671</v>
      </c>
      <c r="G58" s="28">
        <f>VLOOKUP($E58,STOCKS!$D$2:$E$2035,2,0)</f>
        <v>138.5</v>
      </c>
      <c r="H58">
        <v>139</v>
      </c>
      <c r="I58" s="129">
        <f t="shared" si="0"/>
        <v>-0.5</v>
      </c>
      <c r="J58" s="63">
        <f t="shared" si="1"/>
        <v>-3.5971223021582736E-3</v>
      </c>
    </row>
    <row r="59" spans="1:10">
      <c r="A59" s="118">
        <v>259.75</v>
      </c>
      <c r="B59" s="118">
        <v>11.51</v>
      </c>
      <c r="C59" s="118">
        <v>5.48</v>
      </c>
      <c r="D59" s="118">
        <v>2.02</v>
      </c>
      <c r="E59" s="118">
        <v>2308</v>
      </c>
      <c r="F59" t="s">
        <v>4147</v>
      </c>
      <c r="G59" s="28">
        <f>VLOOKUP($E59,STOCKS!$D$2:$E$2035,2,0)</f>
        <v>258</v>
      </c>
      <c r="H59">
        <v>257.5</v>
      </c>
      <c r="I59" s="129">
        <f t="shared" si="0"/>
        <v>0.5</v>
      </c>
      <c r="J59" s="63">
        <f t="shared" si="1"/>
        <v>1.9417475728155339E-3</v>
      </c>
    </row>
    <row r="60" spans="1:10">
      <c r="A60" s="118">
        <v>7.43</v>
      </c>
      <c r="B60" s="118">
        <v>587.76</v>
      </c>
      <c r="C60" s="118">
        <v>-14.14</v>
      </c>
      <c r="D60" s="118">
        <v>89.81</v>
      </c>
      <c r="E60" s="118">
        <v>6531</v>
      </c>
      <c r="F60" t="s">
        <v>5513</v>
      </c>
      <c r="G60" s="28" t="str">
        <f>VLOOKUP($E60,STOCKS!$D$2:$E$2035,2,0)</f>
        <v>--</v>
      </c>
      <c r="H60">
        <v>591</v>
      </c>
      <c r="I60" s="129" t="e">
        <f t="shared" si="0"/>
        <v>#VALUE!</v>
      </c>
      <c r="J60" s="63" t="e">
        <f t="shared" si="1"/>
        <v>#VALUE!</v>
      </c>
    </row>
    <row r="61" spans="1:10">
      <c r="A61" s="118">
        <v>10.220000000000001</v>
      </c>
      <c r="B61" s="118">
        <v>65.67</v>
      </c>
      <c r="C61" s="118">
        <v>33.96</v>
      </c>
      <c r="D61" s="118">
        <v>-10.48</v>
      </c>
      <c r="E61" s="118">
        <v>4967</v>
      </c>
      <c r="F61" t="s">
        <v>3980</v>
      </c>
      <c r="G61" s="28" t="str">
        <f>VLOOKUP($E61,STOCKS!$D$2:$E$2035,2,0)</f>
        <v>--</v>
      </c>
      <c r="H61">
        <v>45.8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12.13</v>
      </c>
      <c r="B62" s="118">
        <v>203.74</v>
      </c>
      <c r="C62" s="118">
        <v>6.59</v>
      </c>
      <c r="D62" s="118">
        <v>58.6</v>
      </c>
      <c r="E62" s="118">
        <v>8183</v>
      </c>
      <c r="F62" t="s">
        <v>3611</v>
      </c>
      <c r="G62" s="28">
        <f>VLOOKUP($E62,STOCKS!$D$2:$E$2035,2,0)</f>
        <v>64.099999999999994</v>
      </c>
      <c r="H62">
        <v>51.5</v>
      </c>
      <c r="I62" s="129">
        <f t="shared" si="0"/>
        <v>12.599999999999994</v>
      </c>
      <c r="J62" s="63">
        <f t="shared" si="1"/>
        <v>0.24466019417475718</v>
      </c>
    </row>
    <row r="63" spans="1:10">
      <c r="A63" s="118">
        <v>68.53</v>
      </c>
      <c r="B63" s="118">
        <v>111.79</v>
      </c>
      <c r="C63" s="118">
        <v>-2.36</v>
      </c>
      <c r="D63" t="s">
        <v>5207</v>
      </c>
      <c r="E63" s="118">
        <v>3714</v>
      </c>
      <c r="F63" t="s">
        <v>4082</v>
      </c>
      <c r="G63" s="28">
        <f>VLOOKUP($E63,STOCKS!$D$2:$E$2035,2,0)</f>
        <v>80.599999999999994</v>
      </c>
      <c r="H63">
        <v>76.8</v>
      </c>
      <c r="I63" s="129">
        <f t="shared" si="0"/>
        <v>3.7999999999999972</v>
      </c>
      <c r="J63" s="63">
        <f t="shared" si="1"/>
        <v>4.947916666666663E-2</v>
      </c>
    </row>
    <row r="64" spans="1:10">
      <c r="A64" s="118">
        <v>8.01</v>
      </c>
      <c r="B64" s="118">
        <v>1912.35</v>
      </c>
      <c r="C64" s="118">
        <v>-58.54</v>
      </c>
      <c r="D64" s="118">
        <v>-23.17</v>
      </c>
      <c r="E64" s="118">
        <v>6237</v>
      </c>
      <c r="F64" t="s">
        <v>3672</v>
      </c>
      <c r="G64" s="28">
        <f>VLOOKUP($E64,STOCKS!$D$2:$E$2035,2,0)</f>
        <v>110</v>
      </c>
      <c r="H64">
        <v>112</v>
      </c>
      <c r="I64" s="129">
        <f t="shared" si="0"/>
        <v>-2</v>
      </c>
      <c r="J64" s="63">
        <f t="shared" si="1"/>
        <v>-1.7857142857142856E-2</v>
      </c>
    </row>
    <row r="65" spans="1:10">
      <c r="A65" s="118">
        <v>16.48</v>
      </c>
      <c r="B65" s="118">
        <v>1423.1</v>
      </c>
      <c r="C65" s="118">
        <v>-15.19</v>
      </c>
      <c r="D65" s="118">
        <v>-20.65</v>
      </c>
      <c r="E65" s="118">
        <v>8064</v>
      </c>
      <c r="F65" t="s">
        <v>4814</v>
      </c>
      <c r="G65" s="28">
        <f>VLOOKUP($E65,STOCKS!$D$2:$E$2035,2,0)</f>
        <v>23.65</v>
      </c>
      <c r="H65">
        <v>20.65</v>
      </c>
      <c r="I65" s="129">
        <f t="shared" si="0"/>
        <v>3</v>
      </c>
      <c r="J65" s="63">
        <f t="shared" si="1"/>
        <v>0.14527845036319614</v>
      </c>
    </row>
    <row r="66" spans="1:10">
      <c r="A66" s="118">
        <v>55.98</v>
      </c>
      <c r="B66" s="118">
        <v>-4.78</v>
      </c>
      <c r="C66" s="118">
        <v>-6.66</v>
      </c>
      <c r="D66" s="118">
        <v>-4.4000000000000004</v>
      </c>
      <c r="E66" s="118">
        <v>2345</v>
      </c>
      <c r="F66" t="s">
        <v>4111</v>
      </c>
      <c r="G66" s="28" t="str">
        <f>VLOOKUP($E66,STOCKS!$D$2:$E$2035,2,0)</f>
        <v>--</v>
      </c>
      <c r="H66">
        <v>252</v>
      </c>
      <c r="I66" s="129" t="e">
        <f t="shared" si="0"/>
        <v>#VALUE!</v>
      </c>
      <c r="J66" s="63" t="e">
        <f t="shared" si="1"/>
        <v>#VALUE!</v>
      </c>
    </row>
    <row r="67" spans="1:10">
      <c r="A67" s="118">
        <v>19.52</v>
      </c>
      <c r="B67" s="118">
        <v>-71.19</v>
      </c>
      <c r="C67" s="118">
        <v>8.75</v>
      </c>
      <c r="D67" s="118">
        <v>-12.5</v>
      </c>
      <c r="E67" s="118">
        <v>6288</v>
      </c>
      <c r="F67" t="s">
        <v>3939</v>
      </c>
      <c r="G67" s="28" t="str">
        <f>VLOOKUP($E67,STOCKS!$D$2:$E$2035,2,0)</f>
        <v>--</v>
      </c>
      <c r="H67">
        <v>29.3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8</v>
      </c>
      <c r="B68" s="118">
        <v>1722.98</v>
      </c>
      <c r="C68" s="118">
        <v>36.869999999999997</v>
      </c>
      <c r="D68" s="118">
        <v>-38.75</v>
      </c>
      <c r="E68" s="118">
        <v>2415</v>
      </c>
      <c r="F68" t="s">
        <v>4157</v>
      </c>
      <c r="G68" s="28" t="str">
        <f>VLOOKUP($E68,STOCKS!$D$2:$E$2035,2,0)</f>
        <v>--</v>
      </c>
      <c r="H68">
        <v>46.95</v>
      </c>
      <c r="I68" s="129" t="e">
        <f t="shared" si="2"/>
        <v>#VALUE!</v>
      </c>
      <c r="J68" s="63" t="e">
        <f t="shared" si="3"/>
        <v>#VALUE!</v>
      </c>
    </row>
    <row r="69" spans="1:10">
      <c r="A69" s="118">
        <v>15.94</v>
      </c>
      <c r="B69" s="118">
        <v>92.65</v>
      </c>
      <c r="C69" s="118">
        <v>-8.56</v>
      </c>
      <c r="D69" s="118">
        <v>11</v>
      </c>
      <c r="E69" s="118">
        <v>2484</v>
      </c>
      <c r="F69" t="s">
        <v>4171</v>
      </c>
      <c r="G69" s="28">
        <f>VLOOKUP($E69,STOCKS!$D$2:$E$2035,2,0)</f>
        <v>41.1</v>
      </c>
      <c r="H69">
        <v>35.200000000000003</v>
      </c>
      <c r="I69" s="129">
        <f t="shared" si="2"/>
        <v>5.8999999999999986</v>
      </c>
      <c r="J69" s="63">
        <f t="shared" si="3"/>
        <v>0.1676136363636363</v>
      </c>
    </row>
    <row r="70" spans="1:10">
      <c r="A70" s="118">
        <v>83.48</v>
      </c>
      <c r="B70" s="118">
        <v>115.51</v>
      </c>
      <c r="C70" s="118">
        <v>25.48</v>
      </c>
      <c r="D70" s="118">
        <v>-14.06</v>
      </c>
      <c r="E70" s="118">
        <v>2601</v>
      </c>
      <c r="F70" t="s">
        <v>4409</v>
      </c>
      <c r="G70" s="28">
        <f>VLOOKUP($E70,STOCKS!$D$2:$E$2035,2,0)</f>
        <v>13</v>
      </c>
      <c r="H70">
        <v>12.85</v>
      </c>
      <c r="I70" s="129">
        <f t="shared" si="2"/>
        <v>0.15000000000000036</v>
      </c>
      <c r="J70" s="63">
        <f t="shared" si="3"/>
        <v>1.1673151750972791E-2</v>
      </c>
    </row>
    <row r="71" spans="1:10">
      <c r="A71" s="118">
        <v>55.74</v>
      </c>
      <c r="B71" s="118">
        <v>-1102.93</v>
      </c>
      <c r="C71" s="118">
        <v>7.57</v>
      </c>
      <c r="D71" s="118">
        <v>19.64</v>
      </c>
      <c r="E71" s="118">
        <v>2331</v>
      </c>
      <c r="F71" t="s">
        <v>4003</v>
      </c>
      <c r="G71" s="28" t="str">
        <f>VLOOKUP($E71,STOCKS!$D$2:$E$2035,2,0)</f>
        <v>--</v>
      </c>
      <c r="H71">
        <v>23.85</v>
      </c>
      <c r="I71" s="129" t="e">
        <f t="shared" si="2"/>
        <v>#VALUE!</v>
      </c>
      <c r="J71" s="63" t="e">
        <f t="shared" si="3"/>
        <v>#VALUE!</v>
      </c>
    </row>
    <row r="72" spans="1:10">
      <c r="A72" s="118">
        <v>14.22</v>
      </c>
      <c r="B72" s="118">
        <v>160.38999999999999</v>
      </c>
      <c r="C72" s="118">
        <v>0.43</v>
      </c>
      <c r="D72" s="118">
        <v>30.6</v>
      </c>
      <c r="E72" s="118">
        <v>8021</v>
      </c>
      <c r="F72" t="s">
        <v>3638</v>
      </c>
      <c r="G72" s="28" t="str">
        <f>VLOOKUP($E72,STOCKS!$D$2:$E$2035,2,0)</f>
        <v>--</v>
      </c>
      <c r="H72">
        <v>43.15</v>
      </c>
      <c r="I72" s="129" t="e">
        <f t="shared" si="2"/>
        <v>#VALUE!</v>
      </c>
      <c r="J72" s="63" t="e">
        <f t="shared" si="3"/>
        <v>#VALUE!</v>
      </c>
    </row>
    <row r="73" spans="1:10">
      <c r="A73" s="118">
        <v>11.45</v>
      </c>
      <c r="B73" s="118">
        <v>-44.89</v>
      </c>
      <c r="C73" s="118">
        <v>26</v>
      </c>
      <c r="D73" s="118">
        <v>-61.78</v>
      </c>
      <c r="E73" s="118">
        <v>6477</v>
      </c>
      <c r="F73" t="s">
        <v>4102</v>
      </c>
      <c r="G73" s="28" t="str">
        <f>VLOOKUP($E73,STOCKS!$D$2:$E$2035,2,0)</f>
        <v>--</v>
      </c>
      <c r="H73">
        <v>49.7</v>
      </c>
      <c r="I73" s="129" t="e">
        <f t="shared" si="2"/>
        <v>#VALUE!</v>
      </c>
      <c r="J73" s="63" t="e">
        <f t="shared" si="3"/>
        <v>#VALUE!</v>
      </c>
    </row>
    <row r="74" spans="1:10">
      <c r="A74" s="118">
        <v>41.72</v>
      </c>
      <c r="B74" s="118">
        <v>251.79</v>
      </c>
      <c r="C74" s="118">
        <v>11.81</v>
      </c>
      <c r="D74" s="118">
        <v>7.82</v>
      </c>
      <c r="E74" s="118">
        <v>4919</v>
      </c>
      <c r="F74" t="s">
        <v>3977</v>
      </c>
      <c r="G74" s="28" t="str">
        <f>VLOOKUP($E74,STOCKS!$D$2:$E$2035,2,0)</f>
        <v>--</v>
      </c>
      <c r="H74">
        <v>131</v>
      </c>
      <c r="I74" s="129" t="e">
        <f t="shared" si="2"/>
        <v>#VALUE!</v>
      </c>
      <c r="J74" s="63" t="e">
        <f t="shared" si="3"/>
        <v>#VALUE!</v>
      </c>
    </row>
    <row r="75" spans="1:10">
      <c r="A75" s="118">
        <v>43.86</v>
      </c>
      <c r="B75" s="118">
        <v>123.5</v>
      </c>
      <c r="C75" s="118">
        <v>2.59</v>
      </c>
      <c r="D75" s="118">
        <v>-9.73</v>
      </c>
      <c r="E75" s="118">
        <v>2340</v>
      </c>
      <c r="F75" t="s">
        <v>4052</v>
      </c>
      <c r="G75" s="28">
        <f>VLOOKUP($E75,STOCKS!$D$2:$E$2035,2,0)</f>
        <v>60.4</v>
      </c>
      <c r="H75">
        <v>47.15</v>
      </c>
      <c r="I75" s="129">
        <f t="shared" si="2"/>
        <v>13.25</v>
      </c>
      <c r="J75" s="63">
        <f t="shared" si="3"/>
        <v>0.28101802757158006</v>
      </c>
    </row>
    <row r="76" spans="1:10">
      <c r="A76" s="118">
        <v>20.61</v>
      </c>
      <c r="B76" s="118">
        <v>174.93</v>
      </c>
      <c r="C76" s="118">
        <v>-4.04</v>
      </c>
      <c r="D76" s="118">
        <v>23.47</v>
      </c>
      <c r="E76" s="118">
        <v>6168</v>
      </c>
      <c r="F76" t="s">
        <v>4093</v>
      </c>
      <c r="G76" s="28" t="str">
        <f>VLOOKUP($E76,STOCKS!$D$2:$E$2035,2,0)</f>
        <v>--</v>
      </c>
      <c r="H76">
        <v>27.5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574.04999999999995</v>
      </c>
      <c r="B77" s="118">
        <v>-9.26</v>
      </c>
      <c r="C77" s="118">
        <v>16.79</v>
      </c>
      <c r="D77" s="118">
        <v>47.36</v>
      </c>
      <c r="E77" s="118">
        <v>2610</v>
      </c>
      <c r="F77" t="s">
        <v>4347</v>
      </c>
      <c r="G77" s="28">
        <f>VLOOKUP($E77,STOCKS!$D$2:$E$2035,2,0)</f>
        <v>28.4</v>
      </c>
      <c r="H77">
        <v>18.100000000000001</v>
      </c>
      <c r="I77" s="129">
        <f t="shared" si="2"/>
        <v>10.299999999999997</v>
      </c>
      <c r="J77" s="63">
        <f t="shared" si="3"/>
        <v>0.56906077348066275</v>
      </c>
    </row>
    <row r="78" spans="1:10">
      <c r="A78" s="118">
        <v>18.170000000000002</v>
      </c>
      <c r="B78" s="118">
        <v>242.67</v>
      </c>
      <c r="C78" s="118">
        <v>0.53</v>
      </c>
      <c r="D78" s="118">
        <v>-8.6999999999999993</v>
      </c>
      <c r="E78" s="118">
        <v>3031</v>
      </c>
      <c r="F78" t="s">
        <v>4063</v>
      </c>
      <c r="G78" s="28">
        <f>VLOOKUP($E78,STOCKS!$D$2:$E$2035,2,0)</f>
        <v>25.55</v>
      </c>
      <c r="H78">
        <v>24.2</v>
      </c>
      <c r="I78" s="129">
        <f t="shared" si="2"/>
        <v>1.3500000000000014</v>
      </c>
      <c r="J78" s="63">
        <f t="shared" si="3"/>
        <v>5.5785123966942206E-2</v>
      </c>
    </row>
    <row r="79" spans="1:10">
      <c r="A79" s="118">
        <v>76.37</v>
      </c>
      <c r="B79" s="118">
        <v>1731.56</v>
      </c>
      <c r="C79" s="118">
        <v>0.04</v>
      </c>
      <c r="D79" s="118">
        <v>67.66</v>
      </c>
      <c r="E79" s="118">
        <v>2637</v>
      </c>
      <c r="F79" t="s">
        <v>3577</v>
      </c>
      <c r="G79" s="28" t="str">
        <f>VLOOKUP($E79,STOCKS!$D$2:$E$2035,2,0)</f>
        <v>--</v>
      </c>
      <c r="H79">
        <v>67</v>
      </c>
      <c r="I79" s="129" t="e">
        <f t="shared" si="2"/>
        <v>#VALUE!</v>
      </c>
      <c r="J79" s="63" t="e">
        <f t="shared" si="3"/>
        <v>#VALUE!</v>
      </c>
    </row>
    <row r="80" spans="1:10">
      <c r="A80" s="118">
        <v>343.13</v>
      </c>
      <c r="B80" s="118">
        <v>78.98</v>
      </c>
      <c r="C80" s="118">
        <v>7.27</v>
      </c>
      <c r="D80" s="118">
        <v>35.04</v>
      </c>
      <c r="E80" s="118">
        <v>1605</v>
      </c>
      <c r="F80" t="s">
        <v>3819</v>
      </c>
      <c r="G80" s="28">
        <f>VLOOKUP($E80,STOCKS!$D$2:$E$2035,2,0)</f>
        <v>27.95</v>
      </c>
      <c r="H80">
        <v>26.6</v>
      </c>
      <c r="I80" s="129">
        <f t="shared" si="2"/>
        <v>1.3499999999999979</v>
      </c>
      <c r="J80" s="63">
        <f t="shared" si="3"/>
        <v>5.0751879699248034E-2</v>
      </c>
    </row>
    <row r="81" spans="1:10">
      <c r="A81" s="118">
        <v>39.909999999999997</v>
      </c>
      <c r="B81" s="118">
        <v>147.51</v>
      </c>
      <c r="C81" s="118">
        <v>-4.7300000000000004</v>
      </c>
      <c r="D81" s="118">
        <v>10.86</v>
      </c>
      <c r="E81" s="118">
        <v>3033</v>
      </c>
      <c r="F81" t="s">
        <v>4236</v>
      </c>
      <c r="G81" s="28" t="str">
        <f>VLOOKUP($E81,STOCKS!$D$2:$E$2035,2,0)</f>
        <v>--</v>
      </c>
      <c r="H81">
        <v>27.85</v>
      </c>
      <c r="I81" s="129" t="e">
        <f t="shared" si="2"/>
        <v>#VALUE!</v>
      </c>
      <c r="J81" s="63" t="e">
        <f t="shared" si="3"/>
        <v>#VALUE!</v>
      </c>
    </row>
    <row r="82" spans="1:10">
      <c r="A82" s="118">
        <v>76.16</v>
      </c>
      <c r="B82" s="118">
        <v>-52.09</v>
      </c>
      <c r="C82" s="118">
        <v>-2.93</v>
      </c>
      <c r="D82" s="118">
        <v>-61.07</v>
      </c>
      <c r="E82" s="118">
        <v>2474</v>
      </c>
      <c r="F82" t="s">
        <v>4272</v>
      </c>
      <c r="G82" s="28" t="str">
        <f>VLOOKUP($E82,STOCKS!$D$2:$E$2035,2,0)</f>
        <v>--</v>
      </c>
      <c r="H82">
        <v>163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10.83</v>
      </c>
      <c r="B83" s="118">
        <v>164.73</v>
      </c>
      <c r="C83" s="118">
        <v>6.17</v>
      </c>
      <c r="D83" s="118">
        <v>6.63</v>
      </c>
      <c r="E83" s="118">
        <v>1727</v>
      </c>
      <c r="F83" t="s">
        <v>3843</v>
      </c>
      <c r="G83" s="28">
        <f>VLOOKUP($E83,STOCKS!$D$2:$E$2035,2,0)</f>
        <v>59.1</v>
      </c>
      <c r="H83">
        <v>46</v>
      </c>
      <c r="I83" s="129">
        <f t="shared" si="2"/>
        <v>13.100000000000001</v>
      </c>
      <c r="J83" s="63">
        <f t="shared" si="3"/>
        <v>0.2847826086956522</v>
      </c>
    </row>
    <row r="84" spans="1:10">
      <c r="A84" s="118">
        <v>7.54</v>
      </c>
      <c r="B84" s="118">
        <v>605.25</v>
      </c>
      <c r="C84" s="118">
        <v>9.6999999999999993</v>
      </c>
      <c r="D84" s="118">
        <v>109.47</v>
      </c>
      <c r="E84" s="118">
        <v>3141</v>
      </c>
      <c r="F84" t="s">
        <v>4662</v>
      </c>
      <c r="G84" s="28">
        <f>VLOOKUP($E84,STOCKS!$D$2:$E$2035,2,0)</f>
        <v>259.5</v>
      </c>
      <c r="H84">
        <v>237.5</v>
      </c>
      <c r="I84" s="129">
        <f t="shared" si="2"/>
        <v>22</v>
      </c>
      <c r="J84" s="63">
        <f t="shared" si="3"/>
        <v>9.2631578947368426E-2</v>
      </c>
    </row>
    <row r="85" spans="1:10">
      <c r="A85" s="118">
        <v>5.29</v>
      </c>
      <c r="B85" s="118">
        <v>554.79</v>
      </c>
      <c r="C85" s="118">
        <v>5.93</v>
      </c>
      <c r="D85" s="118">
        <v>44.93</v>
      </c>
      <c r="E85" s="118">
        <v>3588</v>
      </c>
      <c r="F85" t="s">
        <v>3975</v>
      </c>
      <c r="G85" s="28">
        <f>VLOOKUP($E85,STOCKS!$D$2:$E$2035,2,0)</f>
        <v>154</v>
      </c>
      <c r="H85">
        <v>142</v>
      </c>
      <c r="I85" s="129">
        <f t="shared" si="2"/>
        <v>12</v>
      </c>
      <c r="J85" s="63">
        <f t="shared" si="3"/>
        <v>8.4507042253521125E-2</v>
      </c>
    </row>
    <row r="86" spans="1:10">
      <c r="A86" s="118">
        <v>26.11</v>
      </c>
      <c r="B86" s="118">
        <v>209.08</v>
      </c>
      <c r="C86" s="118">
        <v>-0.47</v>
      </c>
      <c r="D86" s="118">
        <v>0.1</v>
      </c>
      <c r="E86" s="118">
        <v>3260</v>
      </c>
      <c r="F86" t="s">
        <v>4665</v>
      </c>
      <c r="G86" s="28">
        <f>VLOOKUP($E86,STOCKS!$D$2:$E$2035,2,0)</f>
        <v>92.7</v>
      </c>
      <c r="H86">
        <v>83.8</v>
      </c>
      <c r="I86" s="129">
        <f t="shared" si="2"/>
        <v>8.9000000000000057</v>
      </c>
      <c r="J86" s="63">
        <f t="shared" si="3"/>
        <v>0.10620525059665878</v>
      </c>
    </row>
    <row r="87" spans="1:10">
      <c r="A87" s="118">
        <v>5.64</v>
      </c>
      <c r="B87" s="118">
        <v>208.56</v>
      </c>
      <c r="C87" s="118">
        <v>-18.3</v>
      </c>
      <c r="D87" s="118">
        <v>6.8</v>
      </c>
      <c r="E87" s="118">
        <v>5272</v>
      </c>
      <c r="F87" t="s">
        <v>3601</v>
      </c>
      <c r="G87" s="28" t="str">
        <f>VLOOKUP($E87,STOCKS!$D$2:$E$2035,2,0)</f>
        <v>--</v>
      </c>
      <c r="H87">
        <v>37</v>
      </c>
      <c r="I87" s="129" t="e">
        <f t="shared" si="2"/>
        <v>#VALUE!</v>
      </c>
      <c r="J87" s="63" t="e">
        <f t="shared" si="3"/>
        <v>#VALUE!</v>
      </c>
    </row>
    <row r="88" spans="1:10">
      <c r="A88" s="118">
        <v>90.66</v>
      </c>
      <c r="B88" s="118">
        <v>378.59</v>
      </c>
      <c r="C88" s="118">
        <v>-0.28999999999999998</v>
      </c>
      <c r="D88" s="118">
        <v>25.82</v>
      </c>
      <c r="E88" s="118">
        <v>1312</v>
      </c>
      <c r="F88" t="s">
        <v>3650</v>
      </c>
      <c r="G88" s="28">
        <f>VLOOKUP($E88,STOCKS!$D$2:$E$2035,2,0)</f>
        <v>28.45</v>
      </c>
      <c r="H88">
        <v>27.05</v>
      </c>
      <c r="I88" s="129">
        <f t="shared" si="2"/>
        <v>1.3999999999999986</v>
      </c>
      <c r="J88" s="63">
        <f t="shared" si="3"/>
        <v>5.1756007393715289E-2</v>
      </c>
    </row>
    <row r="89" spans="1:10">
      <c r="A89" s="118">
        <v>35.96</v>
      </c>
      <c r="B89" s="118">
        <v>218.37</v>
      </c>
      <c r="C89" s="118">
        <v>6.33</v>
      </c>
      <c r="D89" s="118">
        <v>47.3</v>
      </c>
      <c r="E89" s="118">
        <v>2009</v>
      </c>
      <c r="F89" t="s">
        <v>3615</v>
      </c>
      <c r="G89" s="28" t="str">
        <f>VLOOKUP($E89,STOCKS!$D$2:$E$2035,2,0)</f>
        <v>--</v>
      </c>
      <c r="H89">
        <v>46.25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59.37</v>
      </c>
      <c r="B90" s="118">
        <v>302.04000000000002</v>
      </c>
      <c r="C90" s="118">
        <v>8.1999999999999993</v>
      </c>
      <c r="D90" s="118">
        <v>80.31</v>
      </c>
      <c r="E90" s="118">
        <v>1308</v>
      </c>
      <c r="F90" t="s">
        <v>3725</v>
      </c>
      <c r="G90" s="28">
        <f>VLOOKUP($E90,STOCKS!$D$2:$E$2035,2,0)</f>
        <v>37.549999999999997</v>
      </c>
      <c r="H90">
        <v>39.450000000000003</v>
      </c>
      <c r="I90" s="129">
        <f t="shared" si="2"/>
        <v>-1.9000000000000057</v>
      </c>
      <c r="J90" s="63">
        <f t="shared" si="3"/>
        <v>-4.8162230671736514E-2</v>
      </c>
    </row>
    <row r="91" spans="1:10">
      <c r="A91" s="118">
        <v>54.78</v>
      </c>
      <c r="B91" s="118">
        <v>191.85</v>
      </c>
      <c r="C91" s="118">
        <v>-4.1500000000000004</v>
      </c>
      <c r="D91" s="118">
        <v>7.02</v>
      </c>
      <c r="E91" s="118">
        <v>1711</v>
      </c>
      <c r="F91" t="s">
        <v>3833</v>
      </c>
      <c r="G91" s="28">
        <f>VLOOKUP($E91,STOCKS!$D$2:$E$2035,2,0)</f>
        <v>28.35</v>
      </c>
      <c r="H91">
        <v>25.9</v>
      </c>
      <c r="I91" s="129">
        <f t="shared" si="2"/>
        <v>2.4500000000000028</v>
      </c>
      <c r="J91" s="63">
        <f t="shared" si="3"/>
        <v>9.4594594594594711E-2</v>
      </c>
    </row>
    <row r="92" spans="1:10">
      <c r="A92" s="118">
        <v>27.84</v>
      </c>
      <c r="B92" s="118">
        <v>241.13</v>
      </c>
      <c r="C92" s="118">
        <v>28.51</v>
      </c>
      <c r="D92" s="118">
        <v>12.32</v>
      </c>
      <c r="E92" s="118">
        <v>6188</v>
      </c>
      <c r="F92" t="s">
        <v>4764</v>
      </c>
      <c r="G92" s="28" t="str">
        <f>VLOOKUP($E92,STOCKS!$D$2:$E$2035,2,0)</f>
        <v>--</v>
      </c>
      <c r="H92">
        <v>39.200000000000003</v>
      </c>
      <c r="I92" s="129" t="e">
        <f t="shared" si="2"/>
        <v>#VALUE!</v>
      </c>
      <c r="J92" s="63" t="e">
        <f t="shared" si="3"/>
        <v>#VALUE!</v>
      </c>
    </row>
    <row r="93" spans="1:10">
      <c r="A93" s="118">
        <v>7.38</v>
      </c>
      <c r="B93" s="118">
        <v>92.45</v>
      </c>
      <c r="C93" s="118">
        <v>2.2799999999999998</v>
      </c>
      <c r="D93" s="118">
        <v>28.41</v>
      </c>
      <c r="E93" s="118">
        <v>6138</v>
      </c>
      <c r="F93" t="s">
        <v>4697</v>
      </c>
      <c r="G93" s="28" t="str">
        <f>VLOOKUP($E93,STOCKS!$D$2:$E$2035,2,0)</f>
        <v>--</v>
      </c>
      <c r="H93">
        <v>193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448.16</v>
      </c>
      <c r="B94" s="118">
        <v>7.16</v>
      </c>
      <c r="C94" s="118">
        <v>-1.86</v>
      </c>
      <c r="D94" s="118">
        <v>3.88</v>
      </c>
      <c r="E94" s="118">
        <v>5876</v>
      </c>
      <c r="F94" t="s">
        <v>3678</v>
      </c>
      <c r="G94" s="28">
        <f>VLOOKUP($E94,STOCKS!$D$2:$E$2035,2,0)</f>
        <v>47.45</v>
      </c>
      <c r="H94">
        <v>44.3</v>
      </c>
      <c r="I94" s="129">
        <f t="shared" si="2"/>
        <v>3.1500000000000057</v>
      </c>
      <c r="J94" s="63">
        <f t="shared" si="3"/>
        <v>7.1106094808126546E-2</v>
      </c>
    </row>
    <row r="95" spans="1:10">
      <c r="A95" s="118">
        <v>103.96</v>
      </c>
      <c r="B95" s="118">
        <v>-12.01</v>
      </c>
      <c r="C95" s="118">
        <v>1.52</v>
      </c>
      <c r="D95" s="118">
        <v>-0.9</v>
      </c>
      <c r="E95" s="118">
        <v>2912</v>
      </c>
      <c r="F95" t="s">
        <v>4417</v>
      </c>
      <c r="G95" s="28" t="str">
        <f>VLOOKUP($E95,STOCKS!$D$2:$E$2035,2,0)</f>
        <v>--</v>
      </c>
      <c r="H95">
        <v>281.5</v>
      </c>
      <c r="I95" s="129" t="e">
        <f t="shared" si="2"/>
        <v>#VALUE!</v>
      </c>
      <c r="J95" s="63" t="e">
        <f t="shared" si="3"/>
        <v>#VALUE!</v>
      </c>
    </row>
    <row r="96" spans="1:10">
      <c r="A96" s="118">
        <v>26.51</v>
      </c>
      <c r="B96" s="118">
        <v>61.77</v>
      </c>
      <c r="C96" s="118">
        <v>11.24</v>
      </c>
      <c r="D96" s="118">
        <v>32.04</v>
      </c>
      <c r="E96" s="118">
        <v>5425</v>
      </c>
      <c r="F96" t="s">
        <v>4691</v>
      </c>
      <c r="G96" s="28" t="str">
        <f>VLOOKUP($E96,STOCKS!$D$2:$E$2035,2,0)</f>
        <v>--</v>
      </c>
      <c r="H96">
        <v>89.3</v>
      </c>
      <c r="I96" s="129" t="e">
        <f t="shared" si="2"/>
        <v>#VALUE!</v>
      </c>
      <c r="J96" s="63" t="e">
        <f t="shared" si="3"/>
        <v>#VALUE!</v>
      </c>
    </row>
    <row r="97" spans="1:10">
      <c r="A97" s="118">
        <v>67.150000000000006</v>
      </c>
      <c r="B97" s="118">
        <v>68.150000000000006</v>
      </c>
      <c r="C97" s="118">
        <v>-2.8</v>
      </c>
      <c r="D97" s="118">
        <v>16.54</v>
      </c>
      <c r="E97" s="118">
        <v>6147</v>
      </c>
      <c r="F97" t="s">
        <v>4698</v>
      </c>
      <c r="G97" s="28" t="str">
        <f>VLOOKUP($E97,STOCKS!$D$2:$E$2035,2,0)</f>
        <v>--</v>
      </c>
      <c r="H97">
        <v>65.099999999999994</v>
      </c>
      <c r="I97" s="129" t="e">
        <f t="shared" si="2"/>
        <v>#VALUE!</v>
      </c>
      <c r="J97" s="63" t="e">
        <f t="shared" si="3"/>
        <v>#VALUE!</v>
      </c>
    </row>
    <row r="98" spans="1:10">
      <c r="A98" s="118">
        <v>13.87</v>
      </c>
      <c r="B98" s="118">
        <v>154.55000000000001</v>
      </c>
      <c r="C98" s="118">
        <v>26.53</v>
      </c>
      <c r="D98" s="118">
        <v>-12.36</v>
      </c>
      <c r="E98" s="118">
        <v>4976</v>
      </c>
      <c r="F98" t="s">
        <v>3596</v>
      </c>
      <c r="G98" s="28" t="str">
        <f>VLOOKUP($E98,STOCKS!$D$2:$E$2035,2,0)</f>
        <v>--</v>
      </c>
      <c r="H98">
        <v>70.400000000000006</v>
      </c>
      <c r="I98" s="129" t="e">
        <f t="shared" si="2"/>
        <v>#VALUE!</v>
      </c>
      <c r="J98" s="63" t="e">
        <f t="shared" si="3"/>
        <v>#VALUE!</v>
      </c>
    </row>
    <row r="99" spans="1:10">
      <c r="A99" s="118">
        <v>24.19</v>
      </c>
      <c r="B99" s="118">
        <v>54.21</v>
      </c>
      <c r="C99" s="118">
        <v>-9.5</v>
      </c>
      <c r="D99" s="118">
        <v>-7.34</v>
      </c>
      <c r="E99" s="118">
        <v>1477</v>
      </c>
      <c r="F99" t="s">
        <v>3768</v>
      </c>
      <c r="G99" s="28" t="str">
        <f>VLOOKUP($E99,STOCKS!$D$2:$E$2035,2,0)</f>
        <v>--</v>
      </c>
      <c r="H99">
        <v>235</v>
      </c>
      <c r="I99" s="129" t="e">
        <f t="shared" si="2"/>
        <v>#VALUE!</v>
      </c>
      <c r="J99" s="63" t="e">
        <f t="shared" si="3"/>
        <v>#VALUE!</v>
      </c>
    </row>
    <row r="100" spans="1:10">
      <c r="A100" s="118">
        <v>290.33999999999997</v>
      </c>
      <c r="B100" s="118">
        <v>16.45</v>
      </c>
      <c r="C100" s="118">
        <v>17.52</v>
      </c>
      <c r="D100" s="118">
        <v>19.5</v>
      </c>
      <c r="E100" s="118">
        <v>3231</v>
      </c>
      <c r="F100" t="s">
        <v>4025</v>
      </c>
      <c r="G100" s="28">
        <f>VLOOKUP($E100,STOCKS!$D$2:$E$2035,2,0)</f>
        <v>29.2</v>
      </c>
      <c r="H100">
        <v>29.1</v>
      </c>
      <c r="I100" s="129">
        <f t="shared" si="2"/>
        <v>9.9999999999997868E-2</v>
      </c>
      <c r="J100" s="63">
        <f t="shared" si="3"/>
        <v>3.4364261168384146E-3</v>
      </c>
    </row>
    <row r="101" spans="1:10">
      <c r="A101" s="118">
        <v>7.96</v>
      </c>
      <c r="B101" s="118">
        <v>3829.33</v>
      </c>
      <c r="C101" s="118">
        <v>8.39</v>
      </c>
      <c r="D101" s="118">
        <v>12.08</v>
      </c>
      <c r="E101" s="118">
        <v>6233</v>
      </c>
      <c r="F101" t="s">
        <v>4702</v>
      </c>
      <c r="G101" s="28" t="str">
        <f>VLOOKUP($E101,STOCKS!$D$2:$E$2035,2,0)</f>
        <v>--</v>
      </c>
      <c r="H101">
        <v>39.75</v>
      </c>
      <c r="I101" s="129" t="e">
        <f t="shared" si="2"/>
        <v>#VALUE!</v>
      </c>
      <c r="J101" s="63" t="e">
        <f t="shared" si="3"/>
        <v>#VALUE!</v>
      </c>
    </row>
  </sheetData>
  <phoneticPr fontId="38" type="noConversion"/>
  <conditionalFormatting sqref="J1:J1048576">
    <cfRule type="cellIs" dxfId="5" priority="1" operator="lessThan">
      <formula>0</formula>
    </cfRule>
    <cfRule type="cellIs" dxfId="4" priority="2" operator="greater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DC449-4547-4FF3-B51E-353F65AED5E9}">
  <sheetPr codeName="工作表15"/>
  <dimension ref="A1:J101"/>
  <sheetViews>
    <sheetView workbookViewId="0">
      <selection activeCell="L33" sqref="L33"/>
    </sheetView>
  </sheetViews>
  <sheetFormatPr defaultRowHeight="16.2"/>
  <cols>
    <col min="5" max="6" width="8.88671875" style="60"/>
    <col min="7" max="7" width="10.44140625" style="60" bestFit="1" customWidth="1"/>
    <col min="8" max="8" width="8.88671875" style="60" customWidth="1"/>
    <col min="9" max="9" width="8.88671875" style="60"/>
    <col min="10" max="10" width="8.88671875" style="63"/>
  </cols>
  <sheetData>
    <row r="1" spans="1:10">
      <c r="A1" s="119" t="s">
        <v>3</v>
      </c>
      <c r="B1" s="119" t="s">
        <v>6</v>
      </c>
      <c r="C1" s="119" t="s">
        <v>5</v>
      </c>
      <c r="D1" s="119" t="s">
        <v>4</v>
      </c>
      <c r="E1" s="119" t="s">
        <v>0</v>
      </c>
      <c r="F1" s="119" t="s">
        <v>1</v>
      </c>
      <c r="G1" s="64" t="s">
        <v>5545</v>
      </c>
      <c r="H1" s="119" t="s">
        <v>2</v>
      </c>
      <c r="I1" s="64" t="s">
        <v>5667</v>
      </c>
      <c r="J1" s="130" t="s">
        <v>5668</v>
      </c>
    </row>
    <row r="2" spans="1:10">
      <c r="A2" s="118">
        <v>1316.92</v>
      </c>
      <c r="B2" s="118">
        <v>179.85</v>
      </c>
      <c r="C2" s="118">
        <v>-23.28</v>
      </c>
      <c r="D2" s="118">
        <v>1.77</v>
      </c>
      <c r="E2" s="118">
        <v>2882</v>
      </c>
      <c r="F2" s="60" t="s">
        <v>4393</v>
      </c>
      <c r="G2" s="28">
        <f>VLOOKUP($E2,STOCKS!$D$2:$E$2035,2,0)</f>
        <v>61.5</v>
      </c>
      <c r="H2" s="60">
        <v>57.6</v>
      </c>
      <c r="I2" s="129">
        <f>$G2-$H2</f>
        <v>3.8999999999999986</v>
      </c>
      <c r="J2" s="63">
        <f>$I2/$H2</f>
        <v>6.7708333333333301E-2</v>
      </c>
    </row>
    <row r="3" spans="1:10">
      <c r="A3" s="118">
        <v>50.61</v>
      </c>
      <c r="B3" s="118">
        <v>68.98</v>
      </c>
      <c r="C3" s="118">
        <v>-5.01</v>
      </c>
      <c r="D3" s="118">
        <v>2.87</v>
      </c>
      <c r="E3" s="118">
        <v>1201</v>
      </c>
      <c r="F3" s="60" t="s">
        <v>3702</v>
      </c>
      <c r="G3" s="28">
        <f>VLOOKUP($E3,STOCKS!$D$2:$E$2035,2,0)</f>
        <v>22.3</v>
      </c>
      <c r="H3" s="60">
        <v>22.9</v>
      </c>
      <c r="I3" s="129">
        <f t="shared" ref="I3:I66" si="0">$G3-$H3</f>
        <v>-0.59999999999999787</v>
      </c>
      <c r="J3" s="63">
        <f t="shared" ref="J3:J66" si="1">$I3/$H3</f>
        <v>-2.6200873362445323E-2</v>
      </c>
    </row>
    <row r="4" spans="1:10">
      <c r="A4" s="118">
        <v>81.95</v>
      </c>
      <c r="B4" s="118">
        <v>54.66</v>
      </c>
      <c r="C4" s="118">
        <v>64.03</v>
      </c>
      <c r="D4" s="118">
        <v>-26.43</v>
      </c>
      <c r="E4" s="118">
        <v>2498</v>
      </c>
      <c r="F4" s="60" t="s">
        <v>4118</v>
      </c>
      <c r="G4" s="28">
        <f>VLOOKUP($E4,STOCKS!$D$2:$E$2035,2,0)</f>
        <v>79.7</v>
      </c>
      <c r="H4" s="60">
        <v>72.099999999999994</v>
      </c>
      <c r="I4" s="129">
        <f t="shared" si="0"/>
        <v>7.6000000000000085</v>
      </c>
      <c r="J4" s="63">
        <f t="shared" si="1"/>
        <v>0.10540915395284339</v>
      </c>
    </row>
    <row r="5" spans="1:10">
      <c r="A5" s="118">
        <v>83.39</v>
      </c>
      <c r="B5" s="118">
        <v>-0.47</v>
      </c>
      <c r="C5" s="118">
        <v>-8.0299999999999994</v>
      </c>
      <c r="D5" s="118">
        <v>-28.39</v>
      </c>
      <c r="E5" s="118">
        <v>2101</v>
      </c>
      <c r="F5" s="60" t="s">
        <v>3901</v>
      </c>
      <c r="G5" s="28">
        <f>VLOOKUP($E5,STOCKS!$D$2:$E$2035,2,0)</f>
        <v>39.35</v>
      </c>
      <c r="H5" s="60">
        <v>39.25</v>
      </c>
      <c r="I5" s="129">
        <f t="shared" si="0"/>
        <v>0.10000000000000142</v>
      </c>
      <c r="J5" s="63">
        <f t="shared" si="1"/>
        <v>2.547770700636979E-3</v>
      </c>
    </row>
    <row r="6" spans="1:10">
      <c r="A6" s="118">
        <v>266.95</v>
      </c>
      <c r="B6" s="118">
        <v>89.69</v>
      </c>
      <c r="C6" s="118">
        <v>-21.24</v>
      </c>
      <c r="D6" s="118">
        <v>5.44</v>
      </c>
      <c r="E6" s="118">
        <v>2867</v>
      </c>
      <c r="F6" s="60" t="s">
        <v>4390</v>
      </c>
      <c r="G6" s="28" t="str">
        <f>VLOOKUP($E6,STOCKS!$D$2:$E$2035,2,0)</f>
        <v>--</v>
      </c>
      <c r="H6" s="60">
        <v>9.16</v>
      </c>
      <c r="I6" s="129" t="e">
        <f t="shared" si="0"/>
        <v>#VALUE!</v>
      </c>
      <c r="J6" s="63" t="e">
        <f t="shared" si="1"/>
        <v>#VALUE!</v>
      </c>
    </row>
    <row r="7" spans="1:10">
      <c r="A7" s="118">
        <v>774.32</v>
      </c>
      <c r="B7" s="118">
        <v>10.66</v>
      </c>
      <c r="C7" s="118">
        <v>-15.97</v>
      </c>
      <c r="D7" s="118">
        <v>12.65</v>
      </c>
      <c r="E7" s="118">
        <v>2834</v>
      </c>
      <c r="F7" s="60" t="s">
        <v>4381</v>
      </c>
      <c r="G7" s="28">
        <f>VLOOKUP($E7,STOCKS!$D$2:$E$2035,2,0)</f>
        <v>9.89</v>
      </c>
      <c r="H7" s="60">
        <v>9.4700000000000006</v>
      </c>
      <c r="I7" s="129">
        <f t="shared" si="0"/>
        <v>0.41999999999999993</v>
      </c>
      <c r="J7" s="63">
        <f t="shared" si="1"/>
        <v>4.4350580781414982E-2</v>
      </c>
    </row>
    <row r="8" spans="1:10">
      <c r="A8" s="118">
        <v>1213.74</v>
      </c>
      <c r="B8" s="118">
        <v>84.77</v>
      </c>
      <c r="C8" s="118">
        <v>-21.65</v>
      </c>
      <c r="D8" s="118">
        <v>-14.2</v>
      </c>
      <c r="E8" s="118">
        <v>2885</v>
      </c>
      <c r="F8" s="60" t="s">
        <v>4396</v>
      </c>
      <c r="G8" s="28">
        <f>VLOOKUP($E8,STOCKS!$D$2:$E$2035,2,0)</f>
        <v>25.1</v>
      </c>
      <c r="H8" s="60">
        <v>24.55</v>
      </c>
      <c r="I8" s="129">
        <f t="shared" si="0"/>
        <v>0.55000000000000071</v>
      </c>
      <c r="J8" s="63">
        <f t="shared" si="1"/>
        <v>2.240325865580451E-2</v>
      </c>
    </row>
    <row r="9" spans="1:10">
      <c r="A9" s="118">
        <v>4.4400000000000004</v>
      </c>
      <c r="B9" s="118">
        <v>193.98</v>
      </c>
      <c r="C9" s="118">
        <v>0.44</v>
      </c>
      <c r="D9" s="118">
        <v>123.18</v>
      </c>
      <c r="E9" s="118">
        <v>3675</v>
      </c>
      <c r="F9" s="60" t="s">
        <v>4679</v>
      </c>
      <c r="G9" s="28" t="str">
        <f>VLOOKUP($E9,STOCKS!$D$2:$E$2035,2,0)</f>
        <v>--</v>
      </c>
      <c r="H9" s="60">
        <v>298</v>
      </c>
      <c r="I9" s="129" t="e">
        <f t="shared" si="0"/>
        <v>#VALUE!</v>
      </c>
      <c r="J9" s="63" t="e">
        <f t="shared" si="1"/>
        <v>#VALUE!</v>
      </c>
    </row>
    <row r="10" spans="1:10">
      <c r="A10" s="118">
        <v>130.79</v>
      </c>
      <c r="B10" s="118">
        <v>284.04000000000002</v>
      </c>
      <c r="C10" s="118">
        <v>71.47</v>
      </c>
      <c r="D10" s="118">
        <v>-1.32</v>
      </c>
      <c r="E10" s="118">
        <v>2542</v>
      </c>
      <c r="F10" s="60" t="s">
        <v>4323</v>
      </c>
      <c r="G10" s="28">
        <f>VLOOKUP($E10,STOCKS!$D$2:$E$2035,2,0)</f>
        <v>46.25</v>
      </c>
      <c r="H10" s="60">
        <v>44.7</v>
      </c>
      <c r="I10" s="129">
        <f t="shared" si="0"/>
        <v>1.5499999999999972</v>
      </c>
      <c r="J10" s="63">
        <f t="shared" si="1"/>
        <v>3.4675615212527898E-2</v>
      </c>
    </row>
    <row r="11" spans="1:10">
      <c r="A11" s="118">
        <v>31.61</v>
      </c>
      <c r="B11" s="118">
        <v>245.13</v>
      </c>
      <c r="C11" s="118">
        <v>-8.85</v>
      </c>
      <c r="D11" s="118">
        <v>70.98</v>
      </c>
      <c r="E11" s="118">
        <v>1612</v>
      </c>
      <c r="F11" s="60" t="s">
        <v>3822</v>
      </c>
      <c r="G11" s="28" t="str">
        <f>VLOOKUP($E11,STOCKS!$D$2:$E$2035,2,0)</f>
        <v>--</v>
      </c>
      <c r="H11" s="60">
        <v>26.15</v>
      </c>
      <c r="I11" s="129" t="e">
        <f t="shared" si="0"/>
        <v>#VALUE!</v>
      </c>
      <c r="J11" s="63" t="e">
        <f t="shared" si="1"/>
        <v>#VALUE!</v>
      </c>
    </row>
    <row r="12" spans="1:10">
      <c r="A12" s="118">
        <v>1404.18</v>
      </c>
      <c r="B12" s="118">
        <v>73.98</v>
      </c>
      <c r="C12" s="118">
        <v>-13.14</v>
      </c>
      <c r="D12" s="118">
        <v>6.07</v>
      </c>
      <c r="E12" s="118">
        <v>2888</v>
      </c>
      <c r="F12" s="60" t="s">
        <v>4399</v>
      </c>
      <c r="G12" s="28">
        <f>VLOOKUP($E12,STOCKS!$D$2:$E$2035,2,0)</f>
        <v>11.45</v>
      </c>
      <c r="H12" s="60">
        <v>9.77</v>
      </c>
      <c r="I12" s="129">
        <f t="shared" si="0"/>
        <v>1.6799999999999997</v>
      </c>
      <c r="J12" s="63">
        <f t="shared" si="1"/>
        <v>0.17195496417604911</v>
      </c>
    </row>
    <row r="13" spans="1:10">
      <c r="A13" s="118">
        <v>127.77</v>
      </c>
      <c r="B13" s="118">
        <v>1458.4</v>
      </c>
      <c r="C13" s="118">
        <v>-4.96</v>
      </c>
      <c r="D13" s="118">
        <v>23.15</v>
      </c>
      <c r="E13" s="118">
        <v>1909</v>
      </c>
      <c r="F13" s="60" t="s">
        <v>3885</v>
      </c>
      <c r="G13" s="28" t="str">
        <f>VLOOKUP($E13,STOCKS!$D$2:$E$2035,2,0)</f>
        <v>--</v>
      </c>
      <c r="H13" s="60">
        <v>24.7</v>
      </c>
      <c r="I13" s="129" t="e">
        <f t="shared" si="0"/>
        <v>#VALUE!</v>
      </c>
      <c r="J13" s="63" t="e">
        <f t="shared" si="1"/>
        <v>#VALUE!</v>
      </c>
    </row>
    <row r="14" spans="1:10">
      <c r="A14" s="118">
        <v>1335.46</v>
      </c>
      <c r="B14" s="118">
        <v>5.78</v>
      </c>
      <c r="C14" s="118">
        <v>-10.55</v>
      </c>
      <c r="D14" s="118">
        <v>10.78</v>
      </c>
      <c r="E14" s="118">
        <v>2884</v>
      </c>
      <c r="F14" s="60" t="s">
        <v>4395</v>
      </c>
      <c r="G14" s="28">
        <f>VLOOKUP($E14,STOCKS!$D$2:$E$2035,2,0)</f>
        <v>27.9</v>
      </c>
      <c r="H14" s="60">
        <v>26.65</v>
      </c>
      <c r="I14" s="129">
        <f t="shared" si="0"/>
        <v>1.25</v>
      </c>
      <c r="J14" s="63">
        <f t="shared" si="1"/>
        <v>4.6904315196998128E-2</v>
      </c>
    </row>
    <row r="15" spans="1:10">
      <c r="A15" s="118">
        <v>636.57000000000005</v>
      </c>
      <c r="B15" s="118">
        <v>3535.54</v>
      </c>
      <c r="C15" s="118">
        <v>-7.45</v>
      </c>
      <c r="D15" s="118">
        <v>35.35</v>
      </c>
      <c r="E15" s="118">
        <v>1301</v>
      </c>
      <c r="F15" s="60" t="s">
        <v>3721</v>
      </c>
      <c r="G15" s="28">
        <f>VLOOKUP($E15,STOCKS!$D$2:$E$2035,2,0)</f>
        <v>105.5</v>
      </c>
      <c r="H15" s="60">
        <v>107</v>
      </c>
      <c r="I15" s="129">
        <f t="shared" si="0"/>
        <v>-1.5</v>
      </c>
      <c r="J15" s="63">
        <f t="shared" si="1"/>
        <v>-1.4018691588785047E-2</v>
      </c>
    </row>
    <row r="16" spans="1:10">
      <c r="A16" s="118">
        <v>79</v>
      </c>
      <c r="B16" s="118">
        <v>45.9</v>
      </c>
      <c r="C16" s="118">
        <v>-3.77</v>
      </c>
      <c r="D16" s="118">
        <v>19.28</v>
      </c>
      <c r="E16" s="118">
        <v>2913</v>
      </c>
      <c r="F16" s="60" t="s">
        <v>4418</v>
      </c>
      <c r="G16" s="28" t="str">
        <f>VLOOKUP($E16,STOCKS!$D$2:$E$2035,2,0)</f>
        <v>--</v>
      </c>
      <c r="H16" s="60">
        <v>20.85</v>
      </c>
      <c r="I16" s="129" t="e">
        <f t="shared" si="0"/>
        <v>#VALUE!</v>
      </c>
      <c r="J16" s="63" t="e">
        <f t="shared" si="1"/>
        <v>#VALUE!</v>
      </c>
    </row>
    <row r="17" spans="1:10">
      <c r="A17" s="118">
        <v>1359.98</v>
      </c>
      <c r="B17" s="118">
        <v>10.87</v>
      </c>
      <c r="C17" s="118">
        <v>-22.41</v>
      </c>
      <c r="D17" s="118">
        <v>8.83</v>
      </c>
      <c r="E17" s="118">
        <v>2886</v>
      </c>
      <c r="F17" s="60" t="s">
        <v>4397</v>
      </c>
      <c r="G17" s="28">
        <f>VLOOKUP($E17,STOCKS!$D$2:$E$2035,2,0)</f>
        <v>34.4</v>
      </c>
      <c r="H17" s="60">
        <v>33.299999999999997</v>
      </c>
      <c r="I17" s="129">
        <f t="shared" si="0"/>
        <v>1.1000000000000014</v>
      </c>
      <c r="J17" s="63">
        <f t="shared" si="1"/>
        <v>3.303303303303308E-2</v>
      </c>
    </row>
    <row r="18" spans="1:10">
      <c r="A18" s="118">
        <v>157.91</v>
      </c>
      <c r="B18" s="118">
        <v>188.06</v>
      </c>
      <c r="C18" s="118">
        <v>4.59</v>
      </c>
      <c r="D18" s="118">
        <v>33.26</v>
      </c>
      <c r="E18" s="118">
        <v>9907</v>
      </c>
      <c r="F18" s="60" t="s">
        <v>4481</v>
      </c>
      <c r="G18" s="28" t="str">
        <f>VLOOKUP($E18,STOCKS!$D$2:$E$2035,2,0)</f>
        <v>--</v>
      </c>
      <c r="H18" s="60">
        <v>13.05</v>
      </c>
      <c r="I18" s="129" t="e">
        <f t="shared" si="0"/>
        <v>#VALUE!</v>
      </c>
      <c r="J18" s="63" t="e">
        <f t="shared" si="1"/>
        <v>#VALUE!</v>
      </c>
    </row>
    <row r="19" spans="1:10">
      <c r="A19" s="118">
        <v>166.04</v>
      </c>
      <c r="B19" s="118">
        <v>124.19</v>
      </c>
      <c r="C19" s="118">
        <v>18.78</v>
      </c>
      <c r="D19" s="118">
        <v>4.95</v>
      </c>
      <c r="E19" s="118">
        <v>1907</v>
      </c>
      <c r="F19" s="60" t="s">
        <v>3884</v>
      </c>
      <c r="G19" s="28" t="str">
        <f>VLOOKUP($E19,STOCKS!$D$2:$E$2035,2,0)</f>
        <v>--</v>
      </c>
      <c r="H19" s="60">
        <v>32.35</v>
      </c>
      <c r="I19" s="129" t="e">
        <f t="shared" si="0"/>
        <v>#VALUE!</v>
      </c>
      <c r="J19" s="63" t="e">
        <f t="shared" si="1"/>
        <v>#VALUE!</v>
      </c>
    </row>
    <row r="20" spans="1:10">
      <c r="A20" s="118">
        <v>568.20000000000005</v>
      </c>
      <c r="B20" s="118">
        <v>-1.36</v>
      </c>
      <c r="C20" s="118">
        <v>-1.95</v>
      </c>
      <c r="D20" s="118">
        <v>1.91</v>
      </c>
      <c r="E20" s="118">
        <v>1216</v>
      </c>
      <c r="F20" s="60" t="s">
        <v>3706</v>
      </c>
      <c r="G20" s="28">
        <f>VLOOKUP($E20,STOCKS!$D$2:$E$2035,2,0)</f>
        <v>67.400000000000006</v>
      </c>
      <c r="H20" s="60">
        <v>66.900000000000006</v>
      </c>
      <c r="I20" s="129">
        <f t="shared" si="0"/>
        <v>0.5</v>
      </c>
      <c r="J20" s="63">
        <f t="shared" si="1"/>
        <v>7.4738415545590429E-3</v>
      </c>
    </row>
    <row r="21" spans="1:10">
      <c r="A21" s="118">
        <v>1048.8599999999999</v>
      </c>
      <c r="B21" s="118">
        <v>-1.84</v>
      </c>
      <c r="C21" s="118">
        <v>-18.14</v>
      </c>
      <c r="D21" s="118">
        <v>14.48</v>
      </c>
      <c r="E21" s="118">
        <v>2801</v>
      </c>
      <c r="F21" s="60" t="s">
        <v>4374</v>
      </c>
      <c r="G21" s="28" t="str">
        <f>VLOOKUP($E21,STOCKS!$D$2:$E$2035,2,0)</f>
        <v>--</v>
      </c>
      <c r="H21" s="60">
        <v>16.45</v>
      </c>
      <c r="I21" s="129" t="e">
        <f t="shared" si="0"/>
        <v>#VALUE!</v>
      </c>
      <c r="J21" s="63" t="e">
        <f t="shared" si="1"/>
        <v>#VALUE!</v>
      </c>
    </row>
    <row r="22" spans="1:10">
      <c r="A22" s="118">
        <v>73.430000000000007</v>
      </c>
      <c r="B22" s="118">
        <v>141.31</v>
      </c>
      <c r="C22" s="118">
        <v>-41.32</v>
      </c>
      <c r="D22" s="118">
        <v>24.22</v>
      </c>
      <c r="E22" s="118">
        <v>2915</v>
      </c>
      <c r="F22" s="60" t="s">
        <v>4419</v>
      </c>
      <c r="G22" s="28" t="str">
        <f>VLOOKUP($E22,STOCKS!$D$2:$E$2035,2,0)</f>
        <v>--</v>
      </c>
      <c r="H22" s="60">
        <v>110</v>
      </c>
      <c r="I22" s="129" t="e">
        <f t="shared" si="0"/>
        <v>#VALUE!</v>
      </c>
      <c r="J22" s="63" t="e">
        <f t="shared" si="1"/>
        <v>#VALUE!</v>
      </c>
    </row>
    <row r="23" spans="1:10">
      <c r="A23" s="118">
        <v>43.84</v>
      </c>
      <c r="B23" s="118">
        <v>-68.959999999999994</v>
      </c>
      <c r="C23" s="118">
        <v>-1.41</v>
      </c>
      <c r="D23" s="118">
        <v>-12.62</v>
      </c>
      <c r="E23" s="118">
        <v>2538</v>
      </c>
      <c r="F23" s="60" t="s">
        <v>4320</v>
      </c>
      <c r="G23" s="28" t="str">
        <f>VLOOKUP($E23,STOCKS!$D$2:$E$2035,2,0)</f>
        <v>--</v>
      </c>
      <c r="H23" s="60">
        <v>12.55</v>
      </c>
      <c r="I23" s="129" t="e">
        <f t="shared" si="0"/>
        <v>#VALUE!</v>
      </c>
      <c r="J23" s="63" t="e">
        <f t="shared" si="1"/>
        <v>#VALUE!</v>
      </c>
    </row>
    <row r="24" spans="1:10">
      <c r="A24" s="118">
        <v>1055.96</v>
      </c>
      <c r="B24" s="118">
        <v>428.54</v>
      </c>
      <c r="C24" s="118">
        <v>-6.15</v>
      </c>
      <c r="D24" s="118">
        <v>11.76</v>
      </c>
      <c r="E24" s="118">
        <v>3481</v>
      </c>
      <c r="F24" s="60" t="s">
        <v>4075</v>
      </c>
      <c r="G24" s="28">
        <f>VLOOKUP($E24,STOCKS!$D$2:$E$2035,2,0)</f>
        <v>18.75</v>
      </c>
      <c r="H24" s="60">
        <v>16.55</v>
      </c>
      <c r="I24" s="129">
        <f t="shared" si="0"/>
        <v>2.1999999999999993</v>
      </c>
      <c r="J24" s="63">
        <f t="shared" si="1"/>
        <v>0.13293051359516611</v>
      </c>
    </row>
    <row r="25" spans="1:10">
      <c r="A25" s="118">
        <v>168.62</v>
      </c>
      <c r="B25" s="118">
        <v>144.61000000000001</v>
      </c>
      <c r="C25" s="118">
        <v>-2.77</v>
      </c>
      <c r="D25" s="118">
        <v>-45.41</v>
      </c>
      <c r="E25" s="118">
        <v>1718</v>
      </c>
      <c r="F25" s="60" t="s">
        <v>3838</v>
      </c>
      <c r="G25" s="28" t="str">
        <f>VLOOKUP($E25,STOCKS!$D$2:$E$2035,2,0)</f>
        <v>--</v>
      </c>
      <c r="H25" s="60">
        <v>10.15</v>
      </c>
      <c r="I25" s="129" t="e">
        <f t="shared" si="0"/>
        <v>#VALUE!</v>
      </c>
      <c r="J25" s="63" t="e">
        <f t="shared" si="1"/>
        <v>#VALUE!</v>
      </c>
    </row>
    <row r="26" spans="1:10">
      <c r="A26" s="118">
        <v>1500.51</v>
      </c>
      <c r="B26" s="118">
        <v>239.7</v>
      </c>
      <c r="C26" s="118">
        <v>-5.94</v>
      </c>
      <c r="D26" s="118">
        <v>7.06</v>
      </c>
      <c r="E26" s="118">
        <v>2883</v>
      </c>
      <c r="F26" s="60" t="s">
        <v>4394</v>
      </c>
      <c r="G26" s="28">
        <f>VLOOKUP($E26,STOCKS!$D$2:$E$2035,2,0)</f>
        <v>17.05</v>
      </c>
      <c r="H26" s="60">
        <v>14.1</v>
      </c>
      <c r="I26" s="129">
        <f t="shared" si="0"/>
        <v>2.9500000000000011</v>
      </c>
      <c r="J26" s="63">
        <f t="shared" si="1"/>
        <v>0.20921985815602845</v>
      </c>
    </row>
    <row r="27" spans="1:10">
      <c r="A27" s="118">
        <v>793.08</v>
      </c>
      <c r="B27" s="118">
        <v>1053.1199999999999</v>
      </c>
      <c r="C27" s="118">
        <v>-4.58</v>
      </c>
      <c r="D27" s="118">
        <v>49.87</v>
      </c>
      <c r="E27" s="118">
        <v>1303</v>
      </c>
      <c r="F27" s="60" t="s">
        <v>3722</v>
      </c>
      <c r="G27" s="28">
        <f>VLOOKUP($E27,STOCKS!$D$2:$E$2035,2,0)</f>
        <v>85.8</v>
      </c>
      <c r="H27" s="60">
        <v>84.9</v>
      </c>
      <c r="I27" s="129">
        <f t="shared" si="0"/>
        <v>0.89999999999999147</v>
      </c>
      <c r="J27" s="63">
        <f t="shared" si="1"/>
        <v>1.0600706713780817E-2</v>
      </c>
    </row>
    <row r="28" spans="1:10">
      <c r="A28" s="118">
        <v>33.14</v>
      </c>
      <c r="B28" s="118">
        <v>958.26</v>
      </c>
      <c r="C28" s="118">
        <v>-91.27</v>
      </c>
      <c r="D28" s="118">
        <v>-67.319999999999993</v>
      </c>
      <c r="E28" s="118">
        <v>6015</v>
      </c>
      <c r="F28" s="60" t="s">
        <v>5103</v>
      </c>
      <c r="G28" s="28">
        <f>VLOOKUP($E28,STOCKS!$D$2:$E$2035,2,0)</f>
        <v>16.850000000000001</v>
      </c>
      <c r="H28" s="60">
        <v>15.95</v>
      </c>
      <c r="I28" s="129">
        <f t="shared" si="0"/>
        <v>0.90000000000000213</v>
      </c>
      <c r="J28" s="63">
        <f t="shared" si="1"/>
        <v>5.6426332288401389E-2</v>
      </c>
    </row>
    <row r="29" spans="1:10">
      <c r="A29" s="118">
        <v>33.08</v>
      </c>
      <c r="B29" s="118">
        <v>-28.71</v>
      </c>
      <c r="C29" s="118">
        <v>-11.06</v>
      </c>
      <c r="D29" s="118">
        <v>-61.49</v>
      </c>
      <c r="E29" s="118">
        <v>6142</v>
      </c>
      <c r="F29" s="60" t="s">
        <v>4135</v>
      </c>
      <c r="G29" s="28" t="str">
        <f>VLOOKUP($E29,STOCKS!$D$2:$E$2035,2,0)</f>
        <v>--</v>
      </c>
      <c r="H29" s="60">
        <v>12.55</v>
      </c>
      <c r="I29" s="129" t="e">
        <f t="shared" si="0"/>
        <v>#VALUE!</v>
      </c>
      <c r="J29" s="63" t="e">
        <f t="shared" si="1"/>
        <v>#VALUE!</v>
      </c>
    </row>
    <row r="30" spans="1:10">
      <c r="A30" s="118">
        <v>612.41999999999996</v>
      </c>
      <c r="B30" s="118">
        <v>-1.01</v>
      </c>
      <c r="C30" s="118">
        <v>7.06</v>
      </c>
      <c r="D30" s="118">
        <v>6.23</v>
      </c>
      <c r="E30" s="118">
        <v>1101</v>
      </c>
      <c r="F30" s="60" t="s">
        <v>3695</v>
      </c>
      <c r="G30" s="28">
        <f>VLOOKUP($E30,STOCKS!$D$2:$E$2035,2,0)</f>
        <v>47.7</v>
      </c>
      <c r="H30" s="60">
        <v>48.25</v>
      </c>
      <c r="I30" s="129">
        <f t="shared" si="0"/>
        <v>-0.54999999999999716</v>
      </c>
      <c r="J30" s="63">
        <f t="shared" si="1"/>
        <v>-1.1398963730569889E-2</v>
      </c>
    </row>
    <row r="31" spans="1:10">
      <c r="A31" s="118">
        <v>2593.04</v>
      </c>
      <c r="B31" s="118">
        <v>15.24</v>
      </c>
      <c r="C31" s="118">
        <v>11.1</v>
      </c>
      <c r="D31" s="118">
        <v>19.670000000000002</v>
      </c>
      <c r="E31" s="118">
        <v>2330</v>
      </c>
      <c r="F31" s="60" t="s">
        <v>3944</v>
      </c>
      <c r="G31" s="28">
        <f>VLOOKUP($E31,STOCKS!$D$2:$E$2035,2,0)</f>
        <v>610</v>
      </c>
      <c r="H31" s="60">
        <v>590</v>
      </c>
      <c r="I31" s="129">
        <f t="shared" si="0"/>
        <v>20</v>
      </c>
      <c r="J31" s="63">
        <f t="shared" si="1"/>
        <v>3.3898305084745763E-2</v>
      </c>
    </row>
    <row r="32" spans="1:10">
      <c r="A32" s="118">
        <v>1360.09</v>
      </c>
      <c r="B32" s="118">
        <v>26.63</v>
      </c>
      <c r="C32" s="118">
        <v>-21.63</v>
      </c>
      <c r="D32" s="118">
        <v>7.54</v>
      </c>
      <c r="E32" s="118">
        <v>5880</v>
      </c>
      <c r="F32" s="60" t="s">
        <v>4405</v>
      </c>
      <c r="G32" s="28" t="str">
        <f>VLOOKUP($E32,STOCKS!$D$2:$E$2035,2,0)</f>
        <v>--</v>
      </c>
      <c r="H32" s="60">
        <v>22.65</v>
      </c>
      <c r="I32" s="129" t="e">
        <f t="shared" si="0"/>
        <v>#VALUE!</v>
      </c>
      <c r="J32" s="63" t="e">
        <f t="shared" si="1"/>
        <v>#VALUE!</v>
      </c>
    </row>
    <row r="33" spans="1:10">
      <c r="A33" s="118">
        <v>9.41</v>
      </c>
      <c r="B33" s="118">
        <v>-18.96</v>
      </c>
      <c r="C33" s="118">
        <v>13.11</v>
      </c>
      <c r="D33" s="118">
        <v>18.559999999999999</v>
      </c>
      <c r="E33" s="118">
        <v>6223</v>
      </c>
      <c r="F33" s="60" t="s">
        <v>4701</v>
      </c>
      <c r="G33" s="28" t="str">
        <f>VLOOKUP($E33,STOCKS!$D$2:$E$2035,2,0)</f>
        <v>--</v>
      </c>
      <c r="H33" s="60">
        <v>128.5</v>
      </c>
      <c r="I33" s="129" t="e">
        <f t="shared" si="0"/>
        <v>#VALUE!</v>
      </c>
      <c r="J33" s="63" t="e">
        <f t="shared" si="1"/>
        <v>#VALUE!</v>
      </c>
    </row>
    <row r="34" spans="1:10">
      <c r="A34" s="118">
        <v>38.299999999999997</v>
      </c>
      <c r="B34" s="118">
        <v>23.82</v>
      </c>
      <c r="C34" s="118">
        <v>-10.93</v>
      </c>
      <c r="D34" s="118">
        <v>32.909999999999997</v>
      </c>
      <c r="E34" s="118">
        <v>6213</v>
      </c>
      <c r="F34" s="60" t="s">
        <v>4218</v>
      </c>
      <c r="G34" s="28">
        <f>VLOOKUP($E34,STOCKS!$D$2:$E$2035,2,0)</f>
        <v>128</v>
      </c>
      <c r="H34" s="60">
        <v>129</v>
      </c>
      <c r="I34" s="129">
        <f t="shared" si="0"/>
        <v>-1</v>
      </c>
      <c r="J34" s="63">
        <f t="shared" si="1"/>
        <v>-7.7519379844961239E-3</v>
      </c>
    </row>
    <row r="35" spans="1:10">
      <c r="A35" s="118">
        <v>16.239999999999998</v>
      </c>
      <c r="B35" s="118">
        <v>38.049999999999997</v>
      </c>
      <c r="C35" s="118">
        <v>-72.22</v>
      </c>
      <c r="D35" s="118">
        <v>-81.27</v>
      </c>
      <c r="E35" s="118">
        <v>5302</v>
      </c>
      <c r="F35" s="60" t="s">
        <v>4686</v>
      </c>
      <c r="G35" s="28" t="str">
        <f>VLOOKUP($E35,STOCKS!$D$2:$E$2035,2,0)</f>
        <v>--</v>
      </c>
      <c r="H35" s="60">
        <v>13</v>
      </c>
      <c r="I35" s="129" t="e">
        <f t="shared" si="0"/>
        <v>#VALUE!</v>
      </c>
      <c r="J35" s="63" t="e">
        <f t="shared" si="1"/>
        <v>#VALUE!</v>
      </c>
    </row>
    <row r="36" spans="1:10">
      <c r="A36" s="118">
        <v>14.38</v>
      </c>
      <c r="B36" s="118">
        <v>-3721.25</v>
      </c>
      <c r="C36" s="118">
        <v>4.87</v>
      </c>
      <c r="D36" s="118">
        <v>13.07</v>
      </c>
      <c r="E36" s="118">
        <v>5426</v>
      </c>
      <c r="F36" s="60" t="s">
        <v>4755</v>
      </c>
      <c r="G36" s="28" t="str">
        <f>VLOOKUP($E36,STOCKS!$D$2:$E$2035,2,0)</f>
        <v>--</v>
      </c>
      <c r="H36" s="60">
        <v>13.55</v>
      </c>
      <c r="I36" s="129" t="e">
        <f t="shared" si="0"/>
        <v>#VALUE!</v>
      </c>
      <c r="J36" s="63" t="e">
        <f t="shared" si="1"/>
        <v>#VALUE!</v>
      </c>
    </row>
    <row r="37" spans="1:10">
      <c r="A37" s="118">
        <v>24.9</v>
      </c>
      <c r="B37" s="118">
        <v>294.44</v>
      </c>
      <c r="C37" s="118">
        <v>5.67</v>
      </c>
      <c r="D37" s="118">
        <v>28.3</v>
      </c>
      <c r="E37" s="118">
        <v>1708</v>
      </c>
      <c r="F37" s="60" t="s">
        <v>3830</v>
      </c>
      <c r="G37" s="28" t="str">
        <f>VLOOKUP($E37,STOCKS!$D$2:$E$2035,2,0)</f>
        <v>--</v>
      </c>
      <c r="H37" s="60">
        <v>30.1</v>
      </c>
      <c r="I37" s="129" t="e">
        <f t="shared" si="0"/>
        <v>#VALUE!</v>
      </c>
      <c r="J37" s="63" t="e">
        <f t="shared" si="1"/>
        <v>#VALUE!</v>
      </c>
    </row>
    <row r="38" spans="1:10">
      <c r="A38" s="118">
        <v>88.57</v>
      </c>
      <c r="B38" s="118">
        <v>290.8</v>
      </c>
      <c r="C38" s="118">
        <v>-8.33</v>
      </c>
      <c r="D38" s="118">
        <v>32.549999999999997</v>
      </c>
      <c r="E38" s="118">
        <v>1710</v>
      </c>
      <c r="F38" s="60" t="s">
        <v>3832</v>
      </c>
      <c r="G38" s="28" t="str">
        <f>VLOOKUP($E38,STOCKS!$D$2:$E$2035,2,0)</f>
        <v>--</v>
      </c>
      <c r="H38" s="60">
        <v>23.95</v>
      </c>
      <c r="I38" s="129" t="e">
        <f t="shared" si="0"/>
        <v>#VALUE!</v>
      </c>
      <c r="J38" s="63" t="e">
        <f t="shared" si="1"/>
        <v>#VALUE!</v>
      </c>
    </row>
    <row r="39" spans="1:10">
      <c r="A39" s="118">
        <v>9.5500000000000007</v>
      </c>
      <c r="B39" s="118">
        <v>28.37</v>
      </c>
      <c r="C39" s="118">
        <v>0.51</v>
      </c>
      <c r="D39" s="118">
        <v>7.94</v>
      </c>
      <c r="E39" s="118">
        <v>2642</v>
      </c>
      <c r="F39" s="60" t="s">
        <v>3557</v>
      </c>
      <c r="G39" s="28" t="str">
        <f>VLOOKUP($E39,STOCKS!$D$2:$E$2035,2,0)</f>
        <v>--</v>
      </c>
      <c r="H39" s="60">
        <v>73.7</v>
      </c>
      <c r="I39" s="129" t="e">
        <f t="shared" si="0"/>
        <v>#VALUE!</v>
      </c>
      <c r="J39" s="63" t="e">
        <f t="shared" si="1"/>
        <v>#VALUE!</v>
      </c>
    </row>
    <row r="40" spans="1:10">
      <c r="A40" s="118">
        <v>8.39</v>
      </c>
      <c r="B40" s="118">
        <v>362.03</v>
      </c>
      <c r="C40" s="118">
        <v>-1.87</v>
      </c>
      <c r="D40" s="118">
        <v>-3.11</v>
      </c>
      <c r="E40" s="118">
        <v>9105</v>
      </c>
      <c r="F40" s="60" t="s">
        <v>5686</v>
      </c>
      <c r="G40" s="28" t="e">
        <f>VLOOKUP($E40,STOCKS!$D$2:$E$2035,2,0)</f>
        <v>#N/A</v>
      </c>
      <c r="H40" s="60">
        <v>4.0999999999999996</v>
      </c>
      <c r="I40" s="129" t="e">
        <f t="shared" si="0"/>
        <v>#N/A</v>
      </c>
      <c r="J40" s="63" t="e">
        <f t="shared" si="1"/>
        <v>#N/A</v>
      </c>
    </row>
    <row r="41" spans="1:10">
      <c r="A41" s="118">
        <v>1573.49</v>
      </c>
      <c r="B41" s="118">
        <v>946.75</v>
      </c>
      <c r="C41" s="118">
        <v>0.64</v>
      </c>
      <c r="D41" s="118">
        <v>60.68</v>
      </c>
      <c r="E41" s="118">
        <v>2002</v>
      </c>
      <c r="F41" s="60" t="s">
        <v>3633</v>
      </c>
      <c r="G41" s="28" t="str">
        <f>VLOOKUP($E41,STOCKS!$D$2:$E$2035,2,0)</f>
        <v>--</v>
      </c>
      <c r="H41" s="60">
        <v>33.4</v>
      </c>
      <c r="I41" s="129" t="e">
        <f t="shared" si="0"/>
        <v>#VALUE!</v>
      </c>
      <c r="J41" s="63" t="e">
        <f t="shared" si="1"/>
        <v>#VALUE!</v>
      </c>
    </row>
    <row r="42" spans="1:10">
      <c r="A42" s="118">
        <v>22.8</v>
      </c>
      <c r="B42" s="118">
        <v>-11968.94</v>
      </c>
      <c r="C42" s="118">
        <v>15.29</v>
      </c>
      <c r="D42" s="118">
        <v>22.26</v>
      </c>
      <c r="E42" s="118">
        <v>2314</v>
      </c>
      <c r="F42" s="60" t="s">
        <v>4108</v>
      </c>
      <c r="G42" s="28">
        <f>VLOOKUP($E42,STOCKS!$D$2:$E$2035,2,0)</f>
        <v>83.9</v>
      </c>
      <c r="H42" s="60">
        <v>78.099999999999994</v>
      </c>
      <c r="I42" s="129">
        <f t="shared" si="0"/>
        <v>5.8000000000000114</v>
      </c>
      <c r="J42" s="63">
        <f t="shared" si="1"/>
        <v>7.426376440460962E-2</v>
      </c>
    </row>
    <row r="43" spans="1:10">
      <c r="A43" s="118">
        <v>952.6</v>
      </c>
      <c r="B43" s="118">
        <v>268.54000000000002</v>
      </c>
      <c r="C43" s="118">
        <v>5.94</v>
      </c>
      <c r="D43" s="118">
        <v>87.38</v>
      </c>
      <c r="E43" s="118">
        <v>6505</v>
      </c>
      <c r="F43" s="60" t="s">
        <v>4429</v>
      </c>
      <c r="G43" s="28" t="str">
        <f>VLOOKUP($E43,STOCKS!$D$2:$E$2035,2,0)</f>
        <v>--</v>
      </c>
      <c r="H43" s="60">
        <v>101.5</v>
      </c>
      <c r="I43" s="129" t="e">
        <f t="shared" si="0"/>
        <v>#VALUE!</v>
      </c>
      <c r="J43" s="63" t="e">
        <f t="shared" si="1"/>
        <v>#VALUE!</v>
      </c>
    </row>
    <row r="44" spans="1:10">
      <c r="A44" s="118">
        <v>359.82</v>
      </c>
      <c r="B44" s="118">
        <v>34.85</v>
      </c>
      <c r="C44" s="118">
        <v>8.8699999999999992</v>
      </c>
      <c r="D44" s="118">
        <v>7.92</v>
      </c>
      <c r="E44" s="118">
        <v>1102</v>
      </c>
      <c r="F44" s="60" t="s">
        <v>3696</v>
      </c>
      <c r="G44" s="28">
        <f>VLOOKUP($E44,STOCKS!$D$2:$E$2035,2,0)</f>
        <v>43.65</v>
      </c>
      <c r="H44" s="60">
        <v>44.2</v>
      </c>
      <c r="I44" s="129">
        <f t="shared" si="0"/>
        <v>-0.55000000000000426</v>
      </c>
      <c r="J44" s="63">
        <f t="shared" si="1"/>
        <v>-1.2443438914027246E-2</v>
      </c>
    </row>
    <row r="45" spans="1:10">
      <c r="A45" s="118">
        <v>5.15</v>
      </c>
      <c r="B45" s="118">
        <v>178.63</v>
      </c>
      <c r="C45" s="118">
        <v>-0.22</v>
      </c>
      <c r="D45" s="118">
        <v>38.9</v>
      </c>
      <c r="E45" s="118">
        <v>1570</v>
      </c>
      <c r="F45" s="60" t="s">
        <v>4519</v>
      </c>
      <c r="G45" s="28" t="str">
        <f>VLOOKUP($E45,STOCKS!$D$2:$E$2035,2,0)</f>
        <v>--</v>
      </c>
      <c r="H45" s="60">
        <v>20.3</v>
      </c>
      <c r="I45" s="129" t="e">
        <f t="shared" si="0"/>
        <v>#VALUE!</v>
      </c>
      <c r="J45" s="63" t="e">
        <f t="shared" si="1"/>
        <v>#VALUE!</v>
      </c>
    </row>
    <row r="46" spans="1:10">
      <c r="A46" s="118">
        <v>2.06</v>
      </c>
      <c r="B46" s="118">
        <v>-55.29</v>
      </c>
      <c r="C46" t="s">
        <v>5207</v>
      </c>
      <c r="D46" t="s">
        <v>5207</v>
      </c>
      <c r="E46" s="118">
        <v>9103</v>
      </c>
      <c r="F46" s="60" t="s">
        <v>5687</v>
      </c>
      <c r="G46" s="28" t="e">
        <f>VLOOKUP($E46,STOCKS!$D$2:$E$2035,2,0)</f>
        <v>#N/A</v>
      </c>
      <c r="H46" s="60">
        <v>12.15</v>
      </c>
      <c r="I46" s="129" t="e">
        <f t="shared" si="0"/>
        <v>#N/A</v>
      </c>
      <c r="J46" s="63" t="e">
        <f t="shared" si="1"/>
        <v>#N/A</v>
      </c>
    </row>
    <row r="47" spans="1:10">
      <c r="A47" s="118">
        <v>50.5</v>
      </c>
      <c r="B47" s="118">
        <v>211.41</v>
      </c>
      <c r="C47" s="118">
        <v>12.21</v>
      </c>
      <c r="D47" s="118">
        <v>-37.58</v>
      </c>
      <c r="E47" s="118">
        <v>4123</v>
      </c>
      <c r="F47" s="60" t="s">
        <v>4589</v>
      </c>
      <c r="G47" s="28" t="str">
        <f>VLOOKUP($E47,STOCKS!$D$2:$E$2035,2,0)</f>
        <v>--</v>
      </c>
      <c r="H47" s="60">
        <v>65.3</v>
      </c>
      <c r="I47" s="129" t="e">
        <f t="shared" si="0"/>
        <v>#VALUE!</v>
      </c>
      <c r="J47" s="63" t="e">
        <f t="shared" si="1"/>
        <v>#VALUE!</v>
      </c>
    </row>
    <row r="48" spans="1:10">
      <c r="A48" s="118">
        <v>5.32</v>
      </c>
      <c r="B48" s="118">
        <v>2457.6799999999998</v>
      </c>
      <c r="C48" s="118">
        <v>-6.68</v>
      </c>
      <c r="D48" s="118">
        <v>39.96</v>
      </c>
      <c r="E48" s="118">
        <v>6165</v>
      </c>
      <c r="F48" s="60" t="s">
        <v>3629</v>
      </c>
      <c r="G48" s="28" t="str">
        <f>VLOOKUP($E48,STOCKS!$D$2:$E$2035,2,0)</f>
        <v>--</v>
      </c>
      <c r="H48" s="60">
        <v>40.75</v>
      </c>
      <c r="I48" s="129" t="e">
        <f t="shared" si="0"/>
        <v>#VALUE!</v>
      </c>
      <c r="J48" s="63" t="e">
        <f t="shared" si="1"/>
        <v>#VALUE!</v>
      </c>
    </row>
    <row r="49" spans="1:10">
      <c r="A49" s="118">
        <v>59.45</v>
      </c>
      <c r="B49" s="118">
        <v>110.23</v>
      </c>
      <c r="C49" s="118">
        <v>-52.42</v>
      </c>
      <c r="D49" s="118">
        <v>8.82</v>
      </c>
      <c r="E49" s="118">
        <v>6016</v>
      </c>
      <c r="F49" s="60" t="s">
        <v>5104</v>
      </c>
      <c r="G49" s="28" t="str">
        <f>VLOOKUP($E49,STOCKS!$D$2:$E$2035,2,0)</f>
        <v>--</v>
      </c>
      <c r="H49" s="60">
        <v>11.75</v>
      </c>
      <c r="I49" s="129" t="e">
        <f t="shared" si="0"/>
        <v>#VALUE!</v>
      </c>
      <c r="J49" s="63" t="e">
        <f t="shared" si="1"/>
        <v>#VALUE!</v>
      </c>
    </row>
    <row r="50" spans="1:10">
      <c r="A50" s="118">
        <v>329.52</v>
      </c>
      <c r="B50" s="118">
        <v>63.87</v>
      </c>
      <c r="C50" s="118">
        <v>-17.43</v>
      </c>
      <c r="D50" s="118">
        <v>14.38</v>
      </c>
      <c r="E50" s="118">
        <v>2838</v>
      </c>
      <c r="F50" s="60" t="s">
        <v>4383</v>
      </c>
      <c r="G50" s="28">
        <f>VLOOKUP($E50,STOCKS!$D$2:$E$2035,2,0)</f>
        <v>12.3</v>
      </c>
      <c r="H50" s="60">
        <v>11.85</v>
      </c>
      <c r="I50" s="129">
        <f t="shared" si="0"/>
        <v>0.45000000000000107</v>
      </c>
      <c r="J50" s="63">
        <f t="shared" si="1"/>
        <v>3.7974683544303889E-2</v>
      </c>
    </row>
    <row r="51" spans="1:10">
      <c r="A51" s="118">
        <v>5.87</v>
      </c>
      <c r="B51" s="118">
        <v>-76.150000000000006</v>
      </c>
      <c r="C51" s="118">
        <v>-47.86</v>
      </c>
      <c r="D51" s="118">
        <v>106.54</v>
      </c>
      <c r="E51" s="118">
        <v>8171</v>
      </c>
      <c r="F51" s="60" t="s">
        <v>4863</v>
      </c>
      <c r="G51" s="28" t="str">
        <f>VLOOKUP($E51,STOCKS!$D$2:$E$2035,2,0)</f>
        <v>--</v>
      </c>
      <c r="H51" s="60">
        <v>50.8</v>
      </c>
      <c r="I51" s="129" t="e">
        <f t="shared" si="0"/>
        <v>#VALUE!</v>
      </c>
      <c r="J51" s="63" t="e">
        <f t="shared" si="1"/>
        <v>#VALUE!</v>
      </c>
    </row>
    <row r="52" spans="1:10">
      <c r="A52" s="118">
        <v>81.89</v>
      </c>
      <c r="B52" s="118">
        <v>-69.53</v>
      </c>
      <c r="C52" s="118">
        <v>23.35</v>
      </c>
      <c r="D52" s="118">
        <v>18.190000000000001</v>
      </c>
      <c r="E52" s="118">
        <v>4414</v>
      </c>
      <c r="F52" s="60" t="s">
        <v>3769</v>
      </c>
      <c r="G52" s="28" t="str">
        <f>VLOOKUP($E52,STOCKS!$D$2:$E$2035,2,0)</f>
        <v>--</v>
      </c>
      <c r="H52" s="60">
        <v>8.33</v>
      </c>
      <c r="I52" s="129" t="e">
        <f t="shared" si="0"/>
        <v>#VALUE!</v>
      </c>
      <c r="J52" s="63" t="e">
        <f t="shared" si="1"/>
        <v>#VALUE!</v>
      </c>
    </row>
    <row r="53" spans="1:10">
      <c r="A53" s="118">
        <v>45.67</v>
      </c>
      <c r="B53" s="118">
        <v>188.53</v>
      </c>
      <c r="C53" s="118">
        <v>-2.1800000000000002</v>
      </c>
      <c r="D53" s="118">
        <v>40.619999999999997</v>
      </c>
      <c r="E53" s="118">
        <v>5009</v>
      </c>
      <c r="F53" s="60" t="s">
        <v>3627</v>
      </c>
      <c r="G53" s="28" t="str">
        <f>VLOOKUP($E53,STOCKS!$D$2:$E$2035,2,0)</f>
        <v>--</v>
      </c>
      <c r="H53" s="60">
        <v>21</v>
      </c>
      <c r="I53" s="129" t="e">
        <f t="shared" si="0"/>
        <v>#VALUE!</v>
      </c>
      <c r="J53" s="63" t="e">
        <f t="shared" si="1"/>
        <v>#VALUE!</v>
      </c>
    </row>
    <row r="54" spans="1:10">
      <c r="A54" s="118">
        <v>4.4000000000000004</v>
      </c>
      <c r="B54" s="118">
        <v>32.99</v>
      </c>
      <c r="C54" s="118">
        <v>5.16</v>
      </c>
      <c r="D54" s="118">
        <v>-46.44</v>
      </c>
      <c r="E54" s="118">
        <v>3287</v>
      </c>
      <c r="F54" s="60" t="s">
        <v>4735</v>
      </c>
      <c r="G54" s="28" t="str">
        <f>VLOOKUP($E54,STOCKS!$D$2:$E$2035,2,0)</f>
        <v>--</v>
      </c>
      <c r="H54" s="60">
        <v>16.899999999999999</v>
      </c>
      <c r="I54" s="129" t="e">
        <f t="shared" si="0"/>
        <v>#VALUE!</v>
      </c>
      <c r="J54" s="63" t="e">
        <f t="shared" si="1"/>
        <v>#VALUE!</v>
      </c>
    </row>
    <row r="55" spans="1:10">
      <c r="A55" s="118">
        <v>3.64</v>
      </c>
      <c r="B55" s="118">
        <v>67.09</v>
      </c>
      <c r="C55" s="118">
        <v>1.7</v>
      </c>
      <c r="D55" s="118">
        <v>29.66</v>
      </c>
      <c r="E55" s="118">
        <v>6548</v>
      </c>
      <c r="F55" s="60" t="s">
        <v>4714</v>
      </c>
      <c r="G55" s="28" t="str">
        <f>VLOOKUP($E55,STOCKS!$D$2:$E$2035,2,0)</f>
        <v>--</v>
      </c>
      <c r="H55" s="60">
        <v>107</v>
      </c>
      <c r="I55" s="129" t="e">
        <f t="shared" si="0"/>
        <v>#VALUE!</v>
      </c>
      <c r="J55" s="63" t="e">
        <f t="shared" si="1"/>
        <v>#VALUE!</v>
      </c>
    </row>
    <row r="56" spans="1:10">
      <c r="A56" s="118">
        <v>124.03</v>
      </c>
      <c r="B56" s="118">
        <v>124.84</v>
      </c>
      <c r="C56" s="118">
        <v>0.76</v>
      </c>
      <c r="D56" s="118">
        <v>25.29</v>
      </c>
      <c r="E56" s="118">
        <v>1717</v>
      </c>
      <c r="F56" s="60" t="s">
        <v>3837</v>
      </c>
      <c r="G56" s="28" t="str">
        <f>VLOOKUP($E56,STOCKS!$D$2:$E$2035,2,0)</f>
        <v>--</v>
      </c>
      <c r="H56" s="60">
        <v>36.6</v>
      </c>
      <c r="I56" s="129" t="e">
        <f t="shared" si="0"/>
        <v>#VALUE!</v>
      </c>
      <c r="J56" s="63" t="e">
        <f t="shared" si="1"/>
        <v>#VALUE!</v>
      </c>
    </row>
    <row r="57" spans="1:10">
      <c r="A57" s="118">
        <v>233.95</v>
      </c>
      <c r="B57" s="118">
        <v>109.31</v>
      </c>
      <c r="C57" s="118">
        <v>4.46</v>
      </c>
      <c r="D57" s="118">
        <v>17.84</v>
      </c>
      <c r="E57" s="118">
        <v>2371</v>
      </c>
      <c r="F57" s="60" t="s">
        <v>3799</v>
      </c>
      <c r="G57" s="28" t="str">
        <f>VLOOKUP($E57,STOCKS!$D$2:$E$2035,2,0)</f>
        <v>--</v>
      </c>
      <c r="H57" s="60">
        <v>33.700000000000003</v>
      </c>
      <c r="I57" s="129" t="e">
        <f t="shared" si="0"/>
        <v>#VALUE!</v>
      </c>
      <c r="J57" s="63" t="e">
        <f t="shared" si="1"/>
        <v>#VALUE!</v>
      </c>
    </row>
    <row r="58" spans="1:10">
      <c r="A58" s="118">
        <v>23.69</v>
      </c>
      <c r="B58" s="118">
        <v>51.43</v>
      </c>
      <c r="C58" s="118">
        <v>5.81</v>
      </c>
      <c r="D58" s="118">
        <v>102.22</v>
      </c>
      <c r="E58" s="118">
        <v>1723</v>
      </c>
      <c r="F58" s="60" t="s">
        <v>3841</v>
      </c>
      <c r="G58" s="28" t="str">
        <f>VLOOKUP($E58,STOCKS!$D$2:$E$2035,2,0)</f>
        <v>--</v>
      </c>
      <c r="H58" s="60">
        <v>125.5</v>
      </c>
      <c r="I58" s="129" t="e">
        <f t="shared" si="0"/>
        <v>#VALUE!</v>
      </c>
      <c r="J58" s="63" t="e">
        <f t="shared" si="1"/>
        <v>#VALUE!</v>
      </c>
    </row>
    <row r="59" spans="1:10">
      <c r="A59" s="118">
        <v>32.200000000000003</v>
      </c>
      <c r="B59" s="118">
        <v>-15.03</v>
      </c>
      <c r="C59" s="118">
        <v>2.12</v>
      </c>
      <c r="D59" s="118">
        <v>9.76</v>
      </c>
      <c r="E59" s="118">
        <v>1219</v>
      </c>
      <c r="F59" s="60" t="s">
        <v>3631</v>
      </c>
      <c r="G59" s="28" t="str">
        <f>VLOOKUP($E59,STOCKS!$D$2:$E$2035,2,0)</f>
        <v>--</v>
      </c>
      <c r="H59" s="60">
        <v>21.1</v>
      </c>
      <c r="I59" s="129" t="e">
        <f t="shared" si="0"/>
        <v>#VALUE!</v>
      </c>
      <c r="J59" s="63" t="e">
        <f t="shared" si="1"/>
        <v>#VALUE!</v>
      </c>
    </row>
    <row r="60" spans="1:10">
      <c r="A60" s="118">
        <v>110.28</v>
      </c>
      <c r="B60" s="118">
        <v>515.54999999999995</v>
      </c>
      <c r="C60" s="118">
        <v>0.2</v>
      </c>
      <c r="D60" s="118">
        <v>10.5</v>
      </c>
      <c r="E60" s="118">
        <v>1905</v>
      </c>
      <c r="F60" s="60" t="s">
        <v>3539</v>
      </c>
      <c r="G60" s="28" t="str">
        <f>VLOOKUP($E60,STOCKS!$D$2:$E$2035,2,0)</f>
        <v>--</v>
      </c>
      <c r="H60" s="60">
        <v>22.5</v>
      </c>
      <c r="I60" s="129" t="e">
        <f t="shared" si="0"/>
        <v>#VALUE!</v>
      </c>
      <c r="J60" s="63" t="e">
        <f t="shared" si="1"/>
        <v>#VALUE!</v>
      </c>
    </row>
    <row r="61" spans="1:10">
      <c r="A61" s="118">
        <v>19.010000000000002</v>
      </c>
      <c r="B61" s="118">
        <v>115.78</v>
      </c>
      <c r="C61" s="118">
        <v>8.06</v>
      </c>
      <c r="D61" s="118">
        <v>133.41</v>
      </c>
      <c r="E61" s="118">
        <v>2641</v>
      </c>
      <c r="F61" s="60" t="s">
        <v>3579</v>
      </c>
      <c r="G61" s="28" t="str">
        <f>VLOOKUP($E61,STOCKS!$D$2:$E$2035,2,0)</f>
        <v>--</v>
      </c>
      <c r="H61" s="60">
        <v>23.85</v>
      </c>
      <c r="I61" s="129" t="e">
        <f t="shared" si="0"/>
        <v>#VALUE!</v>
      </c>
      <c r="J61" s="63" t="e">
        <f t="shared" si="1"/>
        <v>#VALUE!</v>
      </c>
    </row>
    <row r="62" spans="1:10">
      <c r="A62" s="118">
        <v>18.5</v>
      </c>
      <c r="B62" s="118">
        <v>78.63</v>
      </c>
      <c r="C62" s="118">
        <v>1.46</v>
      </c>
      <c r="D62" s="118">
        <v>-3.14</v>
      </c>
      <c r="E62" s="118">
        <v>6121</v>
      </c>
      <c r="F62" s="60" t="s">
        <v>4760</v>
      </c>
      <c r="G62" s="28" t="str">
        <f>VLOOKUP($E62,STOCKS!$D$2:$E$2035,2,0)</f>
        <v>--</v>
      </c>
      <c r="H62" s="60">
        <v>300</v>
      </c>
      <c r="I62" s="129" t="e">
        <f t="shared" si="0"/>
        <v>#VALUE!</v>
      </c>
      <c r="J62" s="63" t="e">
        <f t="shared" si="1"/>
        <v>#VALUE!</v>
      </c>
    </row>
    <row r="63" spans="1:10">
      <c r="A63" s="118">
        <v>120.66</v>
      </c>
      <c r="B63" s="118">
        <v>251.43</v>
      </c>
      <c r="C63" s="118">
        <v>6.93</v>
      </c>
      <c r="D63" s="118">
        <v>-26.88</v>
      </c>
      <c r="E63" s="118">
        <v>3706</v>
      </c>
      <c r="F63" s="60" t="s">
        <v>4030</v>
      </c>
      <c r="G63" s="28" t="str">
        <f>VLOOKUP($E63,STOCKS!$D$2:$E$2035,2,0)</f>
        <v>--</v>
      </c>
      <c r="H63" s="60">
        <v>28.8</v>
      </c>
      <c r="I63" s="129" t="e">
        <f t="shared" si="0"/>
        <v>#VALUE!</v>
      </c>
      <c r="J63" s="63" t="e">
        <f t="shared" si="1"/>
        <v>#VALUE!</v>
      </c>
    </row>
    <row r="64" spans="1:10">
      <c r="A64" s="118">
        <v>14.84</v>
      </c>
      <c r="B64" s="118">
        <v>287.45</v>
      </c>
      <c r="C64" s="118">
        <v>-0.49</v>
      </c>
      <c r="D64" s="118">
        <v>7.45</v>
      </c>
      <c r="E64" s="118">
        <v>2613</v>
      </c>
      <c r="F64" s="60" t="s">
        <v>3582</v>
      </c>
      <c r="G64" s="28" t="str">
        <f>VLOOKUP($E64,STOCKS!$D$2:$E$2035,2,0)</f>
        <v>--</v>
      </c>
      <c r="H64" s="60">
        <v>25.9</v>
      </c>
      <c r="I64" s="129" t="e">
        <f t="shared" si="0"/>
        <v>#VALUE!</v>
      </c>
      <c r="J64" s="63" t="e">
        <f t="shared" si="1"/>
        <v>#VALUE!</v>
      </c>
    </row>
    <row r="65" spans="1:10">
      <c r="A65" s="118">
        <v>30.39</v>
      </c>
      <c r="B65" s="118">
        <v>154.6</v>
      </c>
      <c r="C65" s="118">
        <v>-0.28999999999999998</v>
      </c>
      <c r="D65" s="118">
        <v>-3.78</v>
      </c>
      <c r="E65" s="118">
        <v>2458</v>
      </c>
      <c r="F65" s="60" t="s">
        <v>3961</v>
      </c>
      <c r="G65" s="28" t="str">
        <f>VLOOKUP($E65,STOCKS!$D$2:$E$2035,2,0)</f>
        <v>--</v>
      </c>
      <c r="H65" s="60">
        <v>170</v>
      </c>
      <c r="I65" s="129" t="e">
        <f t="shared" si="0"/>
        <v>#VALUE!</v>
      </c>
      <c r="J65" s="63" t="e">
        <f t="shared" si="1"/>
        <v>#VALUE!</v>
      </c>
    </row>
    <row r="66" spans="1:10">
      <c r="A66" s="118">
        <v>34.19</v>
      </c>
      <c r="B66" s="118">
        <v>585.27</v>
      </c>
      <c r="C66" s="118">
        <v>5.4</v>
      </c>
      <c r="D66" s="118">
        <v>-12.67</v>
      </c>
      <c r="E66" s="118">
        <v>2017</v>
      </c>
      <c r="F66" s="60" t="s">
        <v>3578</v>
      </c>
      <c r="G66" s="28">
        <f>VLOOKUP($E66,STOCKS!$D$2:$E$2035,2,0)</f>
        <v>20.100000000000001</v>
      </c>
      <c r="H66" s="60">
        <v>20.350000000000001</v>
      </c>
      <c r="I66" s="129">
        <f t="shared" si="0"/>
        <v>-0.25</v>
      </c>
      <c r="J66" s="63">
        <f t="shared" si="1"/>
        <v>-1.2285012285012284E-2</v>
      </c>
    </row>
    <row r="67" spans="1:10">
      <c r="A67" s="118">
        <v>6.89</v>
      </c>
      <c r="B67" s="118">
        <v>52.23</v>
      </c>
      <c r="C67" s="118">
        <v>-0.31</v>
      </c>
      <c r="D67" s="118">
        <v>26.46</v>
      </c>
      <c r="E67" s="118">
        <v>8070</v>
      </c>
      <c r="F67" s="60" t="s">
        <v>4248</v>
      </c>
      <c r="G67" s="28" t="str">
        <f>VLOOKUP($E67,STOCKS!$D$2:$E$2035,2,0)</f>
        <v>--</v>
      </c>
      <c r="H67" s="60">
        <v>34</v>
      </c>
      <c r="I67" s="129" t="e">
        <f t="shared" ref="I67:I101" si="2">$G67-$H67</f>
        <v>#VALUE!</v>
      </c>
      <c r="J67" s="63" t="e">
        <f t="shared" ref="J67:J101" si="3">$I67/$H67</f>
        <v>#VALUE!</v>
      </c>
    </row>
    <row r="68" spans="1:10">
      <c r="A68" s="118">
        <v>7.6</v>
      </c>
      <c r="B68" s="118">
        <v>171.06</v>
      </c>
      <c r="C68" s="118">
        <v>9.19</v>
      </c>
      <c r="D68" s="118">
        <v>31.56</v>
      </c>
      <c r="E68" s="118">
        <v>5011</v>
      </c>
      <c r="F68" s="60" t="s">
        <v>4652</v>
      </c>
      <c r="G68" s="28" t="str">
        <f>VLOOKUP($E68,STOCKS!$D$2:$E$2035,2,0)</f>
        <v>--</v>
      </c>
      <c r="H68" s="60">
        <v>30.05</v>
      </c>
      <c r="I68" s="129" t="e">
        <f t="shared" si="2"/>
        <v>#VALUE!</v>
      </c>
      <c r="J68" s="63" t="e">
        <f t="shared" si="3"/>
        <v>#VALUE!</v>
      </c>
    </row>
    <row r="69" spans="1:10">
      <c r="A69" s="118">
        <v>12.01</v>
      </c>
      <c r="B69" s="118">
        <v>204.97</v>
      </c>
      <c r="C69" s="118">
        <v>-2.4500000000000002</v>
      </c>
      <c r="D69" s="118">
        <v>66.2</v>
      </c>
      <c r="E69" s="118">
        <v>8016</v>
      </c>
      <c r="F69" s="60" t="s">
        <v>3993</v>
      </c>
      <c r="G69" s="28" t="str">
        <f>VLOOKUP($E69,STOCKS!$D$2:$E$2035,2,0)</f>
        <v>--</v>
      </c>
      <c r="H69" s="60">
        <v>256.5</v>
      </c>
      <c r="I69" s="129" t="e">
        <f t="shared" si="2"/>
        <v>#VALUE!</v>
      </c>
      <c r="J69" s="63" t="e">
        <f t="shared" si="3"/>
        <v>#VALUE!</v>
      </c>
    </row>
    <row r="70" spans="1:10">
      <c r="A70" s="118">
        <v>1319.41</v>
      </c>
      <c r="B70" s="118">
        <v>530.54999999999995</v>
      </c>
      <c r="C70" s="118">
        <v>-17.170000000000002</v>
      </c>
      <c r="D70" s="118">
        <v>20.14</v>
      </c>
      <c r="E70" s="118">
        <v>2880</v>
      </c>
      <c r="F70" s="60" t="s">
        <v>4391</v>
      </c>
      <c r="G70" s="28" t="str">
        <f>VLOOKUP($E70,STOCKS!$D$2:$E$2035,2,0)</f>
        <v>--</v>
      </c>
      <c r="H70" s="60">
        <v>20.350000000000001</v>
      </c>
      <c r="I70" s="129" t="e">
        <f t="shared" si="2"/>
        <v>#VALUE!</v>
      </c>
      <c r="J70" s="63" t="e">
        <f t="shared" si="3"/>
        <v>#VALUE!</v>
      </c>
    </row>
    <row r="71" spans="1:10">
      <c r="A71" s="118">
        <v>30.01</v>
      </c>
      <c r="B71" s="118">
        <v>672.29</v>
      </c>
      <c r="C71" s="118">
        <v>-6.4</v>
      </c>
      <c r="D71" s="118">
        <v>1470.32</v>
      </c>
      <c r="E71" s="118">
        <v>6026</v>
      </c>
      <c r="F71" s="60" t="s">
        <v>5108</v>
      </c>
      <c r="G71" s="28" t="str">
        <f>VLOOKUP($E71,STOCKS!$D$2:$E$2035,2,0)</f>
        <v>--</v>
      </c>
      <c r="H71" s="60">
        <v>16</v>
      </c>
      <c r="I71" s="129" t="e">
        <f t="shared" si="2"/>
        <v>#VALUE!</v>
      </c>
      <c r="J71" s="63" t="e">
        <f t="shared" si="3"/>
        <v>#VALUE!</v>
      </c>
    </row>
    <row r="72" spans="1:10">
      <c r="A72" s="118">
        <v>7.08</v>
      </c>
      <c r="B72" s="118">
        <v>-133.22</v>
      </c>
      <c r="C72" s="118">
        <v>61.99</v>
      </c>
      <c r="D72" s="118">
        <v>-32.200000000000003</v>
      </c>
      <c r="E72" s="118">
        <v>6462</v>
      </c>
      <c r="F72" s="60" t="s">
        <v>4709</v>
      </c>
      <c r="G72" s="28" t="str">
        <f>VLOOKUP($E72,STOCKS!$D$2:$E$2035,2,0)</f>
        <v>--</v>
      </c>
      <c r="H72" s="60">
        <v>129</v>
      </c>
      <c r="I72" s="129" t="e">
        <f t="shared" si="2"/>
        <v>#VALUE!</v>
      </c>
      <c r="J72" s="63" t="e">
        <f t="shared" si="3"/>
        <v>#VALUE!</v>
      </c>
    </row>
    <row r="73" spans="1:10">
      <c r="A73" s="118">
        <v>36.619999999999997</v>
      </c>
      <c r="B73" s="118">
        <v>4371.8500000000004</v>
      </c>
      <c r="C73" s="118">
        <v>-4.59</v>
      </c>
      <c r="D73" s="118">
        <v>-28.52</v>
      </c>
      <c r="E73" s="118">
        <v>1442</v>
      </c>
      <c r="F73" s="60" t="s">
        <v>4301</v>
      </c>
      <c r="G73" s="28">
        <f>VLOOKUP($E73,STOCKS!$D$2:$E$2035,2,0)</f>
        <v>24.1</v>
      </c>
      <c r="H73" s="60">
        <v>25.15</v>
      </c>
      <c r="I73" s="129">
        <f t="shared" si="2"/>
        <v>-1.0499999999999972</v>
      </c>
      <c r="J73" s="63">
        <f t="shared" si="3"/>
        <v>-4.1749502982107244E-2</v>
      </c>
    </row>
    <row r="74" spans="1:10">
      <c r="A74" s="118">
        <v>16.77</v>
      </c>
      <c r="B74" s="118">
        <v>-15.21</v>
      </c>
      <c r="C74" s="118">
        <v>9.7799999999999994</v>
      </c>
      <c r="D74" s="118">
        <v>-10.75</v>
      </c>
      <c r="E74" s="118">
        <v>1734</v>
      </c>
      <c r="F74" s="60" t="s">
        <v>3552</v>
      </c>
      <c r="G74" s="28">
        <f>VLOOKUP($E74,STOCKS!$D$2:$E$2035,2,0)</f>
        <v>28.75</v>
      </c>
      <c r="H74" s="60">
        <v>28.85</v>
      </c>
      <c r="I74" s="129">
        <f t="shared" si="2"/>
        <v>-0.10000000000000142</v>
      </c>
      <c r="J74" s="63">
        <f t="shared" si="3"/>
        <v>-3.4662045060659071E-3</v>
      </c>
    </row>
    <row r="75" spans="1:10">
      <c r="A75" s="118">
        <v>47.33</v>
      </c>
      <c r="B75" s="118">
        <v>-66067.509999999995</v>
      </c>
      <c r="C75" s="118">
        <v>-21.25</v>
      </c>
      <c r="D75" s="118">
        <v>-84.41</v>
      </c>
      <c r="E75" s="118">
        <v>2102</v>
      </c>
      <c r="F75" s="60" t="s">
        <v>3902</v>
      </c>
      <c r="G75" s="28" t="str">
        <f>VLOOKUP($E75,STOCKS!$D$2:$E$2035,2,0)</f>
        <v>--</v>
      </c>
      <c r="H75" s="60">
        <v>27.05</v>
      </c>
      <c r="I75" s="129" t="e">
        <f t="shared" si="2"/>
        <v>#VALUE!</v>
      </c>
      <c r="J75" s="63" t="e">
        <f t="shared" si="3"/>
        <v>#VALUE!</v>
      </c>
    </row>
    <row r="76" spans="1:10">
      <c r="A76" s="118">
        <v>58.62</v>
      </c>
      <c r="B76" s="118">
        <v>14.46</v>
      </c>
      <c r="C76" s="118">
        <v>7.34</v>
      </c>
      <c r="D76" s="118">
        <v>13.2</v>
      </c>
      <c r="E76" s="118">
        <v>5483</v>
      </c>
      <c r="F76" s="60" t="s">
        <v>4693</v>
      </c>
      <c r="G76" s="28" t="str">
        <f>VLOOKUP($E76,STOCKS!$D$2:$E$2035,2,0)</f>
        <v>--</v>
      </c>
      <c r="H76" s="60">
        <v>197</v>
      </c>
      <c r="I76" s="129" t="e">
        <f t="shared" si="2"/>
        <v>#VALUE!</v>
      </c>
      <c r="J76" s="63" t="e">
        <f t="shared" si="3"/>
        <v>#VALUE!</v>
      </c>
    </row>
    <row r="77" spans="1:10">
      <c r="A77" s="118">
        <v>46.63</v>
      </c>
      <c r="B77" s="118">
        <v>-122.97</v>
      </c>
      <c r="C77" s="118">
        <v>-3</v>
      </c>
      <c r="D77" s="118">
        <v>7.41</v>
      </c>
      <c r="E77" s="118">
        <v>4128</v>
      </c>
      <c r="F77" s="60" t="s">
        <v>4591</v>
      </c>
      <c r="G77" s="28">
        <f>VLOOKUP($E77,STOCKS!$D$2:$E$2035,2,0)</f>
        <v>66.099999999999994</v>
      </c>
      <c r="H77" s="60">
        <v>61.5</v>
      </c>
      <c r="I77" s="129">
        <f t="shared" si="2"/>
        <v>4.5999999999999943</v>
      </c>
      <c r="J77" s="63">
        <f t="shared" si="3"/>
        <v>7.4796747967479579E-2</v>
      </c>
    </row>
    <row r="78" spans="1:10">
      <c r="A78" s="118">
        <v>42.85</v>
      </c>
      <c r="B78" s="118">
        <v>123.9</v>
      </c>
      <c r="C78" s="118">
        <v>4.16</v>
      </c>
      <c r="D78" s="118">
        <v>46.19</v>
      </c>
      <c r="E78" s="118">
        <v>8112</v>
      </c>
      <c r="F78" s="60" t="s">
        <v>4250</v>
      </c>
      <c r="G78" s="28" t="str">
        <f>VLOOKUP($E78,STOCKS!$D$2:$E$2035,2,0)</f>
        <v>--</v>
      </c>
      <c r="H78" s="60">
        <v>44.6</v>
      </c>
      <c r="I78" s="129" t="e">
        <f t="shared" si="2"/>
        <v>#VALUE!</v>
      </c>
      <c r="J78" s="63" t="e">
        <f t="shared" si="3"/>
        <v>#VALUE!</v>
      </c>
    </row>
    <row r="79" spans="1:10">
      <c r="A79" s="118">
        <v>535.29</v>
      </c>
      <c r="B79" s="118">
        <v>34.07</v>
      </c>
      <c r="C79" s="118">
        <v>3.78</v>
      </c>
      <c r="D79" s="118">
        <v>19.170000000000002</v>
      </c>
      <c r="E79" s="118">
        <v>1402</v>
      </c>
      <c r="F79" s="60" t="s">
        <v>3738</v>
      </c>
      <c r="G79" s="28">
        <f>VLOOKUP($E79,STOCKS!$D$2:$E$2035,2,0)</f>
        <v>28.8</v>
      </c>
      <c r="H79" s="60">
        <v>29</v>
      </c>
      <c r="I79" s="129">
        <f t="shared" si="2"/>
        <v>-0.19999999999999929</v>
      </c>
      <c r="J79" s="63">
        <f t="shared" si="3"/>
        <v>-6.8965517241379067E-3</v>
      </c>
    </row>
    <row r="80" spans="1:10">
      <c r="A80" s="118">
        <v>9.23</v>
      </c>
      <c r="B80" s="118">
        <v>-75.180000000000007</v>
      </c>
      <c r="C80" s="118">
        <v>15.68</v>
      </c>
      <c r="D80" s="118">
        <v>25.3</v>
      </c>
      <c r="E80" s="118">
        <v>3092</v>
      </c>
      <c r="F80" s="60" t="s">
        <v>4186</v>
      </c>
      <c r="G80" s="28" t="str">
        <f>VLOOKUP($E80,STOCKS!$D$2:$E$2035,2,0)</f>
        <v>--</v>
      </c>
      <c r="H80" s="60">
        <v>59</v>
      </c>
      <c r="I80" s="129" t="e">
        <f t="shared" si="2"/>
        <v>#VALUE!</v>
      </c>
      <c r="J80" s="63" t="e">
        <f t="shared" si="3"/>
        <v>#VALUE!</v>
      </c>
    </row>
    <row r="81" spans="1:10">
      <c r="A81" s="118">
        <v>398</v>
      </c>
      <c r="B81" s="118">
        <v>625.30999999999995</v>
      </c>
      <c r="C81" s="118">
        <v>3.32</v>
      </c>
      <c r="D81" s="118">
        <v>21.82</v>
      </c>
      <c r="E81" s="118">
        <v>2344</v>
      </c>
      <c r="F81" s="60" t="s">
        <v>3948</v>
      </c>
      <c r="G81" s="28">
        <f>VLOOKUP($E81,STOCKS!$D$2:$E$2035,2,0)</f>
        <v>31.45</v>
      </c>
      <c r="H81" s="60">
        <v>26.35</v>
      </c>
      <c r="I81" s="129">
        <f t="shared" si="2"/>
        <v>5.0999999999999979</v>
      </c>
      <c r="J81" s="63">
        <f t="shared" si="3"/>
        <v>0.1935483870967741</v>
      </c>
    </row>
    <row r="82" spans="1:10">
      <c r="A82" s="118">
        <v>76.09</v>
      </c>
      <c r="B82" s="118">
        <v>-47.88</v>
      </c>
      <c r="C82" s="118">
        <v>-29.48</v>
      </c>
      <c r="D82" s="118">
        <v>-27.75</v>
      </c>
      <c r="E82" s="118">
        <v>2841</v>
      </c>
      <c r="F82" s="60" t="s">
        <v>4328</v>
      </c>
      <c r="G82" s="28" t="str">
        <f>VLOOKUP($E82,STOCKS!$D$2:$E$2035,2,0)</f>
        <v>--</v>
      </c>
      <c r="H82" s="60">
        <v>3.41</v>
      </c>
      <c r="I82" s="129" t="e">
        <f t="shared" si="2"/>
        <v>#VALUE!</v>
      </c>
      <c r="J82" s="63" t="e">
        <f t="shared" si="3"/>
        <v>#VALUE!</v>
      </c>
    </row>
    <row r="83" spans="1:10">
      <c r="A83" s="118">
        <v>49.59</v>
      </c>
      <c r="B83" s="118">
        <v>100.98</v>
      </c>
      <c r="C83" s="118">
        <v>0.06</v>
      </c>
      <c r="D83" s="118">
        <v>28.03</v>
      </c>
      <c r="E83" s="118">
        <v>2327</v>
      </c>
      <c r="F83" s="60" t="s">
        <v>3645</v>
      </c>
      <c r="G83" s="28" t="str">
        <f>VLOOKUP($E83,STOCKS!$D$2:$E$2035,2,0)</f>
        <v>--</v>
      </c>
      <c r="H83" s="60">
        <v>427</v>
      </c>
      <c r="I83" s="129" t="e">
        <f t="shared" si="2"/>
        <v>#VALUE!</v>
      </c>
      <c r="J83" s="63" t="e">
        <f t="shared" si="3"/>
        <v>#VALUE!</v>
      </c>
    </row>
    <row r="84" spans="1:10">
      <c r="A84" s="118">
        <v>7.5</v>
      </c>
      <c r="B84" s="118">
        <v>127.26</v>
      </c>
      <c r="C84" s="118">
        <v>20.239999999999998</v>
      </c>
      <c r="D84" s="118">
        <v>162.86000000000001</v>
      </c>
      <c r="E84" s="118">
        <v>4721</v>
      </c>
      <c r="F84" s="60" t="s">
        <v>4567</v>
      </c>
      <c r="G84" s="28" t="str">
        <f>VLOOKUP($E84,STOCKS!$D$2:$E$2035,2,0)</f>
        <v>--</v>
      </c>
      <c r="H84" s="60">
        <v>177.5</v>
      </c>
      <c r="I84" s="129" t="e">
        <f t="shared" si="2"/>
        <v>#VALUE!</v>
      </c>
      <c r="J84" s="63" t="e">
        <f t="shared" si="3"/>
        <v>#VALUE!</v>
      </c>
    </row>
    <row r="85" spans="1:10">
      <c r="A85" s="118">
        <v>1386.3</v>
      </c>
      <c r="B85" s="118">
        <v>129.41</v>
      </c>
      <c r="C85" s="118">
        <v>46.41</v>
      </c>
      <c r="D85" s="118">
        <v>25.6</v>
      </c>
      <c r="E85" s="118">
        <v>2317</v>
      </c>
      <c r="F85" s="60" t="s">
        <v>4264</v>
      </c>
      <c r="G85" s="28">
        <f>VLOOKUP($E85,STOCKS!$D$2:$E$2035,2,0)</f>
        <v>105.5</v>
      </c>
      <c r="H85" s="60">
        <v>106.5</v>
      </c>
      <c r="I85" s="129">
        <f t="shared" si="2"/>
        <v>-1</v>
      </c>
      <c r="J85" s="63">
        <f t="shared" si="3"/>
        <v>-9.3896713615023476E-3</v>
      </c>
    </row>
    <row r="86" spans="1:10">
      <c r="A86" s="118">
        <v>8.7899999999999991</v>
      </c>
      <c r="B86" s="118">
        <v>41.63</v>
      </c>
      <c r="C86" s="118">
        <v>36.15</v>
      </c>
      <c r="D86" s="118">
        <v>18.899999999999999</v>
      </c>
      <c r="E86" s="118">
        <v>6216</v>
      </c>
      <c r="F86" s="60" t="s">
        <v>4137</v>
      </c>
      <c r="G86" s="28" t="str">
        <f>VLOOKUP($E86,STOCKS!$D$2:$E$2035,2,0)</f>
        <v>--</v>
      </c>
      <c r="H86" s="60">
        <v>27.6</v>
      </c>
      <c r="I86" s="129" t="e">
        <f t="shared" si="2"/>
        <v>#VALUE!</v>
      </c>
      <c r="J86" s="63" t="e">
        <f t="shared" si="3"/>
        <v>#VALUE!</v>
      </c>
    </row>
    <row r="87" spans="1:10">
      <c r="A87" s="118">
        <v>217.09</v>
      </c>
      <c r="B87" s="118">
        <v>236.94</v>
      </c>
      <c r="C87" s="118">
        <v>-22.2</v>
      </c>
      <c r="D87" s="118">
        <v>-10.6</v>
      </c>
      <c r="E87" s="118">
        <v>6005</v>
      </c>
      <c r="F87" s="60" t="s">
        <v>4406</v>
      </c>
      <c r="G87" s="28" t="str">
        <f>VLOOKUP($E87,STOCKS!$D$2:$E$2035,2,0)</f>
        <v>--</v>
      </c>
      <c r="H87" s="60">
        <v>15.2</v>
      </c>
      <c r="I87" s="129" t="e">
        <f t="shared" si="2"/>
        <v>#VALUE!</v>
      </c>
      <c r="J87" s="63" t="e">
        <f t="shared" si="3"/>
        <v>#VALUE!</v>
      </c>
    </row>
    <row r="88" spans="1:10">
      <c r="A88" s="118">
        <v>12.76</v>
      </c>
      <c r="B88" s="118">
        <v>20.98</v>
      </c>
      <c r="C88" s="118">
        <v>-8.1999999999999993</v>
      </c>
      <c r="D88" s="118">
        <v>18.559999999999999</v>
      </c>
      <c r="E88" s="118">
        <v>8044</v>
      </c>
      <c r="F88" s="60" t="s">
        <v>3547</v>
      </c>
      <c r="G88" s="28" t="str">
        <f>VLOOKUP($E88,STOCKS!$D$2:$E$2035,2,0)</f>
        <v>--</v>
      </c>
      <c r="H88" s="60">
        <v>146.5</v>
      </c>
      <c r="I88" s="129" t="e">
        <f t="shared" si="2"/>
        <v>#VALUE!</v>
      </c>
      <c r="J88" s="63" t="e">
        <f t="shared" si="3"/>
        <v>#VALUE!</v>
      </c>
    </row>
    <row r="89" spans="1:10">
      <c r="A89" s="118">
        <v>12.46</v>
      </c>
      <c r="B89" s="118">
        <v>609.1</v>
      </c>
      <c r="C89" s="118">
        <v>-6.91</v>
      </c>
      <c r="D89" s="118">
        <v>21.08</v>
      </c>
      <c r="E89" s="118">
        <v>2358</v>
      </c>
      <c r="F89" s="60" t="s">
        <v>4442</v>
      </c>
      <c r="G89" s="28" t="str">
        <f>VLOOKUP($E89,STOCKS!$D$2:$E$2035,2,0)</f>
        <v>--</v>
      </c>
      <c r="H89" s="60">
        <v>22.8</v>
      </c>
      <c r="I89" s="129" t="e">
        <f t="shared" si="2"/>
        <v>#VALUE!</v>
      </c>
      <c r="J89" s="63" t="e">
        <f t="shared" si="3"/>
        <v>#VALUE!</v>
      </c>
    </row>
    <row r="90" spans="1:10">
      <c r="A90" s="118">
        <v>7.5</v>
      </c>
      <c r="B90" s="118">
        <v>-21.93</v>
      </c>
      <c r="C90" s="118">
        <v>3.92</v>
      </c>
      <c r="D90" s="118">
        <v>28.74</v>
      </c>
      <c r="E90" s="118">
        <v>5353</v>
      </c>
      <c r="F90" s="60" t="s">
        <v>4840</v>
      </c>
      <c r="G90" s="28" t="str">
        <f>VLOOKUP($E90,STOCKS!$D$2:$E$2035,2,0)</f>
        <v>--</v>
      </c>
      <c r="H90" s="60">
        <v>20</v>
      </c>
      <c r="I90" s="129" t="e">
        <f t="shared" si="2"/>
        <v>#VALUE!</v>
      </c>
      <c r="J90" s="63" t="e">
        <f t="shared" si="3"/>
        <v>#VALUE!</v>
      </c>
    </row>
    <row r="91" spans="1:10">
      <c r="A91" s="118">
        <v>12.71</v>
      </c>
      <c r="B91" s="118">
        <v>228.4</v>
      </c>
      <c r="C91" s="118">
        <v>-3.51</v>
      </c>
      <c r="D91" s="118">
        <v>218.34</v>
      </c>
      <c r="E91" s="118">
        <v>5475</v>
      </c>
      <c r="F91" s="60" t="s">
        <v>3620</v>
      </c>
      <c r="G91" s="28" t="str">
        <f>VLOOKUP($E91,STOCKS!$D$2:$E$2035,2,0)</f>
        <v>--</v>
      </c>
      <c r="H91" s="60">
        <v>29.75</v>
      </c>
      <c r="I91" s="129" t="e">
        <f t="shared" si="2"/>
        <v>#VALUE!</v>
      </c>
      <c r="J91" s="63" t="e">
        <f t="shared" si="3"/>
        <v>#VALUE!</v>
      </c>
    </row>
    <row r="92" spans="1:10">
      <c r="A92" s="118">
        <v>3.83</v>
      </c>
      <c r="B92" s="118">
        <v>269.69</v>
      </c>
      <c r="C92" s="118">
        <v>5.99</v>
      </c>
      <c r="D92" s="118">
        <v>70.39</v>
      </c>
      <c r="E92" s="118">
        <v>3122</v>
      </c>
      <c r="F92" s="60" t="s">
        <v>3607</v>
      </c>
      <c r="G92" s="28" t="str">
        <f>VLOOKUP($E92,STOCKS!$D$2:$E$2035,2,0)</f>
        <v>--</v>
      </c>
      <c r="H92" s="60">
        <v>46.9</v>
      </c>
      <c r="I92" s="129" t="e">
        <f t="shared" si="2"/>
        <v>#VALUE!</v>
      </c>
      <c r="J92" s="63" t="e">
        <f t="shared" si="3"/>
        <v>#VALUE!</v>
      </c>
    </row>
    <row r="93" spans="1:10">
      <c r="A93" s="118">
        <v>13.15</v>
      </c>
      <c r="B93" s="118">
        <v>93.63</v>
      </c>
      <c r="C93" s="118">
        <v>12.69</v>
      </c>
      <c r="D93" s="118">
        <v>1.27</v>
      </c>
      <c r="E93" s="118">
        <v>3362</v>
      </c>
      <c r="F93" s="60" t="s">
        <v>3598</v>
      </c>
      <c r="G93" s="28" t="str">
        <f>VLOOKUP($E93,STOCKS!$D$2:$E$2035,2,0)</f>
        <v>--</v>
      </c>
      <c r="H93" s="60">
        <v>70.8</v>
      </c>
      <c r="I93" s="129" t="e">
        <f t="shared" si="2"/>
        <v>#VALUE!</v>
      </c>
      <c r="J93" s="63" t="e">
        <f t="shared" si="3"/>
        <v>#VALUE!</v>
      </c>
    </row>
    <row r="94" spans="1:10">
      <c r="A94" s="118">
        <v>13.91</v>
      </c>
      <c r="B94" s="118">
        <v>-32.299999999999997</v>
      </c>
      <c r="C94" s="118">
        <v>-12.89</v>
      </c>
      <c r="D94" s="118">
        <v>5.0599999999999996</v>
      </c>
      <c r="E94" s="118">
        <v>2440</v>
      </c>
      <c r="F94" s="60" t="s">
        <v>4163</v>
      </c>
      <c r="G94" s="28" t="str">
        <f>VLOOKUP($E94,STOCKS!$D$2:$E$2035,2,0)</f>
        <v>--</v>
      </c>
      <c r="H94" s="60">
        <v>14.95</v>
      </c>
      <c r="I94" s="129" t="e">
        <f t="shared" si="2"/>
        <v>#VALUE!</v>
      </c>
      <c r="J94" s="63" t="e">
        <f t="shared" si="3"/>
        <v>#VALUE!</v>
      </c>
    </row>
    <row r="95" spans="1:10">
      <c r="A95" s="118">
        <v>60.85</v>
      </c>
      <c r="B95" s="118">
        <v>241.76</v>
      </c>
      <c r="C95" s="118">
        <v>0.13</v>
      </c>
      <c r="D95" s="118">
        <v>62.17</v>
      </c>
      <c r="E95" s="118">
        <v>3034</v>
      </c>
      <c r="F95" s="60" t="s">
        <v>3965</v>
      </c>
      <c r="G95" s="28">
        <f>VLOOKUP($E95,STOCKS!$D$2:$E$2035,2,0)</f>
        <v>487.5</v>
      </c>
      <c r="H95" s="60">
        <v>418.5</v>
      </c>
      <c r="I95" s="129">
        <f t="shared" si="2"/>
        <v>69</v>
      </c>
      <c r="J95" s="63">
        <f t="shared" si="3"/>
        <v>0.16487455197132617</v>
      </c>
    </row>
    <row r="96" spans="1:10">
      <c r="A96" s="118">
        <v>12.24</v>
      </c>
      <c r="B96" s="118">
        <v>225.1</v>
      </c>
      <c r="C96" s="118">
        <v>-6.27</v>
      </c>
      <c r="D96" s="118">
        <v>17.239999999999998</v>
      </c>
      <c r="E96" s="118">
        <v>3605</v>
      </c>
      <c r="F96" s="60" t="s">
        <v>4197</v>
      </c>
      <c r="G96" s="28" t="str">
        <f>VLOOKUP($E96,STOCKS!$D$2:$E$2035,2,0)</f>
        <v>--</v>
      </c>
      <c r="H96" s="60">
        <v>48.85</v>
      </c>
      <c r="I96" s="129" t="e">
        <f t="shared" si="2"/>
        <v>#VALUE!</v>
      </c>
      <c r="J96" s="63" t="e">
        <f t="shared" si="3"/>
        <v>#VALUE!</v>
      </c>
    </row>
    <row r="97" spans="1:10">
      <c r="A97" s="118">
        <v>586.12</v>
      </c>
      <c r="B97" s="118">
        <v>1201.8399999999999</v>
      </c>
      <c r="C97" s="118">
        <v>-1.17</v>
      </c>
      <c r="D97" s="118">
        <v>46.08</v>
      </c>
      <c r="E97" s="118">
        <v>1326</v>
      </c>
      <c r="F97" s="60" t="s">
        <v>3734</v>
      </c>
      <c r="G97" s="28" t="str">
        <f>VLOOKUP($E97,STOCKS!$D$2:$E$2035,2,0)</f>
        <v>--</v>
      </c>
      <c r="H97" s="60">
        <v>80.7</v>
      </c>
      <c r="I97" s="129" t="e">
        <f t="shared" si="2"/>
        <v>#VALUE!</v>
      </c>
      <c r="J97" s="63" t="e">
        <f t="shared" si="3"/>
        <v>#VALUE!</v>
      </c>
    </row>
    <row r="98" spans="1:10">
      <c r="A98" s="118">
        <v>106.71</v>
      </c>
      <c r="B98" s="118">
        <v>5.87</v>
      </c>
      <c r="C98" s="118">
        <v>-6.89</v>
      </c>
      <c r="D98" s="118">
        <v>-7.97</v>
      </c>
      <c r="E98" s="118">
        <v>2607</v>
      </c>
      <c r="F98" s="60" t="s">
        <v>3663</v>
      </c>
      <c r="G98" s="28" t="str">
        <f>VLOOKUP($E98,STOCKS!$D$2:$E$2035,2,0)</f>
        <v>--</v>
      </c>
      <c r="H98" s="60">
        <v>26.95</v>
      </c>
      <c r="I98" s="129" t="e">
        <f t="shared" si="2"/>
        <v>#VALUE!</v>
      </c>
      <c r="J98" s="63" t="e">
        <f t="shared" si="3"/>
        <v>#VALUE!</v>
      </c>
    </row>
    <row r="99" spans="1:10">
      <c r="A99" s="118">
        <v>27.03</v>
      </c>
      <c r="B99" s="118">
        <v>467.52</v>
      </c>
      <c r="C99" s="118">
        <v>73.819999999999993</v>
      </c>
      <c r="D99" s="118">
        <v>31.93</v>
      </c>
      <c r="E99" s="118">
        <v>2527</v>
      </c>
      <c r="F99" s="60" t="s">
        <v>4313</v>
      </c>
      <c r="G99" s="28" t="str">
        <f>VLOOKUP($E99,STOCKS!$D$2:$E$2035,2,0)</f>
        <v>--</v>
      </c>
      <c r="H99" s="60">
        <v>29.85</v>
      </c>
      <c r="I99" s="129" t="e">
        <f t="shared" si="2"/>
        <v>#VALUE!</v>
      </c>
      <c r="J99" s="63" t="e">
        <f t="shared" si="3"/>
        <v>#VALUE!</v>
      </c>
    </row>
    <row r="100" spans="1:10">
      <c r="A100" s="118">
        <v>162.33000000000001</v>
      </c>
      <c r="B100" s="118">
        <v>2776.55</v>
      </c>
      <c r="C100" s="118">
        <v>-6.06</v>
      </c>
      <c r="D100" s="118">
        <v>-12.65</v>
      </c>
      <c r="E100" s="118">
        <v>2511</v>
      </c>
      <c r="F100" s="60" t="s">
        <v>4308</v>
      </c>
      <c r="G100" s="28" t="str">
        <f>VLOOKUP($E100,STOCKS!$D$2:$E$2035,2,0)</f>
        <v>--</v>
      </c>
      <c r="H100" s="60">
        <v>13.15</v>
      </c>
      <c r="I100" s="129" t="e">
        <f t="shared" si="2"/>
        <v>#VALUE!</v>
      </c>
      <c r="J100" s="63" t="e">
        <f t="shared" si="3"/>
        <v>#VALUE!</v>
      </c>
    </row>
    <row r="101" spans="1:10">
      <c r="A101" s="118">
        <v>8</v>
      </c>
      <c r="B101" s="118">
        <v>56.96</v>
      </c>
      <c r="C101" s="118">
        <v>24.82</v>
      </c>
      <c r="D101" s="118">
        <v>221.62</v>
      </c>
      <c r="E101" s="118">
        <v>3511</v>
      </c>
      <c r="F101" s="60" t="s">
        <v>4891</v>
      </c>
      <c r="G101" s="28" t="str">
        <f>VLOOKUP($E101,STOCKS!$D$2:$E$2035,2,0)</f>
        <v>--</v>
      </c>
      <c r="H101" s="60">
        <v>43.65</v>
      </c>
      <c r="I101" s="129" t="e">
        <f t="shared" si="2"/>
        <v>#VALUE!</v>
      </c>
      <c r="J101" s="63" t="e">
        <f t="shared" si="3"/>
        <v>#VALUE!</v>
      </c>
    </row>
  </sheetData>
  <phoneticPr fontId="38" type="noConversion"/>
  <conditionalFormatting sqref="J1:J1048576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57F12-7EAE-4A8B-8D0D-631068A002F6}">
  <sheetPr codeName="工作表16">
    <tabColor rgb="FFFFC000"/>
  </sheetPr>
  <dimension ref="A1:M101"/>
  <sheetViews>
    <sheetView workbookViewId="0">
      <selection activeCell="P4" sqref="P4"/>
    </sheetView>
  </sheetViews>
  <sheetFormatPr defaultRowHeight="16.2"/>
  <cols>
    <col min="7" max="7" width="10.44140625" style="60" bestFit="1" customWidth="1"/>
    <col min="8" max="8" width="10.44140625" style="60" customWidth="1"/>
    <col min="10" max="10" width="12.33203125" style="60" bestFit="1" customWidth="1"/>
    <col min="11" max="11" width="8.88671875" style="63"/>
    <col min="12" max="12" width="10.44140625" bestFit="1" customWidth="1"/>
    <col min="13" max="13" width="11.77734375" style="63" customWidth="1"/>
  </cols>
  <sheetData>
    <row r="1" spans="1:13" s="94" customFormat="1">
      <c r="A1" s="64" t="s">
        <v>3</v>
      </c>
      <c r="B1" s="64" t="s">
        <v>6</v>
      </c>
      <c r="C1" s="64" t="s">
        <v>5</v>
      </c>
      <c r="D1" s="64" t="s">
        <v>4</v>
      </c>
      <c r="E1" s="64" t="s">
        <v>0</v>
      </c>
      <c r="F1" s="64" t="s">
        <v>1</v>
      </c>
      <c r="G1" s="64" t="s">
        <v>5545</v>
      </c>
      <c r="H1" s="64" t="s">
        <v>5692</v>
      </c>
      <c r="I1" s="64" t="s">
        <v>2</v>
      </c>
      <c r="J1" s="64" t="s">
        <v>5695</v>
      </c>
      <c r="K1" s="130" t="s">
        <v>5668</v>
      </c>
      <c r="L1" s="137" t="s">
        <v>5693</v>
      </c>
      <c r="M1" s="138" t="s">
        <v>5694</v>
      </c>
    </row>
    <row r="2" spans="1:13">
      <c r="A2">
        <v>2593.04</v>
      </c>
      <c r="B2">
        <v>15.24</v>
      </c>
      <c r="C2">
        <v>11.1</v>
      </c>
      <c r="D2">
        <v>19.670000000000002</v>
      </c>
      <c r="E2" s="118">
        <v>2330</v>
      </c>
      <c r="F2" t="s">
        <v>3944</v>
      </c>
      <c r="G2" s="28">
        <f>VLOOKUP($E2,STOCKS!$D$2:$E$2035,2,0)</f>
        <v>610</v>
      </c>
      <c r="H2" s="28">
        <f>VLOOKUP($E2,STOCKS昨天!$D$2:$E$2035,2,0)</f>
        <v>612</v>
      </c>
      <c r="I2">
        <v>590</v>
      </c>
      <c r="J2" s="129">
        <f>IFERROR($G2-$I2,"0")</f>
        <v>20</v>
      </c>
      <c r="K2" s="63">
        <f>$J2/$I2</f>
        <v>3.3898305084745763E-2</v>
      </c>
      <c r="L2" s="129">
        <f>IFERROR($G2-$H2,"0")</f>
        <v>-2</v>
      </c>
      <c r="M2" s="63">
        <f>$L2/$H2</f>
        <v>-3.2679738562091504E-3</v>
      </c>
    </row>
    <row r="3" spans="1:13">
      <c r="A3">
        <v>1386.3</v>
      </c>
      <c r="B3">
        <v>129.41</v>
      </c>
      <c r="C3">
        <v>46.41</v>
      </c>
      <c r="D3">
        <v>25.6</v>
      </c>
      <c r="E3" s="118">
        <v>2317</v>
      </c>
      <c r="F3" t="s">
        <v>4264</v>
      </c>
      <c r="G3" s="28">
        <f>VLOOKUP($E3,STOCKS!$D$2:$E$2035,2,0)</f>
        <v>105.5</v>
      </c>
      <c r="H3" s="28">
        <f>VLOOKUP($E3,STOCKS昨天!$D$2:$E$2035,2,0)</f>
        <v>106</v>
      </c>
      <c r="I3">
        <v>106.5</v>
      </c>
      <c r="J3" s="129">
        <f t="shared" ref="J3:J66" si="0">IFERROR($G3-$I3,"0")</f>
        <v>-1</v>
      </c>
      <c r="K3" s="63">
        <f t="shared" ref="K3:K66" si="1">$J3/$I3</f>
        <v>-9.3896713615023476E-3</v>
      </c>
      <c r="L3" s="129">
        <f t="shared" ref="L3:L66" si="2">IFERROR($G3-$H3,"0")</f>
        <v>-0.5</v>
      </c>
      <c r="M3" s="63">
        <f t="shared" ref="M3:M66" si="3">$L3/$H3</f>
        <v>-4.7169811320754715E-3</v>
      </c>
    </row>
    <row r="4" spans="1:13">
      <c r="A4">
        <v>159.88</v>
      </c>
      <c r="B4">
        <v>306.89999999999998</v>
      </c>
      <c r="C4">
        <v>11.91</v>
      </c>
      <c r="D4">
        <v>26.51</v>
      </c>
      <c r="E4" s="118">
        <v>2454</v>
      </c>
      <c r="F4" t="s">
        <v>3960</v>
      </c>
      <c r="G4" s="28" t="str">
        <f>VLOOKUP($E4,STOCKS!$D$2:$E$2035,2,0)</f>
        <v>--</v>
      </c>
      <c r="H4" s="28">
        <f>VLOOKUP($E4,STOCKS昨天!$D$2:$E$2035,2,0)</f>
        <v>1055</v>
      </c>
      <c r="I4">
        <v>922</v>
      </c>
      <c r="J4" s="129" t="str">
        <f t="shared" si="0"/>
        <v>0</v>
      </c>
      <c r="K4" s="63">
        <f t="shared" si="1"/>
        <v>0</v>
      </c>
      <c r="L4" s="129" t="str">
        <f t="shared" si="2"/>
        <v>0</v>
      </c>
      <c r="M4" s="63">
        <f t="shared" si="3"/>
        <v>0</v>
      </c>
    </row>
    <row r="5" spans="1:13">
      <c r="A5">
        <v>952.6</v>
      </c>
      <c r="B5">
        <v>268.54000000000002</v>
      </c>
      <c r="C5">
        <v>5.94</v>
      </c>
      <c r="D5">
        <v>87.38</v>
      </c>
      <c r="E5" s="118">
        <v>6505</v>
      </c>
      <c r="F5" t="s">
        <v>4429</v>
      </c>
      <c r="G5" s="28" t="str">
        <f>VLOOKUP($E5,STOCKS!$D$2:$E$2035,2,0)</f>
        <v>--</v>
      </c>
      <c r="H5" s="28">
        <f>VLOOKUP($E5,STOCKS昨天!$D$2:$E$2035,2,0)</f>
        <v>96</v>
      </c>
      <c r="I5">
        <v>101.5</v>
      </c>
      <c r="J5" s="129" t="str">
        <f t="shared" si="0"/>
        <v>0</v>
      </c>
      <c r="K5" s="63">
        <f t="shared" si="1"/>
        <v>0</v>
      </c>
      <c r="L5" s="129" t="str">
        <f t="shared" si="2"/>
        <v>0</v>
      </c>
      <c r="M5" s="63">
        <f t="shared" si="3"/>
        <v>0</v>
      </c>
    </row>
    <row r="6" spans="1:13">
      <c r="A6">
        <v>1180.5</v>
      </c>
      <c r="B6">
        <v>138.12</v>
      </c>
      <c r="C6">
        <v>-25.61</v>
      </c>
      <c r="D6">
        <v>33.450000000000003</v>
      </c>
      <c r="E6" s="118">
        <v>2881</v>
      </c>
      <c r="F6" t="s">
        <v>4392</v>
      </c>
      <c r="G6" s="28">
        <f>VLOOKUP($E6,STOCKS!$D$2:$E$2035,2,0)</f>
        <v>74.900000000000006</v>
      </c>
      <c r="H6" s="28">
        <f>VLOOKUP($E6,STOCKS昨天!$D$2:$E$2035,2,0)</f>
        <v>74.3</v>
      </c>
      <c r="I6">
        <v>73.099999999999994</v>
      </c>
      <c r="J6" s="129">
        <f t="shared" si="0"/>
        <v>1.8000000000000114</v>
      </c>
      <c r="K6" s="63">
        <f t="shared" si="1"/>
        <v>2.4623803009576079E-2</v>
      </c>
      <c r="L6" s="129">
        <f t="shared" si="2"/>
        <v>0.60000000000000853</v>
      </c>
      <c r="M6" s="63">
        <f t="shared" si="3"/>
        <v>8.0753701211306664E-3</v>
      </c>
    </row>
    <row r="7" spans="1:13">
      <c r="A7">
        <v>775.74</v>
      </c>
      <c r="B7">
        <v>5.69</v>
      </c>
      <c r="C7">
        <v>1.49</v>
      </c>
      <c r="D7">
        <v>-8.39</v>
      </c>
      <c r="E7" s="118">
        <v>2412</v>
      </c>
      <c r="F7" t="s">
        <v>4112</v>
      </c>
      <c r="G7" s="28" t="str">
        <f>VLOOKUP($E7,STOCKS!$D$2:$E$2035,2,0)</f>
        <v>--</v>
      </c>
      <c r="H7" s="28">
        <f>VLOOKUP($E7,STOCKS昨天!$D$2:$E$2035,2,0)</f>
        <v>113.5</v>
      </c>
      <c r="I7">
        <v>111</v>
      </c>
      <c r="J7" s="129" t="str">
        <f t="shared" si="0"/>
        <v>0</v>
      </c>
      <c r="K7" s="63">
        <f t="shared" si="1"/>
        <v>0</v>
      </c>
      <c r="L7" s="129" t="str">
        <f t="shared" si="2"/>
        <v>0</v>
      </c>
      <c r="M7" s="63">
        <f t="shared" si="3"/>
        <v>0</v>
      </c>
    </row>
    <row r="8" spans="1:13">
      <c r="A8">
        <v>1316.92</v>
      </c>
      <c r="B8">
        <v>179.85</v>
      </c>
      <c r="C8">
        <v>-23.28</v>
      </c>
      <c r="D8">
        <v>1.77</v>
      </c>
      <c r="E8" s="118">
        <v>2882</v>
      </c>
      <c r="F8" t="s">
        <v>4393</v>
      </c>
      <c r="G8" s="28">
        <f>VLOOKUP($E8,STOCKS!$D$2:$E$2035,2,0)</f>
        <v>61.5</v>
      </c>
      <c r="H8" s="28">
        <f>VLOOKUP($E8,STOCKS昨天!$D$2:$E$2035,2,0)</f>
        <v>60.8</v>
      </c>
      <c r="I8">
        <v>57.6</v>
      </c>
      <c r="J8" s="129">
        <f t="shared" si="0"/>
        <v>3.8999999999999986</v>
      </c>
      <c r="K8" s="63">
        <f t="shared" si="1"/>
        <v>6.7708333333333301E-2</v>
      </c>
      <c r="L8" s="129">
        <f t="shared" si="2"/>
        <v>0.70000000000000284</v>
      </c>
      <c r="M8" s="63">
        <f t="shared" si="3"/>
        <v>1.151315789473689E-2</v>
      </c>
    </row>
    <row r="9" spans="1:13">
      <c r="A9">
        <v>1242.33</v>
      </c>
      <c r="B9">
        <v>140.06</v>
      </c>
      <c r="C9">
        <v>-0.21</v>
      </c>
      <c r="D9">
        <v>29.01</v>
      </c>
      <c r="E9" s="118">
        <v>2303</v>
      </c>
      <c r="F9" t="s">
        <v>3942</v>
      </c>
      <c r="G9" s="28">
        <f>VLOOKUP($E9,STOCKS!$D$2:$E$2035,2,0)</f>
        <v>63.1</v>
      </c>
      <c r="H9" s="28">
        <f>VLOOKUP($E9,STOCKS昨天!$D$2:$E$2035,2,0)</f>
        <v>63.2</v>
      </c>
      <c r="I9">
        <v>57.6</v>
      </c>
      <c r="J9" s="129">
        <f t="shared" si="0"/>
        <v>5.5</v>
      </c>
      <c r="K9" s="63">
        <f t="shared" si="1"/>
        <v>9.5486111111111105E-2</v>
      </c>
      <c r="L9" s="129">
        <f t="shared" si="2"/>
        <v>-0.10000000000000142</v>
      </c>
      <c r="M9" s="63">
        <f t="shared" si="3"/>
        <v>-1.5822784810126805E-3</v>
      </c>
    </row>
    <row r="10" spans="1:13">
      <c r="A10">
        <v>636.57000000000005</v>
      </c>
      <c r="B10">
        <v>3535.54</v>
      </c>
      <c r="C10">
        <v>-7.45</v>
      </c>
      <c r="D10">
        <v>35.35</v>
      </c>
      <c r="E10" s="118">
        <v>1301</v>
      </c>
      <c r="F10" t="s">
        <v>3721</v>
      </c>
      <c r="G10" s="28">
        <f>VLOOKUP($E10,STOCKS!$D$2:$E$2035,2,0)</f>
        <v>105.5</v>
      </c>
      <c r="H10" s="28">
        <f>VLOOKUP($E10,STOCKS昨天!$D$2:$E$2035,2,0)</f>
        <v>105</v>
      </c>
      <c r="I10">
        <v>107</v>
      </c>
      <c r="J10" s="129">
        <f t="shared" si="0"/>
        <v>-1.5</v>
      </c>
      <c r="K10" s="63">
        <f t="shared" si="1"/>
        <v>-1.4018691588785047E-2</v>
      </c>
      <c r="L10" s="129">
        <f t="shared" si="2"/>
        <v>0.5</v>
      </c>
      <c r="M10" s="63">
        <f t="shared" si="3"/>
        <v>4.7619047619047623E-3</v>
      </c>
    </row>
    <row r="11" spans="1:13">
      <c r="A11">
        <v>793.08</v>
      </c>
      <c r="B11">
        <v>1053.1199999999999</v>
      </c>
      <c r="C11">
        <v>-4.58</v>
      </c>
      <c r="D11">
        <v>49.87</v>
      </c>
      <c r="E11" s="118">
        <v>1303</v>
      </c>
      <c r="F11" t="s">
        <v>3722</v>
      </c>
      <c r="G11" s="28">
        <f>VLOOKUP($E11,STOCKS!$D$2:$E$2035,2,0)</f>
        <v>85.8</v>
      </c>
      <c r="H11" s="28">
        <f>VLOOKUP($E11,STOCKS昨天!$D$2:$E$2035,2,0)</f>
        <v>85.6</v>
      </c>
      <c r="I11">
        <v>84.9</v>
      </c>
      <c r="J11" s="129">
        <f t="shared" si="0"/>
        <v>0.89999999999999147</v>
      </c>
      <c r="K11" s="63">
        <f t="shared" si="1"/>
        <v>1.0600706713780817E-2</v>
      </c>
      <c r="L11" s="129">
        <f t="shared" si="2"/>
        <v>0.20000000000000284</v>
      </c>
      <c r="M11" s="63">
        <f t="shared" si="3"/>
        <v>2.3364485981308743E-3</v>
      </c>
    </row>
    <row r="12" spans="1:13">
      <c r="A12">
        <v>259.75</v>
      </c>
      <c r="B12">
        <v>11.51</v>
      </c>
      <c r="C12">
        <v>5.48</v>
      </c>
      <c r="D12">
        <v>2.02</v>
      </c>
      <c r="E12" s="118">
        <v>2308</v>
      </c>
      <c r="F12" t="s">
        <v>4147</v>
      </c>
      <c r="G12" s="28">
        <f>VLOOKUP($E12,STOCKS!$D$2:$E$2035,2,0)</f>
        <v>258</v>
      </c>
      <c r="H12" s="28">
        <f>VLOOKUP($E12,STOCKS昨天!$D$2:$E$2035,2,0)</f>
        <v>255</v>
      </c>
      <c r="I12">
        <v>257.5</v>
      </c>
      <c r="J12" s="129">
        <f t="shared" si="0"/>
        <v>0.5</v>
      </c>
      <c r="K12" s="63">
        <f t="shared" si="1"/>
        <v>1.9417475728155339E-3</v>
      </c>
      <c r="L12" s="129">
        <f t="shared" si="2"/>
        <v>3</v>
      </c>
      <c r="M12" s="63">
        <f t="shared" si="3"/>
        <v>1.1764705882352941E-2</v>
      </c>
    </row>
    <row r="13" spans="1:13">
      <c r="A13">
        <v>529.08000000000004</v>
      </c>
      <c r="B13">
        <v>2783.03</v>
      </c>
      <c r="C13">
        <v>-1.78</v>
      </c>
      <c r="D13">
        <v>153.84</v>
      </c>
      <c r="E13" s="118">
        <v>2603</v>
      </c>
      <c r="F13" t="s">
        <v>3536</v>
      </c>
      <c r="G13" s="28" t="str">
        <f>VLOOKUP($E13,STOCKS!$D$2:$E$2035,2,0)</f>
        <v>--</v>
      </c>
      <c r="H13" s="28" t="str">
        <f>VLOOKUP($E13,STOCKS昨天!$D$2:$E$2035,2,0)</f>
        <v>--</v>
      </c>
      <c r="I13">
        <v>100.5</v>
      </c>
      <c r="J13" s="129" t="str">
        <f t="shared" si="0"/>
        <v>0</v>
      </c>
      <c r="K13" s="63">
        <f t="shared" si="1"/>
        <v>0</v>
      </c>
      <c r="L13" s="129" t="str">
        <f t="shared" si="2"/>
        <v>0</v>
      </c>
      <c r="M13" s="63" t="e">
        <f t="shared" si="3"/>
        <v>#VALUE!</v>
      </c>
    </row>
    <row r="14" spans="1:13">
      <c r="A14">
        <v>1573.49</v>
      </c>
      <c r="B14">
        <v>946.75</v>
      </c>
      <c r="C14">
        <v>0.64</v>
      </c>
      <c r="D14">
        <v>60.68</v>
      </c>
      <c r="E14" s="118">
        <v>2002</v>
      </c>
      <c r="F14" t="s">
        <v>3633</v>
      </c>
      <c r="G14" s="28" t="str">
        <f>VLOOKUP($E14,STOCKS!$D$2:$E$2035,2,0)</f>
        <v>--</v>
      </c>
      <c r="H14" s="28">
        <f>VLOOKUP($E14,STOCKS昨天!$D$2:$E$2035,2,0)</f>
        <v>33.1</v>
      </c>
      <c r="I14">
        <v>33.4</v>
      </c>
      <c r="J14" s="129" t="str">
        <f t="shared" si="0"/>
        <v>0</v>
      </c>
      <c r="K14" s="63">
        <f t="shared" si="1"/>
        <v>0</v>
      </c>
      <c r="L14" s="129" t="str">
        <f t="shared" si="2"/>
        <v>0</v>
      </c>
      <c r="M14" s="63">
        <f t="shared" si="3"/>
        <v>0</v>
      </c>
    </row>
    <row r="15" spans="1:13">
      <c r="A15">
        <v>586.12</v>
      </c>
      <c r="B15">
        <v>1201.8399999999999</v>
      </c>
      <c r="C15">
        <v>-1.17</v>
      </c>
      <c r="D15">
        <v>46.08</v>
      </c>
      <c r="E15" s="118">
        <v>1326</v>
      </c>
      <c r="F15" t="s">
        <v>3734</v>
      </c>
      <c r="G15" s="28" t="str">
        <f>VLOOKUP($E15,STOCKS!$D$2:$E$2035,2,0)</f>
        <v>--</v>
      </c>
      <c r="H15" s="28">
        <f>VLOOKUP($E15,STOCKS昨天!$D$2:$E$2035,2,0)</f>
        <v>80.099999999999994</v>
      </c>
      <c r="I15">
        <v>80.7</v>
      </c>
      <c r="J15" s="129" t="str">
        <f t="shared" si="0"/>
        <v>0</v>
      </c>
      <c r="K15" s="63">
        <f t="shared" si="1"/>
        <v>0</v>
      </c>
      <c r="L15" s="129" t="str">
        <f t="shared" si="2"/>
        <v>0</v>
      </c>
      <c r="M15" s="63">
        <f t="shared" si="3"/>
        <v>0</v>
      </c>
    </row>
    <row r="16" spans="1:13">
      <c r="A16">
        <v>1359.98</v>
      </c>
      <c r="B16">
        <v>10.87</v>
      </c>
      <c r="C16">
        <v>-22.41</v>
      </c>
      <c r="D16">
        <v>8.83</v>
      </c>
      <c r="E16" s="118">
        <v>2886</v>
      </c>
      <c r="F16" t="s">
        <v>4397</v>
      </c>
      <c r="G16" s="28">
        <f>VLOOKUP($E16,STOCKS!$D$2:$E$2035,2,0)</f>
        <v>34.4</v>
      </c>
      <c r="H16" s="28">
        <f>VLOOKUP($E16,STOCKS昨天!$D$2:$E$2035,2,0)</f>
        <v>34.1</v>
      </c>
      <c r="I16">
        <v>33.299999999999997</v>
      </c>
      <c r="J16" s="129">
        <f t="shared" si="0"/>
        <v>1.1000000000000014</v>
      </c>
      <c r="K16" s="63">
        <f t="shared" si="1"/>
        <v>3.303303303303308E-2</v>
      </c>
      <c r="L16" s="129">
        <f t="shared" si="2"/>
        <v>0.29999999999999716</v>
      </c>
      <c r="M16" s="63">
        <f t="shared" si="3"/>
        <v>8.7976539589441974E-3</v>
      </c>
    </row>
    <row r="17" spans="1:13">
      <c r="A17">
        <v>1949.7</v>
      </c>
      <c r="B17">
        <v>74.41</v>
      </c>
      <c r="C17">
        <v>-10.29</v>
      </c>
      <c r="D17">
        <v>27.38</v>
      </c>
      <c r="E17" s="118">
        <v>2891</v>
      </c>
      <c r="F17" t="s">
        <v>4402</v>
      </c>
      <c r="G17" s="28">
        <f>VLOOKUP($E17,STOCKS!$D$2:$E$2035,2,0)</f>
        <v>24.7</v>
      </c>
      <c r="H17" s="28">
        <f>VLOOKUP($E17,STOCKS昨天!$D$2:$E$2035,2,0)</f>
        <v>24.5</v>
      </c>
      <c r="I17">
        <v>23.05</v>
      </c>
      <c r="J17" s="129">
        <f t="shared" si="0"/>
        <v>1.6499999999999986</v>
      </c>
      <c r="K17" s="63">
        <f t="shared" si="1"/>
        <v>7.1583514099783016E-2</v>
      </c>
      <c r="L17" s="129">
        <f t="shared" si="2"/>
        <v>0.19999999999999929</v>
      </c>
      <c r="M17" s="63">
        <f t="shared" si="3"/>
        <v>8.1632653061224202E-3</v>
      </c>
    </row>
    <row r="18" spans="1:13">
      <c r="A18">
        <v>440.34</v>
      </c>
      <c r="B18">
        <v>71.989999999999995</v>
      </c>
      <c r="C18">
        <v>6.51</v>
      </c>
      <c r="D18">
        <v>22.33</v>
      </c>
      <c r="E18" s="118">
        <v>3711</v>
      </c>
      <c r="F18" t="s">
        <v>3655</v>
      </c>
      <c r="G18" s="28" t="str">
        <f>VLOOKUP($E18,STOCKS!$D$2:$E$2035,2,0)</f>
        <v>--</v>
      </c>
      <c r="H18" s="28">
        <f>VLOOKUP($E18,STOCKS昨天!$D$2:$E$2035,2,0)</f>
        <v>105</v>
      </c>
      <c r="I18">
        <v>98.2</v>
      </c>
      <c r="J18" s="129" t="str">
        <f t="shared" si="0"/>
        <v>0</v>
      </c>
      <c r="K18" s="63">
        <f t="shared" si="1"/>
        <v>0</v>
      </c>
      <c r="L18" s="129" t="str">
        <f t="shared" si="2"/>
        <v>0</v>
      </c>
      <c r="M18" s="63">
        <f t="shared" si="3"/>
        <v>0</v>
      </c>
    </row>
    <row r="19" spans="1:13">
      <c r="A19">
        <v>9.39</v>
      </c>
      <c r="B19">
        <v>79.31</v>
      </c>
      <c r="C19">
        <v>9.6</v>
      </c>
      <c r="D19">
        <v>62.03</v>
      </c>
      <c r="E19" s="118">
        <v>6415</v>
      </c>
      <c r="F19" t="s">
        <v>3987</v>
      </c>
      <c r="G19" s="28" t="str">
        <f>VLOOKUP($E19,STOCKS!$D$2:$E$2035,2,0)</f>
        <v>--</v>
      </c>
      <c r="H19" s="28">
        <f>VLOOKUP($E19,STOCKS昨天!$D$2:$E$2035,2,0)</f>
        <v>4705</v>
      </c>
      <c r="I19">
        <v>4585</v>
      </c>
      <c r="J19" s="129" t="str">
        <f t="shared" si="0"/>
        <v>0</v>
      </c>
      <c r="K19" s="63">
        <f t="shared" si="1"/>
        <v>0</v>
      </c>
      <c r="L19" s="129" t="str">
        <f t="shared" si="2"/>
        <v>0</v>
      </c>
      <c r="M19" s="63">
        <f t="shared" si="3"/>
        <v>0</v>
      </c>
    </row>
    <row r="20" spans="1:13">
      <c r="A20">
        <v>145.04</v>
      </c>
      <c r="B20">
        <v>33.42</v>
      </c>
      <c r="C20">
        <v>-0.57999999999999996</v>
      </c>
      <c r="D20">
        <v>16.670000000000002</v>
      </c>
      <c r="E20" s="118">
        <v>5871</v>
      </c>
      <c r="F20" t="s">
        <v>3654</v>
      </c>
      <c r="G20" s="28" t="str">
        <f>VLOOKUP($E20,STOCKS!$D$2:$E$2035,2,0)</f>
        <v>--</v>
      </c>
      <c r="H20" s="28">
        <f>VLOOKUP($E20,STOCKS昨天!$D$2:$E$2035,2,0)</f>
        <v>246</v>
      </c>
      <c r="I20">
        <v>275</v>
      </c>
      <c r="J20" s="129" t="str">
        <f t="shared" si="0"/>
        <v>0</v>
      </c>
      <c r="K20" s="63">
        <f t="shared" si="1"/>
        <v>0</v>
      </c>
      <c r="L20" s="129" t="str">
        <f t="shared" si="2"/>
        <v>0</v>
      </c>
      <c r="M20" s="63">
        <f t="shared" si="3"/>
        <v>0</v>
      </c>
    </row>
    <row r="21" spans="1:13">
      <c r="A21">
        <v>244.01</v>
      </c>
      <c r="B21">
        <v>1798.15</v>
      </c>
      <c r="C21">
        <v>4.46</v>
      </c>
      <c r="D21">
        <v>264.76</v>
      </c>
      <c r="E21" s="118">
        <v>2615</v>
      </c>
      <c r="F21" t="s">
        <v>4349</v>
      </c>
      <c r="G21" s="28" t="str">
        <f>VLOOKUP($E21,STOCKS!$D$2:$E$2035,2,0)</f>
        <v>--</v>
      </c>
      <c r="H21" s="28" t="str">
        <f>VLOOKUP($E21,STOCKS昨天!$D$2:$E$2035,2,0)</f>
        <v>--</v>
      </c>
      <c r="I21">
        <v>158.5</v>
      </c>
      <c r="J21" s="129" t="str">
        <f t="shared" si="0"/>
        <v>0</v>
      </c>
      <c r="K21" s="63">
        <f t="shared" si="1"/>
        <v>0</v>
      </c>
      <c r="L21" s="129" t="str">
        <f t="shared" si="2"/>
        <v>0</v>
      </c>
      <c r="M21" s="63" t="e">
        <f t="shared" si="3"/>
        <v>#VALUE!</v>
      </c>
    </row>
    <row r="22" spans="1:13">
      <c r="A22">
        <v>568.20000000000005</v>
      </c>
      <c r="B22">
        <v>-1.36</v>
      </c>
      <c r="C22">
        <v>-1.95</v>
      </c>
      <c r="D22">
        <v>1.91</v>
      </c>
      <c r="E22" s="118">
        <v>1216</v>
      </c>
      <c r="F22" t="s">
        <v>3706</v>
      </c>
      <c r="G22" s="28">
        <f>VLOOKUP($E22,STOCKS!$D$2:$E$2035,2,0)</f>
        <v>67.400000000000006</v>
      </c>
      <c r="H22" s="28">
        <f>VLOOKUP($E22,STOCKS昨天!$D$2:$E$2035,2,0)</f>
        <v>67.099999999999994</v>
      </c>
      <c r="I22">
        <v>66.900000000000006</v>
      </c>
      <c r="J22" s="129">
        <f t="shared" si="0"/>
        <v>0.5</v>
      </c>
      <c r="K22" s="63">
        <f t="shared" si="1"/>
        <v>7.4738415545590429E-3</v>
      </c>
      <c r="L22" s="129">
        <f t="shared" si="2"/>
        <v>0.30000000000001137</v>
      </c>
      <c r="M22" s="63">
        <f t="shared" si="3"/>
        <v>4.4709388971685754E-3</v>
      </c>
    </row>
    <row r="23" spans="1:13">
      <c r="A23">
        <v>1335.46</v>
      </c>
      <c r="B23">
        <v>5.78</v>
      </c>
      <c r="C23">
        <v>-10.55</v>
      </c>
      <c r="D23">
        <v>10.78</v>
      </c>
      <c r="E23" s="118">
        <v>2884</v>
      </c>
      <c r="F23" t="s">
        <v>4395</v>
      </c>
      <c r="G23" s="28">
        <f>VLOOKUP($E23,STOCKS!$D$2:$E$2035,2,0)</f>
        <v>27.9</v>
      </c>
      <c r="H23" s="28">
        <f>VLOOKUP($E23,STOCKS昨天!$D$2:$E$2035,2,0)</f>
        <v>27.4</v>
      </c>
      <c r="I23">
        <v>26.65</v>
      </c>
      <c r="J23" s="129">
        <f t="shared" si="0"/>
        <v>1.25</v>
      </c>
      <c r="K23" s="63">
        <f t="shared" si="1"/>
        <v>4.6904315196998128E-2</v>
      </c>
      <c r="L23" s="129">
        <f t="shared" si="2"/>
        <v>0.5</v>
      </c>
      <c r="M23" s="63">
        <f t="shared" si="3"/>
        <v>1.8248175182481754E-2</v>
      </c>
    </row>
    <row r="24" spans="1:13">
      <c r="A24">
        <v>351.35</v>
      </c>
      <c r="B24">
        <v>-4.03</v>
      </c>
      <c r="C24">
        <v>-2.96</v>
      </c>
      <c r="D24">
        <v>19.84</v>
      </c>
      <c r="E24" s="118">
        <v>3045</v>
      </c>
      <c r="F24" t="s">
        <v>4121</v>
      </c>
      <c r="G24" s="28" t="str">
        <f>VLOOKUP($E24,STOCKS!$D$2:$E$2035,2,0)</f>
        <v>--</v>
      </c>
      <c r="H24" s="28">
        <f>VLOOKUP($E24,STOCKS昨天!$D$2:$E$2035,2,0)</f>
        <v>99.2</v>
      </c>
      <c r="I24">
        <v>98.4</v>
      </c>
      <c r="J24" s="129" t="str">
        <f t="shared" si="0"/>
        <v>0</v>
      </c>
      <c r="K24" s="63">
        <f t="shared" si="1"/>
        <v>0</v>
      </c>
      <c r="L24" s="129" t="str">
        <f t="shared" si="2"/>
        <v>0</v>
      </c>
      <c r="M24" s="63">
        <f t="shared" si="3"/>
        <v>0</v>
      </c>
    </row>
    <row r="25" spans="1:13">
      <c r="A25">
        <v>43.73</v>
      </c>
      <c r="B25">
        <v>5.85</v>
      </c>
      <c r="C25">
        <v>4.5999999999999996</v>
      </c>
      <c r="D25">
        <v>5.64</v>
      </c>
      <c r="E25" s="118">
        <v>6488</v>
      </c>
      <c r="F25" t="s">
        <v>3520</v>
      </c>
      <c r="G25" s="28" t="str">
        <f>VLOOKUP($E25,STOCKS!$D$2:$E$2035,2,0)</f>
        <v>--</v>
      </c>
      <c r="H25" s="28">
        <f>VLOOKUP($E25,STOCKS昨天!$D$2:$E$2035,2,0)</f>
        <v>834</v>
      </c>
      <c r="I25">
        <v>780</v>
      </c>
      <c r="J25" s="129" t="str">
        <f t="shared" si="0"/>
        <v>0</v>
      </c>
      <c r="K25" s="63">
        <f t="shared" si="1"/>
        <v>0</v>
      </c>
      <c r="L25" s="129" t="str">
        <f t="shared" si="2"/>
        <v>0</v>
      </c>
      <c r="M25" s="63">
        <f t="shared" si="3"/>
        <v>0</v>
      </c>
    </row>
    <row r="26" spans="1:13">
      <c r="A26">
        <v>54.62</v>
      </c>
      <c r="B26">
        <v>35.81</v>
      </c>
      <c r="C26">
        <v>-14.23</v>
      </c>
      <c r="D26">
        <v>-12.58</v>
      </c>
      <c r="E26" s="118">
        <v>2207</v>
      </c>
      <c r="F26" t="s">
        <v>3925</v>
      </c>
      <c r="G26" s="28" t="str">
        <f>VLOOKUP($E26,STOCKS!$D$2:$E$2035,2,0)</f>
        <v>--</v>
      </c>
      <c r="H26" s="28">
        <f>VLOOKUP($E26,STOCKS昨天!$D$2:$E$2035,2,0)</f>
        <v>645</v>
      </c>
      <c r="I26">
        <v>610</v>
      </c>
      <c r="J26" s="129" t="str">
        <f t="shared" si="0"/>
        <v>0</v>
      </c>
      <c r="K26" s="63">
        <f t="shared" si="1"/>
        <v>0</v>
      </c>
      <c r="L26" s="129" t="str">
        <f t="shared" si="2"/>
        <v>0</v>
      </c>
      <c r="M26" s="63">
        <f t="shared" si="3"/>
        <v>0</v>
      </c>
    </row>
    <row r="27" spans="1:13">
      <c r="A27">
        <v>64.62</v>
      </c>
      <c r="B27">
        <v>201.13</v>
      </c>
      <c r="C27">
        <v>-4.59</v>
      </c>
      <c r="D27">
        <v>29.1</v>
      </c>
      <c r="E27" s="118">
        <v>8046</v>
      </c>
      <c r="F27" t="s">
        <v>4226</v>
      </c>
      <c r="G27" s="28" t="str">
        <f>VLOOKUP($E27,STOCKS!$D$2:$E$2035,2,0)</f>
        <v>--</v>
      </c>
      <c r="H27" s="28" t="str">
        <f>VLOOKUP($E27,STOCKS昨天!$D$2:$E$2035,2,0)</f>
        <v>--</v>
      </c>
      <c r="I27">
        <v>514</v>
      </c>
      <c r="J27" s="129" t="str">
        <f t="shared" si="0"/>
        <v>0</v>
      </c>
      <c r="K27" s="63">
        <f t="shared" si="1"/>
        <v>0</v>
      </c>
      <c r="L27" s="129" t="str">
        <f t="shared" si="2"/>
        <v>0</v>
      </c>
      <c r="M27" s="63" t="e">
        <f t="shared" si="3"/>
        <v>#VALUE!</v>
      </c>
    </row>
    <row r="28" spans="1:13">
      <c r="A28">
        <v>18.21</v>
      </c>
      <c r="B28">
        <v>77.59</v>
      </c>
      <c r="C28">
        <v>-9.89</v>
      </c>
      <c r="D28">
        <v>31.24</v>
      </c>
      <c r="E28" s="118">
        <v>8454</v>
      </c>
      <c r="F28" t="s">
        <v>4427</v>
      </c>
      <c r="G28" s="28" t="str">
        <f>VLOOKUP($E28,STOCKS!$D$2:$E$2035,2,0)</f>
        <v>--</v>
      </c>
      <c r="H28" s="28" t="str">
        <f>VLOOKUP($E28,STOCKS昨天!$D$2:$E$2035,2,0)</f>
        <v>--</v>
      </c>
      <c r="I28">
        <v>1770</v>
      </c>
      <c r="J28" s="129" t="str">
        <f t="shared" si="0"/>
        <v>0</v>
      </c>
      <c r="K28" s="63">
        <f t="shared" si="1"/>
        <v>0</v>
      </c>
      <c r="L28" s="129" t="str">
        <f t="shared" si="2"/>
        <v>0</v>
      </c>
      <c r="M28" s="63" t="e">
        <f t="shared" si="3"/>
        <v>#VALUE!</v>
      </c>
    </row>
    <row r="29" spans="1:13">
      <c r="A29">
        <v>1360.09</v>
      </c>
      <c r="B29">
        <v>26.63</v>
      </c>
      <c r="C29">
        <v>-21.63</v>
      </c>
      <c r="D29">
        <v>7.54</v>
      </c>
      <c r="E29" s="118">
        <v>5880</v>
      </c>
      <c r="F29" t="s">
        <v>4405</v>
      </c>
      <c r="G29" s="28" t="str">
        <f>VLOOKUP($E29,STOCKS!$D$2:$E$2035,2,0)</f>
        <v>--</v>
      </c>
      <c r="H29" s="28">
        <f>VLOOKUP($E29,STOCKS昨天!$D$2:$E$2035,2,0)</f>
        <v>23.5</v>
      </c>
      <c r="I29">
        <v>22.65</v>
      </c>
      <c r="J29" s="129" t="str">
        <f t="shared" si="0"/>
        <v>0</v>
      </c>
      <c r="K29" s="63">
        <f t="shared" si="1"/>
        <v>0</v>
      </c>
      <c r="L29" s="129" t="str">
        <f t="shared" si="2"/>
        <v>0</v>
      </c>
      <c r="M29" s="63">
        <f t="shared" si="3"/>
        <v>0</v>
      </c>
    </row>
    <row r="30" spans="1:13">
      <c r="A30">
        <v>386.26</v>
      </c>
      <c r="B30">
        <v>77.36</v>
      </c>
      <c r="C30">
        <v>-3.07</v>
      </c>
      <c r="D30">
        <v>-26.93</v>
      </c>
      <c r="E30" s="118">
        <v>2382</v>
      </c>
      <c r="F30" t="s">
        <v>4012</v>
      </c>
      <c r="G30" s="28" t="str">
        <f>VLOOKUP($E30,STOCKS!$D$2:$E$2035,2,0)</f>
        <v>--</v>
      </c>
      <c r="H30" s="28">
        <f>VLOOKUP($E30,STOCKS昨天!$D$2:$E$2035,2,0)</f>
        <v>87.6</v>
      </c>
      <c r="I30">
        <v>78.5</v>
      </c>
      <c r="J30" s="129" t="str">
        <f t="shared" si="0"/>
        <v>0</v>
      </c>
      <c r="K30" s="63">
        <f t="shared" si="1"/>
        <v>0</v>
      </c>
      <c r="L30" s="129" t="str">
        <f t="shared" si="2"/>
        <v>0</v>
      </c>
      <c r="M30" s="63">
        <f t="shared" si="3"/>
        <v>0</v>
      </c>
    </row>
    <row r="31" spans="1:13">
      <c r="A31">
        <v>1213.74</v>
      </c>
      <c r="B31">
        <v>84.77</v>
      </c>
      <c r="C31">
        <v>-21.65</v>
      </c>
      <c r="D31">
        <v>-14.2</v>
      </c>
      <c r="E31" s="118">
        <v>2885</v>
      </c>
      <c r="F31" t="s">
        <v>4396</v>
      </c>
      <c r="G31" s="28">
        <f>VLOOKUP($E31,STOCKS!$D$2:$E$2035,2,0)</f>
        <v>25.1</v>
      </c>
      <c r="H31" s="28">
        <f>VLOOKUP($E31,STOCKS昨天!$D$2:$E$2035,2,0)</f>
        <v>24.75</v>
      </c>
      <c r="I31">
        <v>24.55</v>
      </c>
      <c r="J31" s="129">
        <f t="shared" si="0"/>
        <v>0.55000000000000071</v>
      </c>
      <c r="K31" s="63">
        <f t="shared" si="1"/>
        <v>2.240325865580451E-2</v>
      </c>
      <c r="L31" s="129">
        <f t="shared" si="2"/>
        <v>0.35000000000000142</v>
      </c>
      <c r="M31" s="63">
        <f t="shared" si="3"/>
        <v>1.41414141414142E-2</v>
      </c>
    </row>
    <row r="32" spans="1:13">
      <c r="A32">
        <v>1296.42</v>
      </c>
      <c r="B32">
        <v>24.52</v>
      </c>
      <c r="C32">
        <v>-7.9</v>
      </c>
      <c r="D32">
        <v>8.15</v>
      </c>
      <c r="E32" s="118">
        <v>2892</v>
      </c>
      <c r="F32" t="s">
        <v>4403</v>
      </c>
      <c r="G32" s="28">
        <f>VLOOKUP($E32,STOCKS!$D$2:$E$2035,2,0)</f>
        <v>23.8</v>
      </c>
      <c r="H32" s="28">
        <f>VLOOKUP($E32,STOCKS昨天!$D$2:$E$2035,2,0)</f>
        <v>23.6</v>
      </c>
      <c r="I32">
        <v>22.85</v>
      </c>
      <c r="J32" s="129">
        <f t="shared" si="0"/>
        <v>0.94999999999999929</v>
      </c>
      <c r="K32" s="63">
        <f t="shared" si="1"/>
        <v>4.1575492341356643E-2</v>
      </c>
      <c r="L32" s="129">
        <f t="shared" si="2"/>
        <v>0.19999999999999929</v>
      </c>
      <c r="M32" s="63">
        <f t="shared" si="3"/>
        <v>8.4745762711864094E-3</v>
      </c>
    </row>
    <row r="33" spans="1:13">
      <c r="A33">
        <v>612.41999999999996</v>
      </c>
      <c r="B33">
        <v>-1.01</v>
      </c>
      <c r="C33">
        <v>7.06</v>
      </c>
      <c r="D33">
        <v>6.23</v>
      </c>
      <c r="E33" s="118">
        <v>1101</v>
      </c>
      <c r="F33" t="s">
        <v>3695</v>
      </c>
      <c r="G33" s="28">
        <f>VLOOKUP($E33,STOCKS!$D$2:$E$2035,2,0)</f>
        <v>47.7</v>
      </c>
      <c r="H33" s="28">
        <f>VLOOKUP($E33,STOCKS昨天!$D$2:$E$2035,2,0)</f>
        <v>47.8</v>
      </c>
      <c r="I33">
        <v>48.25</v>
      </c>
      <c r="J33" s="129">
        <f t="shared" si="0"/>
        <v>-0.54999999999999716</v>
      </c>
      <c r="K33" s="63">
        <f t="shared" si="1"/>
        <v>-1.1398963730569889E-2</v>
      </c>
      <c r="L33" s="129">
        <f t="shared" si="2"/>
        <v>-9.9999999999994316E-2</v>
      </c>
      <c r="M33" s="63">
        <f t="shared" si="3"/>
        <v>-2.0920502092049019E-3</v>
      </c>
    </row>
    <row r="34" spans="1:13">
      <c r="A34">
        <v>103.96</v>
      </c>
      <c r="B34">
        <v>-12.01</v>
      </c>
      <c r="C34">
        <v>1.52</v>
      </c>
      <c r="D34">
        <v>-0.9</v>
      </c>
      <c r="E34" s="118">
        <v>2912</v>
      </c>
      <c r="F34" t="s">
        <v>4417</v>
      </c>
      <c r="G34" s="28" t="str">
        <f>VLOOKUP($E34,STOCKS!$D$2:$E$2035,2,0)</f>
        <v>--</v>
      </c>
      <c r="H34" s="28">
        <f>VLOOKUP($E34,STOCKS昨天!$D$2:$E$2035,2,0)</f>
        <v>283.5</v>
      </c>
      <c r="I34">
        <v>281.5</v>
      </c>
      <c r="J34" s="129" t="str">
        <f t="shared" si="0"/>
        <v>0</v>
      </c>
      <c r="K34" s="63">
        <f t="shared" si="1"/>
        <v>0</v>
      </c>
      <c r="L34" s="129" t="str">
        <f t="shared" si="2"/>
        <v>0</v>
      </c>
      <c r="M34" s="63">
        <f t="shared" si="3"/>
        <v>0</v>
      </c>
    </row>
    <row r="35" spans="1:13">
      <c r="A35">
        <v>349.21</v>
      </c>
      <c r="B35">
        <v>7708.77</v>
      </c>
      <c r="C35">
        <v>1.32</v>
      </c>
      <c r="D35">
        <v>145.04</v>
      </c>
      <c r="E35" s="118">
        <v>2609</v>
      </c>
      <c r="F35" t="s">
        <v>3567</v>
      </c>
      <c r="G35" s="28">
        <f>VLOOKUP($E35,STOCKS!$D$2:$E$2035,2,0)</f>
        <v>111.5</v>
      </c>
      <c r="H35" s="28">
        <f>VLOOKUP($E35,STOCKS昨天!$D$2:$E$2035,2,0)</f>
        <v>111</v>
      </c>
      <c r="I35">
        <v>98</v>
      </c>
      <c r="J35" s="129">
        <f t="shared" si="0"/>
        <v>13.5</v>
      </c>
      <c r="K35" s="63">
        <f t="shared" si="1"/>
        <v>0.13775510204081631</v>
      </c>
      <c r="L35" s="129">
        <f t="shared" si="2"/>
        <v>0.5</v>
      </c>
      <c r="M35" s="63">
        <f t="shared" si="3"/>
        <v>4.5045045045045045E-3</v>
      </c>
    </row>
    <row r="36" spans="1:13">
      <c r="A36">
        <v>150.47</v>
      </c>
      <c r="B36">
        <v>152.74</v>
      </c>
      <c r="C36">
        <v>-1.21</v>
      </c>
      <c r="D36">
        <v>19.309999999999999</v>
      </c>
      <c r="E36" s="118">
        <v>3037</v>
      </c>
      <c r="F36" t="s">
        <v>4181</v>
      </c>
      <c r="G36" s="28">
        <f>VLOOKUP($E36,STOCKS!$D$2:$E$2035,2,0)</f>
        <v>195.5</v>
      </c>
      <c r="H36" s="28">
        <f>VLOOKUP($E36,STOCKS昨天!$D$2:$E$2035,2,0)</f>
        <v>197</v>
      </c>
      <c r="I36">
        <v>189</v>
      </c>
      <c r="J36" s="129">
        <f t="shared" si="0"/>
        <v>6.5</v>
      </c>
      <c r="K36" s="63">
        <f t="shared" si="1"/>
        <v>3.439153439153439E-2</v>
      </c>
      <c r="L36" s="129">
        <f t="shared" si="2"/>
        <v>-1.5</v>
      </c>
      <c r="M36" s="63">
        <f t="shared" si="3"/>
        <v>-7.6142131979695434E-3</v>
      </c>
    </row>
    <row r="37" spans="1:13">
      <c r="A37">
        <v>77.41</v>
      </c>
      <c r="B37">
        <v>8.1999999999999993</v>
      </c>
      <c r="C37">
        <v>6.57</v>
      </c>
      <c r="D37">
        <v>26.21</v>
      </c>
      <c r="E37" s="118">
        <v>2395</v>
      </c>
      <c r="F37" t="s">
        <v>3664</v>
      </c>
      <c r="G37" s="28" t="str">
        <f>VLOOKUP($E37,STOCKS!$D$2:$E$2035,2,0)</f>
        <v>--</v>
      </c>
      <c r="H37" s="28">
        <f>VLOOKUP($E37,STOCKS昨天!$D$2:$E$2035,2,0)</f>
        <v>387</v>
      </c>
      <c r="I37">
        <v>366.5</v>
      </c>
      <c r="J37" s="129" t="str">
        <f t="shared" si="0"/>
        <v>0</v>
      </c>
      <c r="K37" s="63">
        <f t="shared" si="1"/>
        <v>0</v>
      </c>
      <c r="L37" s="129" t="str">
        <f t="shared" si="2"/>
        <v>0</v>
      </c>
      <c r="M37" s="63">
        <f t="shared" si="3"/>
        <v>0</v>
      </c>
    </row>
    <row r="38" spans="1:13">
      <c r="A38">
        <v>13.41</v>
      </c>
      <c r="B38">
        <v>-22.99</v>
      </c>
      <c r="C38">
        <v>3.99</v>
      </c>
      <c r="D38">
        <v>-18.59</v>
      </c>
      <c r="E38" s="118">
        <v>3008</v>
      </c>
      <c r="F38" t="s">
        <v>4060</v>
      </c>
      <c r="G38" s="28" t="str">
        <f>VLOOKUP($E38,STOCKS!$D$2:$E$2035,2,0)</f>
        <v>--</v>
      </c>
      <c r="H38" s="28">
        <f>VLOOKUP($E38,STOCKS昨天!$D$2:$E$2035,2,0)</f>
        <v>2035</v>
      </c>
      <c r="I38">
        <v>2110</v>
      </c>
      <c r="J38" s="129" t="str">
        <f t="shared" si="0"/>
        <v>0</v>
      </c>
      <c r="K38" s="63">
        <f t="shared" si="1"/>
        <v>0</v>
      </c>
      <c r="L38" s="129" t="str">
        <f t="shared" si="2"/>
        <v>0</v>
      </c>
      <c r="M38" s="63">
        <f t="shared" si="3"/>
        <v>0</v>
      </c>
    </row>
    <row r="39" spans="1:13">
      <c r="A39">
        <v>1319.41</v>
      </c>
      <c r="B39">
        <v>530.54999999999995</v>
      </c>
      <c r="C39">
        <v>-17.170000000000002</v>
      </c>
      <c r="D39">
        <v>20.14</v>
      </c>
      <c r="E39" s="118">
        <v>2880</v>
      </c>
      <c r="F39" t="s">
        <v>4391</v>
      </c>
      <c r="G39" s="28" t="str">
        <f>VLOOKUP($E39,STOCKS!$D$2:$E$2035,2,0)</f>
        <v>--</v>
      </c>
      <c r="H39" s="28">
        <f>VLOOKUP($E39,STOCKS昨天!$D$2:$E$2035,2,0)</f>
        <v>20.75</v>
      </c>
      <c r="I39">
        <v>20.350000000000001</v>
      </c>
      <c r="J39" s="129" t="str">
        <f t="shared" si="0"/>
        <v>0</v>
      </c>
      <c r="K39" s="63">
        <f t="shared" si="1"/>
        <v>0</v>
      </c>
      <c r="L39" s="129" t="str">
        <f t="shared" si="2"/>
        <v>0</v>
      </c>
      <c r="M39" s="63">
        <f t="shared" si="3"/>
        <v>0</v>
      </c>
    </row>
    <row r="40" spans="1:13">
      <c r="A40">
        <v>74.28</v>
      </c>
      <c r="B40">
        <v>214.35</v>
      </c>
      <c r="C40">
        <v>23.28</v>
      </c>
      <c r="D40">
        <v>19.14</v>
      </c>
      <c r="E40" s="118">
        <v>2357</v>
      </c>
      <c r="F40" t="s">
        <v>4007</v>
      </c>
      <c r="G40" s="28" t="str">
        <f>VLOOKUP($E40,STOCKS!$D$2:$E$2035,2,0)</f>
        <v>--</v>
      </c>
      <c r="H40" s="28">
        <f>VLOOKUP($E40,STOCKS昨天!$D$2:$E$2035,2,0)</f>
        <v>352.5</v>
      </c>
      <c r="I40">
        <v>355</v>
      </c>
      <c r="J40" s="129" t="str">
        <f t="shared" si="0"/>
        <v>0</v>
      </c>
      <c r="K40" s="63">
        <f t="shared" si="1"/>
        <v>0</v>
      </c>
      <c r="L40" s="129" t="str">
        <f t="shared" si="2"/>
        <v>0</v>
      </c>
      <c r="M40" s="63">
        <f t="shared" si="3"/>
        <v>0</v>
      </c>
    </row>
    <row r="41" spans="1:13">
      <c r="A41">
        <v>51.07</v>
      </c>
      <c r="B41">
        <v>101.14</v>
      </c>
      <c r="C41">
        <v>1.44</v>
      </c>
      <c r="D41">
        <v>19.48</v>
      </c>
      <c r="E41" s="118">
        <v>2379</v>
      </c>
      <c r="F41" t="s">
        <v>3951</v>
      </c>
      <c r="G41" s="28" t="str">
        <f>VLOOKUP($E41,STOCKS!$D$2:$E$2035,2,0)</f>
        <v>--</v>
      </c>
      <c r="H41" s="28">
        <f>VLOOKUP($E41,STOCKS昨天!$D$2:$E$2035,2,0)</f>
        <v>544</v>
      </c>
      <c r="I41">
        <v>500</v>
      </c>
      <c r="J41" s="129" t="str">
        <f t="shared" si="0"/>
        <v>0</v>
      </c>
      <c r="K41" s="63">
        <f t="shared" si="1"/>
        <v>0</v>
      </c>
      <c r="L41" s="129" t="str">
        <f t="shared" si="2"/>
        <v>0</v>
      </c>
      <c r="M41" s="63">
        <f t="shared" si="3"/>
        <v>0</v>
      </c>
    </row>
    <row r="42" spans="1:13">
      <c r="A42">
        <v>60.85</v>
      </c>
      <c r="B42">
        <v>241.76</v>
      </c>
      <c r="C42">
        <v>0.13</v>
      </c>
      <c r="D42">
        <v>62.17</v>
      </c>
      <c r="E42" s="118">
        <v>3034</v>
      </c>
      <c r="F42" t="s">
        <v>3965</v>
      </c>
      <c r="G42" s="28">
        <f>VLOOKUP($E42,STOCKS!$D$2:$E$2035,2,0)</f>
        <v>487.5</v>
      </c>
      <c r="H42" s="28">
        <f>VLOOKUP($E42,STOCKS昨天!$D$2:$E$2035,2,0)</f>
        <v>485.5</v>
      </c>
      <c r="I42">
        <v>418.5</v>
      </c>
      <c r="J42" s="129">
        <f t="shared" si="0"/>
        <v>69</v>
      </c>
      <c r="K42" s="63">
        <f t="shared" si="1"/>
        <v>0.16487455197132617</v>
      </c>
      <c r="L42" s="129">
        <f t="shared" si="2"/>
        <v>2</v>
      </c>
      <c r="M42" s="63">
        <f t="shared" si="3"/>
        <v>4.1194644696189494E-3</v>
      </c>
    </row>
    <row r="43" spans="1:13">
      <c r="A43">
        <v>163.9</v>
      </c>
      <c r="B43">
        <v>62.82</v>
      </c>
      <c r="C43">
        <v>3.53</v>
      </c>
      <c r="D43">
        <v>46.36</v>
      </c>
      <c r="E43" s="118">
        <v>5347</v>
      </c>
      <c r="F43" t="s">
        <v>4689</v>
      </c>
      <c r="G43" s="28" t="str">
        <f>VLOOKUP($E43,STOCKS!$D$2:$E$2035,2,0)</f>
        <v>--</v>
      </c>
      <c r="H43" s="28">
        <f>VLOOKUP($E43,STOCKS昨天!$D$2:$E$2035,2,0)</f>
        <v>153.5</v>
      </c>
      <c r="I43">
        <v>148.5</v>
      </c>
      <c r="J43" s="129" t="str">
        <f t="shared" si="0"/>
        <v>0</v>
      </c>
      <c r="K43" s="63">
        <f t="shared" si="1"/>
        <v>0</v>
      </c>
      <c r="L43" s="129" t="str">
        <f t="shared" si="2"/>
        <v>0</v>
      </c>
      <c r="M43" s="63">
        <f t="shared" si="3"/>
        <v>0</v>
      </c>
    </row>
    <row r="44" spans="1:13">
      <c r="A44">
        <v>49.59</v>
      </c>
      <c r="B44">
        <v>100.98</v>
      </c>
      <c r="C44">
        <v>0.06</v>
      </c>
      <c r="D44">
        <v>28.03</v>
      </c>
      <c r="E44" s="118">
        <v>2327</v>
      </c>
      <c r="F44" t="s">
        <v>3645</v>
      </c>
      <c r="G44" s="28" t="str">
        <f>VLOOKUP($E44,STOCKS!$D$2:$E$2035,2,0)</f>
        <v>--</v>
      </c>
      <c r="H44" s="28">
        <f>VLOOKUP($E44,STOCKS昨天!$D$2:$E$2035,2,0)</f>
        <v>463</v>
      </c>
      <c r="I44">
        <v>427</v>
      </c>
      <c r="J44" s="129" t="str">
        <f t="shared" si="0"/>
        <v>0</v>
      </c>
      <c r="K44" s="63">
        <f t="shared" si="1"/>
        <v>0</v>
      </c>
      <c r="L44" s="129" t="str">
        <f t="shared" si="2"/>
        <v>0</v>
      </c>
      <c r="M44" s="63">
        <f t="shared" si="3"/>
        <v>0</v>
      </c>
    </row>
    <row r="45" spans="1:13">
      <c r="A45">
        <v>1500.51</v>
      </c>
      <c r="B45">
        <v>239.7</v>
      </c>
      <c r="C45">
        <v>-5.94</v>
      </c>
      <c r="D45">
        <v>7.06</v>
      </c>
      <c r="E45" s="118">
        <v>2883</v>
      </c>
      <c r="F45" t="s">
        <v>4394</v>
      </c>
      <c r="G45" s="28">
        <f>VLOOKUP($E45,STOCKS!$D$2:$E$2035,2,0)</f>
        <v>17.05</v>
      </c>
      <c r="H45" s="28">
        <f>VLOOKUP($E45,STOCKS昨天!$D$2:$E$2035,2,0)</f>
        <v>16.8</v>
      </c>
      <c r="I45">
        <v>14.1</v>
      </c>
      <c r="J45" s="129">
        <f t="shared" si="0"/>
        <v>2.9500000000000011</v>
      </c>
      <c r="K45" s="63">
        <f t="shared" si="1"/>
        <v>0.20921985815602845</v>
      </c>
      <c r="L45" s="129">
        <f t="shared" si="2"/>
        <v>0.25</v>
      </c>
      <c r="M45" s="63">
        <f t="shared" si="3"/>
        <v>1.488095238095238E-2</v>
      </c>
    </row>
    <row r="46" spans="1:13">
      <c r="A46">
        <v>1140.94</v>
      </c>
      <c r="B46">
        <v>81.39</v>
      </c>
      <c r="C46">
        <v>-15.5</v>
      </c>
      <c r="D46">
        <v>50.23</v>
      </c>
      <c r="E46" s="118">
        <v>2887</v>
      </c>
      <c r="F46" t="s">
        <v>4398</v>
      </c>
      <c r="G46" s="28">
        <f>VLOOKUP($E46,STOCKS!$D$2:$E$2035,2,0)</f>
        <v>18.7</v>
      </c>
      <c r="H46" s="28">
        <f>VLOOKUP($E46,STOCKS昨天!$D$2:$E$2035,2,0)</f>
        <v>18.600000000000001</v>
      </c>
      <c r="I46">
        <v>18.25</v>
      </c>
      <c r="J46" s="129">
        <f t="shared" si="0"/>
        <v>0.44999999999999929</v>
      </c>
      <c r="K46" s="63">
        <f t="shared" si="1"/>
        <v>2.4657534246575304E-2</v>
      </c>
      <c r="L46" s="129">
        <f t="shared" si="2"/>
        <v>9.9999999999997868E-2</v>
      </c>
      <c r="M46" s="63">
        <f t="shared" si="3"/>
        <v>5.3763440860213904E-3</v>
      </c>
    </row>
    <row r="47" spans="1:13">
      <c r="A47">
        <v>309.74</v>
      </c>
      <c r="B47">
        <v>72.239999999999995</v>
      </c>
      <c r="C47">
        <v>-6.49</v>
      </c>
      <c r="D47">
        <v>38.4</v>
      </c>
      <c r="E47" s="118">
        <v>2408</v>
      </c>
      <c r="F47" t="s">
        <v>3954</v>
      </c>
      <c r="G47" s="28" t="str">
        <f>VLOOKUP($E47,STOCKS!$D$2:$E$2035,2,0)</f>
        <v>--</v>
      </c>
      <c r="H47" s="28">
        <f>VLOOKUP($E47,STOCKS昨天!$D$2:$E$2035,2,0)</f>
        <v>75.7</v>
      </c>
      <c r="I47">
        <v>67</v>
      </c>
      <c r="J47" s="129" t="str">
        <f t="shared" si="0"/>
        <v>0</v>
      </c>
      <c r="K47" s="63">
        <f t="shared" si="1"/>
        <v>0</v>
      </c>
      <c r="L47" s="129" t="str">
        <f t="shared" si="2"/>
        <v>0</v>
      </c>
      <c r="M47" s="63">
        <f t="shared" si="3"/>
        <v>0</v>
      </c>
    </row>
    <row r="48" spans="1:13">
      <c r="A48">
        <v>325.85000000000002</v>
      </c>
      <c r="B48">
        <v>-13.8</v>
      </c>
      <c r="C48">
        <v>14.5</v>
      </c>
      <c r="D48">
        <v>25.28</v>
      </c>
      <c r="E48" s="118">
        <v>4904</v>
      </c>
      <c r="F48" t="s">
        <v>4131</v>
      </c>
      <c r="G48" s="28" t="str">
        <f>VLOOKUP($E48,STOCKS!$D$2:$E$2035,2,0)</f>
        <v>--</v>
      </c>
      <c r="H48" s="28">
        <f>VLOOKUP($E48,STOCKS昨天!$D$2:$E$2035,2,0)</f>
        <v>63.8</v>
      </c>
      <c r="I48">
        <v>61.5</v>
      </c>
      <c r="J48" s="129" t="str">
        <f t="shared" si="0"/>
        <v>0</v>
      </c>
      <c r="K48" s="63">
        <f t="shared" si="1"/>
        <v>0</v>
      </c>
      <c r="L48" s="129" t="str">
        <f t="shared" si="2"/>
        <v>0</v>
      </c>
      <c r="M48" s="63">
        <f t="shared" si="3"/>
        <v>0</v>
      </c>
    </row>
    <row r="49" spans="1:13">
      <c r="A49">
        <v>448.16</v>
      </c>
      <c r="B49">
        <v>7.16</v>
      </c>
      <c r="C49">
        <v>-1.86</v>
      </c>
      <c r="D49">
        <v>3.88</v>
      </c>
      <c r="E49" s="118">
        <v>5876</v>
      </c>
      <c r="F49" t="s">
        <v>3678</v>
      </c>
      <c r="G49" s="28">
        <f>VLOOKUP($E49,STOCKS!$D$2:$E$2035,2,0)</f>
        <v>47.45</v>
      </c>
      <c r="H49" s="28">
        <f>VLOOKUP($E49,STOCKS昨天!$D$2:$E$2035,2,0)</f>
        <v>46.95</v>
      </c>
      <c r="I49">
        <v>44.3</v>
      </c>
      <c r="J49" s="129">
        <f t="shared" si="0"/>
        <v>3.1500000000000057</v>
      </c>
      <c r="K49" s="63">
        <f t="shared" si="1"/>
        <v>7.1106094808126546E-2</v>
      </c>
      <c r="L49" s="129">
        <f t="shared" si="2"/>
        <v>0.5</v>
      </c>
      <c r="M49" s="63">
        <f t="shared" si="3"/>
        <v>1.0649627263045794E-2</v>
      </c>
    </row>
    <row r="50" spans="1:13">
      <c r="A50">
        <v>88.17</v>
      </c>
      <c r="B50">
        <v>46.54</v>
      </c>
      <c r="C50">
        <v>-5.07</v>
      </c>
      <c r="D50">
        <v>-48.26</v>
      </c>
      <c r="E50" s="118">
        <v>9910</v>
      </c>
      <c r="F50" t="s">
        <v>3671</v>
      </c>
      <c r="G50" s="28" t="str">
        <f>VLOOKUP($E50,STOCKS!$D$2:$E$2035,2,0)</f>
        <v>--</v>
      </c>
      <c r="H50" s="28">
        <f>VLOOKUP($E50,STOCKS昨天!$D$2:$E$2035,2,0)</f>
        <v>211</v>
      </c>
      <c r="I50">
        <v>218</v>
      </c>
      <c r="J50" s="129" t="str">
        <f t="shared" si="0"/>
        <v>0</v>
      </c>
      <c r="K50" s="63">
        <f t="shared" si="1"/>
        <v>0</v>
      </c>
      <c r="L50" s="129" t="str">
        <f t="shared" si="2"/>
        <v>0</v>
      </c>
      <c r="M50" s="63">
        <f t="shared" si="3"/>
        <v>0</v>
      </c>
    </row>
    <row r="51" spans="1:13">
      <c r="A51">
        <v>962.42</v>
      </c>
      <c r="B51">
        <v>453.03</v>
      </c>
      <c r="C51">
        <v>0.88</v>
      </c>
      <c r="D51">
        <v>26.54</v>
      </c>
      <c r="E51" s="118">
        <v>2409</v>
      </c>
      <c r="F51" t="s">
        <v>4055</v>
      </c>
      <c r="G51" s="28">
        <f>VLOOKUP($E51,STOCKS!$D$2:$E$2035,2,0)</f>
        <v>21.2</v>
      </c>
      <c r="H51" s="28">
        <f>VLOOKUP($E51,STOCKS昨天!$D$2:$E$2035,2,0)</f>
        <v>21.05</v>
      </c>
      <c r="I51">
        <v>19.2</v>
      </c>
      <c r="J51" s="129">
        <f t="shared" si="0"/>
        <v>2</v>
      </c>
      <c r="K51" s="63">
        <f t="shared" si="1"/>
        <v>0.10416666666666667</v>
      </c>
      <c r="L51" s="129">
        <f t="shared" si="2"/>
        <v>0.14999999999999858</v>
      </c>
      <c r="M51" s="63">
        <f t="shared" si="3"/>
        <v>7.1258907363419754E-3</v>
      </c>
    </row>
    <row r="52" spans="1:13">
      <c r="A52">
        <v>266.95</v>
      </c>
      <c r="B52">
        <v>28.36</v>
      </c>
      <c r="C52">
        <v>74.7</v>
      </c>
      <c r="D52">
        <v>18.100000000000001</v>
      </c>
      <c r="E52" s="118">
        <v>4938</v>
      </c>
      <c r="F52" t="s">
        <v>4033</v>
      </c>
      <c r="G52" s="28" t="str">
        <f>VLOOKUP($E52,STOCKS!$D$2:$E$2035,2,0)</f>
        <v>--</v>
      </c>
      <c r="H52" s="28">
        <f>VLOOKUP($E52,STOCKS昨天!$D$2:$E$2035,2,0)</f>
        <v>68.3</v>
      </c>
      <c r="I52">
        <v>68.099999999999994</v>
      </c>
      <c r="J52" s="129" t="str">
        <f t="shared" si="0"/>
        <v>0</v>
      </c>
      <c r="K52" s="63">
        <f t="shared" si="1"/>
        <v>0</v>
      </c>
      <c r="L52" s="129" t="str">
        <f t="shared" si="2"/>
        <v>0</v>
      </c>
      <c r="M52" s="63">
        <f t="shared" si="3"/>
        <v>0</v>
      </c>
    </row>
    <row r="53" spans="1:13">
      <c r="A53">
        <v>7.61</v>
      </c>
      <c r="B53">
        <v>57.09</v>
      </c>
      <c r="C53">
        <v>-65.290000000000006</v>
      </c>
      <c r="D53">
        <v>26.33</v>
      </c>
      <c r="E53" s="118">
        <v>3529</v>
      </c>
      <c r="F53" t="s">
        <v>4674</v>
      </c>
      <c r="G53" s="28" t="str">
        <f>VLOOKUP($E53,STOCKS!$D$2:$E$2035,2,0)</f>
        <v>--</v>
      </c>
      <c r="H53" s="28">
        <f>VLOOKUP($E53,STOCKS昨天!$D$2:$E$2035,2,0)</f>
        <v>2260</v>
      </c>
      <c r="I53">
        <v>2380</v>
      </c>
      <c r="J53" s="129" t="str">
        <f t="shared" si="0"/>
        <v>0</v>
      </c>
      <c r="K53" s="63">
        <f t="shared" si="1"/>
        <v>0</v>
      </c>
      <c r="L53" s="129" t="str">
        <f t="shared" si="2"/>
        <v>0</v>
      </c>
      <c r="M53" s="63">
        <f t="shared" si="3"/>
        <v>0</v>
      </c>
    </row>
    <row r="54" spans="1:13">
      <c r="A54">
        <v>1055.96</v>
      </c>
      <c r="B54">
        <v>428.54</v>
      </c>
      <c r="C54">
        <v>-6.15</v>
      </c>
      <c r="D54">
        <v>11.76</v>
      </c>
      <c r="E54" s="118">
        <v>3481</v>
      </c>
      <c r="F54" t="s">
        <v>4075</v>
      </c>
      <c r="G54" s="28">
        <f>VLOOKUP($E54,STOCKS!$D$2:$E$2035,2,0)</f>
        <v>18.75</v>
      </c>
      <c r="H54" s="28">
        <f>VLOOKUP($E54,STOCKS昨天!$D$2:$E$2035,2,0)</f>
        <v>18.5</v>
      </c>
      <c r="I54">
        <v>16.55</v>
      </c>
      <c r="J54" s="129">
        <f t="shared" si="0"/>
        <v>2.1999999999999993</v>
      </c>
      <c r="K54" s="63">
        <f t="shared" si="1"/>
        <v>0.13293051359516611</v>
      </c>
      <c r="L54" s="129">
        <f t="shared" si="2"/>
        <v>0.25</v>
      </c>
      <c r="M54" s="63">
        <f t="shared" si="3"/>
        <v>1.3513513513513514E-2</v>
      </c>
    </row>
    <row r="55" spans="1:13">
      <c r="A55">
        <v>1048.8599999999999</v>
      </c>
      <c r="B55">
        <v>-1.84</v>
      </c>
      <c r="C55">
        <v>-18.14</v>
      </c>
      <c r="D55">
        <v>14.48</v>
      </c>
      <c r="E55" s="118">
        <v>2801</v>
      </c>
      <c r="F55" t="s">
        <v>4374</v>
      </c>
      <c r="G55" s="28" t="str">
        <f>VLOOKUP($E55,STOCKS!$D$2:$E$2035,2,0)</f>
        <v>--</v>
      </c>
      <c r="H55" s="28">
        <f>VLOOKUP($E55,STOCKS昨天!$D$2:$E$2035,2,0)</f>
        <v>17.05</v>
      </c>
      <c r="I55">
        <v>16.45</v>
      </c>
      <c r="J55" s="129" t="str">
        <f t="shared" si="0"/>
        <v>0</v>
      </c>
      <c r="K55" s="63">
        <f t="shared" si="1"/>
        <v>0</v>
      </c>
      <c r="L55" s="129" t="str">
        <f t="shared" si="2"/>
        <v>0</v>
      </c>
      <c r="M55" s="63">
        <f t="shared" si="3"/>
        <v>0</v>
      </c>
    </row>
    <row r="56" spans="1:13">
      <c r="A56">
        <v>20</v>
      </c>
      <c r="B56">
        <v>87.96</v>
      </c>
      <c r="C56">
        <v>-3.64</v>
      </c>
      <c r="D56">
        <v>20.58</v>
      </c>
      <c r="E56" s="118">
        <v>1590</v>
      </c>
      <c r="F56" t="s">
        <v>3662</v>
      </c>
      <c r="G56" s="28" t="str">
        <f>VLOOKUP($E56,STOCKS!$D$2:$E$2035,2,0)</f>
        <v>--</v>
      </c>
      <c r="H56" s="28">
        <f>VLOOKUP($E56,STOCKS昨天!$D$2:$E$2035,2,0)</f>
        <v>846</v>
      </c>
      <c r="I56">
        <v>855</v>
      </c>
      <c r="J56" s="129" t="str">
        <f t="shared" si="0"/>
        <v>0</v>
      </c>
      <c r="K56" s="63">
        <f t="shared" si="1"/>
        <v>0</v>
      </c>
      <c r="L56" s="129" t="str">
        <f t="shared" si="2"/>
        <v>0</v>
      </c>
      <c r="M56" s="63">
        <f t="shared" si="3"/>
        <v>0</v>
      </c>
    </row>
    <row r="57" spans="1:13">
      <c r="A57">
        <v>27.44</v>
      </c>
      <c r="B57">
        <v>104.87</v>
      </c>
      <c r="C57">
        <v>-19.45</v>
      </c>
      <c r="D57">
        <v>-21.18</v>
      </c>
      <c r="E57" s="118">
        <v>1476</v>
      </c>
      <c r="F57" t="s">
        <v>3767</v>
      </c>
      <c r="G57" s="28" t="str">
        <f>VLOOKUP($E57,STOCKS!$D$2:$E$2035,2,0)</f>
        <v>--</v>
      </c>
      <c r="H57" s="28">
        <f>VLOOKUP($E57,STOCKS昨天!$D$2:$E$2035,2,0)</f>
        <v>622</v>
      </c>
      <c r="I57">
        <v>610</v>
      </c>
      <c r="J57" s="129" t="str">
        <f t="shared" si="0"/>
        <v>0</v>
      </c>
      <c r="K57" s="63">
        <f t="shared" si="1"/>
        <v>0</v>
      </c>
      <c r="L57" s="129" t="str">
        <f t="shared" si="2"/>
        <v>0</v>
      </c>
      <c r="M57" s="63">
        <f t="shared" si="3"/>
        <v>0</v>
      </c>
    </row>
    <row r="58" spans="1:13">
      <c r="A58">
        <v>17.48</v>
      </c>
      <c r="B58">
        <v>10.35</v>
      </c>
      <c r="C58">
        <v>16.68</v>
      </c>
      <c r="D58">
        <v>-0.4</v>
      </c>
      <c r="E58" s="118">
        <v>6669</v>
      </c>
      <c r="F58" t="s">
        <v>4046</v>
      </c>
      <c r="G58" s="28" t="str">
        <f>VLOOKUP($E58,STOCKS!$D$2:$E$2035,2,0)</f>
        <v>--</v>
      </c>
      <c r="H58" s="28" t="str">
        <f>VLOOKUP($E58,STOCKS昨天!$D$2:$E$2035,2,0)</f>
        <v>--</v>
      </c>
      <c r="I58">
        <v>928</v>
      </c>
      <c r="J58" s="129" t="str">
        <f t="shared" si="0"/>
        <v>0</v>
      </c>
      <c r="K58" s="63">
        <f t="shared" si="1"/>
        <v>0</v>
      </c>
      <c r="L58" s="129" t="str">
        <f t="shared" si="2"/>
        <v>0</v>
      </c>
      <c r="M58" s="63" t="e">
        <f t="shared" si="3"/>
        <v>#VALUE!</v>
      </c>
    </row>
    <row r="59" spans="1:13">
      <c r="A59">
        <v>1127.1099999999999</v>
      </c>
      <c r="B59">
        <v>52.06</v>
      </c>
      <c r="C59">
        <v>-10.08</v>
      </c>
      <c r="D59">
        <v>13.69</v>
      </c>
      <c r="E59" s="118">
        <v>2890</v>
      </c>
      <c r="F59" t="s">
        <v>4401</v>
      </c>
      <c r="G59" s="28" t="str">
        <f>VLOOKUP($E59,STOCKS!$D$2:$E$2035,2,0)</f>
        <v>--</v>
      </c>
      <c r="H59" s="28">
        <f>VLOOKUP($E59,STOCKS昨天!$D$2:$E$2035,2,0)</f>
        <v>15.3</v>
      </c>
      <c r="I59">
        <v>14.15</v>
      </c>
      <c r="J59" s="129" t="str">
        <f t="shared" si="0"/>
        <v>0</v>
      </c>
      <c r="K59" s="63">
        <f t="shared" si="1"/>
        <v>0</v>
      </c>
      <c r="L59" s="129" t="str">
        <f t="shared" si="2"/>
        <v>0</v>
      </c>
      <c r="M59" s="63">
        <f t="shared" si="3"/>
        <v>0</v>
      </c>
    </row>
    <row r="60" spans="1:13">
      <c r="A60">
        <v>535.29</v>
      </c>
      <c r="B60">
        <v>34.07</v>
      </c>
      <c r="C60">
        <v>3.78</v>
      </c>
      <c r="D60">
        <v>19.170000000000002</v>
      </c>
      <c r="E60" s="118">
        <v>1402</v>
      </c>
      <c r="F60" t="s">
        <v>3738</v>
      </c>
      <c r="G60" s="28">
        <f>VLOOKUP($E60,STOCKS!$D$2:$E$2035,2,0)</f>
        <v>28.8</v>
      </c>
      <c r="H60" s="28">
        <f>VLOOKUP($E60,STOCKS昨天!$D$2:$E$2035,2,0)</f>
        <v>28.75</v>
      </c>
      <c r="I60">
        <v>29</v>
      </c>
      <c r="J60" s="129">
        <f t="shared" si="0"/>
        <v>-0.19999999999999929</v>
      </c>
      <c r="K60" s="63">
        <f t="shared" si="1"/>
        <v>-6.8965517241379067E-3</v>
      </c>
      <c r="L60" s="129">
        <f t="shared" si="2"/>
        <v>5.0000000000000711E-2</v>
      </c>
      <c r="M60" s="63">
        <f t="shared" si="3"/>
        <v>1.7391304347826335E-3</v>
      </c>
    </row>
    <row r="61" spans="1:13">
      <c r="A61">
        <v>359.82</v>
      </c>
      <c r="B61">
        <v>34.85</v>
      </c>
      <c r="C61">
        <v>8.8699999999999992</v>
      </c>
      <c r="D61">
        <v>7.92</v>
      </c>
      <c r="E61" s="118">
        <v>1102</v>
      </c>
      <c r="F61" t="s">
        <v>3696</v>
      </c>
      <c r="G61" s="28">
        <f>VLOOKUP($E61,STOCKS!$D$2:$E$2035,2,0)</f>
        <v>43.65</v>
      </c>
      <c r="H61" s="28">
        <f>VLOOKUP($E61,STOCKS昨天!$D$2:$E$2035,2,0)</f>
        <v>44.1</v>
      </c>
      <c r="I61">
        <v>44.2</v>
      </c>
      <c r="J61" s="129">
        <f t="shared" si="0"/>
        <v>-0.55000000000000426</v>
      </c>
      <c r="K61" s="63">
        <f t="shared" si="1"/>
        <v>-1.2443438914027246E-2</v>
      </c>
      <c r="L61" s="129">
        <f t="shared" si="2"/>
        <v>-0.45000000000000284</v>
      </c>
      <c r="M61" s="63">
        <f t="shared" si="3"/>
        <v>-1.0204081632653125E-2</v>
      </c>
    </row>
    <row r="62" spans="1:13">
      <c r="A62">
        <v>42.4</v>
      </c>
      <c r="B62">
        <v>-37.229999999999997</v>
      </c>
      <c r="C62">
        <v>2.08</v>
      </c>
      <c r="D62">
        <v>3.67</v>
      </c>
      <c r="E62" s="118">
        <v>3105</v>
      </c>
      <c r="F62" t="s">
        <v>3618</v>
      </c>
      <c r="G62" s="28" t="str">
        <f>VLOOKUP($E62,STOCKS!$D$2:$E$2035,2,0)</f>
        <v>--</v>
      </c>
      <c r="H62" s="28">
        <f>VLOOKUP($E62,STOCKS昨天!$D$2:$E$2035,2,0)</f>
        <v>353.5</v>
      </c>
      <c r="I62">
        <v>358.5</v>
      </c>
      <c r="J62" s="129" t="str">
        <f t="shared" si="0"/>
        <v>0</v>
      </c>
      <c r="K62" s="63">
        <f t="shared" si="1"/>
        <v>0</v>
      </c>
      <c r="L62" s="129" t="str">
        <f t="shared" si="2"/>
        <v>0</v>
      </c>
      <c r="M62" s="63">
        <f t="shared" si="3"/>
        <v>0</v>
      </c>
    </row>
    <row r="63" spans="1:13">
      <c r="A63">
        <v>210.68</v>
      </c>
      <c r="B63">
        <v>139.11000000000001</v>
      </c>
      <c r="C63">
        <v>-44.68</v>
      </c>
      <c r="D63">
        <v>2.57</v>
      </c>
      <c r="E63" s="118">
        <v>9945</v>
      </c>
      <c r="F63" t="s">
        <v>4498</v>
      </c>
      <c r="G63" s="28" t="str">
        <f>VLOOKUP($E63,STOCKS!$D$2:$E$2035,2,0)</f>
        <v>--</v>
      </c>
      <c r="H63" s="28" t="str">
        <f>VLOOKUP($E63,STOCKS昨天!$D$2:$E$2035,2,0)</f>
        <v>--</v>
      </c>
      <c r="I63">
        <v>70.900000000000006</v>
      </c>
      <c r="J63" s="129" t="str">
        <f t="shared" si="0"/>
        <v>0</v>
      </c>
      <c r="K63" s="63">
        <f t="shared" si="1"/>
        <v>0</v>
      </c>
      <c r="L63" s="129" t="str">
        <f t="shared" si="2"/>
        <v>0</v>
      </c>
      <c r="M63" s="63" t="e">
        <f t="shared" si="3"/>
        <v>#VALUE!</v>
      </c>
    </row>
    <row r="64" spans="1:13">
      <c r="A64">
        <v>8.09</v>
      </c>
      <c r="B64">
        <v>48.34</v>
      </c>
      <c r="C64">
        <v>5.55</v>
      </c>
      <c r="D64">
        <v>21.7</v>
      </c>
      <c r="E64" s="118">
        <v>4966</v>
      </c>
      <c r="F64" t="s">
        <v>4682</v>
      </c>
      <c r="G64" s="28" t="str">
        <f>VLOOKUP($E64,STOCKS!$D$2:$E$2035,2,0)</f>
        <v>--</v>
      </c>
      <c r="H64" s="28">
        <f>VLOOKUP($E64,STOCKS昨天!$D$2:$E$2035,2,0)</f>
        <v>2125</v>
      </c>
      <c r="I64">
        <v>1800</v>
      </c>
      <c r="J64" s="129" t="str">
        <f t="shared" si="0"/>
        <v>0</v>
      </c>
      <c r="K64" s="63">
        <f t="shared" si="1"/>
        <v>0</v>
      </c>
      <c r="L64" s="129" t="str">
        <f t="shared" si="2"/>
        <v>0</v>
      </c>
      <c r="M64" s="63">
        <f t="shared" si="3"/>
        <v>0</v>
      </c>
    </row>
    <row r="65" spans="1:13">
      <c r="A65">
        <v>235.09</v>
      </c>
      <c r="B65">
        <v>46.67</v>
      </c>
      <c r="C65">
        <v>7.9</v>
      </c>
      <c r="D65">
        <v>-1.02</v>
      </c>
      <c r="E65" s="118">
        <v>2301</v>
      </c>
      <c r="F65" t="s">
        <v>4000</v>
      </c>
      <c r="G65" s="28">
        <f>VLOOKUP($E65,STOCKS!$D$2:$E$2035,2,0)</f>
        <v>61</v>
      </c>
      <c r="H65" s="28">
        <f>VLOOKUP($E65,STOCKS昨天!$D$2:$E$2035,2,0)</f>
        <v>60.4</v>
      </c>
      <c r="I65">
        <v>61.5</v>
      </c>
      <c r="J65" s="129">
        <f t="shared" si="0"/>
        <v>-0.5</v>
      </c>
      <c r="K65" s="63">
        <f t="shared" si="1"/>
        <v>-8.130081300813009E-3</v>
      </c>
      <c r="L65" s="129">
        <f t="shared" si="2"/>
        <v>0.60000000000000142</v>
      </c>
      <c r="M65" s="63">
        <f t="shared" si="3"/>
        <v>9.9337748344371091E-3</v>
      </c>
    </row>
    <row r="66" spans="1:13">
      <c r="A66">
        <v>8.74</v>
      </c>
      <c r="B66">
        <v>-12.8</v>
      </c>
      <c r="C66">
        <v>-6.83</v>
      </c>
      <c r="D66">
        <v>23.66</v>
      </c>
      <c r="E66" s="118">
        <v>6409</v>
      </c>
      <c r="F66" t="s">
        <v>4292</v>
      </c>
      <c r="G66" s="28" t="str">
        <f>VLOOKUP($E66,STOCKS!$D$2:$E$2035,2,0)</f>
        <v>--</v>
      </c>
      <c r="H66" s="28">
        <f>VLOOKUP($E66,STOCKS昨天!$D$2:$E$2035,2,0)</f>
        <v>1650</v>
      </c>
      <c r="I66">
        <v>1625</v>
      </c>
      <c r="J66" s="129" t="str">
        <f t="shared" si="0"/>
        <v>0</v>
      </c>
      <c r="K66" s="63">
        <f t="shared" si="1"/>
        <v>0</v>
      </c>
      <c r="L66" s="129" t="str">
        <f t="shared" si="2"/>
        <v>0</v>
      </c>
      <c r="M66" s="63">
        <f t="shared" si="3"/>
        <v>0</v>
      </c>
    </row>
    <row r="67" spans="1:13">
      <c r="A67">
        <v>492.07</v>
      </c>
      <c r="B67">
        <v>106.6</v>
      </c>
      <c r="C67">
        <v>-30.06</v>
      </c>
      <c r="D67">
        <v>-1.52</v>
      </c>
      <c r="E67" s="118">
        <v>2823</v>
      </c>
      <c r="F67" t="s">
        <v>4379</v>
      </c>
      <c r="G67" s="28">
        <f>VLOOKUP($E67,STOCKS!$D$2:$E$2035,2,0)</f>
        <v>30.9</v>
      </c>
      <c r="H67" s="28">
        <f>VLOOKUP($E67,STOCKS昨天!$D$2:$E$2035,2,0)</f>
        <v>30.55</v>
      </c>
      <c r="I67">
        <v>28.8</v>
      </c>
      <c r="J67" s="129">
        <f t="shared" ref="J67:J101" si="4">IFERROR($G67-$I67,"0")</f>
        <v>2.0999999999999979</v>
      </c>
      <c r="K67" s="63">
        <f t="shared" ref="K67:K101" si="5">$J67/$I67</f>
        <v>7.2916666666666588E-2</v>
      </c>
      <c r="L67" s="129">
        <f t="shared" ref="L67:L101" si="6">IFERROR($G67-$H67,"0")</f>
        <v>0.34999999999999787</v>
      </c>
      <c r="M67" s="63">
        <f t="shared" ref="M67:M101" si="7">$L67/$H67</f>
        <v>1.1456628477905004E-2</v>
      </c>
    </row>
    <row r="68" spans="1:13">
      <c r="A68">
        <v>55.98</v>
      </c>
      <c r="B68">
        <v>-4.78</v>
      </c>
      <c r="C68">
        <v>-6.66</v>
      </c>
      <c r="D68">
        <v>-4.4000000000000004</v>
      </c>
      <c r="E68" s="118">
        <v>2345</v>
      </c>
      <c r="F68" t="s">
        <v>4111</v>
      </c>
      <c r="G68" s="28" t="str">
        <f>VLOOKUP($E68,STOCKS!$D$2:$E$2035,2,0)</f>
        <v>--</v>
      </c>
      <c r="H68" s="28">
        <f>VLOOKUP($E68,STOCKS昨天!$D$2:$E$2035,2,0)</f>
        <v>295</v>
      </c>
      <c r="I68">
        <v>252</v>
      </c>
      <c r="J68" s="129" t="str">
        <f t="shared" si="4"/>
        <v>0</v>
      </c>
      <c r="K68" s="63">
        <f t="shared" si="5"/>
        <v>0</v>
      </c>
      <c r="L68" s="129" t="str">
        <f t="shared" si="6"/>
        <v>0</v>
      </c>
      <c r="M68" s="63">
        <f t="shared" si="7"/>
        <v>0</v>
      </c>
    </row>
    <row r="69" spans="1:13">
      <c r="A69">
        <v>1404.18</v>
      </c>
      <c r="B69">
        <v>73.98</v>
      </c>
      <c r="C69">
        <v>-13.14</v>
      </c>
      <c r="D69">
        <v>6.07</v>
      </c>
      <c r="E69" s="118">
        <v>2888</v>
      </c>
      <c r="F69" t="s">
        <v>4399</v>
      </c>
      <c r="G69" s="28">
        <f>VLOOKUP($E69,STOCKS!$D$2:$E$2035,2,0)</f>
        <v>11.45</v>
      </c>
      <c r="H69" s="28">
        <f>VLOOKUP($E69,STOCKS昨天!$D$2:$E$2035,2,0)</f>
        <v>11.25</v>
      </c>
      <c r="I69">
        <v>9.77</v>
      </c>
      <c r="J69" s="129">
        <f t="shared" si="4"/>
        <v>1.6799999999999997</v>
      </c>
      <c r="K69" s="63">
        <f t="shared" si="5"/>
        <v>0.17195496417604911</v>
      </c>
      <c r="L69" s="129">
        <f t="shared" si="6"/>
        <v>0.19999999999999929</v>
      </c>
      <c r="M69" s="63">
        <f t="shared" si="7"/>
        <v>1.7777777777777715E-2</v>
      </c>
    </row>
    <row r="70" spans="1:13">
      <c r="A70">
        <v>76.16</v>
      </c>
      <c r="B70">
        <v>-52.09</v>
      </c>
      <c r="C70">
        <v>-2.93</v>
      </c>
      <c r="D70">
        <v>-61.07</v>
      </c>
      <c r="E70" s="118">
        <v>2474</v>
      </c>
      <c r="F70" t="s">
        <v>4272</v>
      </c>
      <c r="G70" s="28" t="str">
        <f>VLOOKUP($E70,STOCKS!$D$2:$E$2035,2,0)</f>
        <v>--</v>
      </c>
      <c r="H70" s="28">
        <f>VLOOKUP($E70,STOCKS昨天!$D$2:$E$2035,2,0)</f>
        <v>156</v>
      </c>
      <c r="I70">
        <v>163</v>
      </c>
      <c r="J70" s="129" t="str">
        <f t="shared" si="4"/>
        <v>0</v>
      </c>
      <c r="K70" s="63">
        <f t="shared" si="5"/>
        <v>0</v>
      </c>
      <c r="L70" s="129" t="str">
        <f t="shared" si="6"/>
        <v>0</v>
      </c>
      <c r="M70" s="63">
        <f t="shared" si="7"/>
        <v>0</v>
      </c>
    </row>
    <row r="71" spans="1:13">
      <c r="A71">
        <v>84.49</v>
      </c>
      <c r="B71">
        <v>155.66999999999999</v>
      </c>
      <c r="C71">
        <v>3.92</v>
      </c>
      <c r="D71">
        <v>40.78</v>
      </c>
      <c r="E71" s="118">
        <v>2377</v>
      </c>
      <c r="F71" t="s">
        <v>4011</v>
      </c>
      <c r="G71" s="28" t="str">
        <f>VLOOKUP($E71,STOCKS!$D$2:$E$2035,2,0)</f>
        <v>--</v>
      </c>
      <c r="H71" s="28">
        <f>VLOOKUP($E71,STOCKS昨天!$D$2:$E$2035,2,0)</f>
        <v>161</v>
      </c>
      <c r="I71">
        <v>142</v>
      </c>
      <c r="J71" s="129" t="str">
        <f t="shared" si="4"/>
        <v>0</v>
      </c>
      <c r="K71" s="63">
        <f t="shared" si="5"/>
        <v>0</v>
      </c>
      <c r="L71" s="129" t="str">
        <f t="shared" si="6"/>
        <v>0</v>
      </c>
      <c r="M71" s="63">
        <f t="shared" si="7"/>
        <v>0</v>
      </c>
    </row>
    <row r="72" spans="1:13">
      <c r="A72">
        <v>37.51</v>
      </c>
      <c r="B72">
        <v>67.989999999999995</v>
      </c>
      <c r="C72">
        <v>0.93</v>
      </c>
      <c r="D72">
        <v>1.0900000000000001</v>
      </c>
      <c r="E72" s="118">
        <v>9921</v>
      </c>
      <c r="F72" t="s">
        <v>4485</v>
      </c>
      <c r="G72" s="28" t="str">
        <f>VLOOKUP($E72,STOCKS!$D$2:$E$2035,2,0)</f>
        <v>--</v>
      </c>
      <c r="H72" s="28">
        <f>VLOOKUP($E72,STOCKS昨天!$D$2:$E$2035,2,0)</f>
        <v>316.5</v>
      </c>
      <c r="I72">
        <v>319.5</v>
      </c>
      <c r="J72" s="129" t="str">
        <f t="shared" si="4"/>
        <v>0</v>
      </c>
      <c r="K72" s="63">
        <f t="shared" si="5"/>
        <v>0</v>
      </c>
      <c r="L72" s="129" t="str">
        <f t="shared" si="6"/>
        <v>0</v>
      </c>
      <c r="M72" s="63">
        <f t="shared" si="7"/>
        <v>0</v>
      </c>
    </row>
    <row r="73" spans="1:13">
      <c r="A73">
        <v>6.92</v>
      </c>
      <c r="B73">
        <v>12.29</v>
      </c>
      <c r="C73">
        <v>-1.65</v>
      </c>
      <c r="D73">
        <v>-31.62</v>
      </c>
      <c r="E73" s="118">
        <v>5269</v>
      </c>
      <c r="F73" t="s">
        <v>3519</v>
      </c>
      <c r="G73" s="28" t="str">
        <f>VLOOKUP($E73,STOCKS!$D$2:$E$2035,2,0)</f>
        <v>--</v>
      </c>
      <c r="H73" s="28">
        <f>VLOOKUP($E73,STOCKS昨天!$D$2:$E$2035,2,0)</f>
        <v>1955</v>
      </c>
      <c r="I73">
        <v>1670</v>
      </c>
      <c r="J73" s="129" t="str">
        <f t="shared" si="4"/>
        <v>0</v>
      </c>
      <c r="K73" s="63">
        <f t="shared" si="5"/>
        <v>0</v>
      </c>
      <c r="L73" s="129" t="str">
        <f t="shared" si="6"/>
        <v>0</v>
      </c>
      <c r="M73" s="63">
        <f t="shared" si="7"/>
        <v>0</v>
      </c>
    </row>
    <row r="74" spans="1:13">
      <c r="A74">
        <v>58.62</v>
      </c>
      <c r="B74">
        <v>14.46</v>
      </c>
      <c r="C74">
        <v>7.34</v>
      </c>
      <c r="D74">
        <v>13.2</v>
      </c>
      <c r="E74" s="118">
        <v>5483</v>
      </c>
      <c r="F74" t="s">
        <v>4693</v>
      </c>
      <c r="G74" s="28" t="str">
        <f>VLOOKUP($E74,STOCKS!$D$2:$E$2035,2,0)</f>
        <v>--</v>
      </c>
      <c r="H74" s="28">
        <f>VLOOKUP($E74,STOCKS昨天!$D$2:$E$2035,2,0)</f>
        <v>207</v>
      </c>
      <c r="I74">
        <v>197</v>
      </c>
      <c r="J74" s="129" t="str">
        <f t="shared" si="4"/>
        <v>0</v>
      </c>
      <c r="K74" s="63">
        <f t="shared" si="5"/>
        <v>0</v>
      </c>
      <c r="L74" s="129" t="str">
        <f t="shared" si="6"/>
        <v>0</v>
      </c>
      <c r="M74" s="63">
        <f t="shared" si="7"/>
        <v>0</v>
      </c>
    </row>
    <row r="75" spans="1:13">
      <c r="A75">
        <v>29.3</v>
      </c>
      <c r="B75">
        <v>25.95</v>
      </c>
      <c r="C75">
        <v>6.16</v>
      </c>
      <c r="D75">
        <v>15.88</v>
      </c>
      <c r="E75" s="118">
        <v>8464</v>
      </c>
      <c r="F75" t="s">
        <v>3692</v>
      </c>
      <c r="G75" s="28" t="str">
        <f>VLOOKUP($E75,STOCKS!$D$2:$E$2035,2,0)</f>
        <v>--</v>
      </c>
      <c r="H75" s="28" t="str">
        <f>VLOOKUP($E75,STOCKS昨天!$D$2:$E$2035,2,0)</f>
        <v>--</v>
      </c>
      <c r="I75">
        <v>390.5</v>
      </c>
      <c r="J75" s="129" t="str">
        <f t="shared" si="4"/>
        <v>0</v>
      </c>
      <c r="K75" s="63">
        <f t="shared" si="5"/>
        <v>0</v>
      </c>
      <c r="L75" s="129" t="str">
        <f t="shared" si="6"/>
        <v>0</v>
      </c>
      <c r="M75" s="63" t="e">
        <f t="shared" si="7"/>
        <v>#VALUE!</v>
      </c>
    </row>
    <row r="76" spans="1:13">
      <c r="A76">
        <v>324.14</v>
      </c>
      <c r="B76">
        <v>1082.07</v>
      </c>
      <c r="C76">
        <v>2.29</v>
      </c>
      <c r="D76">
        <v>-18.579999999999998</v>
      </c>
      <c r="E76" s="118">
        <v>2105</v>
      </c>
      <c r="F76" t="s">
        <v>3905</v>
      </c>
      <c r="G76" s="28">
        <f>VLOOKUP($E76,STOCKS!$D$2:$E$2035,2,0)</f>
        <v>34.65</v>
      </c>
      <c r="H76" s="28">
        <f>VLOOKUP($E76,STOCKS昨天!$D$2:$E$2035,2,0)</f>
        <v>34.5</v>
      </c>
      <c r="I76">
        <v>34.450000000000003</v>
      </c>
      <c r="J76" s="129">
        <f t="shared" si="4"/>
        <v>0.19999999999999574</v>
      </c>
      <c r="K76" s="63">
        <f t="shared" si="5"/>
        <v>5.8055152394773796E-3</v>
      </c>
      <c r="L76" s="129">
        <f t="shared" si="6"/>
        <v>0.14999999999999858</v>
      </c>
      <c r="M76" s="63">
        <f t="shared" si="7"/>
        <v>4.3478260869564802E-3</v>
      </c>
    </row>
    <row r="77" spans="1:13">
      <c r="A77">
        <v>114.04</v>
      </c>
      <c r="B77">
        <v>43.65</v>
      </c>
      <c r="C77">
        <v>117.29</v>
      </c>
      <c r="D77">
        <v>21.92</v>
      </c>
      <c r="E77" s="118">
        <v>8069</v>
      </c>
      <c r="F77" t="s">
        <v>3688</v>
      </c>
      <c r="G77" s="28">
        <f>VLOOKUP($E77,STOCKS!$D$2:$E$2035,2,0)</f>
        <v>127</v>
      </c>
      <c r="H77" s="28">
        <f>VLOOKUP($E77,STOCKS昨天!$D$2:$E$2035,2,0)</f>
        <v>122</v>
      </c>
      <c r="I77">
        <v>95.6</v>
      </c>
      <c r="J77" s="129">
        <f t="shared" si="4"/>
        <v>31.400000000000006</v>
      </c>
      <c r="K77" s="63">
        <f t="shared" si="5"/>
        <v>0.32845188284518834</v>
      </c>
      <c r="L77" s="129">
        <f t="shared" si="6"/>
        <v>5</v>
      </c>
      <c r="M77" s="63">
        <f t="shared" si="7"/>
        <v>4.0983606557377046E-2</v>
      </c>
    </row>
    <row r="78" spans="1:13">
      <c r="A78">
        <v>45.08</v>
      </c>
      <c r="B78">
        <v>394.05</v>
      </c>
      <c r="C78">
        <v>1.65</v>
      </c>
      <c r="D78">
        <v>47.19</v>
      </c>
      <c r="E78" s="118">
        <v>3189</v>
      </c>
      <c r="F78" t="s">
        <v>3675</v>
      </c>
      <c r="G78" s="28" t="str">
        <f>VLOOKUP($E78,STOCKS!$D$2:$E$2035,2,0)</f>
        <v>--</v>
      </c>
      <c r="H78" s="28">
        <f>VLOOKUP($E78,STOCKS昨天!$D$2:$E$2035,2,0)</f>
        <v>232</v>
      </c>
      <c r="I78">
        <v>239.5</v>
      </c>
      <c r="J78" s="129" t="str">
        <f t="shared" si="4"/>
        <v>0</v>
      </c>
      <c r="K78" s="63">
        <f t="shared" si="5"/>
        <v>0</v>
      </c>
      <c r="L78" s="129" t="str">
        <f t="shared" si="6"/>
        <v>0</v>
      </c>
      <c r="M78" s="63">
        <f t="shared" si="7"/>
        <v>0</v>
      </c>
    </row>
    <row r="79" spans="1:13">
      <c r="A79">
        <v>34.08</v>
      </c>
      <c r="B79">
        <v>360.82</v>
      </c>
      <c r="C79">
        <v>-1.1399999999999999</v>
      </c>
      <c r="D79">
        <v>24.31</v>
      </c>
      <c r="E79" s="118">
        <v>2049</v>
      </c>
      <c r="F79" t="s">
        <v>40</v>
      </c>
      <c r="G79" s="28" t="str">
        <f>VLOOKUP($E79,STOCKS!$D$2:$E$2035,2,0)</f>
        <v>--</v>
      </c>
      <c r="H79" s="28">
        <f>VLOOKUP($E79,STOCKS昨天!$D$2:$E$2035,2,0)</f>
        <v>292</v>
      </c>
      <c r="I79">
        <v>315</v>
      </c>
      <c r="J79" s="129" t="str">
        <f t="shared" si="4"/>
        <v>0</v>
      </c>
      <c r="K79" s="63">
        <f t="shared" si="5"/>
        <v>0</v>
      </c>
      <c r="L79" s="129" t="str">
        <f t="shared" si="6"/>
        <v>0</v>
      </c>
      <c r="M79" s="63">
        <f t="shared" si="7"/>
        <v>0</v>
      </c>
    </row>
    <row r="80" spans="1:13">
      <c r="A80">
        <v>440.71</v>
      </c>
      <c r="B80">
        <v>90.35</v>
      </c>
      <c r="C80">
        <v>23.54</v>
      </c>
      <c r="D80">
        <v>32.42</v>
      </c>
      <c r="E80" s="118">
        <v>2324</v>
      </c>
      <c r="F80" t="s">
        <v>4002</v>
      </c>
      <c r="G80" s="28">
        <f>VLOOKUP($E80,STOCKS!$D$2:$E$2035,2,0)</f>
        <v>23.7</v>
      </c>
      <c r="H80" s="28">
        <f>VLOOKUP($E80,STOCKS昨天!$D$2:$E$2035,2,0)</f>
        <v>23.55</v>
      </c>
      <c r="I80">
        <v>24.2</v>
      </c>
      <c r="J80" s="129">
        <f t="shared" si="4"/>
        <v>-0.5</v>
      </c>
      <c r="K80" s="63">
        <f t="shared" si="5"/>
        <v>-2.0661157024793389E-2</v>
      </c>
      <c r="L80" s="129">
        <f t="shared" si="6"/>
        <v>0.14999999999999858</v>
      </c>
      <c r="M80" s="63">
        <f t="shared" si="7"/>
        <v>6.3694267515922963E-3</v>
      </c>
    </row>
    <row r="81" spans="1:13">
      <c r="A81">
        <v>398</v>
      </c>
      <c r="B81">
        <v>625.30999999999995</v>
      </c>
      <c r="C81">
        <v>3.32</v>
      </c>
      <c r="D81">
        <v>21.82</v>
      </c>
      <c r="E81" s="118">
        <v>2344</v>
      </c>
      <c r="F81" t="s">
        <v>3948</v>
      </c>
      <c r="G81" s="28">
        <f>VLOOKUP($E81,STOCKS!$D$2:$E$2035,2,0)</f>
        <v>31.45</v>
      </c>
      <c r="H81" s="28">
        <f>VLOOKUP($E81,STOCKS昨天!$D$2:$E$2035,2,0)</f>
        <v>31.3</v>
      </c>
      <c r="I81">
        <v>26.35</v>
      </c>
      <c r="J81" s="129">
        <f t="shared" si="4"/>
        <v>5.0999999999999979</v>
      </c>
      <c r="K81" s="63">
        <f t="shared" si="5"/>
        <v>0.1935483870967741</v>
      </c>
      <c r="L81" s="129">
        <f t="shared" si="6"/>
        <v>0.14999999999999858</v>
      </c>
      <c r="M81" s="63">
        <f t="shared" si="7"/>
        <v>4.7923322683705617E-3</v>
      </c>
    </row>
    <row r="82" spans="1:13">
      <c r="A82">
        <v>8.5399999999999991</v>
      </c>
      <c r="B82">
        <v>490.39</v>
      </c>
      <c r="C82">
        <v>10.99</v>
      </c>
      <c r="D82">
        <v>6.34</v>
      </c>
      <c r="E82" s="118">
        <v>6781</v>
      </c>
      <c r="F82" t="s">
        <v>36</v>
      </c>
      <c r="G82" s="28" t="str">
        <f>VLOOKUP($E82,STOCKS!$D$2:$E$2035,2,0)</f>
        <v>--</v>
      </c>
      <c r="H82" s="28">
        <f>VLOOKUP($E82,STOCKS昨天!$D$2:$E$2035,2,0)</f>
        <v>1460</v>
      </c>
      <c r="I82">
        <v>1220</v>
      </c>
      <c r="J82" s="129" t="str">
        <f t="shared" si="4"/>
        <v>0</v>
      </c>
      <c r="K82" s="63">
        <f t="shared" si="5"/>
        <v>0</v>
      </c>
      <c r="L82" s="129" t="str">
        <f t="shared" si="6"/>
        <v>0</v>
      </c>
      <c r="M82" s="63">
        <f t="shared" si="7"/>
        <v>0</v>
      </c>
    </row>
    <row r="83" spans="1:13">
      <c r="A83">
        <v>574.04999999999995</v>
      </c>
      <c r="B83">
        <v>-9.26</v>
      </c>
      <c r="C83">
        <v>16.79</v>
      </c>
      <c r="D83">
        <v>47.36</v>
      </c>
      <c r="E83" s="118">
        <v>2610</v>
      </c>
      <c r="F83" t="s">
        <v>4347</v>
      </c>
      <c r="G83" s="28">
        <f>VLOOKUP($E83,STOCKS!$D$2:$E$2035,2,0)</f>
        <v>28.4</v>
      </c>
      <c r="H83" s="28">
        <f>VLOOKUP($E83,STOCKS昨天!$D$2:$E$2035,2,0)</f>
        <v>27.75</v>
      </c>
      <c r="I83">
        <v>18.100000000000001</v>
      </c>
      <c r="J83" s="129">
        <f t="shared" si="4"/>
        <v>10.299999999999997</v>
      </c>
      <c r="K83" s="63">
        <f t="shared" si="5"/>
        <v>0.56906077348066275</v>
      </c>
      <c r="L83" s="129">
        <f t="shared" si="6"/>
        <v>0.64999999999999858</v>
      </c>
      <c r="M83" s="63">
        <f t="shared" si="7"/>
        <v>2.3423423423423372E-2</v>
      </c>
    </row>
    <row r="84" spans="1:13">
      <c r="A84">
        <v>294.68</v>
      </c>
      <c r="B84">
        <v>1095.82</v>
      </c>
      <c r="C84">
        <v>12.2</v>
      </c>
      <c r="D84">
        <v>-28.58</v>
      </c>
      <c r="E84" s="118">
        <v>9904</v>
      </c>
      <c r="F84" t="s">
        <v>4479</v>
      </c>
      <c r="G84" s="28" t="str">
        <f>VLOOKUP($E84,STOCKS!$D$2:$E$2035,2,0)</f>
        <v>--</v>
      </c>
      <c r="H84" s="28">
        <f>VLOOKUP($E84,STOCKS昨天!$D$2:$E$2035,2,0)</f>
        <v>33.799999999999997</v>
      </c>
      <c r="I84">
        <v>34.4</v>
      </c>
      <c r="J84" s="129" t="str">
        <f t="shared" si="4"/>
        <v>0</v>
      </c>
      <c r="K84" s="63">
        <f t="shared" si="5"/>
        <v>0</v>
      </c>
      <c r="L84" s="129" t="str">
        <f t="shared" si="6"/>
        <v>0</v>
      </c>
      <c r="M84" s="63">
        <f t="shared" si="7"/>
        <v>0</v>
      </c>
    </row>
    <row r="85" spans="1:13">
      <c r="A85">
        <v>513.91999999999996</v>
      </c>
      <c r="B85">
        <v>-16.760000000000002</v>
      </c>
      <c r="C85">
        <v>-5.12</v>
      </c>
      <c r="D85">
        <v>43.68</v>
      </c>
      <c r="E85" s="118">
        <v>2618</v>
      </c>
      <c r="F85" t="s">
        <v>4350</v>
      </c>
      <c r="G85" s="28">
        <f>VLOOKUP($E85,STOCKS!$D$2:$E$2035,2,0)</f>
        <v>26.15</v>
      </c>
      <c r="H85" s="28">
        <f>VLOOKUP($E85,STOCKS昨天!$D$2:$E$2035,2,0)</f>
        <v>25.8</v>
      </c>
      <c r="I85">
        <v>19.649999999999999</v>
      </c>
      <c r="J85" s="129">
        <f t="shared" si="4"/>
        <v>6.5</v>
      </c>
      <c r="K85" s="63">
        <f t="shared" si="5"/>
        <v>0.33078880407124683</v>
      </c>
      <c r="L85" s="129">
        <f t="shared" si="6"/>
        <v>0.34999999999999787</v>
      </c>
      <c r="M85" s="63">
        <f t="shared" si="7"/>
        <v>1.3565891472868134E-2</v>
      </c>
    </row>
    <row r="86" spans="1:13">
      <c r="A86">
        <v>38.24</v>
      </c>
      <c r="B86">
        <v>-221.61</v>
      </c>
      <c r="C86">
        <v>-15.34</v>
      </c>
      <c r="D86">
        <v>1286.0899999999999</v>
      </c>
      <c r="E86" s="118">
        <v>4743</v>
      </c>
      <c r="F86" t="s">
        <v>4613</v>
      </c>
      <c r="G86" s="28">
        <f>VLOOKUP($E86,STOCKS!$D$2:$E$2035,2,0)</f>
        <v>300</v>
      </c>
      <c r="H86" s="28">
        <f>VLOOKUP($E86,STOCKS昨天!$D$2:$E$2035,2,0)</f>
        <v>297</v>
      </c>
      <c r="I86">
        <v>262</v>
      </c>
      <c r="J86" s="129">
        <f t="shared" si="4"/>
        <v>38</v>
      </c>
      <c r="K86" s="63">
        <f t="shared" si="5"/>
        <v>0.14503816793893129</v>
      </c>
      <c r="L86" s="129">
        <f t="shared" si="6"/>
        <v>3</v>
      </c>
      <c r="M86" s="63">
        <f t="shared" si="7"/>
        <v>1.0101010101010102E-2</v>
      </c>
    </row>
    <row r="87" spans="1:13">
      <c r="A87">
        <v>141.44999999999999</v>
      </c>
      <c r="B87">
        <v>27.66</v>
      </c>
      <c r="C87">
        <v>10.23</v>
      </c>
      <c r="D87">
        <v>-8.01</v>
      </c>
      <c r="E87" s="118">
        <v>2354</v>
      </c>
      <c r="F87" t="s">
        <v>4265</v>
      </c>
      <c r="G87" s="28" t="str">
        <f>VLOOKUP($E87,STOCKS!$D$2:$E$2035,2,0)</f>
        <v>--</v>
      </c>
      <c r="H87" s="28" t="str">
        <f>VLOOKUP($E87,STOCKS昨天!$D$2:$E$2035,2,0)</f>
        <v>--</v>
      </c>
      <c r="I87">
        <v>68.599999999999994</v>
      </c>
      <c r="J87" s="129" t="str">
        <f t="shared" si="4"/>
        <v>0</v>
      </c>
      <c r="K87" s="63">
        <f t="shared" si="5"/>
        <v>0</v>
      </c>
      <c r="L87" s="129" t="str">
        <f t="shared" si="6"/>
        <v>0</v>
      </c>
      <c r="M87" s="63" t="e">
        <f t="shared" si="7"/>
        <v>#VALUE!</v>
      </c>
    </row>
    <row r="88" spans="1:13">
      <c r="A88">
        <v>358.75</v>
      </c>
      <c r="B88">
        <v>-53.13</v>
      </c>
      <c r="C88">
        <v>4.5</v>
      </c>
      <c r="D88">
        <v>-2.06</v>
      </c>
      <c r="E88" s="118">
        <v>2356</v>
      </c>
      <c r="F88" t="s">
        <v>4006</v>
      </c>
      <c r="G88" s="28" t="str">
        <f>VLOOKUP($E88,STOCKS!$D$2:$E$2035,2,0)</f>
        <v>--</v>
      </c>
      <c r="H88" s="28">
        <f>VLOOKUP($E88,STOCKS昨天!$D$2:$E$2035,2,0)</f>
        <v>25.8</v>
      </c>
      <c r="I88">
        <v>26.55</v>
      </c>
      <c r="J88" s="129" t="str">
        <f t="shared" si="4"/>
        <v>0</v>
      </c>
      <c r="K88" s="63">
        <f t="shared" si="5"/>
        <v>0</v>
      </c>
      <c r="L88" s="129" t="str">
        <f t="shared" si="6"/>
        <v>0</v>
      </c>
      <c r="M88" s="63">
        <f t="shared" si="7"/>
        <v>0</v>
      </c>
    </row>
    <row r="89" spans="1:13">
      <c r="A89">
        <v>94.7</v>
      </c>
      <c r="B89">
        <v>-20.010000000000002</v>
      </c>
      <c r="C89">
        <v>6.41</v>
      </c>
      <c r="D89">
        <v>33.5</v>
      </c>
      <c r="E89" s="118">
        <v>4958</v>
      </c>
      <c r="F89" t="s">
        <v>4205</v>
      </c>
      <c r="G89" s="28" t="str">
        <f>VLOOKUP($E89,STOCKS!$D$2:$E$2035,2,0)</f>
        <v>--</v>
      </c>
      <c r="H89" s="28">
        <f>VLOOKUP($E89,STOCKS昨天!$D$2:$E$2035,2,0)</f>
        <v>101.5</v>
      </c>
      <c r="I89">
        <v>98.2</v>
      </c>
      <c r="J89" s="129" t="str">
        <f t="shared" si="4"/>
        <v>0</v>
      </c>
      <c r="K89" s="63">
        <f t="shared" si="5"/>
        <v>0</v>
      </c>
      <c r="L89" s="129" t="str">
        <f t="shared" si="6"/>
        <v>0</v>
      </c>
      <c r="M89" s="63">
        <f t="shared" si="7"/>
        <v>0</v>
      </c>
    </row>
    <row r="90" spans="1:13">
      <c r="A90">
        <v>3.44</v>
      </c>
      <c r="B90">
        <v>1.35</v>
      </c>
      <c r="C90">
        <v>0.84</v>
      </c>
      <c r="D90">
        <v>47.75</v>
      </c>
      <c r="E90" s="118">
        <v>5274</v>
      </c>
      <c r="F90" t="s">
        <v>4685</v>
      </c>
      <c r="G90" s="28" t="str">
        <f>VLOOKUP($E90,STOCKS!$D$2:$E$2035,2,0)</f>
        <v>--</v>
      </c>
      <c r="H90" s="28">
        <f>VLOOKUP($E90,STOCKS昨天!$D$2:$E$2035,2,0)</f>
        <v>3020</v>
      </c>
      <c r="I90">
        <v>2660</v>
      </c>
      <c r="J90" s="129" t="str">
        <f t="shared" si="4"/>
        <v>0</v>
      </c>
      <c r="K90" s="63">
        <f t="shared" si="5"/>
        <v>0</v>
      </c>
      <c r="L90" s="129" t="str">
        <f t="shared" si="6"/>
        <v>0</v>
      </c>
      <c r="M90" s="63">
        <f t="shared" si="7"/>
        <v>0</v>
      </c>
    </row>
    <row r="91" spans="1:13">
      <c r="A91">
        <v>343.13</v>
      </c>
      <c r="B91">
        <v>78.98</v>
      </c>
      <c r="C91">
        <v>7.27</v>
      </c>
      <c r="D91">
        <v>35.04</v>
      </c>
      <c r="E91" s="118">
        <v>1605</v>
      </c>
      <c r="F91" t="s">
        <v>3819</v>
      </c>
      <c r="G91" s="28">
        <f>VLOOKUP($E91,STOCKS!$D$2:$E$2035,2,0)</f>
        <v>27.95</v>
      </c>
      <c r="H91" s="28">
        <f>VLOOKUP($E91,STOCKS昨天!$D$2:$E$2035,2,0)</f>
        <v>27.6</v>
      </c>
      <c r="I91">
        <v>26.6</v>
      </c>
      <c r="J91" s="129">
        <f t="shared" si="4"/>
        <v>1.3499999999999979</v>
      </c>
      <c r="K91" s="63">
        <f t="shared" si="5"/>
        <v>5.0751879699248034E-2</v>
      </c>
      <c r="L91" s="129">
        <f t="shared" si="6"/>
        <v>0.34999999999999787</v>
      </c>
      <c r="M91" s="63">
        <f t="shared" si="7"/>
        <v>1.2681159420289778E-2</v>
      </c>
    </row>
    <row r="92" spans="1:13">
      <c r="A92">
        <v>166.79</v>
      </c>
      <c r="B92">
        <v>64.099999999999994</v>
      </c>
      <c r="C92">
        <v>9.89</v>
      </c>
      <c r="D92">
        <v>12.65</v>
      </c>
      <c r="E92" s="118">
        <v>2347</v>
      </c>
      <c r="F92" t="s">
        <v>4230</v>
      </c>
      <c r="G92" s="28">
        <f>VLOOKUP($E92,STOCKS!$D$2:$E$2035,2,0)</f>
        <v>58.5</v>
      </c>
      <c r="H92" s="28">
        <f>VLOOKUP($E92,STOCKS昨天!$D$2:$E$2035,2,0)</f>
        <v>57.9</v>
      </c>
      <c r="I92">
        <v>54.2</v>
      </c>
      <c r="J92" s="129">
        <f t="shared" si="4"/>
        <v>4.2999999999999972</v>
      </c>
      <c r="K92" s="63">
        <f t="shared" si="5"/>
        <v>7.9335793357933518E-2</v>
      </c>
      <c r="L92" s="129">
        <f t="shared" si="6"/>
        <v>0.60000000000000142</v>
      </c>
      <c r="M92" s="63">
        <f t="shared" si="7"/>
        <v>1.0362694300518159E-2</v>
      </c>
    </row>
    <row r="93" spans="1:13">
      <c r="A93">
        <v>167.91</v>
      </c>
      <c r="B93">
        <v>49.63</v>
      </c>
      <c r="C93">
        <v>7.31</v>
      </c>
      <c r="D93">
        <v>26.66</v>
      </c>
      <c r="E93" s="118">
        <v>3702</v>
      </c>
      <c r="F93" t="s">
        <v>4243</v>
      </c>
      <c r="G93" s="28" t="str">
        <f>VLOOKUP($E93,STOCKS!$D$2:$E$2035,2,0)</f>
        <v>--</v>
      </c>
      <c r="H93" s="28">
        <f>VLOOKUP($E93,STOCKS昨天!$D$2:$E$2035,2,0)</f>
        <v>50.6</v>
      </c>
      <c r="I93">
        <v>52.6</v>
      </c>
      <c r="J93" s="129" t="str">
        <f t="shared" si="4"/>
        <v>0</v>
      </c>
      <c r="K93" s="63">
        <f t="shared" si="5"/>
        <v>0</v>
      </c>
      <c r="L93" s="129" t="str">
        <f t="shared" si="6"/>
        <v>0</v>
      </c>
      <c r="M93" s="63">
        <f t="shared" si="7"/>
        <v>0</v>
      </c>
    </row>
    <row r="94" spans="1:13">
      <c r="A94">
        <v>7.43</v>
      </c>
      <c r="B94">
        <v>587.76</v>
      </c>
      <c r="C94">
        <v>-14.14</v>
      </c>
      <c r="D94">
        <v>89.81</v>
      </c>
      <c r="E94" s="118">
        <v>6531</v>
      </c>
      <c r="F94" t="s">
        <v>5513</v>
      </c>
      <c r="G94" s="28" t="str">
        <f>VLOOKUP($E94,STOCKS!$D$2:$E$2035,2,0)</f>
        <v>--</v>
      </c>
      <c r="H94" s="28">
        <f>VLOOKUP($E94,STOCKS昨天!$D$2:$E$2035,2,0)</f>
        <v>515</v>
      </c>
      <c r="I94">
        <v>591</v>
      </c>
      <c r="J94" s="129" t="str">
        <f t="shared" si="4"/>
        <v>0</v>
      </c>
      <c r="K94" s="63">
        <f t="shared" si="5"/>
        <v>0</v>
      </c>
      <c r="L94" s="129" t="str">
        <f t="shared" si="6"/>
        <v>0</v>
      </c>
      <c r="M94" s="63">
        <f t="shared" si="7"/>
        <v>0</v>
      </c>
    </row>
    <row r="95" spans="1:13">
      <c r="A95">
        <v>29.9</v>
      </c>
      <c r="B95">
        <v>28.47</v>
      </c>
      <c r="C95">
        <v>-29.14</v>
      </c>
      <c r="D95">
        <v>-24.04</v>
      </c>
      <c r="E95" s="118">
        <v>9914</v>
      </c>
      <c r="F95" t="s">
        <v>4483</v>
      </c>
      <c r="G95" s="28" t="str">
        <f>VLOOKUP($E95,STOCKS!$D$2:$E$2035,2,0)</f>
        <v>--</v>
      </c>
      <c r="H95" s="28">
        <f>VLOOKUP($E95,STOCKS昨天!$D$2:$E$2035,2,0)</f>
        <v>303.5</v>
      </c>
      <c r="I95">
        <v>291</v>
      </c>
      <c r="J95" s="129" t="str">
        <f t="shared" si="4"/>
        <v>0</v>
      </c>
      <c r="K95" s="63">
        <f t="shared" si="5"/>
        <v>0</v>
      </c>
      <c r="L95" s="129" t="str">
        <f t="shared" si="6"/>
        <v>0</v>
      </c>
      <c r="M95" s="63">
        <f t="shared" si="7"/>
        <v>0</v>
      </c>
    </row>
    <row r="96" spans="1:13">
      <c r="A96">
        <v>290.33999999999997</v>
      </c>
      <c r="B96">
        <v>16.45</v>
      </c>
      <c r="C96">
        <v>17.52</v>
      </c>
      <c r="D96">
        <v>19.5</v>
      </c>
      <c r="E96" s="118">
        <v>3231</v>
      </c>
      <c r="F96" t="s">
        <v>4025</v>
      </c>
      <c r="G96" s="28">
        <f>VLOOKUP($E96,STOCKS!$D$2:$E$2035,2,0)</f>
        <v>29.2</v>
      </c>
      <c r="H96" s="28">
        <f>VLOOKUP($E96,STOCKS昨天!$D$2:$E$2035,2,0)</f>
        <v>29.1</v>
      </c>
      <c r="I96">
        <v>29.1</v>
      </c>
      <c r="J96" s="129">
        <f t="shared" si="4"/>
        <v>9.9999999999997868E-2</v>
      </c>
      <c r="K96" s="63">
        <f t="shared" si="5"/>
        <v>3.4364261168384146E-3</v>
      </c>
      <c r="L96" s="129">
        <f t="shared" si="6"/>
        <v>9.9999999999997868E-2</v>
      </c>
      <c r="M96" s="63">
        <f t="shared" si="7"/>
        <v>3.4364261168384146E-3</v>
      </c>
    </row>
    <row r="97" spans="1:13">
      <c r="A97">
        <v>200.85</v>
      </c>
      <c r="B97">
        <v>757.86</v>
      </c>
      <c r="C97">
        <v>-1.68</v>
      </c>
      <c r="D97">
        <v>74.16</v>
      </c>
      <c r="E97" s="118">
        <v>2027</v>
      </c>
      <c r="F97" t="s">
        <v>46</v>
      </c>
      <c r="G97" s="28">
        <f>VLOOKUP($E97,STOCKS!$D$2:$E$2035,2,0)</f>
        <v>45.95</v>
      </c>
      <c r="H97" s="28">
        <f>VLOOKUP($E97,STOCKS昨天!$D$2:$E$2035,2,0)</f>
        <v>45.65</v>
      </c>
      <c r="I97">
        <v>41.1</v>
      </c>
      <c r="J97" s="129">
        <f t="shared" si="4"/>
        <v>4.8500000000000014</v>
      </c>
      <c r="K97" s="63">
        <f t="shared" si="5"/>
        <v>0.1180048661800487</v>
      </c>
      <c r="L97" s="129">
        <f t="shared" si="6"/>
        <v>0.30000000000000426</v>
      </c>
      <c r="M97" s="63">
        <f t="shared" si="7"/>
        <v>6.5717415115006412E-3</v>
      </c>
    </row>
    <row r="98" spans="1:13">
      <c r="A98">
        <v>13.4</v>
      </c>
      <c r="B98">
        <v>290.64</v>
      </c>
      <c r="C98">
        <v>25.57</v>
      </c>
      <c r="D98">
        <v>-6.67</v>
      </c>
      <c r="E98" s="118">
        <v>3443</v>
      </c>
      <c r="F98" t="s">
        <v>3652</v>
      </c>
      <c r="G98" s="28" t="str">
        <f>VLOOKUP($E98,STOCKS!$D$2:$E$2035,2,0)</f>
        <v>--</v>
      </c>
      <c r="H98" s="28">
        <f>VLOOKUP($E98,STOCKS昨天!$D$2:$E$2035,2,0)</f>
        <v>582</v>
      </c>
      <c r="I98">
        <v>609</v>
      </c>
      <c r="J98" s="129" t="str">
        <f t="shared" si="4"/>
        <v>0</v>
      </c>
      <c r="K98" s="63">
        <f t="shared" si="5"/>
        <v>0</v>
      </c>
      <c r="L98" s="129" t="str">
        <f t="shared" si="6"/>
        <v>0</v>
      </c>
      <c r="M98" s="63">
        <f t="shared" si="7"/>
        <v>0</v>
      </c>
    </row>
    <row r="99" spans="1:13">
      <c r="A99">
        <v>290.81</v>
      </c>
      <c r="B99">
        <v>488.97</v>
      </c>
      <c r="C99">
        <v>-8.42</v>
      </c>
      <c r="D99">
        <v>15.32</v>
      </c>
      <c r="E99" s="118">
        <v>1802</v>
      </c>
      <c r="F99" t="s">
        <v>3532</v>
      </c>
      <c r="G99" s="28" t="str">
        <f>VLOOKUP($E99,STOCKS!$D$2:$E$2035,2,0)</f>
        <v>--</v>
      </c>
      <c r="H99" s="28">
        <f>VLOOKUP($E99,STOCKS昨天!$D$2:$E$2035,2,0)</f>
        <v>26.95</v>
      </c>
      <c r="I99">
        <v>27.85</v>
      </c>
      <c r="J99" s="129" t="str">
        <f t="shared" si="4"/>
        <v>0</v>
      </c>
      <c r="K99" s="63">
        <f t="shared" si="5"/>
        <v>0</v>
      </c>
      <c r="L99" s="129" t="str">
        <f t="shared" si="6"/>
        <v>0</v>
      </c>
      <c r="M99" s="63">
        <f t="shared" si="7"/>
        <v>0</v>
      </c>
    </row>
    <row r="100" spans="1:13">
      <c r="A100">
        <v>73.430000000000007</v>
      </c>
      <c r="B100">
        <v>141.31</v>
      </c>
      <c r="C100">
        <v>-41.32</v>
      </c>
      <c r="D100">
        <v>24.22</v>
      </c>
      <c r="E100" s="118">
        <v>2915</v>
      </c>
      <c r="F100" t="s">
        <v>4419</v>
      </c>
      <c r="G100" s="28" t="str">
        <f>VLOOKUP($E100,STOCKS!$D$2:$E$2035,2,0)</f>
        <v>--</v>
      </c>
      <c r="H100" s="28" t="str">
        <f>VLOOKUP($E100,STOCKS昨天!$D$2:$E$2035,2,0)</f>
        <v>--</v>
      </c>
      <c r="I100">
        <v>110</v>
      </c>
      <c r="J100" s="129" t="str">
        <f t="shared" si="4"/>
        <v>0</v>
      </c>
      <c r="K100" s="63">
        <f t="shared" si="5"/>
        <v>0</v>
      </c>
      <c r="L100" s="129" t="str">
        <f t="shared" si="6"/>
        <v>0</v>
      </c>
      <c r="M100" s="63" t="e">
        <f t="shared" si="7"/>
        <v>#VALUE!</v>
      </c>
    </row>
    <row r="101" spans="1:13">
      <c r="A101">
        <v>304.79000000000002</v>
      </c>
      <c r="B101">
        <v>224.88</v>
      </c>
      <c r="C101">
        <v>3.04</v>
      </c>
      <c r="D101">
        <v>-5.38</v>
      </c>
      <c r="E101" s="118">
        <v>2353</v>
      </c>
      <c r="F101" t="s">
        <v>4005</v>
      </c>
      <c r="G101" s="28" t="str">
        <f>VLOOKUP($E101,STOCKS!$D$2:$E$2035,2,0)</f>
        <v>--</v>
      </c>
      <c r="H101" s="28" t="str">
        <f>VLOOKUP($E101,STOCKS昨天!$D$2:$E$2035,2,0)</f>
        <v>--</v>
      </c>
      <c r="I101">
        <v>26.2</v>
      </c>
      <c r="J101" s="129" t="str">
        <f t="shared" si="4"/>
        <v>0</v>
      </c>
      <c r="K101" s="63">
        <f t="shared" si="5"/>
        <v>0</v>
      </c>
      <c r="L101" s="129" t="str">
        <f t="shared" si="6"/>
        <v>0</v>
      </c>
      <c r="M101" s="63" t="e">
        <f t="shared" si="7"/>
        <v>#VALUE!</v>
      </c>
    </row>
  </sheetData>
  <phoneticPr fontId="38" type="noConversion"/>
  <conditionalFormatting sqref="K1:K104857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4</vt:i4>
      </vt:variant>
    </vt:vector>
  </HeadingPairs>
  <TitlesOfParts>
    <vt:vector size="19" baseType="lpstr">
      <vt:lpstr>每日資料</vt:lpstr>
      <vt:lpstr>STOCKS</vt:lpstr>
      <vt:lpstr>STOCKS昨天</vt:lpstr>
      <vt:lpstr>看</vt:lpstr>
      <vt:lpstr>預期</vt:lpstr>
      <vt:lpstr>量大股</vt:lpstr>
      <vt:lpstr>量放大股</vt:lpstr>
      <vt:lpstr>成交重心股</vt:lpstr>
      <vt:lpstr>強勢股</vt:lpstr>
      <vt:lpstr>五日強勢股</vt:lpstr>
      <vt:lpstr>弱勢股</vt:lpstr>
      <vt:lpstr>五日弱勢股</vt:lpstr>
      <vt:lpstr>主力買進</vt:lpstr>
      <vt:lpstr>主力賣出</vt:lpstr>
      <vt:lpstr>權值股</vt:lpstr>
      <vt:lpstr>平均損失</vt:lpstr>
      <vt:lpstr>平均獲利</vt:lpstr>
      <vt:lpstr>盈利勝率</vt:lpstr>
      <vt:lpstr>損失勝率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</dc:creator>
  <cp:lastModifiedBy>PAN</cp:lastModifiedBy>
  <dcterms:created xsi:type="dcterms:W3CDTF">2021-04-27T20:20:36Z</dcterms:created>
  <dcterms:modified xsi:type="dcterms:W3CDTF">2021-11-24T01:02:38Z</dcterms:modified>
</cp:coreProperties>
</file>